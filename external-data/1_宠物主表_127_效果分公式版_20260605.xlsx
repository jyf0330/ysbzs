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932f243e8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宠物主表" sheetId="1" r:id="R13328f6ecc17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44062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 applyAlignment="1">
      <x:alignment horizontal="center" vertical="center" wrapText="0"/>
    </x:xf>
    <x:xf numFmtId="200" fontId="0" fillId="0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2">
    <x:dxf>
      <x:font>
        <x:b/>
        <x:color rgb="B91C1C"/>
      </x:font>
      <x:fill>
        <x:patternFill patternType="solid">
          <x:bgColor rgb="FEE2E2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da39eaab241ce" /><Relationship Type="http://schemas.openxmlformats.org/officeDocument/2006/relationships/theme" Target="/xl/theme/theme1.xml" Id="R347c3f0f23bf4f68" /><Relationship Type="http://schemas.openxmlformats.org/officeDocument/2006/relationships/sharedStrings" Target="/xl/sharedStrings.xml" Id="R06dcc0ecd85d411b" /><Relationship Type="http://schemas.openxmlformats.org/officeDocument/2006/relationships/worksheet" Target="/xl/worksheets/sheet1.xml" Id="R13328f6ecc174ea9" /></Relationships>
</file>

<file path=xl/tables/table1.xml><?xml version="1.0" encoding="utf-8"?>
<x:table xmlns:x="http://schemas.openxmlformats.org/spreadsheetml/2006/main" id="1" name="PetPlannerTable" displayName="PetPlannerTable" ref="A1:U128" headerRowCount="1">
  <x:tableColumns count="21">
    <x:tableColumn id="1" name="编号"/>
    <x:tableColumn id="2" name="名称"/>
    <x:tableColumn id="3" name="元素"/>
    <x:tableColumn id="4" name="副属"/>
    <x:tableColumn id="5" name="品质"/>
    <x:tableColumn id="6" name="体型"/>
    <x:tableColumn id="7" name="定位"/>
    <x:tableColumn id="8" name="目标分"/>
    <x:tableColumn id="9" name="效果分"/>
    <x:tableColumn id="10" name="差值"/>
    <x:tableColumn id="11" name="HP"/>
    <x:tableColumn id="12" name="攻"/>
    <x:tableColumn id="13" name="行动"/>
    <x:tableColumn id="14" name="形状"/>
    <x:tableColumn id="15" name="范围"/>
    <x:tableColumn id="16" name="动作"/>
    <x:tableColumn id="17" name="技能"/>
    <x:tableColumn id="18" name="标签"/>
    <x:tableColumn id="19" name="可召"/>
    <x:tableColumn id="20" name="备注"/>
    <x:tableColumn id="21" name="内部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923aeaac54a32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7" hidden="0" customWidth="1"/>
    <x:col min="4" max="4" width="8" hidden="0" customWidth="1"/>
    <x:col min="5" max="5" width="8" hidden="0" customWidth="1"/>
    <x:col min="6" max="6" width="8" hidden="0" customWidth="1"/>
    <x:col min="7" max="7" width="10" hidden="0" customWidth="1"/>
    <x:col min="8" max="8" width="9" hidden="0" customWidth="1"/>
    <x:col min="9" max="9" width="9" hidden="0" customWidth="1"/>
    <x:col min="10" max="10" width="8" hidden="0" customWidth="1"/>
    <x:col min="11" max="11" width="7" hidden="0" customWidth="1"/>
    <x:col min="12" max="12" width="7" hidden="0" customWidth="1"/>
    <x:col min="13" max="13" width="7" hidden="0" customWidth="1"/>
    <x:col min="14" max="14" width="16" hidden="0" customWidth="1"/>
    <x:col min="15" max="15" width="12" hidden="0" customWidth="1"/>
    <x:col min="16" max="16" width="10" hidden="0" customWidth="1"/>
    <x:col min="17" max="17" width="18" hidden="0" customWidth="1"/>
    <x:col min="18" max="18" width="26" hidden="0" customWidth="1"/>
    <x:col min="19" max="19" width="7" hidden="0" customWidth="1"/>
    <x:col min="20" max="20" width="24" hidden="0" customWidth="1"/>
    <x:col min="21" max="21" width="14" hidden="0" customWidth="1"/>
  </x:cols>
  <x:sheetData>
    <x:row r="1" ht="24" customHeight="1">
      <x:c r="A1" s="6" t="str">
        <x:v>编号</x:v>
      </x:c>
      <x:c r="B1" s="6" t="str">
        <x:v>名称</x:v>
      </x:c>
      <x:c r="C1" s="6" t="str">
        <x:v>元素</x:v>
      </x:c>
      <x:c r="D1" s="6" t="str">
        <x:v>副属</x:v>
      </x:c>
      <x:c r="E1" s="6" t="str">
        <x:v>品质</x:v>
      </x:c>
      <x:c r="F1" s="6" t="str">
        <x:v>体型</x:v>
      </x:c>
      <x:c r="G1" s="6" t="str">
        <x:v>定位</x:v>
      </x:c>
      <x:c r="H1" s="6" t="str">
        <x:v>目标分</x:v>
      </x:c>
      <x:c r="I1" s="6" t="str">
        <x:v>效果分</x:v>
      </x:c>
      <x:c r="J1" s="6" t="str">
        <x:v>差值</x:v>
      </x:c>
      <x:c r="K1" s="6" t="str">
        <x:v>HP</x:v>
      </x:c>
      <x:c r="L1" s="6" t="str">
        <x:v>攻</x:v>
      </x:c>
      <x:c r="M1" s="6" t="str">
        <x:v>行动</x:v>
      </x:c>
      <x:c r="N1" s="6" t="str">
        <x:v>形状</x:v>
      </x:c>
      <x:c r="O1" s="6" t="str">
        <x:v>范围</x:v>
      </x:c>
      <x:c r="P1" s="6" t="str">
        <x:v>动作</x:v>
      </x:c>
      <x:c r="Q1" s="6" t="str">
        <x:v>技能</x:v>
      </x:c>
      <x:c r="R1" s="6" t="str">
        <x:v>标签</x:v>
      </x:c>
      <x:c r="S1" s="6" t="str">
        <x:v>可召</x:v>
      </x:c>
      <x:c r="T1" s="6" t="str">
        <x:v>备注</x:v>
      </x:c>
      <x:c r="U1" s="6" t="str">
        <x:v>内部ID</x:v>
      </x:c>
    </x:row>
    <x:row r="2" ht="20" customHeight="1">
      <x:c r="A2" s="19" t="str">
        <x:v>No.001</x:v>
      </x:c>
      <x:c r="B2" s="14" t="str">
        <x:v>棉悠悠</x:v>
      </x:c>
      <x:c r="C2" s="19" t="str">
        <x:v>风</x:v>
      </x:c>
      <x:c r="D2" s="19"/>
      <x:c r="E2" s="19" t="str">
        <x:v>青铜</x:v>
      </x:c>
      <x:c r="F2" s="19" t="str">
        <x:v>小型</x:v>
      </x:c>
      <x:c r="G2" s="14" t="str">
        <x:v>经济</x:v>
      </x:c>
      <x:c r="H2" s="21" t="n">
        <x:f>ROUND(50*IF(E2="青铜",1,IF(E2="白银",2,IF(E2="黄金",3.2,IF(E2="钻石",4.8,1))))*IF(F2="小型",1,IF(F2="中型",1.6,IF(F2="大型",2.56,1))),0)</x:f>
        <x:v>50</x:v>
      </x:c>
      <x:c r="I2" s="21" t="n">
        <x:f>K2+3*L2+M2*5</x:f>
        <x:v>38</x:v>
      </x:c>
      <x:c r="J2" s="21" t="n">
        <x:f>I2-H2</x:f>
        <x:v>-12</x:v>
      </x:c>
      <x:c r="K2" s="21" t="n">
        <x:v>20</x:v>
      </x:c>
      <x:c r="L2" s="21" t="n">
        <x:v>1</x:v>
      </x:c>
      <x:c r="M2" s="21" t="n">
        <x:v>3</x:v>
      </x:c>
      <x:c r="N2" s="14" t="str">
        <x:v>A1 单点刺</x:v>
      </x:c>
      <x:c r="O2" s="14" t="str">
        <x:v>直线/1格</x:v>
      </x:c>
      <x:c r="P2" s="14" t="str">
        <x:v>召唤</x:v>
      </x:c>
      <x:c r="Q2" s="14" t="str">
        <x:v>buffAllSummons</x:v>
      </x:c>
      <x:c r="R2" s="14" t="str">
        <x:v>风、经济、召唤、发育</x:v>
      </x:c>
      <x:c r="S2" s="19" t="str">
        <x:v>是</x:v>
      </x:c>
      <x:c r="T2" s="14"/>
      <x:c r="U2" s="14" t="str">
        <x:v>pal_001</x:v>
      </x:c>
    </x:row>
    <x:row r="3" ht="20" customHeight="1">
      <x:c r="A3" s="19" t="str">
        <x:v>No.002</x:v>
      </x:c>
      <x:c r="B3" s="14" t="str">
        <x:v>捣蛋猫</x:v>
      </x:c>
      <x:c r="C3" s="19" t="str">
        <x:v>风</x:v>
      </x:c>
      <x:c r="D3" s="19"/>
      <x:c r="E3" s="19" t="str">
        <x:v>青铜</x:v>
      </x:c>
      <x:c r="F3" s="19" t="str">
        <x:v>小型</x:v>
      </x:c>
      <x:c r="G3" s="14" t="str">
        <x:v>防御</x:v>
      </x:c>
      <x:c r="H3" s="21" t="n">
        <x:f>ROUND(50*IF(E3="青铜",1,IF(E3="白银",2,IF(E3="黄金",3.2,IF(E3="钻石",4.8,1))))*IF(F3="小型",1,IF(F3="中型",1.6,IF(F3="大型",2.56,1))),0)</x:f>
        <x:v>50</x:v>
      </x:c>
      <x:c r="I3" s="21" t="n">
        <x:f>K3+3*L3+M3*5</x:f>
        <x:v>47</x:v>
      </x:c>
      <x:c r="J3" s="21" t="n">
        <x:f>I3-H3</x:f>
        <x:v>-3</x:v>
      </x:c>
      <x:c r="K3" s="21" t="n">
        <x:v>26</x:v>
      </x:c>
      <x:c r="L3" s="21" t="n">
        <x:v>2</x:v>
      </x:c>
      <x:c r="M3" s="21" t="n">
        <x:v>3</x:v>
      </x:c>
      <x:c r="N3" s="14" t="str">
        <x:v>B1 横扫三格</x:v>
      </x:c>
      <x:c r="O3" s="14" t="str">
        <x:v>扫击/3格</x:v>
      </x:c>
      <x:c r="P3" s="14" t="str">
        <x:v>阻挡</x:v>
      </x:c>
      <x:c r="Q3" s="14" t="str">
        <x:v>castleReduce</x:v>
      </x:c>
      <x:c r="R3" s="14" t="str">
        <x:v>风、防御、前排、阻挡</x:v>
      </x:c>
      <x:c r="S3" s="19" t="str">
        <x:v>—</x:v>
      </x:c>
      <x:c r="T3" s="14"/>
      <x:c r="U3" s="14" t="str">
        <x:v>pal_002</x:v>
      </x:c>
    </x:row>
    <x:row r="4" ht="20" customHeight="1">
      <x:c r="A4" s="19" t="str">
        <x:v>No.003</x:v>
      </x:c>
      <x:c r="B4" s="14" t="str">
        <x:v>皮皮鸡</x:v>
      </x:c>
      <x:c r="C4" s="19" t="str">
        <x:v>风</x:v>
      </x:c>
      <x:c r="D4" s="19"/>
      <x:c r="E4" s="19" t="str">
        <x:v>青铜</x:v>
      </x:c>
      <x:c r="F4" s="19" t="str">
        <x:v>小型</x:v>
      </x:c>
      <x:c r="G4" s="14" t="str">
        <x:v>经济</x:v>
      </x:c>
      <x:c r="H4" s="21" t="n">
        <x:f>ROUND(50*IF(E4="青铜",1,IF(E4="白银",2,IF(E4="黄金",3.2,IF(E4="钻石",4.8,1))))*IF(F4="小型",1,IF(F4="中型",1.6,IF(F4="大型",2.56,1))),0)</x:f>
        <x:v>50</x:v>
      </x:c>
      <x:c r="I4" s="21" t="n">
        <x:f>K4+3*L4+M4*5</x:f>
        <x:v>38</x:v>
      </x:c>
      <x:c r="J4" s="21" t="n">
        <x:f>I4-H4</x:f>
        <x:v>-12</x:v>
      </x:c>
      <x:c r="K4" s="21" t="n">
        <x:v>20</x:v>
      </x:c>
      <x:c r="L4" s="21" t="n">
        <x:v>1</x:v>
      </x:c>
      <x:c r="M4" s="21" t="n">
        <x:v>3</x:v>
      </x:c>
      <x:c r="N4" s="14" t="str">
        <x:v>A1 单点刺</x:v>
      </x:c>
      <x:c r="O4" s="14" t="str">
        <x:v>直线/1格</x:v>
      </x:c>
      <x:c r="P4" s="14" t="str">
        <x:v>召唤</x:v>
      </x:c>
      <x:c r="Q4" s="14" t="str">
        <x:v>buffAllSummons</x:v>
      </x:c>
      <x:c r="R4" s="14" t="str">
        <x:v>风、经济、召唤、发育</x:v>
      </x:c>
      <x:c r="S4" s="19" t="str">
        <x:v>是</x:v>
      </x:c>
      <x:c r="T4" s="14"/>
      <x:c r="U4" s="14" t="str">
        <x:v>pal_003</x:v>
      </x:c>
    </x:row>
    <x:row r="5" ht="20" customHeight="1">
      <x:c r="A5" s="19" t="str">
        <x:v>No.004</x:v>
      </x:c>
      <x:c r="B5" s="14" t="str">
        <x:v>翠叶鼠</x:v>
      </x:c>
      <x:c r="C5" s="19" t="str">
        <x:v>风</x:v>
      </x:c>
      <x:c r="D5" s="19" t="str">
        <x:v>草</x:v>
      </x:c>
      <x:c r="E5" s="19" t="str">
        <x:v>青铜</x:v>
      </x:c>
      <x:c r="F5" s="19" t="str">
        <x:v>小型</x:v>
      </x:c>
      <x:c r="G5" s="14" t="str">
        <x:v>治疗</x:v>
      </x:c>
      <x:c r="H5" s="21" t="n">
        <x:f>ROUND(50*IF(E5="青铜",1,IF(E5="白银",2,IF(E5="黄金",3.2,IF(E5="钻石",4.8,1))))*IF(F5="小型",1,IF(F5="中型",1.6,IF(F5="大型",2.56,1))),0)</x:f>
        <x:v>50</x:v>
      </x:c>
      <x:c r="I5" s="21" t="n">
        <x:f>K5+3*L5+M5*5</x:f>
        <x:v>41</x:v>
      </x:c>
      <x:c r="J5" s="21" t="n">
        <x:f>I5-H5</x:f>
        <x:v>-9</x:v>
      </x:c>
      <x:c r="K5" s="21" t="n">
        <x:v>20</x:v>
      </x:c>
      <x:c r="L5" s="21" t="n">
        <x:v>2</x:v>
      </x:c>
      <x:c r="M5" s="21" t="n">
        <x:v>3</x:v>
      </x:c>
      <x:c r="N5" s="14" t="str">
        <x:v>B1 横扫三格</x:v>
      </x:c>
      <x:c r="O5" s="14" t="str">
        <x:v>扫击/3格</x:v>
      </x:c>
      <x:c r="P5" s="14" t="str">
        <x:v>场地</x:v>
      </x:c>
      <x:c r="Q5" s="14" t="str">
        <x:v>healAmpBonus</x:v>
      </x:c>
      <x:c r="R5" s="14" t="str">
        <x:v>风、治疗、后排、增益</x:v>
      </x:c>
      <x:c r="S5" s="19" t="str">
        <x:v>—</x:v>
      </x:c>
      <x:c r="T5" s="14"/>
      <x:c r="U5" s="14" t="str">
        <x:v>pal_004</x:v>
      </x:c>
    </x:row>
    <x:row r="6" ht="20" customHeight="1">
      <x:c r="A6" s="19" t="str">
        <x:v>No.005</x:v>
      </x:c>
      <x:c r="B6" s="14" t="str">
        <x:v>火绒狐</x:v>
      </x:c>
      <x:c r="C6" s="19" t="str">
        <x:v>火</x:v>
      </x:c>
      <x:c r="D6" s="19"/>
      <x:c r="E6" s="19" t="str">
        <x:v>青铜</x:v>
      </x:c>
      <x:c r="F6" s="19" t="str">
        <x:v>中型</x:v>
      </x:c>
      <x:c r="G6" s="14" t="str">
        <x:v>输出</x:v>
      </x:c>
      <x:c r="H6" s="21" t="n">
        <x:f>ROUND(50*IF(E6="青铜",1,IF(E6="白银",2,IF(E6="黄金",3.2,IF(E6="钻石",4.8,1))))*IF(F6="小型",1,IF(F6="中型",1.6,IF(F6="大型",2.56,1))),0)</x:f>
        <x:v>80</x:v>
      </x:c>
      <x:c r="I6" s="21" t="n">
        <x:f>K6+3*L6+M6*5</x:f>
        <x:v>52</x:v>
      </x:c>
      <x:c r="J6" s="21" t="n">
        <x:f>I6-H6</x:f>
        <x:v>-28</x:v>
      </x:c>
      <x:c r="K6" s="21" t="n">
        <x:v>22</x:v>
      </x:c>
      <x:c r="L6" s="21" t="n">
        <x:v>5</x:v>
      </x:c>
      <x:c r="M6" s="21" t="n">
        <x:v>3</x:v>
      </x:c>
      <x:c r="N6" s="14" t="str">
        <x:v>A1 单点刺</x:v>
      </x:c>
      <x:c r="O6" s="14" t="str">
        <x:v>直线/1格</x:v>
      </x:c>
      <x:c r="P6" s="14" t="str">
        <x:v>输出</x:v>
      </x:c>
      <x:c r="Q6" s="14" t="str">
        <x:v>spaceExplosionBonus</x:v>
      </x:c>
      <x:c r="R6" s="14" t="str">
        <x:v>火、输出、爆发、前排</x:v>
      </x:c>
      <x:c r="S6" s="19" t="str">
        <x:v>—</x:v>
      </x:c>
      <x:c r="T6" s="14"/>
      <x:c r="U6" s="14" t="str">
        <x:v>pal_005</x:v>
      </x:c>
    </x:row>
    <x:row r="7" ht="20" customHeight="1">
      <x:c r="A7" s="19" t="str">
        <x:v>No.006</x:v>
      </x:c>
      <x:c r="B7" s="14" t="str">
        <x:v>冲浪鸭</x:v>
      </x:c>
      <x:c r="C7" s="19" t="str">
        <x:v>水</x:v>
      </x:c>
      <x:c r="D7" s="19"/>
      <x:c r="E7" s="19" t="str">
        <x:v>青铜</x:v>
      </x:c>
      <x:c r="F7" s="19" t="str">
        <x:v>小型</x:v>
      </x:c>
      <x:c r="G7" s="14" t="str">
        <x:v>治疗</x:v>
      </x:c>
      <x:c r="H7" s="21" t="n">
        <x:f>ROUND(50*IF(E7="青铜",1,IF(E7="白银",2,IF(E7="黄金",3.2,IF(E7="钻石",4.8,1))))*IF(F7="小型",1,IF(F7="中型",1.6,IF(F7="大型",2.56,1))),0)</x:f>
        <x:v>50</x:v>
      </x:c>
      <x:c r="I7" s="21" t="n">
        <x:f>K7+3*L7+M7*5</x:f>
        <x:v>41</x:v>
      </x:c>
      <x:c r="J7" s="21" t="n">
        <x:f>I7-H7</x:f>
        <x:v>-9</x:v>
      </x:c>
      <x:c r="K7" s="21" t="n">
        <x:v>20</x:v>
      </x:c>
      <x:c r="L7" s="21" t="n">
        <x:v>2</x:v>
      </x:c>
      <x:c r="M7" s="21" t="n">
        <x:v>3</x:v>
      </x:c>
      <x:c r="N7" s="14" t="str">
        <x:v>B1 横扫三格</x:v>
      </x:c>
      <x:c r="O7" s="14" t="str">
        <x:v>扫击/3格</x:v>
      </x:c>
      <x:c r="P7" s="14" t="str">
        <x:v>场地</x:v>
      </x:c>
      <x:c r="Q7" s="14" t="str">
        <x:v>healAmpBonus</x:v>
      </x:c>
      <x:c r="R7" s="14" t="str">
        <x:v>水、治疗、后排、增益</x:v>
      </x:c>
      <x:c r="S7" s="19" t="str">
        <x:v>—</x:v>
      </x:c>
      <x:c r="T7" s="14"/>
      <x:c r="U7" s="14" t="str">
        <x:v>pal_006</x:v>
      </x:c>
    </x:row>
    <x:row r="8" ht="20" customHeight="1">
      <x:c r="A8" s="19" t="str">
        <x:v>No.007</x:v>
      </x:c>
      <x:c r="B8" s="14" t="str">
        <x:v>伏特喵</x:v>
      </x:c>
      <x:c r="C8" s="19" t="str">
        <x:v>风</x:v>
      </x:c>
      <x:c r="D8" s="19" t="str">
        <x:v>雷</x:v>
      </x:c>
      <x:c r="E8" s="19" t="str">
        <x:v>青铜</x:v>
      </x:c>
      <x:c r="F8" s="19" t="str">
        <x:v>小型</x:v>
      </x:c>
      <x:c r="G8" s="14" t="str">
        <x:v>防御</x:v>
      </x:c>
      <x:c r="H8" s="21" t="n">
        <x:f>ROUND(50*IF(E8="青铜",1,IF(E8="白银",2,IF(E8="黄金",3.2,IF(E8="钻石",4.8,1))))*IF(F8="小型",1,IF(F8="中型",1.6,IF(F8="大型",2.56,1))),0)</x:f>
        <x:v>50</x:v>
      </x:c>
      <x:c r="I8" s="21" t="n">
        <x:f>K8+3*L8+M8*5</x:f>
        <x:v>47</x:v>
      </x:c>
      <x:c r="J8" s="21" t="n">
        <x:f>I8-H8</x:f>
        <x:v>-3</x:v>
      </x:c>
      <x:c r="K8" s="21" t="n">
        <x:v>26</x:v>
      </x:c>
      <x:c r="L8" s="21" t="n">
        <x:v>2</x:v>
      </x:c>
      <x:c r="M8" s="21" t="n">
        <x:v>3</x:v>
      </x:c>
      <x:c r="N8" s="14" t="str">
        <x:v>B1 横扫三格</x:v>
      </x:c>
      <x:c r="O8" s="14" t="str">
        <x:v>扫击/3格</x:v>
      </x:c>
      <x:c r="P8" s="14" t="str">
        <x:v>阻挡</x:v>
      </x:c>
      <x:c r="Q8" s="14" t="str">
        <x:v>castleReduce</x:v>
      </x:c>
      <x:c r="R8" s="14" t="str">
        <x:v>风、防御、前排、阻挡</x:v>
      </x:c>
      <x:c r="S8" s="19" t="str">
        <x:v>—</x:v>
      </x:c>
      <x:c r="T8" s="14"/>
      <x:c r="U8" s="14" t="str">
        <x:v>pal_007</x:v>
      </x:c>
    </x:row>
    <x:row r="9" ht="20" customHeight="1">
      <x:c r="A9" s="19" t="str">
        <x:v>No.008</x:v>
      </x:c>
      <x:c r="B9" s="14" t="str">
        <x:v>新叶猿</x:v>
      </x:c>
      <x:c r="C9" s="19" t="str">
        <x:v>风</x:v>
      </x:c>
      <x:c r="D9" s="19" t="str">
        <x:v>草</x:v>
      </x:c>
      <x:c r="E9" s="19" t="str">
        <x:v>青铜</x:v>
      </x:c>
      <x:c r="F9" s="19" t="str">
        <x:v>中型</x:v>
      </x:c>
      <x:c r="G9" s="14" t="str">
        <x:v>防御</x:v>
      </x:c>
      <x:c r="H9" s="21" t="n">
        <x:f>ROUND(50*IF(E9="青铜",1,IF(E9="白银",2,IF(E9="黄金",3.2,IF(E9="钻石",4.8,1))))*IF(F9="小型",1,IF(F9="中型",1.6,IF(F9="大型",2.56,1))),0)</x:f>
        <x:v>80</x:v>
      </x:c>
      <x:c r="I9" s="21" t="n">
        <x:f>K9+3*L9+M9*5</x:f>
        <x:v>53</x:v>
      </x:c>
      <x:c r="J9" s="21" t="n">
        <x:f>I9-H9</x:f>
        <x:v>-27</x:v>
      </x:c>
      <x:c r="K9" s="21" t="n">
        <x:v>26</x:v>
      </x:c>
      <x:c r="L9" s="21" t="n">
        <x:v>4</x:v>
      </x:c>
      <x:c r="M9" s="21" t="n">
        <x:v>3</x:v>
      </x:c>
      <x:c r="N9" s="14" t="str">
        <x:v>B1 横扫三格</x:v>
      </x:c>
      <x:c r="O9" s="14" t="str">
        <x:v>扫击/3格</x:v>
      </x:c>
      <x:c r="P9" s="14" t="str">
        <x:v>阻挡</x:v>
      </x:c>
      <x:c r="Q9" s="14" t="str">
        <x:v>castleReduce</x:v>
      </x:c>
      <x:c r="R9" s="14" t="str">
        <x:v>风、防御、前排、阻挡</x:v>
      </x:c>
      <x:c r="S9" s="19" t="str">
        <x:v>—</x:v>
      </x:c>
      <x:c r="T9" s="14"/>
      <x:c r="U9" s="14" t="str">
        <x:v>pal_008</x:v>
      </x:c>
    </x:row>
    <x:row r="10" ht="20" customHeight="1">
      <x:c r="A10" s="19" t="str">
        <x:v>No.009</x:v>
      </x:c>
      <x:c r="B10" s="14" t="str">
        <x:v>燎火鹿</x:v>
      </x:c>
      <x:c r="C10" s="19" t="str">
        <x:v>火</x:v>
      </x:c>
      <x:c r="D10" s="19"/>
      <x:c r="E10" s="19" t="str">
        <x:v>青铜</x:v>
      </x:c>
      <x:c r="F10" s="19" t="str">
        <x:v>中型</x:v>
      </x:c>
      <x:c r="G10" s="14" t="str">
        <x:v>输出</x:v>
      </x:c>
      <x:c r="H10" s="21" t="n">
        <x:f>ROUND(50*IF(E10="青铜",1,IF(E10="白银",2,IF(E10="黄金",3.2,IF(E10="钻石",4.8,1))))*IF(F10="小型",1,IF(F10="中型",1.6,IF(F10="大型",2.56,1))),0)</x:f>
        <x:v>80</x:v>
      </x:c>
      <x:c r="I10" s="21" t="n">
        <x:f>K10+3*L10+M10*5</x:f>
        <x:v>52</x:v>
      </x:c>
      <x:c r="J10" s="21" t="n">
        <x:f>I10-H10</x:f>
        <x:v>-28</x:v>
      </x:c>
      <x:c r="K10" s="21" t="n">
        <x:v>22</x:v>
      </x:c>
      <x:c r="L10" s="21" t="n">
        <x:v>5</x:v>
      </x:c>
      <x:c r="M10" s="21" t="n">
        <x:v>3</x:v>
      </x:c>
      <x:c r="N10" s="14" t="str">
        <x:v>A1 单点刺</x:v>
      </x:c>
      <x:c r="O10" s="14" t="str">
        <x:v>直线/1格</x:v>
      </x:c>
      <x:c r="P10" s="14" t="str">
        <x:v>输出</x:v>
      </x:c>
      <x:c r="Q10" s="14" t="str">
        <x:v>spaceExplosionBonus</x:v>
      </x:c>
      <x:c r="R10" s="14" t="str">
        <x:v>火、输出、爆发、前排</x:v>
      </x:c>
      <x:c r="S10" s="19" t="str">
        <x:v>—</x:v>
      </x:c>
      <x:c r="T10" s="14"/>
      <x:c r="U10" s="14" t="str">
        <x:v>pal_009</x:v>
      </x:c>
    </x:row>
    <x:row r="11" ht="20" customHeight="1">
      <x:c r="A11" s="19" t="str">
        <x:v>No.010</x:v>
      </x:c>
      <x:c r="B11" s="14" t="str">
        <x:v>企丸丸</x:v>
      </x:c>
      <x:c r="C11" s="19" t="str">
        <x:v>水</x:v>
      </x:c>
      <x:c r="D11" s="19" t="str">
        <x:v>水、冰</x:v>
      </x:c>
      <x:c r="E11" s="19" t="str">
        <x:v>青铜</x:v>
      </x:c>
      <x:c r="F11" s="19" t="str">
        <x:v>小型</x:v>
      </x:c>
      <x:c r="G11" s="14" t="str">
        <x:v>治疗</x:v>
      </x:c>
      <x:c r="H11" s="21" t="n">
        <x:f>ROUND(50*IF(E11="青铜",1,IF(E11="白银",2,IF(E11="黄金",3.2,IF(E11="钻石",4.8,1))))*IF(F11="小型",1,IF(F11="中型",1.6,IF(F11="大型",2.56,1))),0)</x:f>
        <x:v>50</x:v>
      </x:c>
      <x:c r="I11" s="21" t="n">
        <x:f>K11+3*L11+M11*5</x:f>
        <x:v>41</x:v>
      </x:c>
      <x:c r="J11" s="21" t="n">
        <x:f>I11-H11</x:f>
        <x:v>-9</x:v>
      </x:c>
      <x:c r="K11" s="21" t="n">
        <x:v>20</x:v>
      </x:c>
      <x:c r="L11" s="21" t="n">
        <x:v>2</x:v>
      </x:c>
      <x:c r="M11" s="21" t="n">
        <x:v>3</x:v>
      </x:c>
      <x:c r="N11" s="14" t="str">
        <x:v>B1 横扫三格</x:v>
      </x:c>
      <x:c r="O11" s="14" t="str">
        <x:v>扫击/3格</x:v>
      </x:c>
      <x:c r="P11" s="14" t="str">
        <x:v>场地</x:v>
      </x:c>
      <x:c r="Q11" s="14" t="str">
        <x:v>healAmpBonus</x:v>
      </x:c>
      <x:c r="R11" s="14" t="str">
        <x:v>水、治疗、后排、增益</x:v>
      </x:c>
      <x:c r="S11" s="19" t="str">
        <x:v>—</x:v>
      </x:c>
      <x:c r="T11" s="14"/>
      <x:c r="U11" s="14" t="str">
        <x:v>pal_010</x:v>
      </x:c>
    </x:row>
    <x:row r="12" ht="20" customHeight="1">
      <x:c r="A12" s="19" t="str">
        <x:v>No.011</x:v>
      </x:c>
      <x:c r="B12" s="14" t="str">
        <x:v>企丸王</x:v>
      </x:c>
      <x:c r="C12" s="19" t="str">
        <x:v>水</x:v>
      </x:c>
      <x:c r="D12" s="19" t="str">
        <x:v>水、冰</x:v>
      </x:c>
      <x:c r="E12" s="19" t="str">
        <x:v>青铜</x:v>
      </x:c>
      <x:c r="F12" s="19" t="str">
        <x:v>大型</x:v>
      </x:c>
      <x:c r="G12" s="14" t="str">
        <x:v>治疗</x:v>
      </x:c>
      <x:c r="H12" s="21" t="n">
        <x:f>ROUND(50*IF(E12="青铜",1,IF(E12="白银",2,IF(E12="黄金",3.2,IF(E12="钻石",4.8,1))))*IF(F12="小型",1,IF(F12="中型",1.6,IF(F12="大型",2.56,1))),0)</x:f>
        <x:v>128</x:v>
      </x:c>
      <x:c r="I12" s="21" t="n">
        <x:f>K12+3*L12+M12*5</x:f>
        <x:v>53</x:v>
      </x:c>
      <x:c r="J12" s="21" t="n">
        <x:f>I12-H12</x:f>
        <x:v>-75</x:v>
      </x:c>
      <x:c r="K12" s="21" t="n">
        <x:v>20</x:v>
      </x:c>
      <x:c r="L12" s="21" t="n">
        <x:v>6</x:v>
      </x:c>
      <x:c r="M12" s="21" t="n">
        <x:v>3</x:v>
      </x:c>
      <x:c r="N12" s="14" t="str">
        <x:v>B1 横扫三格</x:v>
      </x:c>
      <x:c r="O12" s="14" t="str">
        <x:v>扫击/3格</x:v>
      </x:c>
      <x:c r="P12" s="14" t="str">
        <x:v>场地</x:v>
      </x:c>
      <x:c r="Q12" s="14" t="str">
        <x:v>healAmpBonus</x:v>
      </x:c>
      <x:c r="R12" s="14" t="str">
        <x:v>水、治疗、后排、增益</x:v>
      </x:c>
      <x:c r="S12" s="19" t="str">
        <x:v>—</x:v>
      </x:c>
      <x:c r="T12" s="14"/>
      <x:c r="U12" s="14" t="str">
        <x:v>pal_011</x:v>
      </x:c>
    </x:row>
    <x:row r="13" ht="20" customHeight="1">
      <x:c r="A13" s="19" t="str">
        <x:v>No.012</x:v>
      </x:c>
      <x:c r="B13" s="14" t="str">
        <x:v>电棘鼠</x:v>
      </x:c>
      <x:c r="C13" s="19" t="str">
        <x:v>风</x:v>
      </x:c>
      <x:c r="D13" s="19" t="str">
        <x:v>雷</x:v>
      </x:c>
      <x:c r="E13" s="19" t="str">
        <x:v>青铜</x:v>
      </x:c>
      <x:c r="F13" s="19" t="str">
        <x:v>小型</x:v>
      </x:c>
      <x:c r="G13" s="14" t="str">
        <x:v>牵制</x:v>
      </x:c>
      <x:c r="H13" s="21" t="n">
        <x:f>ROUND(50*IF(E13="青铜",1,IF(E13="白银",2,IF(E13="黄金",3.2,IF(E13="钻石",4.8,1))))*IF(F13="小型",1,IF(F13="中型",1.6,IF(F13="大型",2.56,1))),0)</x:f>
        <x:v>50</x:v>
      </x:c>
      <x:c r="I13" s="21" t="n">
        <x:f>K13+3*L13+M13*5</x:f>
        <x:v>44</x:v>
      </x:c>
      <x:c r="J13" s="21" t="n">
        <x:f>I13-H13</x:f>
        <x:v>-6</x:v>
      </x:c>
      <x:c r="K13" s="21" t="n">
        <x:v>20</x:v>
      </x:c>
      <x:c r="L13" s="21" t="n">
        <x:v>3</x:v>
      </x:c>
      <x:c r="M13" s="21" t="n">
        <x:v>3</x:v>
      </x:c>
      <x:c r="N13" s="14" t="str">
        <x:v>T2 长柄T</x:v>
      </x:c>
      <x:c r="O13" s="14" t="str">
        <x:v>T形/5格</x:v>
      </x:c>
      <x:c r="P13" s="14" t="str">
        <x:v>牵制</x:v>
      </x:c>
      <x:c r="Q13" s="14" t="str">
        <x:v>advHitBonus</x:v>
      </x:c>
      <x:c r="R13" s="14" t="str">
        <x:v>风、牵制、范围、机动</x:v>
      </x:c>
      <x:c r="S13" s="19" t="str">
        <x:v>—</x:v>
      </x:c>
      <x:c r="T13" s="14"/>
      <x:c r="U13" s="14" t="str">
        <x:v>pal_012</x:v>
      </x:c>
    </x:row>
    <x:row r="14" ht="20" customHeight="1">
      <x:c r="A14" s="19" t="str">
        <x:v>No.013</x:v>
      </x:c>
      <x:c r="B14" s="14" t="str">
        <x:v>叶泥泥</x:v>
      </x:c>
      <x:c r="C14" s="19" t="str">
        <x:v>土</x:v>
      </x:c>
      <x:c r="D14" s="19" t="str">
        <x:v>草、地</x:v>
      </x:c>
      <x:c r="E14" s="19" t="str">
        <x:v>青铜</x:v>
      </x:c>
      <x:c r="F14" s="19" t="str">
        <x:v>小型</x:v>
      </x:c>
      <x:c r="G14" s="14" t="str">
        <x:v>防御</x:v>
      </x:c>
      <x:c r="H14" s="21" t="n">
        <x:f>ROUND(50*IF(E14="青铜",1,IF(E14="白银",2,IF(E14="黄金",3.2,IF(E14="钻石",4.8,1))))*IF(F14="小型",1,IF(F14="中型",1.6,IF(F14="大型",2.56,1))),0)</x:f>
        <x:v>50</x:v>
      </x:c>
      <x:c r="I14" s="21" t="n">
        <x:f>K14+3*L14+M14*5</x:f>
        <x:v>47</x:v>
      </x:c>
      <x:c r="J14" s="21" t="n">
        <x:f>I14-H14</x:f>
        <x:v>-3</x:v>
      </x:c>
      <x:c r="K14" s="21" t="n">
        <x:v>26</x:v>
      </x:c>
      <x:c r="L14" s="21" t="n">
        <x:v>2</x:v>
      </x:c>
      <x:c r="M14" s="21" t="n">
        <x:v>3</x:v>
      </x:c>
      <x:c r="N14" s="14" t="str">
        <x:v>B1 横扫三格</x:v>
      </x:c>
      <x:c r="O14" s="14" t="str">
        <x:v>扫击/3格</x:v>
      </x:c>
      <x:c r="P14" s="14" t="str">
        <x:v>阻挡</x:v>
      </x:c>
      <x:c r="Q14" s="14" t="str">
        <x:v>castleReduce</x:v>
      </x:c>
      <x:c r="R14" s="14" t="str">
        <x:v>土、防御、前排、阻挡</x:v>
      </x:c>
      <x:c r="S14" s="19" t="str">
        <x:v>—</x:v>
      </x:c>
      <x:c r="T14" s="14"/>
      <x:c r="U14" s="14" t="str">
        <x:v>pal_013</x:v>
      </x:c>
    </x:row>
    <x:row r="15" ht="20" customHeight="1">
      <x:c r="A15" s="19" t="str">
        <x:v>No.014</x:v>
      </x:c>
      <x:c r="B15" s="14" t="str">
        <x:v>玉藻狐</x:v>
      </x:c>
      <x:c r="C15" s="19" t="str">
        <x:v>风</x:v>
      </x:c>
      <x:c r="D15" s="19"/>
      <x:c r="E15" s="19" t="str">
        <x:v>青铜</x:v>
      </x:c>
      <x:c r="F15" s="19" t="str">
        <x:v>小型</x:v>
      </x:c>
      <x:c r="G15" s="14" t="str">
        <x:v>经济</x:v>
      </x:c>
      <x:c r="H15" s="21" t="n">
        <x:f>ROUND(50*IF(E15="青铜",1,IF(E15="白银",2,IF(E15="黄金",3.2,IF(E15="钻石",4.8,1))))*IF(F15="小型",1,IF(F15="中型",1.6,IF(F15="大型",2.56,1))),0)</x:f>
        <x:v>50</x:v>
      </x:c>
      <x:c r="I15" s="21" t="n">
        <x:f>K15+3*L15+M15*5</x:f>
        <x:v>38</x:v>
      </x:c>
      <x:c r="J15" s="21" t="n">
        <x:f>I15-H15</x:f>
        <x:v>-12</x:v>
      </x:c>
      <x:c r="K15" s="21" t="n">
        <x:v>20</x:v>
      </x:c>
      <x:c r="L15" s="21" t="n">
        <x:v>1</x:v>
      </x:c>
      <x:c r="M15" s="21" t="n">
        <x:v>3</x:v>
      </x:c>
      <x:c r="N15" s="14" t="str">
        <x:v>A1 单点刺</x:v>
      </x:c>
      <x:c r="O15" s="14" t="str">
        <x:v>直线/1格</x:v>
      </x:c>
      <x:c r="P15" s="14" t="str">
        <x:v>召唤</x:v>
      </x:c>
      <x:c r="Q15" s="14" t="str">
        <x:v>buffAllSummons</x:v>
      </x:c>
      <x:c r="R15" s="14" t="str">
        <x:v>风、经济、召唤、发育</x:v>
      </x:c>
      <x:c r="S15" s="19" t="str">
        <x:v>是</x:v>
      </x:c>
      <x:c r="T15" s="14"/>
      <x:c r="U15" s="14" t="str">
        <x:v>pal_014</x:v>
      </x:c>
    </x:row>
    <x:row r="16" ht="20" customHeight="1">
      <x:c r="A16" s="19" t="str">
        <x:v>No.015</x:v>
      </x:c>
      <x:c r="B16" s="14" t="str">
        <x:v>啼卡尔</x:v>
      </x:c>
      <x:c r="C16" s="19" t="str">
        <x:v>土</x:v>
      </x:c>
      <x:c r="D16" s="19" t="str">
        <x:v>暗</x:v>
      </x:c>
      <x:c r="E16" s="19" t="str">
        <x:v>青铜</x:v>
      </x:c>
      <x:c r="F16" s="19" t="str">
        <x:v>小型</x:v>
      </x:c>
      <x:c r="G16" s="14" t="str">
        <x:v>防御</x:v>
      </x:c>
      <x:c r="H16" s="21" t="n">
        <x:f>ROUND(50*IF(E16="青铜",1,IF(E16="白银",2,IF(E16="黄金",3.2,IF(E16="钻石",4.8,1))))*IF(F16="小型",1,IF(F16="中型",1.6,IF(F16="大型",2.56,1))),0)</x:f>
        <x:v>50</x:v>
      </x:c>
      <x:c r="I16" s="21" t="n">
        <x:f>K16+3*L16+M16*5</x:f>
        <x:v>47</x:v>
      </x:c>
      <x:c r="J16" s="21" t="n">
        <x:f>I16-H16</x:f>
        <x:v>-3</x:v>
      </x:c>
      <x:c r="K16" s="21" t="n">
        <x:v>26</x:v>
      </x:c>
      <x:c r="L16" s="21" t="n">
        <x:v>2</x:v>
      </x:c>
      <x:c r="M16" s="21" t="n">
        <x:v>3</x:v>
      </x:c>
      <x:c r="N16" s="14" t="str">
        <x:v>B1 横扫三格</x:v>
      </x:c>
      <x:c r="O16" s="14" t="str">
        <x:v>扫击/3格</x:v>
      </x:c>
      <x:c r="P16" s="14" t="str">
        <x:v>阻挡</x:v>
      </x:c>
      <x:c r="Q16" s="14" t="str">
        <x:v>castleReduce</x:v>
      </x:c>
      <x:c r="R16" s="14" t="str">
        <x:v>土、防御、前排、阻挡</x:v>
      </x:c>
      <x:c r="S16" s="19" t="str">
        <x:v>—</x:v>
      </x:c>
      <x:c r="T16" s="14"/>
      <x:c r="U16" s="14" t="str">
        <x:v>pal_015</x:v>
      </x:c>
    </x:row>
    <x:row r="17" ht="20" customHeight="1">
      <x:c r="A17" s="19" t="str">
        <x:v>No.016</x:v>
      </x:c>
      <x:c r="B17" s="14" t="str">
        <x:v>壶小象</x:v>
      </x:c>
      <x:c r="C17" s="19" t="str">
        <x:v>水</x:v>
      </x:c>
      <x:c r="D17" s="19"/>
      <x:c r="E17" s="19" t="str">
        <x:v>青铜</x:v>
      </x:c>
      <x:c r="F17" s="19" t="str">
        <x:v>大型</x:v>
      </x:c>
      <x:c r="G17" s="14" t="str">
        <x:v>治疗</x:v>
      </x:c>
      <x:c r="H17" s="21" t="n">
        <x:f>ROUND(50*IF(E17="青铜",1,IF(E17="白银",2,IF(E17="黄金",3.2,IF(E17="钻石",4.8,1))))*IF(F17="小型",1,IF(F17="中型",1.6,IF(F17="大型",2.56,1))),0)</x:f>
        <x:v>128</x:v>
      </x:c>
      <x:c r="I17" s="21" t="n">
        <x:f>K17+3*L17+M17*5</x:f>
        <x:v>53</x:v>
      </x:c>
      <x:c r="J17" s="21" t="n">
        <x:f>I17-H17</x:f>
        <x:v>-75</x:v>
      </x:c>
      <x:c r="K17" s="21" t="n">
        <x:v>20</x:v>
      </x:c>
      <x:c r="L17" s="21" t="n">
        <x:v>6</x:v>
      </x:c>
      <x:c r="M17" s="21" t="n">
        <x:v>3</x:v>
      </x:c>
      <x:c r="N17" s="14" t="str">
        <x:v>B1 横扫三格</x:v>
      </x:c>
      <x:c r="O17" s="14" t="str">
        <x:v>扫击/3格</x:v>
      </x:c>
      <x:c r="P17" s="14" t="str">
        <x:v>场地</x:v>
      </x:c>
      <x:c r="Q17" s="14" t="str">
        <x:v>healAmpBonus</x:v>
      </x:c>
      <x:c r="R17" s="14" t="str">
        <x:v>水、治疗、后排、增益</x:v>
      </x:c>
      <x:c r="S17" s="19" t="str">
        <x:v>—</x:v>
      </x:c>
      <x:c r="T17" s="14"/>
      <x:c r="U17" s="14" t="str">
        <x:v>pal_016</x:v>
      </x:c>
    </x:row>
    <x:row r="18" ht="20" customHeight="1">
      <x:c r="A18" s="19" t="str">
        <x:v>No.017</x:v>
      </x:c>
      <x:c r="B18" s="14" t="str">
        <x:v>瞅什魔</x:v>
      </x:c>
      <x:c r="C18" s="19" t="str">
        <x:v>土</x:v>
      </x:c>
      <x:c r="D18" s="19" t="str">
        <x:v>暗</x:v>
      </x:c>
      <x:c r="E18" s="19" t="str">
        <x:v>青铜</x:v>
      </x:c>
      <x:c r="F18" s="19" t="str">
        <x:v>大型</x:v>
      </x:c>
      <x:c r="G18" s="14" t="str">
        <x:v>防御</x:v>
      </x:c>
      <x:c r="H18" s="21" t="n">
        <x:f>ROUND(50*IF(E18="青铜",1,IF(E18="白银",2,IF(E18="黄金",3.2,IF(E18="钻石",4.8,1))))*IF(F18="小型",1,IF(F18="中型",1.6,IF(F18="大型",2.56,1))),0)</x:f>
        <x:v>128</x:v>
      </x:c>
      <x:c r="I18" s="21" t="n">
        <x:f>K18+3*L18+M18*5</x:f>
        <x:v>59</x:v>
      </x:c>
      <x:c r="J18" s="21" t="n">
        <x:f>I18-H18</x:f>
        <x:v>-69</x:v>
      </x:c>
      <x:c r="K18" s="21" t="n">
        <x:v>26</x:v>
      </x:c>
      <x:c r="L18" s="21" t="n">
        <x:v>6</x:v>
      </x:c>
      <x:c r="M18" s="21" t="n">
        <x:v>3</x:v>
      </x:c>
      <x:c r="N18" s="14" t="str">
        <x:v>B1 横扫三格</x:v>
      </x:c>
      <x:c r="O18" s="14" t="str">
        <x:v>扫击/3格</x:v>
      </x:c>
      <x:c r="P18" s="14" t="str">
        <x:v>阻挡</x:v>
      </x:c>
      <x:c r="Q18" s="14" t="str">
        <x:v>castleReduce</x:v>
      </x:c>
      <x:c r="R18" s="14" t="str">
        <x:v>土、防御、前排、阻挡</x:v>
      </x:c>
      <x:c r="S18" s="19" t="str">
        <x:v>—</x:v>
      </x:c>
      <x:c r="T18" s="14"/>
      <x:c r="U18" s="14" t="str">
        <x:v>pal_017</x:v>
      </x:c>
    </x:row>
    <x:row r="19" ht="20" customHeight="1">
      <x:c r="A19" s="19" t="str">
        <x:v>No.018</x:v>
      </x:c>
      <x:c r="B19" s="14" t="str">
        <x:v>米露菲</x:v>
      </x:c>
      <x:c r="C19" s="19" t="str">
        <x:v>风</x:v>
      </x:c>
      <x:c r="D19" s="19"/>
      <x:c r="E19" s="19" t="str">
        <x:v>青铜</x:v>
      </x:c>
      <x:c r="F19" s="19" t="str">
        <x:v>小型</x:v>
      </x:c>
      <x:c r="G19" s="14" t="str">
        <x:v>经济</x:v>
      </x:c>
      <x:c r="H19" s="21" t="n">
        <x:f>ROUND(50*IF(E19="青铜",1,IF(E19="白银",2,IF(E19="黄金",3.2,IF(E19="钻石",4.8,1))))*IF(F19="小型",1,IF(F19="中型",1.6,IF(F19="大型",2.56,1))),0)</x:f>
        <x:v>50</x:v>
      </x:c>
      <x:c r="I19" s="21" t="n">
        <x:f>K19+3*L19+M19*5</x:f>
        <x:v>38</x:v>
      </x:c>
      <x:c r="J19" s="21" t="n">
        <x:f>I19-H19</x:f>
        <x:v>-12</x:v>
      </x:c>
      <x:c r="K19" s="21" t="n">
        <x:v>20</x:v>
      </x:c>
      <x:c r="L19" s="21" t="n">
        <x:v>1</x:v>
      </x:c>
      <x:c r="M19" s="21" t="n">
        <x:v>3</x:v>
      </x:c>
      <x:c r="N19" s="14" t="str">
        <x:v>A1 单点刺</x:v>
      </x:c>
      <x:c r="O19" s="14" t="str">
        <x:v>直线/1格</x:v>
      </x:c>
      <x:c r="P19" s="14" t="str">
        <x:v>召唤</x:v>
      </x:c>
      <x:c r="Q19" s="14" t="str">
        <x:v>buffAllSummons</x:v>
      </x:c>
      <x:c r="R19" s="14" t="str">
        <x:v>风、经济、召唤、发育</x:v>
      </x:c>
      <x:c r="S19" s="19" t="str">
        <x:v>是</x:v>
      </x:c>
      <x:c r="T19" s="14"/>
      <x:c r="U19" s="14" t="str">
        <x:v>pal_018</x:v>
      </x:c>
    </x:row>
    <x:row r="20" ht="20" customHeight="1">
      <x:c r="A20" s="19" t="str">
        <x:v>No.019</x:v>
      </x:c>
      <x:c r="B20" s="14" t="str">
        <x:v>寐魔</x:v>
      </x:c>
      <x:c r="C20" s="19" t="str">
        <x:v>土</x:v>
      </x:c>
      <x:c r="D20" s="19" t="str">
        <x:v>暗</x:v>
      </x:c>
      <x:c r="E20" s="19" t="str">
        <x:v>青铜</x:v>
      </x:c>
      <x:c r="F20" s="19" t="str">
        <x:v>大型</x:v>
      </x:c>
      <x:c r="G20" s="14" t="str">
        <x:v>防御</x:v>
      </x:c>
      <x:c r="H20" s="21" t="n">
        <x:f>ROUND(50*IF(E20="青铜",1,IF(E20="白银",2,IF(E20="黄金",3.2,IF(E20="钻石",4.8,1))))*IF(F20="小型",1,IF(F20="中型",1.6,IF(F20="大型",2.56,1))),0)</x:f>
        <x:v>128</x:v>
      </x:c>
      <x:c r="I20" s="21" t="n">
        <x:f>K20+3*L20+M20*5</x:f>
        <x:v>59</x:v>
      </x:c>
      <x:c r="J20" s="21" t="n">
        <x:f>I20-H20</x:f>
        <x:v>-69</x:v>
      </x:c>
      <x:c r="K20" s="21" t="n">
        <x:v>26</x:v>
      </x:c>
      <x:c r="L20" s="21" t="n">
        <x:v>6</x:v>
      </x:c>
      <x:c r="M20" s="21" t="n">
        <x:v>3</x:v>
      </x:c>
      <x:c r="N20" s="14" t="str">
        <x:v>B1 横扫三格</x:v>
      </x:c>
      <x:c r="O20" s="14" t="str">
        <x:v>扫击/3格</x:v>
      </x:c>
      <x:c r="P20" s="14" t="str">
        <x:v>阻挡</x:v>
      </x:c>
      <x:c r="Q20" s="14" t="str">
        <x:v>castleReduce</x:v>
      </x:c>
      <x:c r="R20" s="14" t="str">
        <x:v>土、防御、前排、阻挡</x:v>
      </x:c>
      <x:c r="S20" s="19" t="str">
        <x:v>—</x:v>
      </x:c>
      <x:c r="T20" s="14"/>
      <x:c r="U20" s="14" t="str">
        <x:v>pal_019</x:v>
      </x:c>
    </x:row>
    <x:row r="21" ht="20" customHeight="1">
      <x:c r="A21" s="19" t="str">
        <x:v>No.020</x:v>
      </x:c>
      <x:c r="B21" s="14" t="str">
        <x:v>草莽猪</x:v>
      </x:c>
      <x:c r="C21" s="19" t="str">
        <x:v>土</x:v>
      </x:c>
      <x:c r="D21" s="19" t="str">
        <x:v>地</x:v>
      </x:c>
      <x:c r="E21" s="19" t="str">
        <x:v>青铜</x:v>
      </x:c>
      <x:c r="F21" s="19" t="str">
        <x:v>小型</x:v>
      </x:c>
      <x:c r="G21" s="14" t="str">
        <x:v>防御</x:v>
      </x:c>
      <x:c r="H21" s="21" t="n">
        <x:f>ROUND(50*IF(E21="青铜",1,IF(E21="白银",2,IF(E21="黄金",3.2,IF(E21="钻石",4.8,1))))*IF(F21="小型",1,IF(F21="中型",1.6,IF(F21="大型",2.56,1))),0)</x:f>
        <x:v>50</x:v>
      </x:c>
      <x:c r="I21" s="21" t="n">
        <x:f>K21+3*L21+M21*5</x:f>
        <x:v>47</x:v>
      </x:c>
      <x:c r="J21" s="21" t="n">
        <x:f>I21-H21</x:f>
        <x:v>-3</x:v>
      </x:c>
      <x:c r="K21" s="21" t="n">
        <x:v>26</x:v>
      </x:c>
      <x:c r="L21" s="21" t="n">
        <x:v>2</x:v>
      </x:c>
      <x:c r="M21" s="21" t="n">
        <x:v>3</x:v>
      </x:c>
      <x:c r="N21" s="14" t="str">
        <x:v>B1 横扫三格</x:v>
      </x:c>
      <x:c r="O21" s="14" t="str">
        <x:v>扫击/3格</x:v>
      </x:c>
      <x:c r="P21" s="14" t="str">
        <x:v>阻挡</x:v>
      </x:c>
      <x:c r="Q21" s="14" t="str">
        <x:v>castleReduce</x:v>
      </x:c>
      <x:c r="R21" s="14" t="str">
        <x:v>土、防御、前排、阻挡</x:v>
      </x:c>
      <x:c r="S21" s="19" t="str">
        <x:v>—</x:v>
      </x:c>
      <x:c r="T21" s="14"/>
      <x:c r="U21" s="14" t="str">
        <x:v>pal_020</x:v>
      </x:c>
    </x:row>
    <x:row r="22" ht="20" customHeight="1">
      <x:c r="A22" s="19" t="str">
        <x:v>No.021</x:v>
      </x:c>
      <x:c r="B22" s="14" t="str">
        <x:v>露娜蒂</x:v>
      </x:c>
      <x:c r="C22" s="19" t="str">
        <x:v>土</x:v>
      </x:c>
      <x:c r="D22" s="19" t="str">
        <x:v>暗</x:v>
      </x:c>
      <x:c r="E22" s="19" t="str">
        <x:v>青铜</x:v>
      </x:c>
      <x:c r="F22" s="19" t="str">
        <x:v>小型</x:v>
      </x:c>
      <x:c r="G22" s="14" t="str">
        <x:v>防御</x:v>
      </x:c>
      <x:c r="H22" s="21" t="n">
        <x:f>ROUND(50*IF(E22="青铜",1,IF(E22="白银",2,IF(E22="黄金",3.2,IF(E22="钻石",4.8,1))))*IF(F22="小型",1,IF(F22="中型",1.6,IF(F22="大型",2.56,1))),0)</x:f>
        <x:v>50</x:v>
      </x:c>
      <x:c r="I22" s="21" t="n">
        <x:f>K22+3*L22+M22*5</x:f>
        <x:v>47</x:v>
      </x:c>
      <x:c r="J22" s="21" t="n">
        <x:f>I22-H22</x:f>
        <x:v>-3</x:v>
      </x:c>
      <x:c r="K22" s="21" t="n">
        <x:v>26</x:v>
      </x:c>
      <x:c r="L22" s="21" t="n">
        <x:v>2</x:v>
      </x:c>
      <x:c r="M22" s="21" t="n">
        <x:v>3</x:v>
      </x:c>
      <x:c r="N22" s="14" t="str">
        <x:v>B1 横扫三格</x:v>
      </x:c>
      <x:c r="O22" s="14" t="str">
        <x:v>扫击/3格</x:v>
      </x:c>
      <x:c r="P22" s="14" t="str">
        <x:v>阻挡</x:v>
      </x:c>
      <x:c r="Q22" s="14" t="str">
        <x:v>castleReduce</x:v>
      </x:c>
      <x:c r="R22" s="14" t="str">
        <x:v>土、防御、前排、阻挡</x:v>
      </x:c>
      <x:c r="S22" s="19" t="str">
        <x:v>—</x:v>
      </x:c>
      <x:c r="T22" s="14"/>
      <x:c r="U22" s="14" t="str">
        <x:v>pal_021</x:v>
      </x:c>
    </x:row>
    <x:row r="23" ht="20" customHeight="1">
      <x:c r="A23" s="19" t="str">
        <x:v>No.022</x:v>
      </x:c>
      <x:c r="B23" s="14" t="str">
        <x:v>遁地鼠</x:v>
      </x:c>
      <x:c r="C23" s="19" t="str">
        <x:v>土</x:v>
      </x:c>
      <x:c r="D23" s="19" t="str">
        <x:v>地</x:v>
      </x:c>
      <x:c r="E23" s="19" t="str">
        <x:v>青铜</x:v>
      </x:c>
      <x:c r="F23" s="19" t="str">
        <x:v>中型</x:v>
      </x:c>
      <x:c r="G23" s="14" t="str">
        <x:v>防御</x:v>
      </x:c>
      <x:c r="H23" s="21" t="n">
        <x:f>ROUND(50*IF(E23="青铜",1,IF(E23="白银",2,IF(E23="黄金",3.2,IF(E23="钻石",4.8,1))))*IF(F23="小型",1,IF(F23="中型",1.6,IF(F23="大型",2.56,1))),0)</x:f>
        <x:v>80</x:v>
      </x:c>
      <x:c r="I23" s="21" t="n">
        <x:f>K23+3*L23+M23*5</x:f>
        <x:v>53</x:v>
      </x:c>
      <x:c r="J23" s="21" t="n">
        <x:f>I23-H23</x:f>
        <x:v>-27</x:v>
      </x:c>
      <x:c r="K23" s="21" t="n">
        <x:v>26</x:v>
      </x:c>
      <x:c r="L23" s="21" t="n">
        <x:v>4</x:v>
      </x:c>
      <x:c r="M23" s="21" t="n">
        <x:v>3</x:v>
      </x:c>
      <x:c r="N23" s="14" t="str">
        <x:v>B1 横扫三格</x:v>
      </x:c>
      <x:c r="O23" s="14" t="str">
        <x:v>扫击/3格</x:v>
      </x:c>
      <x:c r="P23" s="14" t="str">
        <x:v>阻挡</x:v>
      </x:c>
      <x:c r="Q23" s="14" t="str">
        <x:v>castleReduce</x:v>
      </x:c>
      <x:c r="R23" s="14" t="str">
        <x:v>土、防御、前排、阻挡</x:v>
      </x:c>
      <x:c r="S23" s="19" t="str">
        <x:v>—</x:v>
      </x:c>
      <x:c r="T23" s="14"/>
      <x:c r="U23" s="14" t="str">
        <x:v>pal_022</x:v>
      </x:c>
    </x:row>
    <x:row r="24" ht="20" customHeight="1">
      <x:c r="A24" s="19" t="str">
        <x:v>No.023</x:v>
      </x:c>
      <x:c r="B24" s="14" t="str">
        <x:v>勾魂鱿</x:v>
      </x:c>
      <x:c r="C24" s="19" t="str">
        <x:v>土</x:v>
      </x:c>
      <x:c r="D24" s="19" t="str">
        <x:v>暗</x:v>
      </x:c>
      <x:c r="E24" s="19" t="str">
        <x:v>青铜</x:v>
      </x:c>
      <x:c r="F24" s="19" t="str">
        <x:v>中型</x:v>
      </x:c>
      <x:c r="G24" s="14" t="str">
        <x:v>防御</x:v>
      </x:c>
      <x:c r="H24" s="21" t="n">
        <x:f>ROUND(50*IF(E24="青铜",1,IF(E24="白银",2,IF(E24="黄金",3.2,IF(E24="钻石",4.8,1))))*IF(F24="小型",1,IF(F24="中型",1.6,IF(F24="大型",2.56,1))),0)</x:f>
        <x:v>80</x:v>
      </x:c>
      <x:c r="I24" s="21" t="n">
        <x:f>K24+3*L24+M24*5</x:f>
        <x:v>53</x:v>
      </x:c>
      <x:c r="J24" s="21" t="n">
        <x:f>I24-H24</x:f>
        <x:v>-27</x:v>
      </x:c>
      <x:c r="K24" s="21" t="n">
        <x:v>26</x:v>
      </x:c>
      <x:c r="L24" s="21" t="n">
        <x:v>4</x:v>
      </x:c>
      <x:c r="M24" s="21" t="n">
        <x:v>3</x:v>
      </x:c>
      <x:c r="N24" s="14" t="str">
        <x:v>B1 横扫三格</x:v>
      </x:c>
      <x:c r="O24" s="14" t="str">
        <x:v>扫击/3格</x:v>
      </x:c>
      <x:c r="P24" s="14" t="str">
        <x:v>阻挡</x:v>
      </x:c>
      <x:c r="Q24" s="14" t="str">
        <x:v>castleReduce</x:v>
      </x:c>
      <x:c r="R24" s="14" t="str">
        <x:v>土、防御、前排、阻挡</x:v>
      </x:c>
      <x:c r="S24" s="19" t="str">
        <x:v>—</x:v>
      </x:c>
      <x:c r="T24" s="14"/>
      <x:c r="U24" s="14" t="str">
        <x:v>pal_023</x:v>
      </x:c>
    </x:row>
    <x:row r="25" ht="20" customHeight="1">
      <x:c r="A25" s="19" t="str">
        <x:v>No.024</x:v>
      </x:c>
      <x:c r="B25" s="14" t="str">
        <x:v>喵丝特</x:v>
      </x:c>
      <x:c r="C25" s="19" t="str">
        <x:v>土</x:v>
      </x:c>
      <x:c r="D25" s="19" t="str">
        <x:v>暗</x:v>
      </x:c>
      <x:c r="E25" s="19" t="str">
        <x:v>青铜</x:v>
      </x:c>
      <x:c r="F25" s="19" t="str">
        <x:v>小型</x:v>
      </x:c>
      <x:c r="G25" s="14" t="str">
        <x:v>经济</x:v>
      </x:c>
      <x:c r="H25" s="21" t="n">
        <x:f>ROUND(50*IF(E25="青铜",1,IF(E25="白银",2,IF(E25="黄金",3.2,IF(E25="钻石",4.8,1))))*IF(F25="小型",1,IF(F25="中型",1.6,IF(F25="大型",2.56,1))),0)</x:f>
        <x:v>50</x:v>
      </x:c>
      <x:c r="I25" s="21" t="n">
        <x:f>K25+3*L25+M25*5</x:f>
        <x:v>38</x:v>
      </x:c>
      <x:c r="J25" s="21" t="n">
        <x:f>I25-H25</x:f>
        <x:v>-12</x:v>
      </x:c>
      <x:c r="K25" s="21" t="n">
        <x:v>20</x:v>
      </x:c>
      <x:c r="L25" s="21" t="n">
        <x:v>1</x:v>
      </x:c>
      <x:c r="M25" s="21" t="n">
        <x:v>3</x:v>
      </x:c>
      <x:c r="N25" s="14" t="str">
        <x:v>A1 单点刺</x:v>
      </x:c>
      <x:c r="O25" s="14" t="str">
        <x:v>直线/1格</x:v>
      </x:c>
      <x:c r="P25" s="14" t="str">
        <x:v>召唤</x:v>
      </x:c>
      <x:c r="Q25" s="14" t="str">
        <x:v>buffAllSummons</x:v>
      </x:c>
      <x:c r="R25" s="14" t="str">
        <x:v>土、经济、召唤、发育</x:v>
      </x:c>
      <x:c r="S25" s="19" t="str">
        <x:v>是</x:v>
      </x:c>
      <x:c r="T25" s="14"/>
      <x:c r="U25" s="14" t="str">
        <x:v>pal_024</x:v>
      </x:c>
    </x:row>
    <x:row r="26" ht="20" customHeight="1">
      <x:c r="A26" s="19" t="str">
        <x:v>No.025</x:v>
      </x:c>
      <x:c r="B26" s="14" t="str">
        <x:v>鲁米儿</x:v>
      </x:c>
      <x:c r="C26" s="19" t="str">
        <x:v>水</x:v>
      </x:c>
      <x:c r="D26" s="19"/>
      <x:c r="E26" s="19" t="str">
        <x:v>青铜</x:v>
      </x:c>
      <x:c r="F26" s="19" t="str">
        <x:v>小型</x:v>
      </x:c>
      <x:c r="G26" s="14" t="str">
        <x:v>治疗</x:v>
      </x:c>
      <x:c r="H26" s="21" t="n">
        <x:f>ROUND(50*IF(E26="青铜",1,IF(E26="白银",2,IF(E26="黄金",3.2,IF(E26="钻石",4.8,1))))*IF(F26="小型",1,IF(F26="中型",1.6,IF(F26="大型",2.56,1))),0)</x:f>
        <x:v>50</x:v>
      </x:c>
      <x:c r="I26" s="21" t="n">
        <x:f>K26+3*L26+M26*5</x:f>
        <x:v>41</x:v>
      </x:c>
      <x:c r="J26" s="21" t="n">
        <x:f>I26-H26</x:f>
        <x:v>-9</x:v>
      </x:c>
      <x:c r="K26" s="21" t="n">
        <x:v>20</x:v>
      </x:c>
      <x:c r="L26" s="21" t="n">
        <x:v>2</x:v>
      </x:c>
      <x:c r="M26" s="21" t="n">
        <x:v>3</x:v>
      </x:c>
      <x:c r="N26" s="14" t="str">
        <x:v>B1 横扫三格</x:v>
      </x:c>
      <x:c r="O26" s="14" t="str">
        <x:v>扫击/3格</x:v>
      </x:c>
      <x:c r="P26" s="14" t="str">
        <x:v>场地</x:v>
      </x:c>
      <x:c r="Q26" s="14" t="str">
        <x:v>healAmpBonus</x:v>
      </x:c>
      <x:c r="R26" s="14" t="str">
        <x:v>水、治疗、后排、增益</x:v>
      </x:c>
      <x:c r="S26" s="19" t="str">
        <x:v>—</x:v>
      </x:c>
      <x:c r="T26" s="14"/>
      <x:c r="U26" s="14" t="str">
        <x:v>pal_025</x:v>
      </x:c>
    </x:row>
    <x:row r="27" ht="20" customHeight="1">
      <x:c r="A27" s="19" t="str">
        <x:v>No.026</x:v>
      </x:c>
      <x:c r="B27" s="14" t="str">
        <x:v>猎狼</x:v>
      </x:c>
      <x:c r="C27" s="19" t="str">
        <x:v>风</x:v>
      </x:c>
      <x:c r="D27" s="19"/>
      <x:c r="E27" s="19" t="str">
        <x:v>青铜</x:v>
      </x:c>
      <x:c r="F27" s="19" t="str">
        <x:v>中型</x:v>
      </x:c>
      <x:c r="G27" s="14" t="str">
        <x:v>机动</x:v>
      </x:c>
      <x:c r="H27" s="21" t="n">
        <x:f>ROUND(50*IF(E27="青铜",1,IF(E27="白银",2,IF(E27="黄金",3.2,IF(E27="钻石",4.8,1))))*IF(F27="小型",1,IF(F27="中型",1.6,IF(F27="大型",2.56,1))),0)</x:f>
        <x:v>80</x:v>
      </x:c>
      <x:c r="I27" s="21" t="n">
        <x:f>K27+3*L27+M27*5</x:f>
        <x:v>50</x:v>
      </x:c>
      <x:c r="J27" s="21" t="n">
        <x:f>I27-H27</x:f>
        <x:v>-30</x:v>
      </x:c>
      <x:c r="K27" s="21" t="n">
        <x:v>20</x:v>
      </x:c>
      <x:c r="L27" s="21" t="n">
        <x:v>5</x:v>
      </x:c>
      <x:c r="M27" s="21" t="n">
        <x:v>3</x:v>
      </x:c>
      <x:c r="N27" s="14" t="str">
        <x:v>A1 单点刺</x:v>
      </x:c>
      <x:c r="O27" s="14" t="str">
        <x:v>直线/1格</x:v>
      </x:c>
      <x:c r="P27" s="14" t="str">
        <x:v>召唤</x:v>
      </x:c>
      <x:c r="Q27" s="14" t="str">
        <x:v>buffAllSummons</x:v>
      </x:c>
      <x:c r="R27" s="14" t="str">
        <x:v>风、机动、灵活、泛用</x:v>
      </x:c>
      <x:c r="S27" s="19" t="str">
        <x:v>是</x:v>
      </x:c>
      <x:c r="T27" s="14"/>
      <x:c r="U27" s="14" t="str">
        <x:v>pal_026</x:v>
      </x:c>
    </x:row>
    <x:row r="28" ht="20" customHeight="1">
      <x:c r="A28" s="19" t="str">
        <x:v>No.027</x:v>
      </x:c>
      <x:c r="B28" s="14" t="str">
        <x:v>炸蛋鸟</x:v>
      </x:c>
      <x:c r="C28" s="19" t="str">
        <x:v>风</x:v>
      </x:c>
      <x:c r="D28" s="19"/>
      <x:c r="E28" s="19" t="str">
        <x:v>青铜</x:v>
      </x:c>
      <x:c r="F28" s="19" t="str">
        <x:v>中型</x:v>
      </x:c>
      <x:c r="G28" s="14" t="str">
        <x:v>机动</x:v>
      </x:c>
      <x:c r="H28" s="21" t="n">
        <x:f>ROUND(50*IF(E28="青铜",1,IF(E28="白银",2,IF(E28="黄金",3.2,IF(E28="钻石",4.8,1))))*IF(F28="小型",1,IF(F28="中型",1.6,IF(F28="大型",2.56,1))),0)</x:f>
        <x:v>80</x:v>
      </x:c>
      <x:c r="I28" s="21" t="n">
        <x:f>K28+3*L28+M28*5</x:f>
        <x:v>50</x:v>
      </x:c>
      <x:c r="J28" s="21" t="n">
        <x:f>I28-H28</x:f>
        <x:v>-30</x:v>
      </x:c>
      <x:c r="K28" s="21" t="n">
        <x:v>20</x:v>
      </x:c>
      <x:c r="L28" s="21" t="n">
        <x:v>5</x:v>
      </x:c>
      <x:c r="M28" s="21" t="n">
        <x:v>3</x:v>
      </x:c>
      <x:c r="N28" s="14" t="str">
        <x:v>A1 单点刺</x:v>
      </x:c>
      <x:c r="O28" s="14" t="str">
        <x:v>直线/1格</x:v>
      </x:c>
      <x:c r="P28" s="14" t="str">
        <x:v>召唤</x:v>
      </x:c>
      <x:c r="Q28" s="14" t="str">
        <x:v>buffAllSummons</x:v>
      </x:c>
      <x:c r="R28" s="14" t="str">
        <x:v>风、机动、灵活、泛用</x:v>
      </x:c>
      <x:c r="S28" s="19" t="str">
        <x:v>是</x:v>
      </x:c>
      <x:c r="T28" s="14"/>
      <x:c r="U28" s="14" t="str">
        <x:v>pal_027</x:v>
      </x:c>
    </x:row>
    <x:row r="29" ht="20" customHeight="1">
      <x:c r="A29" s="19" t="str">
        <x:v>No.028</x:v>
      </x:c>
      <x:c r="B29" s="14" t="str">
        <x:v>波娜兔</x:v>
      </x:c>
      <x:c r="C29" s="19" t="str">
        <x:v>风</x:v>
      </x:c>
      <x:c r="D29" s="19" t="str">
        <x:v>草</x:v>
      </x:c>
      <x:c r="E29" s="19" t="str">
        <x:v>青铜</x:v>
      </x:c>
      <x:c r="F29" s="19" t="str">
        <x:v>小型</x:v>
      </x:c>
      <x:c r="G29" s="14" t="str">
        <x:v>治疗</x:v>
      </x:c>
      <x:c r="H29" s="21" t="n">
        <x:f>ROUND(50*IF(E29="青铜",1,IF(E29="白银",2,IF(E29="黄金",3.2,IF(E29="钻石",4.8,1))))*IF(F29="小型",1,IF(F29="中型",1.6,IF(F29="大型",2.56,1))),0)</x:f>
        <x:v>50</x:v>
      </x:c>
      <x:c r="I29" s="21" t="n">
        <x:f>K29+3*L29+M29*5</x:f>
        <x:v>41</x:v>
      </x:c>
      <x:c r="J29" s="21" t="n">
        <x:f>I29-H29</x:f>
        <x:v>-9</x:v>
      </x:c>
      <x:c r="K29" s="21" t="n">
        <x:v>20</x:v>
      </x:c>
      <x:c r="L29" s="21" t="n">
        <x:v>2</x:v>
      </x:c>
      <x:c r="M29" s="21" t="n">
        <x:v>3</x:v>
      </x:c>
      <x:c r="N29" s="14" t="str">
        <x:v>B1 横扫三格</x:v>
      </x:c>
      <x:c r="O29" s="14" t="str">
        <x:v>扫击/3格</x:v>
      </x:c>
      <x:c r="P29" s="14" t="str">
        <x:v>场地</x:v>
      </x:c>
      <x:c r="Q29" s="14" t="str">
        <x:v>healAmpBonus</x:v>
      </x:c>
      <x:c r="R29" s="14" t="str">
        <x:v>风、治疗、后排、增益</x:v>
      </x:c>
      <x:c r="S29" s="19" t="str">
        <x:v>—</x:v>
      </x:c>
      <x:c r="T29" s="14"/>
      <x:c r="U29" s="14" t="str">
        <x:v>pal_028</x:v>
      </x:c>
    </x:row>
    <x:row r="30" ht="20" customHeight="1">
      <x:c r="A30" s="19" t="str">
        <x:v>No.029</x:v>
      </x:c>
      <x:c r="B30" s="14" t="str">
        <x:v>波霸牛</x:v>
      </x:c>
      <x:c r="C30" s="19" t="str">
        <x:v>风</x:v>
      </x:c>
      <x:c r="D30" s="19"/>
      <x:c r="E30" s="19" t="str">
        <x:v>青铜</x:v>
      </x:c>
      <x:c r="F30" s="19" t="str">
        <x:v>中型</x:v>
      </x:c>
      <x:c r="G30" s="14" t="str">
        <x:v>经济</x:v>
      </x:c>
      <x:c r="H30" s="21" t="n">
        <x:f>ROUND(50*IF(E30="青铜",1,IF(E30="白银",2,IF(E30="黄金",3.2,IF(E30="钻石",4.8,1))))*IF(F30="小型",1,IF(F30="中型",1.6,IF(F30="大型",2.56,1))),0)</x:f>
        <x:v>80</x:v>
      </x:c>
      <x:c r="I30" s="21" t="n">
        <x:f>K30+3*L30+M30*5</x:f>
        <x:v>44</x:v>
      </x:c>
      <x:c r="J30" s="21" t="n">
        <x:f>I30-H30</x:f>
        <x:v>-36</x:v>
      </x:c>
      <x:c r="K30" s="21" t="n">
        <x:v>20</x:v>
      </x:c>
      <x:c r="L30" s="21" t="n">
        <x:v>3</x:v>
      </x:c>
      <x:c r="M30" s="21" t="n">
        <x:v>3</x:v>
      </x:c>
      <x:c r="N30" s="14" t="str">
        <x:v>A1 单点刺</x:v>
      </x:c>
      <x:c r="O30" s="14" t="str">
        <x:v>直线/1格</x:v>
      </x:c>
      <x:c r="P30" s="14" t="str">
        <x:v>召唤</x:v>
      </x:c>
      <x:c r="Q30" s="14" t="str">
        <x:v>buffAllSummons</x:v>
      </x:c>
      <x:c r="R30" s="14" t="str">
        <x:v>风、经济、召唤、发育</x:v>
      </x:c>
      <x:c r="S30" s="19" t="str">
        <x:v>是</x:v>
      </x:c>
      <x:c r="T30" s="14"/>
      <x:c r="U30" s="14" t="str">
        <x:v>pal_029</x:v>
      </x:c>
    </x:row>
    <x:row r="31" ht="20" customHeight="1">
      <x:c r="A31" s="19" t="str">
        <x:v>No.030</x:v>
      </x:c>
      <x:c r="B31" s="14" t="str">
        <x:v>荆棘魔仙</x:v>
      </x:c>
      <x:c r="C31" s="19" t="str">
        <x:v>风</x:v>
      </x:c>
      <x:c r="D31" s="19" t="str">
        <x:v>草</x:v>
      </x:c>
      <x:c r="E31" s="19" t="str">
        <x:v>青铜</x:v>
      </x:c>
      <x:c r="F31" s="19" t="str">
        <x:v>大型</x:v>
      </x:c>
      <x:c r="G31" s="14" t="str">
        <x:v>治疗</x:v>
      </x:c>
      <x:c r="H31" s="21" t="n">
        <x:f>ROUND(50*IF(E31="青铜",1,IF(E31="白银",2,IF(E31="黄金",3.2,IF(E31="钻石",4.8,1))))*IF(F31="小型",1,IF(F31="中型",1.6,IF(F31="大型",2.56,1))),0)</x:f>
        <x:v>128</x:v>
      </x:c>
      <x:c r="I31" s="21" t="n">
        <x:f>K31+3*L31+M31*5</x:f>
        <x:v>53</x:v>
      </x:c>
      <x:c r="J31" s="21" t="n">
        <x:f>I31-H31</x:f>
        <x:v>-75</x:v>
      </x:c>
      <x:c r="K31" s="21" t="n">
        <x:v>20</x:v>
      </x:c>
      <x:c r="L31" s="21" t="n">
        <x:v>6</x:v>
      </x:c>
      <x:c r="M31" s="21" t="n">
        <x:v>3</x:v>
      </x:c>
      <x:c r="N31" s="14" t="str">
        <x:v>B1 横扫三格</x:v>
      </x:c>
      <x:c r="O31" s="14" t="str">
        <x:v>扫击/3格</x:v>
      </x:c>
      <x:c r="P31" s="14" t="str">
        <x:v>场地</x:v>
      </x:c>
      <x:c r="Q31" s="14" t="str">
        <x:v>healAmpBonus</x:v>
      </x:c>
      <x:c r="R31" s="14" t="str">
        <x:v>风、治疗、后排、增益</x:v>
      </x:c>
      <x:c r="S31" s="19" t="str">
        <x:v>—</x:v>
      </x:c>
      <x:c r="T31" s="14"/>
      <x:c r="U31" s="14" t="str">
        <x:v>pal_030</x:v>
      </x:c>
    </x:row>
    <x:row r="32" ht="20" customHeight="1">
      <x:c r="A32" s="19" t="str">
        <x:v>No.031</x:v>
      </x:c>
      <x:c r="B32" s="14" t="str">
        <x:v>鲨小子</x:v>
      </x:c>
      <x:c r="C32" s="19" t="str">
        <x:v>水</x:v>
      </x:c>
      <x:c r="D32" s="19"/>
      <x:c r="E32" s="19" t="str">
        <x:v>青铜</x:v>
      </x:c>
      <x:c r="F32" s="19" t="str">
        <x:v>中型</x:v>
      </x:c>
      <x:c r="G32" s="14" t="str">
        <x:v>治疗</x:v>
      </x:c>
      <x:c r="H32" s="21" t="n">
        <x:f>ROUND(50*IF(E32="青铜",1,IF(E32="白银",2,IF(E32="黄金",3.2,IF(E32="钻石",4.8,1))))*IF(F32="小型",1,IF(F32="中型",1.6,IF(F32="大型",2.56,1))),0)</x:f>
        <x:v>80</x:v>
      </x:c>
      <x:c r="I32" s="21" t="n">
        <x:f>K32+3*L32+M32*5</x:f>
        <x:v>47</x:v>
      </x:c>
      <x:c r="J32" s="21" t="n">
        <x:f>I32-H32</x:f>
        <x:v>-33</x:v>
      </x:c>
      <x:c r="K32" s="21" t="n">
        <x:v>20</x:v>
      </x:c>
      <x:c r="L32" s="21" t="n">
        <x:v>4</x:v>
      </x:c>
      <x:c r="M32" s="21" t="n">
        <x:v>3</x:v>
      </x:c>
      <x:c r="N32" s="14" t="str">
        <x:v>B1 横扫三格</x:v>
      </x:c>
      <x:c r="O32" s="14" t="str">
        <x:v>扫击/3格</x:v>
      </x:c>
      <x:c r="P32" s="14" t="str">
        <x:v>场地</x:v>
      </x:c>
      <x:c r="Q32" s="14" t="str">
        <x:v>healAmpBonus</x:v>
      </x:c>
      <x:c r="R32" s="14" t="str">
        <x:v>水、治疗、后排、增益</x:v>
      </x:c>
      <x:c r="S32" s="19" t="str">
        <x:v>—</x:v>
      </x:c>
      <x:c r="T32" s="14"/>
      <x:c r="U32" s="14" t="str">
        <x:v>pal_031</x:v>
      </x:c>
    </x:row>
    <x:row r="33" ht="20" customHeight="1">
      <x:c r="A33" s="19" t="str">
        <x:v>No.032</x:v>
      </x:c>
      <x:c r="B33" s="14" t="str">
        <x:v>吊缚灵</x:v>
      </x:c>
      <x:c r="C33" s="19" t="str">
        <x:v>土</x:v>
      </x:c>
      <x:c r="D33" s="19" t="str">
        <x:v>地</x:v>
      </x:c>
      <x:c r="E33" s="19" t="str">
        <x:v>青铜</x:v>
      </x:c>
      <x:c r="F33" s="19" t="str">
        <x:v>中型</x:v>
      </x:c>
      <x:c r="G33" s="14" t="str">
        <x:v>防御</x:v>
      </x:c>
      <x:c r="H33" s="21" t="n">
        <x:f>ROUND(50*IF(E33="青铜",1,IF(E33="白银",2,IF(E33="黄金",3.2,IF(E33="钻石",4.8,1))))*IF(F33="小型",1,IF(F33="中型",1.6,IF(F33="大型",2.56,1))),0)</x:f>
        <x:v>80</x:v>
      </x:c>
      <x:c r="I33" s="21" t="n">
        <x:f>K33+3*L33+M33*5</x:f>
        <x:v>53</x:v>
      </x:c>
      <x:c r="J33" s="21" t="n">
        <x:f>I33-H33</x:f>
        <x:v>-27</x:v>
      </x:c>
      <x:c r="K33" s="21" t="n">
        <x:v>26</x:v>
      </x:c>
      <x:c r="L33" s="21" t="n">
        <x:v>4</x:v>
      </x:c>
      <x:c r="M33" s="21" t="n">
        <x:v>3</x:v>
      </x:c>
      <x:c r="N33" s="14" t="str">
        <x:v>B1 横扫三格</x:v>
      </x:c>
      <x:c r="O33" s="14" t="str">
        <x:v>扫击/3格</x:v>
      </x:c>
      <x:c r="P33" s="14" t="str">
        <x:v>阻挡</x:v>
      </x:c>
      <x:c r="Q33" s="14" t="str">
        <x:v>castleReduce</x:v>
      </x:c>
      <x:c r="R33" s="14" t="str">
        <x:v>土、防御、前排、阻挡</x:v>
      </x:c>
      <x:c r="S33" s="19" t="str">
        <x:v>—</x:v>
      </x:c>
      <x:c r="T33" s="14"/>
      <x:c r="U33" s="14" t="str">
        <x:v>pal_032</x:v>
      </x:c>
    </x:row>
    <x:row r="34" ht="20" customHeight="1">
      <x:c r="A34" s="19" t="str">
        <x:v>No.033</x:v>
      </x:c>
      <x:c r="B34" s="14" t="str">
        <x:v>叶胖达</x:v>
      </x:c>
      <x:c r="C34" s="19" t="str">
        <x:v>风</x:v>
      </x:c>
      <x:c r="D34" s="19" t="str">
        <x:v>草</x:v>
      </x:c>
      <x:c r="E34" s="19" t="str">
        <x:v>青铜</x:v>
      </x:c>
      <x:c r="F34" s="19" t="str">
        <x:v>中型</x:v>
      </x:c>
      <x:c r="G34" s="14" t="str">
        <x:v>防御</x:v>
      </x:c>
      <x:c r="H34" s="21" t="n">
        <x:f>ROUND(50*IF(E34="青铜",1,IF(E34="白银",2,IF(E34="黄金",3.2,IF(E34="钻石",4.8,1))))*IF(F34="小型",1,IF(F34="中型",1.6,IF(F34="大型",2.56,1))),0)</x:f>
        <x:v>80</x:v>
      </x:c>
      <x:c r="I34" s="21" t="n">
        <x:f>K34+3*L34+M34*5</x:f>
        <x:v>53</x:v>
      </x:c>
      <x:c r="J34" s="21" t="n">
        <x:f>I34-H34</x:f>
        <x:v>-27</x:v>
      </x:c>
      <x:c r="K34" s="21" t="n">
        <x:v>26</x:v>
      </x:c>
      <x:c r="L34" s="21" t="n">
        <x:v>4</x:v>
      </x:c>
      <x:c r="M34" s="21" t="n">
        <x:v>3</x:v>
      </x:c>
      <x:c r="N34" s="14" t="str">
        <x:v>B1 横扫三格</x:v>
      </x:c>
      <x:c r="O34" s="14" t="str">
        <x:v>扫击/3格</x:v>
      </x:c>
      <x:c r="P34" s="14" t="str">
        <x:v>阻挡</x:v>
      </x:c>
      <x:c r="Q34" s="14" t="str">
        <x:v>castleReduce</x:v>
      </x:c>
      <x:c r="R34" s="14" t="str">
        <x:v>风、防御、前排、阻挡</x:v>
      </x:c>
      <x:c r="S34" s="19" t="str">
        <x:v>—</x:v>
      </x:c>
      <x:c r="T34" s="14"/>
      <x:c r="U34" s="14" t="str">
        <x:v>pal_033</x:v>
      </x:c>
    </x:row>
    <x:row r="35" ht="20" customHeight="1">
      <x:c r="A35" s="19" t="str">
        <x:v>No.034</x:v>
      </x:c>
      <x:c r="B35" s="14" t="str">
        <x:v>棉花糖</x:v>
      </x:c>
      <x:c r="C35" s="19" t="str">
        <x:v>风</x:v>
      </x:c>
      <x:c r="D35" s="19"/>
      <x:c r="E35" s="19" t="str">
        <x:v>青铜</x:v>
      </x:c>
      <x:c r="F35" s="19" t="str">
        <x:v>小型</x:v>
      </x:c>
      <x:c r="G35" s="14" t="str">
        <x:v>经济</x:v>
      </x:c>
      <x:c r="H35" s="21" t="n">
        <x:f>ROUND(50*IF(E35="青铜",1,IF(E35="白银",2,IF(E35="黄金",3.2,IF(E35="钻石",4.8,1))))*IF(F35="小型",1,IF(F35="中型",1.6,IF(F35="大型",2.56,1))),0)</x:f>
        <x:v>50</x:v>
      </x:c>
      <x:c r="I35" s="21" t="n">
        <x:f>K35+3*L35+M35*5</x:f>
        <x:v>38</x:v>
      </x:c>
      <x:c r="J35" s="21" t="n">
        <x:f>I35-H35</x:f>
        <x:v>-12</x:v>
      </x:c>
      <x:c r="K35" s="21" t="n">
        <x:v>20</x:v>
      </x:c>
      <x:c r="L35" s="21" t="n">
        <x:v>1</x:v>
      </x:c>
      <x:c r="M35" s="21" t="n">
        <x:v>3</x:v>
      </x:c>
      <x:c r="N35" s="14" t="str">
        <x:v>A1 单点刺</x:v>
      </x:c>
      <x:c r="O35" s="14" t="str">
        <x:v>直线/1格</x:v>
      </x:c>
      <x:c r="P35" s="14" t="str">
        <x:v>召唤</x:v>
      </x:c>
      <x:c r="Q35" s="14" t="str">
        <x:v>buffAllSummons</x:v>
      </x:c>
      <x:c r="R35" s="14" t="str">
        <x:v>风、经济、召唤、发育</x:v>
      </x:c>
      <x:c r="S35" s="19" t="str">
        <x:v>是</x:v>
      </x:c>
      <x:c r="T35" s="14"/>
      <x:c r="U35" s="14" t="str">
        <x:v>pal_034</x:v>
      </x:c>
    </x:row>
    <x:row r="36" ht="20" customHeight="1">
      <x:c r="A36" s="19" t="str">
        <x:v>No.035</x:v>
      </x:c>
      <x:c r="B36" s="14" t="str">
        <x:v>灌木羊</x:v>
      </x:c>
      <x:c r="C36" s="19" t="str">
        <x:v>风</x:v>
      </x:c>
      <x:c r="D36" s="19" t="str">
        <x:v>草</x:v>
      </x:c>
      <x:c r="E36" s="19" t="str">
        <x:v>青铜</x:v>
      </x:c>
      <x:c r="F36" s="19" t="str">
        <x:v>小型</x:v>
      </x:c>
      <x:c r="G36" s="14" t="str">
        <x:v>召唤</x:v>
      </x:c>
      <x:c r="H36" s="21" t="n">
        <x:f>ROUND(50*IF(E36="青铜",1,IF(E36="白银",2,IF(E36="黄金",3.2,IF(E36="钻石",4.8,1))))*IF(F36="小型",1,IF(F36="中型",1.6,IF(F36="大型",2.56,1))),0)</x:f>
        <x:v>50</x:v>
      </x:c>
      <x:c r="I36" s="21" t="n">
        <x:f>K36+3*L36+M36*5</x:f>
        <x:v>41</x:v>
      </x:c>
      <x:c r="J36" s="21" t="n">
        <x:f>I36-H36</x:f>
        <x:v>-9</x:v>
      </x:c>
      <x:c r="K36" s="21" t="n">
        <x:v>20</x:v>
      </x:c>
      <x:c r="L36" s="21" t="n">
        <x:v>2</x:v>
      </x:c>
      <x:c r="M36" s="21" t="n">
        <x:v>3</x:v>
      </x:c>
      <x:c r="N36" s="14" t="str">
        <x:v>A1 单点刺</x:v>
      </x:c>
      <x:c r="O36" s="14" t="str">
        <x:v>直线/1格</x:v>
      </x:c>
      <x:c r="P36" s="14" t="str">
        <x:v>召唤</x:v>
      </x:c>
      <x:c r="Q36" s="14" t="str">
        <x:v>buffAllSummons</x:v>
      </x:c>
      <x:c r="R36" s="14" t="str">
        <x:v>风、召唤、成长、核心</x:v>
      </x:c>
      <x:c r="S36" s="19" t="str">
        <x:v>是</x:v>
      </x:c>
      <x:c r="T36" s="14"/>
      <x:c r="U36" s="14" t="str">
        <x:v>pal_035</x:v>
      </x:c>
    </x:row>
    <x:row r="37" ht="20" customHeight="1">
      <x:c r="A37" s="19" t="str">
        <x:v>No.036</x:v>
      </x:c>
      <x:c r="B37" s="14" t="str">
        <x:v>美露帕</x:v>
      </x:c>
      <x:c r="C37" s="19" t="str">
        <x:v>风</x:v>
      </x:c>
      <x:c r="D37" s="19"/>
      <x:c r="E37" s="19" t="str">
        <x:v>白银</x:v>
      </x:c>
      <x:c r="F37" s="19" t="str">
        <x:v>小型</x:v>
      </x:c>
      <x:c r="G37" s="14" t="str">
        <x:v>经济</x:v>
      </x:c>
      <x:c r="H37" s="21" t="n">
        <x:f>ROUND(50*IF(E37="青铜",1,IF(E37="白银",2,IF(E37="黄金",3.2,IF(E37="钻石",4.8,1))))*IF(F37="小型",1,IF(F37="中型",1.6,IF(F37="大型",2.56,1))),0)</x:f>
        <x:v>100</x:v>
      </x:c>
      <x:c r="I37" s="21" t="n">
        <x:f>K37+3*L37+M37*5</x:f>
        <x:v>50</x:v>
      </x:c>
      <x:c r="J37" s="21" t="n">
        <x:f>I37-H37</x:f>
        <x:v>-50</x:v>
      </x:c>
      <x:c r="K37" s="21" t="n">
        <x:v>29</x:v>
      </x:c>
      <x:c r="L37" s="21" t="n">
        <x:v>2</x:v>
      </x:c>
      <x:c r="M37" s="21" t="n">
        <x:v>3</x:v>
      </x:c>
      <x:c r="N37" s="14" t="str">
        <x:v>A1 单点刺</x:v>
      </x:c>
      <x:c r="O37" s="14" t="str">
        <x:v>直线/1格</x:v>
      </x:c>
      <x:c r="P37" s="14" t="str">
        <x:v>召唤</x:v>
      </x:c>
      <x:c r="Q37" s="14" t="str">
        <x:v>buffAllSummons</x:v>
      </x:c>
      <x:c r="R37" s="14" t="str">
        <x:v>风、经济、召唤、发育</x:v>
      </x:c>
      <x:c r="S37" s="19" t="str">
        <x:v>是</x:v>
      </x:c>
      <x:c r="T37" s="14"/>
      <x:c r="U37" s="14" t="str">
        <x:v>pal_036</x:v>
      </x:c>
    </x:row>
    <x:row r="38" ht="20" customHeight="1">
      <x:c r="A38" s="19" t="str">
        <x:v>No.037</x:v>
      </x:c>
      <x:c r="B38" s="14" t="str">
        <x:v>紫霞鹿</x:v>
      </x:c>
      <x:c r="C38" s="19" t="str">
        <x:v>风</x:v>
      </x:c>
      <x:c r="D38" s="19"/>
      <x:c r="E38" s="19" t="str">
        <x:v>白银</x:v>
      </x:c>
      <x:c r="F38" s="19" t="str">
        <x:v>小型</x:v>
      </x:c>
      <x:c r="G38" s="14" t="str">
        <x:v>机动</x:v>
      </x:c>
      <x:c r="H38" s="21" t="n">
        <x:f>ROUND(50*IF(E38="青铜",1,IF(E38="白银",2,IF(E38="黄金",3.2,IF(E38="钻石",4.8,1))))*IF(F38="小型",1,IF(F38="中型",1.6,IF(F38="大型",2.56,1))),0)</x:f>
        <x:v>100</x:v>
      </x:c>
      <x:c r="I38" s="21" t="n">
        <x:f>K38+3*L38+M38*5</x:f>
        <x:v>55</x:v>
      </x:c>
      <x:c r="J38" s="21" t="n">
        <x:f>I38-H38</x:f>
        <x:v>-45</x:v>
      </x:c>
      <x:c r="K38" s="21" t="n">
        <x:v>28</x:v>
      </x:c>
      <x:c r="L38" s="21" t="n">
        <x:v>4</x:v>
      </x:c>
      <x:c r="M38" s="21" t="n">
        <x:v>3</x:v>
      </x:c>
      <x:c r="N38" s="14" t="str">
        <x:v>T2 长柄T</x:v>
      </x:c>
      <x:c r="O38" s="14" t="str">
        <x:v>T形/5格</x:v>
      </x:c>
      <x:c r="P38" s="14" t="str">
        <x:v>牵制</x:v>
      </x:c>
      <x:c r="Q38" s="14" t="str">
        <x:v>advHitBonus</x:v>
      </x:c>
      <x:c r="R38" s="14" t="str">
        <x:v>风、机动、灵活、泛用</x:v>
      </x:c>
      <x:c r="S38" s="19" t="str">
        <x:v>—</x:v>
      </x:c>
      <x:c r="T38" s="14"/>
      <x:c r="U38" s="14" t="str">
        <x:v>pal_037</x:v>
      </x:c>
    </x:row>
    <x:row r="39" ht="20" customHeight="1">
      <x:c r="A39" s="19" t="str">
        <x:v>No.038</x:v>
      </x:c>
      <x:c r="B39" s="14" t="str">
        <x:v>疾风隼</x:v>
      </x:c>
      <x:c r="C39" s="19" t="str">
        <x:v>风</x:v>
      </x:c>
      <x:c r="D39" s="19"/>
      <x:c r="E39" s="19" t="str">
        <x:v>白银</x:v>
      </x:c>
      <x:c r="F39" s="19" t="str">
        <x:v>小型</x:v>
      </x:c>
      <x:c r="G39" s="14" t="str">
        <x:v>机动</x:v>
      </x:c>
      <x:c r="H39" s="21" t="n">
        <x:f>ROUND(50*IF(E39="青铜",1,IF(E39="白银",2,IF(E39="黄金",3.2,IF(E39="钻石",4.8,1))))*IF(F39="小型",1,IF(F39="中型",1.6,IF(F39="大型",2.56,1))),0)</x:f>
        <x:v>100</x:v>
      </x:c>
      <x:c r="I39" s="21" t="n">
        <x:f>K39+3*L39+M39*5</x:f>
        <x:v>55</x:v>
      </x:c>
      <x:c r="J39" s="21" t="n">
        <x:f>I39-H39</x:f>
        <x:v>-45</x:v>
      </x:c>
      <x:c r="K39" s="21" t="n">
        <x:v>28</x:v>
      </x:c>
      <x:c r="L39" s="21" t="n">
        <x:v>4</x:v>
      </x:c>
      <x:c r="M39" s="21" t="n">
        <x:v>3</x:v>
      </x:c>
      <x:c r="N39" s="14" t="str">
        <x:v>T2 长柄T</x:v>
      </x:c>
      <x:c r="O39" s="14" t="str">
        <x:v>T形/5格</x:v>
      </x:c>
      <x:c r="P39" s="14" t="str">
        <x:v>牵制</x:v>
      </x:c>
      <x:c r="Q39" s="14" t="str">
        <x:v>advHitBonus</x:v>
      </x:c>
      <x:c r="R39" s="14" t="str">
        <x:v>风、机动、灵活、泛用</x:v>
      </x:c>
      <x:c r="S39" s="19" t="str">
        <x:v>—</x:v>
      </x:c>
      <x:c r="T39" s="14"/>
      <x:c r="U39" s="14" t="str">
        <x:v>pal_038</x:v>
      </x:c>
    </x:row>
    <x:row r="40" ht="20" customHeight="1">
      <x:c r="A40" s="19" t="str">
        <x:v>No.039</x:v>
      </x:c>
      <x:c r="B40" s="14" t="str">
        <x:v>姬小兔</x:v>
      </x:c>
      <x:c r="C40" s="19" t="str">
        <x:v>风</x:v>
      </x:c>
      <x:c r="D40" s="19"/>
      <x:c r="E40" s="19" t="str">
        <x:v>白银</x:v>
      </x:c>
      <x:c r="F40" s="19" t="str">
        <x:v>小型</x:v>
      </x:c>
      <x:c r="G40" s="14" t="str">
        <x:v>防御</x:v>
      </x:c>
      <x:c r="H40" s="21" t="n">
        <x:f>ROUND(50*IF(E40="青铜",1,IF(E40="白银",2,IF(E40="黄金",3.2,IF(E40="钻石",4.8,1))))*IF(F40="小型",1,IF(F40="中型",1.6,IF(F40="大型",2.56,1))),0)</x:f>
        <x:v>100</x:v>
      </x:c>
      <x:c r="I40" s="21" t="n">
        <x:f>K40+3*L40+M40*5</x:f>
        <x:v>61</x:v>
      </x:c>
      <x:c r="J40" s="21" t="n">
        <x:f>I40-H40</x:f>
        <x:v>-39</x:v>
      </x:c>
      <x:c r="K40" s="21" t="n">
        <x:v>37</x:v>
      </x:c>
      <x:c r="L40" s="21" t="n">
        <x:v>3</x:v>
      </x:c>
      <x:c r="M40" s="21" t="n">
        <x:v>3</x:v>
      </x:c>
      <x:c r="N40" s="14" t="str">
        <x:v>B1 横扫三格</x:v>
      </x:c>
      <x:c r="O40" s="14" t="str">
        <x:v>扫击/3格</x:v>
      </x:c>
      <x:c r="P40" s="14" t="str">
        <x:v>阻挡</x:v>
      </x:c>
      <x:c r="Q40" s="14" t="str">
        <x:v>castleReduce</x:v>
      </x:c>
      <x:c r="R40" s="14" t="str">
        <x:v>风、防御、前排、阻挡</x:v>
      </x:c>
      <x:c r="S40" s="19" t="str">
        <x:v>—</x:v>
      </x:c>
      <x:c r="T40" s="14"/>
      <x:c r="U40" s="14" t="str">
        <x:v>pal_039</x:v>
      </x:c>
    </x:row>
    <x:row r="41" ht="20" customHeight="1">
      <x:c r="A41" s="19" t="str">
        <x:v>No.040</x:v>
      </x:c>
      <x:c r="B41" s="14" t="str">
        <x:v>炎魔羊</x:v>
      </x:c>
      <x:c r="C41" s="19" t="str">
        <x:v>火</x:v>
      </x:c>
      <x:c r="D41" s="19" t="str">
        <x:v>火、暗</x:v>
      </x:c>
      <x:c r="E41" s="19" t="str">
        <x:v>白银</x:v>
      </x:c>
      <x:c r="F41" s="19" t="str">
        <x:v>中型</x:v>
      </x:c>
      <x:c r="G41" s="14" t="str">
        <x:v>输出</x:v>
      </x:c>
      <x:c r="H41" s="21" t="n">
        <x:f>ROUND(50*IF(E41="青铜",1,IF(E41="白银",2,IF(E41="黄金",3.2,IF(E41="钻石",4.8,1))))*IF(F41="小型",1,IF(F41="中型",1.6,IF(F41="大型",2.56,1))),0)</x:f>
        <x:v>160</x:v>
      </x:c>
      <x:c r="I41" s="21" t="n">
        <x:f>K41+3*L41+M41*5</x:f>
        <x:v>68</x:v>
      </x:c>
      <x:c r="J41" s="21" t="n">
        <x:f>I41-H41</x:f>
        <x:v>-92</x:v>
      </x:c>
      <x:c r="K41" s="21" t="n">
        <x:v>35</x:v>
      </x:c>
      <x:c r="L41" s="21" t="n">
        <x:v>6</x:v>
      </x:c>
      <x:c r="M41" s="21" t="n">
        <x:v>3</x:v>
      </x:c>
      <x:c r="N41" s="14" t="str">
        <x:v>B1 横扫三格</x:v>
      </x:c>
      <x:c r="O41" s="14" t="str">
        <x:v>扫击/3格</x:v>
      </x:c>
      <x:c r="P41" s="14" t="str">
        <x:v>输出</x:v>
      </x:c>
      <x:c r="Q41" s="14" t="str">
        <x:v>castleReduce</x:v>
      </x:c>
      <x:c r="R41" s="14" t="str">
        <x:v>火、输出、爆发、前排</x:v>
      </x:c>
      <x:c r="S41" s="19" t="str">
        <x:v>—</x:v>
      </x:c>
      <x:c r="T41" s="14"/>
      <x:c r="U41" s="14" t="str">
        <x:v>pal_040</x:v>
      </x:c>
    </x:row>
    <x:row r="42" ht="20" customHeight="1">
      <x:c r="A42" s="19" t="str">
        <x:v>No.041</x:v>
      </x:c>
      <x:c r="B42" s="14" t="str">
        <x:v>幻悦蝶</x:v>
      </x:c>
      <x:c r="C42" s="19" t="str">
        <x:v>风</x:v>
      </x:c>
      <x:c r="D42" s="19" t="str">
        <x:v>草</x:v>
      </x:c>
      <x:c r="E42" s="19" t="str">
        <x:v>白银</x:v>
      </x:c>
      <x:c r="F42" s="19" t="str">
        <x:v>小型</x:v>
      </x:c>
      <x:c r="G42" s="14" t="str">
        <x:v>治疗</x:v>
      </x:c>
      <x:c r="H42" s="21" t="n">
        <x:f>ROUND(50*IF(E42="青铜",1,IF(E42="白银",2,IF(E42="黄金",3.2,IF(E42="钻石",4.8,1))))*IF(F42="小型",1,IF(F42="中型",1.6,IF(F42="大型",2.56,1))),0)</x:f>
        <x:v>100</x:v>
      </x:c>
      <x:c r="I42" s="21" t="n">
        <x:f>K42+3*L42+M42*5</x:f>
        <x:v>53</x:v>
      </x:c>
      <x:c r="J42" s="21" t="n">
        <x:f>I42-H42</x:f>
        <x:v>-47</x:v>
      </x:c>
      <x:c r="K42" s="21" t="n">
        <x:v>29</x:v>
      </x:c>
      <x:c r="L42" s="21" t="n">
        <x:v>3</x:v>
      </x:c>
      <x:c r="M42" s="21" t="n">
        <x:v>3</x:v>
      </x:c>
      <x:c r="N42" s="14" t="str">
        <x:v>T1 标准前置T</x:v>
      </x:c>
      <x:c r="O42" s="14" t="str">
        <x:v>T形/4格</x:v>
      </x:c>
      <x:c r="P42" s="14" t="str">
        <x:v>场地</x:v>
      </x:c>
      <x:c r="Q42" s="14" t="str">
        <x:v>healAmpBonus</x:v>
      </x:c>
      <x:c r="R42" s="14" t="str">
        <x:v>风、治疗、后排、增益</x:v>
      </x:c>
      <x:c r="S42" s="19" t="str">
        <x:v>—</x:v>
      </x:c>
      <x:c r="T42" s="14"/>
      <x:c r="U42" s="14" t="str">
        <x:v>pal_041</x:v>
      </x:c>
    </x:row>
    <x:row r="43" ht="20" customHeight="1">
      <x:c r="A43" s="19" t="str">
        <x:v>No.042</x:v>
      </x:c>
      <x:c r="B43" s="14" t="str">
        <x:v>炽焰牛</x:v>
      </x:c>
      <x:c r="C43" s="19" t="str">
        <x:v>火</x:v>
      </x:c>
      <x:c r="D43" s="19"/>
      <x:c r="E43" s="19" t="str">
        <x:v>白银</x:v>
      </x:c>
      <x:c r="F43" s="19" t="str">
        <x:v>小型</x:v>
      </x:c>
      <x:c r="G43" s="14" t="str">
        <x:v>输出</x:v>
      </x:c>
      <x:c r="H43" s="21" t="n">
        <x:f>ROUND(50*IF(E43="青铜",1,IF(E43="白银",2,IF(E43="黄金",3.2,IF(E43="钻石",4.8,1))))*IF(F43="小型",1,IF(F43="中型",1.6,IF(F43="大型",2.56,1))),0)</x:f>
        <x:v>100</x:v>
      </x:c>
      <x:c r="I43" s="21" t="n">
        <x:f>K43+3*L43+M43*5</x:f>
        <x:v>62</x:v>
      </x:c>
      <x:c r="J43" s="21" t="n">
        <x:f>I43-H43</x:f>
        <x:v>-38</x:v>
      </x:c>
      <x:c r="K43" s="21" t="n">
        <x:v>35</x:v>
      </x:c>
      <x:c r="L43" s="21" t="n">
        <x:v>4</x:v>
      </x:c>
      <x:c r="M43" s="21" t="n">
        <x:v>3</x:v>
      </x:c>
      <x:c r="N43" s="14" t="str">
        <x:v>B1 横扫三格</x:v>
      </x:c>
      <x:c r="O43" s="14" t="str">
        <x:v>扫击/3格</x:v>
      </x:c>
      <x:c r="P43" s="14" t="str">
        <x:v>输出</x:v>
      </x:c>
      <x:c r="Q43" s="14" t="str">
        <x:v>castleReduce</x:v>
      </x:c>
      <x:c r="R43" s="14" t="str">
        <x:v>火、输出、爆发、前排</x:v>
      </x:c>
      <x:c r="S43" s="19" t="str">
        <x:v>—</x:v>
      </x:c>
      <x:c r="T43" s="14"/>
      <x:c r="U43" s="14" t="str">
        <x:v>pal_042</x:v>
      </x:c>
    </x:row>
    <x:row r="44" ht="20" customHeight="1">
      <x:c r="A44" s="19" t="str">
        <x:v>No.043</x:v>
      </x:c>
      <x:c r="B44" s="14" t="str">
        <x:v>趴趴鲶</x:v>
      </x:c>
      <x:c r="C44" s="19" t="str">
        <x:v>土</x:v>
      </x:c>
      <x:c r="D44" s="19" t="str">
        <x:v>地</x:v>
      </x:c>
      <x:c r="E44" s="19" t="str">
        <x:v>白银</x:v>
      </x:c>
      <x:c r="F44" s="19" t="str">
        <x:v>小型</x:v>
      </x:c>
      <x:c r="G44" s="14" t="str">
        <x:v>治疗</x:v>
      </x:c>
      <x:c r="H44" s="21" t="n">
        <x:f>ROUND(50*IF(E44="青铜",1,IF(E44="白银",2,IF(E44="黄金",3.2,IF(E44="钻石",4.8,1))))*IF(F44="小型",1,IF(F44="中型",1.6,IF(F44="大型",2.56,1))),0)</x:f>
        <x:v>100</x:v>
      </x:c>
      <x:c r="I44" s="21" t="n">
        <x:f>K44+3*L44+M44*5</x:f>
        <x:v>53</x:v>
      </x:c>
      <x:c r="J44" s="21" t="n">
        <x:f>I44-H44</x:f>
        <x:v>-47</x:v>
      </x:c>
      <x:c r="K44" s="21" t="n">
        <x:v>29</x:v>
      </x:c>
      <x:c r="L44" s="21" t="n">
        <x:v>3</x:v>
      </x:c>
      <x:c r="M44" s="21" t="n">
        <x:v>3</x:v>
      </x:c>
      <x:c r="N44" s="14" t="str">
        <x:v>T1 标准前置T</x:v>
      </x:c>
      <x:c r="O44" s="14" t="str">
        <x:v>T形/4格</x:v>
      </x:c>
      <x:c r="P44" s="14" t="str">
        <x:v>场地</x:v>
      </x:c>
      <x:c r="Q44" s="14" t="str">
        <x:v>healAmpBonus</x:v>
      </x:c>
      <x:c r="R44" s="14" t="str">
        <x:v>土、治疗、后排、增益</x:v>
      </x:c>
      <x:c r="S44" s="19" t="str">
        <x:v>—</x:v>
      </x:c>
      <x:c r="T44" s="14"/>
      <x:c r="U44" s="14" t="str">
        <x:v>pal_043</x:v>
      </x:c>
    </x:row>
    <x:row r="45" ht="20" customHeight="1">
      <x:c r="A45" s="19" t="str">
        <x:v>No.044</x:v>
      </x:c>
      <x:c r="B45" s="14" t="str">
        <x:v>黑鸦隐士</x:v>
      </x:c>
      <x:c r="C45" s="19" t="str">
        <x:v>土</x:v>
      </x:c>
      <x:c r="D45" s="19" t="str">
        <x:v>暗</x:v>
      </x:c>
      <x:c r="E45" s="19" t="str">
        <x:v>白银</x:v>
      </x:c>
      <x:c r="F45" s="19" t="str">
        <x:v>小型</x:v>
      </x:c>
      <x:c r="G45" s="14" t="str">
        <x:v>防御</x:v>
      </x:c>
      <x:c r="H45" s="21" t="n">
        <x:f>ROUND(50*IF(E45="青铜",1,IF(E45="白银",2,IF(E45="黄金",3.2,IF(E45="钻石",4.8,1))))*IF(F45="小型",1,IF(F45="中型",1.6,IF(F45="大型",2.56,1))),0)</x:f>
        <x:v>100</x:v>
      </x:c>
      <x:c r="I45" s="21" t="n">
        <x:f>K45+3*L45+M45*5</x:f>
        <x:v>59</x:v>
      </x:c>
      <x:c r="J45" s="21" t="n">
        <x:f>I45-H45</x:f>
        <x:v>-41</x:v>
      </x:c>
      <x:c r="K45" s="21" t="n">
        <x:v>35</x:v>
      </x:c>
      <x:c r="L45" s="21" t="n">
        <x:v>3</x:v>
      </x:c>
      <x:c r="M45" s="21" t="n">
        <x:v>3</x:v>
      </x:c>
      <x:c r="N45" s="14" t="str">
        <x:v>B1 横扫三格</x:v>
      </x:c>
      <x:c r="O45" s="14" t="str">
        <x:v>扫击/3格</x:v>
      </x:c>
      <x:c r="P45" s="14" t="str">
        <x:v>阻挡</x:v>
      </x:c>
      <x:c r="Q45" s="14" t="str">
        <x:v>castleReduce</x:v>
      </x:c>
      <x:c r="R45" s="14" t="str">
        <x:v>土、防御、前排、阻挡</x:v>
      </x:c>
      <x:c r="S45" s="19" t="str">
        <x:v>—</x:v>
      </x:c>
      <x:c r="T45" s="14"/>
      <x:c r="U45" s="14" t="str">
        <x:v>pal_044</x:v>
      </x:c>
    </x:row>
    <x:row r="46" ht="20" customHeight="1">
      <x:c r="A46" s="19" t="str">
        <x:v>No.045</x:v>
      </x:c>
      <x:c r="B46" s="14" t="str">
        <x:v>朋克蜥</x:v>
      </x:c>
      <x:c r="C46" s="19" t="str">
        <x:v>土</x:v>
      </x:c>
      <x:c r="D46" s="19" t="str">
        <x:v>暗</x:v>
      </x:c>
      <x:c r="E46" s="19" t="str">
        <x:v>白银</x:v>
      </x:c>
      <x:c r="F46" s="19" t="str">
        <x:v>小型</x:v>
      </x:c>
      <x:c r="G46" s="14" t="str">
        <x:v>防御</x:v>
      </x:c>
      <x:c r="H46" s="21" t="n">
        <x:f>ROUND(50*IF(E46="青铜",1,IF(E46="白银",2,IF(E46="黄金",3.2,IF(E46="钻石",4.8,1))))*IF(F46="小型",1,IF(F46="中型",1.6,IF(F46="大型",2.56,1))),0)</x:f>
        <x:v>100</x:v>
      </x:c>
      <x:c r="I46" s="21" t="n">
        <x:f>K46+3*L46+M46*5</x:f>
        <x:v>59</x:v>
      </x:c>
      <x:c r="J46" s="21" t="n">
        <x:f>I46-H46</x:f>
        <x:v>-41</x:v>
      </x:c>
      <x:c r="K46" s="21" t="n">
        <x:v>35</x:v>
      </x:c>
      <x:c r="L46" s="21" t="n">
        <x:v>3</x:v>
      </x:c>
      <x:c r="M46" s="21" t="n">
        <x:v>3</x:v>
      </x:c>
      <x:c r="N46" s="14" t="str">
        <x:v>B1 横扫三格</x:v>
      </x:c>
      <x:c r="O46" s="14" t="str">
        <x:v>扫击/3格</x:v>
      </x:c>
      <x:c r="P46" s="14" t="str">
        <x:v>阻挡</x:v>
      </x:c>
      <x:c r="Q46" s="14" t="str">
        <x:v>castleReduce</x:v>
      </x:c>
      <x:c r="R46" s="14" t="str">
        <x:v>土、防御、前排、阻挡</x:v>
      </x:c>
      <x:c r="S46" s="19" t="str">
        <x:v>—</x:v>
      </x:c>
      <x:c r="T46" s="14"/>
      <x:c r="U46" s="14" t="str">
        <x:v>pal_045</x:v>
      </x:c>
    </x:row>
    <x:row r="47" ht="20" customHeight="1">
      <x:c r="A47" s="19" t="str">
        <x:v>No.046</x:v>
      </x:c>
      <x:c r="B47" s="14" t="str">
        <x:v>月镰魔</x:v>
      </x:c>
      <x:c r="C47" s="19" t="str">
        <x:v>土</x:v>
      </x:c>
      <x:c r="D47" s="19" t="str">
        <x:v>暗</x:v>
      </x:c>
      <x:c r="E47" s="19" t="str">
        <x:v>白银</x:v>
      </x:c>
      <x:c r="F47" s="19" t="str">
        <x:v>中型</x:v>
      </x:c>
      <x:c r="G47" s="14" t="str">
        <x:v>防御</x:v>
      </x:c>
      <x:c r="H47" s="21" t="n">
        <x:f>ROUND(50*IF(E47="青铜",1,IF(E47="白银",2,IF(E47="黄金",3.2,IF(E47="钻石",4.8,1))))*IF(F47="小型",1,IF(F47="中型",1.6,IF(F47="大型",2.56,1))),0)</x:f>
        <x:v>160</x:v>
      </x:c>
      <x:c r="I47" s="21" t="n">
        <x:f>K47+3*L47+M47*5</x:f>
        <x:v>65</x:v>
      </x:c>
      <x:c r="J47" s="21" t="n">
        <x:f>I47-H47</x:f>
        <x:v>-95</x:v>
      </x:c>
      <x:c r="K47" s="21" t="n">
        <x:v>35</x:v>
      </x:c>
      <x:c r="L47" s="21" t="n">
        <x:v>5</x:v>
      </x:c>
      <x:c r="M47" s="21" t="n">
        <x:v>3</x:v>
      </x:c>
      <x:c r="N47" s="14" t="str">
        <x:v>B1 横扫三格</x:v>
      </x:c>
      <x:c r="O47" s="14" t="str">
        <x:v>扫击/3格</x:v>
      </x:c>
      <x:c r="P47" s="14" t="str">
        <x:v>阻挡</x:v>
      </x:c>
      <x:c r="Q47" s="14" t="str">
        <x:v>castleReduce</x:v>
      </x:c>
      <x:c r="R47" s="14" t="str">
        <x:v>土、防御、前排、阻挡</x:v>
      </x:c>
      <x:c r="S47" s="19" t="str">
        <x:v>—</x:v>
      </x:c>
      <x:c r="T47" s="14"/>
      <x:c r="U47" s="14" t="str">
        <x:v>pal_046</x:v>
      </x:c>
    </x:row>
    <x:row r="48" ht="20" customHeight="1">
      <x:c r="A48" s="19" t="str">
        <x:v>No.047</x:v>
      </x:c>
      <x:c r="B48" s="14" t="str">
        <x:v>天擒鸟</x:v>
      </x:c>
      <x:c r="C48" s="19" t="str">
        <x:v>风</x:v>
      </x:c>
      <x:c r="D48" s="19"/>
      <x:c r="E48" s="19" t="str">
        <x:v>白银</x:v>
      </x:c>
      <x:c r="F48" s="19" t="str">
        <x:v>小型</x:v>
      </x:c>
      <x:c r="G48" s="14" t="str">
        <x:v>机动</x:v>
      </x:c>
      <x:c r="H48" s="21" t="n">
        <x:f>ROUND(50*IF(E48="青铜",1,IF(E48="白银",2,IF(E48="黄金",3.2,IF(E48="钻石",4.8,1))))*IF(F48="小型",1,IF(F48="中型",1.6,IF(F48="大型",2.56,1))),0)</x:f>
        <x:v>100</x:v>
      </x:c>
      <x:c r="I48" s="21" t="n">
        <x:f>K48+3*L48+M48*5</x:f>
        <x:v>55</x:v>
      </x:c>
      <x:c r="J48" s="21" t="n">
        <x:f>I48-H48</x:f>
        <x:v>-45</x:v>
      </x:c>
      <x:c r="K48" s="21" t="n">
        <x:v>28</x:v>
      </x:c>
      <x:c r="L48" s="21" t="n">
        <x:v>4</x:v>
      </x:c>
      <x:c r="M48" s="21" t="n">
        <x:v>3</x:v>
      </x:c>
      <x:c r="N48" s="14" t="str">
        <x:v>T2 长柄T</x:v>
      </x:c>
      <x:c r="O48" s="14" t="str">
        <x:v>T形/5格</x:v>
      </x:c>
      <x:c r="P48" s="14" t="str">
        <x:v>牵制</x:v>
      </x:c>
      <x:c r="Q48" s="14" t="str">
        <x:v>advHitBonus</x:v>
      </x:c>
      <x:c r="R48" s="14" t="str">
        <x:v>风、机动、灵活、泛用</x:v>
      </x:c>
      <x:c r="S48" s="19" t="str">
        <x:v>—</x:v>
      </x:c>
      <x:c r="T48" s="14"/>
      <x:c r="U48" s="14" t="str">
        <x:v>pal_047</x:v>
      </x:c>
    </x:row>
    <x:row r="49" ht="20" customHeight="1">
      <x:c r="A49" s="19" t="str">
        <x:v>No.048</x:v>
      </x:c>
      <x:c r="B49" s="14" t="str">
        <x:v>羽箭射手</x:v>
      </x:c>
      <x:c r="C49" s="19" t="str">
        <x:v>风</x:v>
      </x:c>
      <x:c r="D49" s="19" t="str">
        <x:v>草</x:v>
      </x:c>
      <x:c r="E49" s="19" t="str">
        <x:v>白银</x:v>
      </x:c>
      <x:c r="F49" s="19" t="str">
        <x:v>小型</x:v>
      </x:c>
      <x:c r="G49" s="14" t="str">
        <x:v>治疗</x:v>
      </x:c>
      <x:c r="H49" s="21" t="n">
        <x:f>ROUND(50*IF(E49="青铜",1,IF(E49="白银",2,IF(E49="黄金",3.2,IF(E49="钻石",4.8,1))))*IF(F49="小型",1,IF(F49="中型",1.6,IF(F49="大型",2.56,1))),0)</x:f>
        <x:v>100</x:v>
      </x:c>
      <x:c r="I49" s="21" t="n">
        <x:f>K49+3*L49+M49*5</x:f>
        <x:v>53</x:v>
      </x:c>
      <x:c r="J49" s="21" t="n">
        <x:f>I49-H49</x:f>
        <x:v>-47</x:v>
      </x:c>
      <x:c r="K49" s="21" t="n">
        <x:v>29</x:v>
      </x:c>
      <x:c r="L49" s="21" t="n">
        <x:v>3</x:v>
      </x:c>
      <x:c r="M49" s="21" t="n">
        <x:v>3</x:v>
      </x:c>
      <x:c r="N49" s="14" t="str">
        <x:v>T1 标准前置T</x:v>
      </x:c>
      <x:c r="O49" s="14" t="str">
        <x:v>T形/4格</x:v>
      </x:c>
      <x:c r="P49" s="14" t="str">
        <x:v>场地</x:v>
      </x:c>
      <x:c r="Q49" s="14" t="str">
        <x:v>healAmpBonus</x:v>
      </x:c>
      <x:c r="R49" s="14" t="str">
        <x:v>风、治疗、后排、增益</x:v>
      </x:c>
      <x:c r="S49" s="19" t="str">
        <x:v>—</x:v>
      </x:c>
      <x:c r="T49" s="14"/>
      <x:c r="U49" s="14" t="str">
        <x:v>pal_048</x:v>
      </x:c>
    </x:row>
    <x:row r="50" ht="20" customHeight="1">
      <x:c r="A50" s="19" t="str">
        <x:v>No.049</x:v>
      </x:c>
      <x:c r="B50" s="14" t="str">
        <x:v>铁拳猿</x:v>
      </x:c>
      <x:c r="C50" s="19" t="str">
        <x:v>风</x:v>
      </x:c>
      <x:c r="D50" s="19"/>
      <x:c r="E50" s="19" t="str">
        <x:v>白银</x:v>
      </x:c>
      <x:c r="F50" s="19" t="str">
        <x:v>小型</x:v>
      </x:c>
      <x:c r="G50" s="14" t="str">
        <x:v>防御</x:v>
      </x:c>
      <x:c r="H50" s="21" t="n">
        <x:f>ROUND(50*IF(E50="青铜",1,IF(E50="白银",2,IF(E50="黄金",3.2,IF(E50="钻石",4.8,1))))*IF(F50="小型",1,IF(F50="中型",1.6,IF(F50="大型",2.56,1))),0)</x:f>
        <x:v>100</x:v>
      </x:c>
      <x:c r="I50" s="21" t="n">
        <x:f>K50+3*L50+M50*5</x:f>
        <x:v>61</x:v>
      </x:c>
      <x:c r="J50" s="21" t="n">
        <x:f>I50-H50</x:f>
        <x:v>-39</x:v>
      </x:c>
      <x:c r="K50" s="21" t="n">
        <x:v>37</x:v>
      </x:c>
      <x:c r="L50" s="21" t="n">
        <x:v>3</x:v>
      </x:c>
      <x:c r="M50" s="21" t="n">
        <x:v>3</x:v>
      </x:c>
      <x:c r="N50" s="14" t="str">
        <x:v>B1 横扫三格</x:v>
      </x:c>
      <x:c r="O50" s="14" t="str">
        <x:v>扫击/3格</x:v>
      </x:c>
      <x:c r="P50" s="14" t="str">
        <x:v>阻挡</x:v>
      </x:c>
      <x:c r="Q50" s="14" t="str">
        <x:v>castleReduce</x:v>
      </x:c>
      <x:c r="R50" s="14" t="str">
        <x:v>风、防御、前排、阻挡</x:v>
      </x:c>
      <x:c r="S50" s="19" t="str">
        <x:v>—</x:v>
      </x:c>
      <x:c r="T50" s="14"/>
      <x:c r="U50" s="14" t="str">
        <x:v>pal_049</x:v>
      </x:c>
    </x:row>
    <x:row r="51" ht="20" customHeight="1">
      <x:c r="A51" s="19" t="str">
        <x:v>No.050</x:v>
      </x:c>
      <x:c r="B51" s="14" t="str">
        <x:v>骑士蜂</x:v>
      </x:c>
      <x:c r="C51" s="19" t="str">
        <x:v>风</x:v>
      </x:c>
      <x:c r="D51" s="19" t="str">
        <x:v>草</x:v>
      </x:c>
      <x:c r="E51" s="19" t="str">
        <x:v>白银</x:v>
      </x:c>
      <x:c r="F51" s="19" t="str">
        <x:v>中型</x:v>
      </x:c>
      <x:c r="G51" s="14" t="str">
        <x:v>召唤</x:v>
      </x:c>
      <x:c r="H51" s="21" t="n">
        <x:f>ROUND(50*IF(E51="青铜",1,IF(E51="白银",2,IF(E51="黄金",3.2,IF(E51="钻石",4.8,1))))*IF(F51="小型",1,IF(F51="中型",1.6,IF(F51="大型",2.56,1))),0)</x:f>
        <x:v>160</x:v>
      </x:c>
      <x:c r="I51" s="21" t="n">
        <x:f>K51+3*L51+M51*5</x:f>
        <x:v>58</x:v>
      </x:c>
      <x:c r="J51" s="21" t="n">
        <x:f>I51-H51</x:f>
        <x:v>-102</x:v>
      </x:c>
      <x:c r="K51" s="21" t="n">
        <x:v>28</x:v>
      </x:c>
      <x:c r="L51" s="21" t="n">
        <x:v>5</x:v>
      </x:c>
      <x:c r="M51" s="21" t="n">
        <x:v>3</x:v>
      </x:c>
      <x:c r="N51" s="14" t="str">
        <x:v>A1 单点刺</x:v>
      </x:c>
      <x:c r="O51" s="14" t="str">
        <x:v>直线/1格</x:v>
      </x:c>
      <x:c r="P51" s="14" t="str">
        <x:v>召唤</x:v>
      </x:c>
      <x:c r="Q51" s="14" t="str">
        <x:v>summonFromCell</x:v>
      </x:c>
      <x:c r="R51" s="14" t="str">
        <x:v>风、召唤、成长、核心</x:v>
      </x:c>
      <x:c r="S51" s="19" t="str">
        <x:v>是</x:v>
      </x:c>
      <x:c r="T51" s="14"/>
      <x:c r="U51" s="14" t="str">
        <x:v>pal_050</x:v>
      </x:c>
    </x:row>
    <x:row r="52" ht="20" customHeight="1">
      <x:c r="A52" s="19" t="str">
        <x:v>No.051</x:v>
      </x:c>
      <x:c r="B52" s="14" t="str">
        <x:v>女皇蜂</x:v>
      </x:c>
      <x:c r="C52" s="19" t="str">
        <x:v>风</x:v>
      </x:c>
      <x:c r="D52" s="19" t="str">
        <x:v>草</x:v>
      </x:c>
      <x:c r="E52" s="19" t="str">
        <x:v>白银</x:v>
      </x:c>
      <x:c r="F52" s="19" t="str">
        <x:v>小型</x:v>
      </x:c>
      <x:c r="G52" s="14" t="str">
        <x:v>治疗</x:v>
      </x:c>
      <x:c r="H52" s="21" t="n">
        <x:f>ROUND(50*IF(E52="青铜",1,IF(E52="白银",2,IF(E52="黄金",3.2,IF(E52="钻石",4.8,1))))*IF(F52="小型",1,IF(F52="中型",1.6,IF(F52="大型",2.56,1))),0)</x:f>
        <x:v>100</x:v>
      </x:c>
      <x:c r="I52" s="21" t="n">
        <x:f>K52+3*L52+M52*5</x:f>
        <x:v>53</x:v>
      </x:c>
      <x:c r="J52" s="21" t="n">
        <x:f>I52-H52</x:f>
        <x:v>-47</x:v>
      </x:c>
      <x:c r="K52" s="21" t="n">
        <x:v>29</x:v>
      </x:c>
      <x:c r="L52" s="21" t="n">
        <x:v>3</x:v>
      </x:c>
      <x:c r="M52" s="21" t="n">
        <x:v>3</x:v>
      </x:c>
      <x:c r="N52" s="14" t="str">
        <x:v>T1 标准前置T</x:v>
      </x:c>
      <x:c r="O52" s="14" t="str">
        <x:v>T形/4格</x:v>
      </x:c>
      <x:c r="P52" s="14" t="str">
        <x:v>场地</x:v>
      </x:c>
      <x:c r="Q52" s="14" t="str">
        <x:v>healAmpBonus</x:v>
      </x:c>
      <x:c r="R52" s="14" t="str">
        <x:v>风、治疗、后排、增益</x:v>
      </x:c>
      <x:c r="S52" s="19" t="str">
        <x:v>—</x:v>
      </x:c>
      <x:c r="T52" s="14"/>
      <x:c r="U52" s="14" t="str">
        <x:v>pal_051</x:v>
      </x:c>
    </x:row>
    <x:row r="53" ht="20" customHeight="1">
      <x:c r="A53" s="19" t="str">
        <x:v>No.052</x:v>
      </x:c>
      <x:c r="B53" s="14" t="str">
        <x:v>笑魇猫</x:v>
      </x:c>
      <x:c r="C53" s="19" t="str">
        <x:v>风</x:v>
      </x:c>
      <x:c r="D53" s="19"/>
      <x:c r="E53" s="19" t="str">
        <x:v>白银</x:v>
      </x:c>
      <x:c r="F53" s="19" t="str">
        <x:v>小型</x:v>
      </x:c>
      <x:c r="G53" s="14" t="str">
        <x:v>机动</x:v>
      </x:c>
      <x:c r="H53" s="21" t="n">
        <x:f>ROUND(50*IF(E53="青铜",1,IF(E53="白银",2,IF(E53="黄金",3.2,IF(E53="钻石",4.8,1))))*IF(F53="小型",1,IF(F53="中型",1.6,IF(F53="大型",2.56,1))),0)</x:f>
        <x:v>100</x:v>
      </x:c>
      <x:c r="I53" s="21" t="n">
        <x:f>K53+3*L53+M53*5</x:f>
        <x:v>55</x:v>
      </x:c>
      <x:c r="J53" s="21" t="n">
        <x:f>I53-H53</x:f>
        <x:v>-45</x:v>
      </x:c>
      <x:c r="K53" s="21" t="n">
        <x:v>28</x:v>
      </x:c>
      <x:c r="L53" s="21" t="n">
        <x:v>4</x:v>
      </x:c>
      <x:c r="M53" s="21" t="n">
        <x:v>3</x:v>
      </x:c>
      <x:c r="N53" s="14" t="str">
        <x:v>T2 长柄T</x:v>
      </x:c>
      <x:c r="O53" s="14" t="str">
        <x:v>T形/5格</x:v>
      </x:c>
      <x:c r="P53" s="14" t="str">
        <x:v>牵制</x:v>
      </x:c>
      <x:c r="Q53" s="14" t="str">
        <x:v>advHitBonus</x:v>
      </x:c>
      <x:c r="R53" s="14" t="str">
        <x:v>风、机动、灵活、泛用</x:v>
      </x:c>
      <x:c r="S53" s="19" t="str">
        <x:v>—</x:v>
      </x:c>
      <x:c r="T53" s="14"/>
      <x:c r="U53" s="14" t="str">
        <x:v>pal_052</x:v>
      </x:c>
    </x:row>
    <x:row r="54" ht="20" customHeight="1">
      <x:c r="A54" s="19" t="str">
        <x:v>No.053</x:v>
      </x:c>
      <x:c r="B54" s="14" t="str">
        <x:v>毛掸儿</x:v>
      </x:c>
      <x:c r="C54" s="19" t="str">
        <x:v>水</x:v>
      </x:c>
      <x:c r="D54" s="19" t="str">
        <x:v>冰</x:v>
      </x:c>
      <x:c r="E54" s="19" t="str">
        <x:v>白银</x:v>
      </x:c>
      <x:c r="F54" s="19" t="str">
        <x:v>小型</x:v>
      </x:c>
      <x:c r="G54" s="14" t="str">
        <x:v>牵制</x:v>
      </x:c>
      <x:c r="H54" s="21" t="n">
        <x:f>ROUND(50*IF(E54="青铜",1,IF(E54="白银",2,IF(E54="黄金",3.2,IF(E54="钻石",4.8,1))))*IF(F54="小型",1,IF(F54="中型",1.6,IF(F54="大型",2.56,1))),0)</x:f>
        <x:v>100</x:v>
      </x:c>
      <x:c r="I54" s="21" t="n">
        <x:f>K54+3*L54+M54*5</x:f>
        <x:v>56</x:v>
      </x:c>
      <x:c r="J54" s="21" t="n">
        <x:f>I54-H54</x:f>
        <x:v>-44</x:v>
      </x:c>
      <x:c r="K54" s="21" t="n">
        <x:v>29</x:v>
      </x:c>
      <x:c r="L54" s="21" t="n">
        <x:v>4</x:v>
      </x:c>
      <x:c r="M54" s="21" t="n">
        <x:v>3</x:v>
      </x:c>
      <x:c r="N54" s="14" t="str">
        <x:v>T1 标准前置T</x:v>
      </x:c>
      <x:c r="O54" s="14" t="str">
        <x:v>T形/4格</x:v>
      </x:c>
      <x:c r="P54" s="14" t="str">
        <x:v>牵制</x:v>
      </x:c>
      <x:c r="Q54" s="14" t="str">
        <x:v>healAmpBonus</x:v>
      </x:c>
      <x:c r="R54" s="14" t="str">
        <x:v>水、牵制、范围、机动</x:v>
      </x:c>
      <x:c r="S54" s="19" t="str">
        <x:v>—</x:v>
      </x:c>
      <x:c r="T54" s="14"/>
      <x:c r="U54" s="14" t="str">
        <x:v>pal_053</x:v>
      </x:c>
    </x:row>
    <x:row r="55" ht="20" customHeight="1">
      <x:c r="A55" s="19" t="str">
        <x:v>No.054</x:v>
      </x:c>
      <x:c r="B55" s="14" t="str">
        <x:v>毛老爹</x:v>
      </x:c>
      <x:c r="C55" s="19" t="str">
        <x:v>水</x:v>
      </x:c>
      <x:c r="D55" s="19" t="str">
        <x:v>冰</x:v>
      </x:c>
      <x:c r="E55" s="19" t="str">
        <x:v>白银</x:v>
      </x:c>
      <x:c r="F55" s="19" t="str">
        <x:v>小型</x:v>
      </x:c>
      <x:c r="G55" s="14" t="str">
        <x:v>牵制</x:v>
      </x:c>
      <x:c r="H55" s="21" t="n">
        <x:f>ROUND(50*IF(E55="青铜",1,IF(E55="白银",2,IF(E55="黄金",3.2,IF(E55="钻石",4.8,1))))*IF(F55="小型",1,IF(F55="中型",1.6,IF(F55="大型",2.56,1))),0)</x:f>
        <x:v>100</x:v>
      </x:c>
      <x:c r="I55" s="21" t="n">
        <x:f>K55+3*L55+M55*5</x:f>
        <x:v>56</x:v>
      </x:c>
      <x:c r="J55" s="21" t="n">
        <x:f>I55-H55</x:f>
        <x:v>-44</x:v>
      </x:c>
      <x:c r="K55" s="21" t="n">
        <x:v>29</x:v>
      </x:c>
      <x:c r="L55" s="21" t="n">
        <x:v>4</x:v>
      </x:c>
      <x:c r="M55" s="21" t="n">
        <x:v>3</x:v>
      </x:c>
      <x:c r="N55" s="14" t="str">
        <x:v>T1 标准前置T</x:v>
      </x:c>
      <x:c r="O55" s="14" t="str">
        <x:v>T形/4格</x:v>
      </x:c>
      <x:c r="P55" s="14" t="str">
        <x:v>牵制</x:v>
      </x:c>
      <x:c r="Q55" s="14" t="str">
        <x:v>healAmpBonus</x:v>
      </x:c>
      <x:c r="R55" s="14" t="str">
        <x:v>水、牵制、范围、机动</x:v>
      </x:c>
      <x:c r="S55" s="19" t="str">
        <x:v>—</x:v>
      </x:c>
      <x:c r="T55" s="14"/>
      <x:c r="U55" s="14" t="str">
        <x:v>pal_054</x:v>
      </x:c>
    </x:row>
    <x:row r="56" ht="20" customHeight="1">
      <x:c r="A56" s="19" t="str">
        <x:v>No.055</x:v>
      </x:c>
      <x:c r="B56" s="14" t="str">
        <x:v>疾旋鼬</x:v>
      </x:c>
      <x:c r="C56" s="19" t="str">
        <x:v>水</x:v>
      </x:c>
      <x:c r="D56" s="19" t="str">
        <x:v>冰、龙</x:v>
      </x:c>
      <x:c r="E56" s="19" t="str">
        <x:v>白银</x:v>
      </x:c>
      <x:c r="F56" s="19" t="str">
        <x:v>中型</x:v>
      </x:c>
      <x:c r="G56" s="14" t="str">
        <x:v>牵制</x:v>
      </x:c>
      <x:c r="H56" s="21" t="n">
        <x:f>ROUND(50*IF(E56="青铜",1,IF(E56="白银",2,IF(E56="黄金",3.2,IF(E56="钻石",4.8,1))))*IF(F56="小型",1,IF(F56="中型",1.6,IF(F56="大型",2.56,1))),0)</x:f>
        <x:v>160</x:v>
      </x:c>
      <x:c r="I56" s="21" t="n">
        <x:f>K56+3*L56+M56*5</x:f>
        <x:v>62</x:v>
      </x:c>
      <x:c r="J56" s="21" t="n">
        <x:f>I56-H56</x:f>
        <x:v>-98</x:v>
      </x:c>
      <x:c r="K56" s="21" t="n">
        <x:v>29</x:v>
      </x:c>
      <x:c r="L56" s="21" t="n">
        <x:v>6</x:v>
      </x:c>
      <x:c r="M56" s="21" t="n">
        <x:v>3</x:v>
      </x:c>
      <x:c r="N56" s="14" t="str">
        <x:v>T1 标准前置T</x:v>
      </x:c>
      <x:c r="O56" s="14" t="str">
        <x:v>T形/4格</x:v>
      </x:c>
      <x:c r="P56" s="14" t="str">
        <x:v>牵制</x:v>
      </x:c>
      <x:c r="Q56" s="14" t="str">
        <x:v>healAmpBonus</x:v>
      </x:c>
      <x:c r="R56" s="14" t="str">
        <x:v>水、牵制、范围、机动</x:v>
      </x:c>
      <x:c r="S56" s="19" t="str">
        <x:v>—</x:v>
      </x:c>
      <x:c r="T56" s="14"/>
      <x:c r="U56" s="14" t="str">
        <x:v>pal_055</x:v>
      </x:c>
    </x:row>
    <x:row r="57" ht="20" customHeight="1">
      <x:c r="A57" s="19" t="str">
        <x:v>No.056</x:v>
      </x:c>
      <x:c r="B57" s="14" t="str">
        <x:v>雷角马</x:v>
      </x:c>
      <x:c r="C57" s="19" t="str">
        <x:v>风</x:v>
      </x:c>
      <x:c r="D57" s="19" t="str">
        <x:v>雷</x:v>
      </x:c>
      <x:c r="E57" s="19" t="str">
        <x:v>白银</x:v>
      </x:c>
      <x:c r="F57" s="19" t="str">
        <x:v>小型</x:v>
      </x:c>
      <x:c r="G57" s="14" t="str">
        <x:v>牵制</x:v>
      </x:c>
      <x:c r="H57" s="21" t="n">
        <x:f>ROUND(50*IF(E57="青铜",1,IF(E57="白银",2,IF(E57="黄金",3.2,IF(E57="钻石",4.8,1))))*IF(F57="小型",1,IF(F57="中型",1.6,IF(F57="大型",2.56,1))),0)</x:f>
        <x:v>100</x:v>
      </x:c>
      <x:c r="I57" s="21" t="n">
        <x:f>K57+3*L57+M57*5</x:f>
        <x:v>55</x:v>
      </x:c>
      <x:c r="J57" s="21" t="n">
        <x:f>I57-H57</x:f>
        <x:v>-45</x:v>
      </x:c>
      <x:c r="K57" s="21" t="n">
        <x:v>28</x:v>
      </x:c>
      <x:c r="L57" s="21" t="n">
        <x:v>4</x:v>
      </x:c>
      <x:c r="M57" s="21" t="n">
        <x:v>3</x:v>
      </x:c>
      <x:c r="N57" s="14" t="str">
        <x:v>T2 长柄T</x:v>
      </x:c>
      <x:c r="O57" s="14" t="str">
        <x:v>T形/5格</x:v>
      </x:c>
      <x:c r="P57" s="14" t="str">
        <x:v>牵制</x:v>
      </x:c>
      <x:c r="Q57" s="14" t="str">
        <x:v>advHitBonus</x:v>
      </x:c>
      <x:c r="R57" s="14" t="str">
        <x:v>风、牵制、范围、机动</x:v>
      </x:c>
      <x:c r="S57" s="19" t="str">
        <x:v>—</x:v>
      </x:c>
      <x:c r="T57" s="14"/>
      <x:c r="U57" s="14" t="str">
        <x:v>pal_056</x:v>
      </x:c>
    </x:row>
    <x:row r="58" ht="20" customHeight="1">
      <x:c r="A58" s="19" t="str">
        <x:v>No.057</x:v>
      </x:c>
      <x:c r="B58" s="14" t="str">
        <x:v>吹雪狐</x:v>
      </x:c>
      <x:c r="C58" s="19" t="str">
        <x:v>水</x:v>
      </x:c>
      <x:c r="D58" s="19" t="str">
        <x:v>冰</x:v>
      </x:c>
      <x:c r="E58" s="19" t="str">
        <x:v>白银</x:v>
      </x:c>
      <x:c r="F58" s="19" t="str">
        <x:v>小型</x:v>
      </x:c>
      <x:c r="G58" s="14" t="str">
        <x:v>牵制</x:v>
      </x:c>
      <x:c r="H58" s="21" t="n">
        <x:f>ROUND(50*IF(E58="青铜",1,IF(E58="白银",2,IF(E58="黄金",3.2,IF(E58="钻石",4.8,1))))*IF(F58="小型",1,IF(F58="中型",1.6,IF(F58="大型",2.56,1))),0)</x:f>
        <x:v>100</x:v>
      </x:c>
      <x:c r="I58" s="21" t="n">
        <x:f>K58+3*L58+M58*5</x:f>
        <x:v>56</x:v>
      </x:c>
      <x:c r="J58" s="21" t="n">
        <x:f>I58-H58</x:f>
        <x:v>-44</x:v>
      </x:c>
      <x:c r="K58" s="21" t="n">
        <x:v>29</x:v>
      </x:c>
      <x:c r="L58" s="21" t="n">
        <x:v>4</x:v>
      </x:c>
      <x:c r="M58" s="21" t="n">
        <x:v>3</x:v>
      </x:c>
      <x:c r="N58" s="14" t="str">
        <x:v>T1 标准前置T</x:v>
      </x:c>
      <x:c r="O58" s="14" t="str">
        <x:v>T形/4格</x:v>
      </x:c>
      <x:c r="P58" s="14" t="str">
        <x:v>牵制</x:v>
      </x:c>
      <x:c r="Q58" s="14" t="str">
        <x:v>healAmpBonus</x:v>
      </x:c>
      <x:c r="R58" s="14" t="str">
        <x:v>水、牵制、范围、机动</x:v>
      </x:c>
      <x:c r="S58" s="19" t="str">
        <x:v>—</x:v>
      </x:c>
      <x:c r="T58" s="14"/>
      <x:c r="U58" s="14" t="str">
        <x:v>pal_057</x:v>
      </x:c>
    </x:row>
    <x:row r="59" ht="20" customHeight="1">
      <x:c r="A59" s="19" t="str">
        <x:v>No.058</x:v>
      </x:c>
      <x:c r="B59" s="14" t="str">
        <x:v>火麒麟</x:v>
      </x:c>
      <x:c r="C59" s="19" t="str">
        <x:v>火</x:v>
      </x:c>
      <x:c r="D59" s="19"/>
      <x:c r="E59" s="19" t="str">
        <x:v>白银</x:v>
      </x:c>
      <x:c r="F59" s="19" t="str">
        <x:v>小型</x:v>
      </x:c>
      <x:c r="G59" s="14" t="str">
        <x:v>输出</x:v>
      </x:c>
      <x:c r="H59" s="21" t="n">
        <x:f>ROUND(50*IF(E59="青铜",1,IF(E59="白银",2,IF(E59="黄金",3.2,IF(E59="钻石",4.8,1))))*IF(F59="小型",1,IF(F59="中型",1.6,IF(F59="大型",2.56,1))),0)</x:f>
        <x:v>100</x:v>
      </x:c>
      <x:c r="I59" s="21" t="n">
        <x:f>K59+3*L59+M59*5</x:f>
        <x:v>62</x:v>
      </x:c>
      <x:c r="J59" s="21" t="n">
        <x:f>I59-H59</x:f>
        <x:v>-38</x:v>
      </x:c>
      <x:c r="K59" s="21" t="n">
        <x:v>35</x:v>
      </x:c>
      <x:c r="L59" s="21" t="n">
        <x:v>4</x:v>
      </x:c>
      <x:c r="M59" s="21" t="n">
        <x:v>3</x:v>
      </x:c>
      <x:c r="N59" s="14" t="str">
        <x:v>B1 横扫三格</x:v>
      </x:c>
      <x:c r="O59" s="14" t="str">
        <x:v>扫击/3格</x:v>
      </x:c>
      <x:c r="P59" s="14" t="str">
        <x:v>输出</x:v>
      </x:c>
      <x:c r="Q59" s="14" t="str">
        <x:v>castleReduce</x:v>
      </x:c>
      <x:c r="R59" s="14" t="str">
        <x:v>火、输出、爆发、前排</x:v>
      </x:c>
      <x:c r="S59" s="19" t="str">
        <x:v>—</x:v>
      </x:c>
      <x:c r="T59" s="14"/>
      <x:c r="U59" s="14" t="str">
        <x:v>pal_058</x:v>
      </x:c>
    </x:row>
    <x:row r="60" ht="20" customHeight="1">
      <x:c r="A60" s="19" t="str">
        <x:v>No.059</x:v>
      </x:c>
      <x:c r="B60" s="14" t="str">
        <x:v>严冬鹿</x:v>
      </x:c>
      <x:c r="C60" s="19" t="str">
        <x:v>水</x:v>
      </x:c>
      <x:c r="D60" s="19" t="str">
        <x:v>冰</x:v>
      </x:c>
      <x:c r="E60" s="19" t="str">
        <x:v>白银</x:v>
      </x:c>
      <x:c r="F60" s="19" t="str">
        <x:v>小型</x:v>
      </x:c>
      <x:c r="G60" s="14" t="str">
        <x:v>牵制</x:v>
      </x:c>
      <x:c r="H60" s="21" t="n">
        <x:f>ROUND(50*IF(E60="青铜",1,IF(E60="白银",2,IF(E60="黄金",3.2,IF(E60="钻石",4.8,1))))*IF(F60="小型",1,IF(F60="中型",1.6,IF(F60="大型",2.56,1))),0)</x:f>
        <x:v>100</x:v>
      </x:c>
      <x:c r="I60" s="21" t="n">
        <x:f>K60+3*L60+M60*5</x:f>
        <x:v>56</x:v>
      </x:c>
      <x:c r="J60" s="21" t="n">
        <x:f>I60-H60</x:f>
        <x:v>-44</x:v>
      </x:c>
      <x:c r="K60" s="21" t="n">
        <x:v>29</x:v>
      </x:c>
      <x:c r="L60" s="21" t="n">
        <x:v>4</x:v>
      </x:c>
      <x:c r="M60" s="21" t="n">
        <x:v>3</x:v>
      </x:c>
      <x:c r="N60" s="14" t="str">
        <x:v>T1 标准前置T</x:v>
      </x:c>
      <x:c r="O60" s="14" t="str">
        <x:v>T形/4格</x:v>
      </x:c>
      <x:c r="P60" s="14" t="str">
        <x:v>牵制</x:v>
      </x:c>
      <x:c r="Q60" s="14" t="str">
        <x:v>healAmpBonus</x:v>
      </x:c>
      <x:c r="R60" s="14" t="str">
        <x:v>水、牵制、范围、机动</x:v>
      </x:c>
      <x:c r="S60" s="19" t="str">
        <x:v>—</x:v>
      </x:c>
      <x:c r="T60" s="14"/>
      <x:c r="U60" s="14" t="str">
        <x:v>pal_059</x:v>
      </x:c>
    </x:row>
    <x:row r="61" ht="20" customHeight="1">
      <x:c r="A61" s="19" t="str">
        <x:v>No.060</x:v>
      </x:c>
      <x:c r="B61" s="14" t="str">
        <x:v>霹雳犬</x:v>
      </x:c>
      <x:c r="C61" s="19" t="str">
        <x:v>风</x:v>
      </x:c>
      <x:c r="D61" s="19" t="str">
        <x:v>雷</x:v>
      </x:c>
      <x:c r="E61" s="19" t="str">
        <x:v>白银</x:v>
      </x:c>
      <x:c r="F61" s="19" t="str">
        <x:v>小型</x:v>
      </x:c>
      <x:c r="G61" s="14" t="str">
        <x:v>牵制</x:v>
      </x:c>
      <x:c r="H61" s="21" t="n">
        <x:f>ROUND(50*IF(E61="青铜",1,IF(E61="白银",2,IF(E61="黄金",3.2,IF(E61="钻石",4.8,1))))*IF(F61="小型",1,IF(F61="中型",1.6,IF(F61="大型",2.56,1))),0)</x:f>
        <x:v>100</x:v>
      </x:c>
      <x:c r="I61" s="21" t="n">
        <x:f>K61+3*L61+M61*5</x:f>
        <x:v>55</x:v>
      </x:c>
      <x:c r="J61" s="21" t="n">
        <x:f>I61-H61</x:f>
        <x:v>-45</x:v>
      </x:c>
      <x:c r="K61" s="21" t="n">
        <x:v>28</x:v>
      </x:c>
      <x:c r="L61" s="21" t="n">
        <x:v>4</x:v>
      </x:c>
      <x:c r="M61" s="21" t="n">
        <x:v>3</x:v>
      </x:c>
      <x:c r="N61" s="14" t="str">
        <x:v>T2 长柄T</x:v>
      </x:c>
      <x:c r="O61" s="14" t="str">
        <x:v>T形/5格</x:v>
      </x:c>
      <x:c r="P61" s="14" t="str">
        <x:v>牵制</x:v>
      </x:c>
      <x:c r="Q61" s="14" t="str">
        <x:v>advHitBonus</x:v>
      </x:c>
      <x:c r="R61" s="14" t="str">
        <x:v>风、牵制、范围、机动</x:v>
      </x:c>
      <x:c r="S61" s="19" t="str">
        <x:v>—</x:v>
      </x:c>
      <x:c r="T61" s="14"/>
      <x:c r="U61" s="14" t="str">
        <x:v>pal_060</x:v>
      </x:c>
    </x:row>
    <x:row r="62" ht="20" customHeight="1">
      <x:c r="A62" s="19" t="str">
        <x:v>No.061</x:v>
      </x:c>
      <x:c r="B62" s="14" t="str">
        <x:v>苍焰狼</x:v>
      </x:c>
      <x:c r="C62" s="19" t="str">
        <x:v>火</x:v>
      </x:c>
      <x:c r="D62" s="19"/>
      <x:c r="E62" s="19" t="str">
        <x:v>白银</x:v>
      </x:c>
      <x:c r="F62" s="19" t="str">
        <x:v>中型</x:v>
      </x:c>
      <x:c r="G62" s="14" t="str">
        <x:v>输出</x:v>
      </x:c>
      <x:c r="H62" s="21" t="n">
        <x:f>ROUND(50*IF(E62="青铜",1,IF(E62="白银",2,IF(E62="黄金",3.2,IF(E62="钻石",4.8,1))))*IF(F62="小型",1,IF(F62="中型",1.6,IF(F62="大型",2.56,1))),0)</x:f>
        <x:v>160</x:v>
      </x:c>
      <x:c r="I62" s="21" t="n">
        <x:f>K62+3*L62+M62*5</x:f>
        <x:v>68</x:v>
      </x:c>
      <x:c r="J62" s="21" t="n">
        <x:f>I62-H62</x:f>
        <x:v>-92</x:v>
      </x:c>
      <x:c r="K62" s="21" t="n">
        <x:v>35</x:v>
      </x:c>
      <x:c r="L62" s="21" t="n">
        <x:v>6</x:v>
      </x:c>
      <x:c r="M62" s="21" t="n">
        <x:v>3</x:v>
      </x:c>
      <x:c r="N62" s="14" t="str">
        <x:v>B1 横扫三格</x:v>
      </x:c>
      <x:c r="O62" s="14" t="str">
        <x:v>扫击/3格</x:v>
      </x:c>
      <x:c r="P62" s="14" t="str">
        <x:v>输出</x:v>
      </x:c>
      <x:c r="Q62" s="14" t="str">
        <x:v>castleReduce</x:v>
      </x:c>
      <x:c r="R62" s="14" t="str">
        <x:v>火、输出、爆发、前排</x:v>
      </x:c>
      <x:c r="S62" s="19" t="str">
        <x:v>—</x:v>
      </x:c>
      <x:c r="T62" s="14"/>
      <x:c r="U62" s="14" t="str">
        <x:v>pal_061</x:v>
      </x:c>
    </x:row>
    <x:row r="63" ht="20" customHeight="1">
      <x:c r="A63" s="19" t="str">
        <x:v>No.062</x:v>
      </x:c>
      <x:c r="B63" s="14" t="str">
        <x:v>雷鸣童子</x:v>
      </x:c>
      <x:c r="C63" s="19" t="str">
        <x:v>风</x:v>
      </x:c>
      <x:c r="D63" s="19" t="str">
        <x:v>雷</x:v>
      </x:c>
      <x:c r="E63" s="19" t="str">
        <x:v>白银</x:v>
      </x:c>
      <x:c r="F63" s="19" t="str">
        <x:v>小型</x:v>
      </x:c>
      <x:c r="G63" s="14" t="str">
        <x:v>牵制</x:v>
      </x:c>
      <x:c r="H63" s="21" t="n">
        <x:f>ROUND(50*IF(E63="青铜",1,IF(E63="白银",2,IF(E63="黄金",3.2,IF(E63="钻石",4.8,1))))*IF(F63="小型",1,IF(F63="中型",1.6,IF(F63="大型",2.56,1))),0)</x:f>
        <x:v>100</x:v>
      </x:c>
      <x:c r="I63" s="21" t="n">
        <x:f>K63+3*L63+M63*5</x:f>
        <x:v>55</x:v>
      </x:c>
      <x:c r="J63" s="21" t="n">
        <x:f>I63-H63</x:f>
        <x:v>-45</x:v>
      </x:c>
      <x:c r="K63" s="21" t="n">
        <x:v>28</x:v>
      </x:c>
      <x:c r="L63" s="21" t="n">
        <x:v>4</x:v>
      </x:c>
      <x:c r="M63" s="21" t="n">
        <x:v>3</x:v>
      </x:c>
      <x:c r="N63" s="14" t="str">
        <x:v>T2 长柄T</x:v>
      </x:c>
      <x:c r="O63" s="14" t="str">
        <x:v>T形/5格</x:v>
      </x:c>
      <x:c r="P63" s="14" t="str">
        <x:v>牵制</x:v>
      </x:c>
      <x:c r="Q63" s="14" t="str">
        <x:v>advHitBonus</x:v>
      </x:c>
      <x:c r="R63" s="14" t="str">
        <x:v>风、牵制、范围、机动</x:v>
      </x:c>
      <x:c r="S63" s="19" t="str">
        <x:v>—</x:v>
      </x:c>
      <x:c r="T63" s="14"/>
      <x:c r="U63" s="14" t="str">
        <x:v>pal_062</x:v>
      </x:c>
    </x:row>
    <x:row r="64" ht="20" customHeight="1">
      <x:c r="A64" s="19" t="str">
        <x:v>No.063</x:v>
      </x:c>
      <x:c r="B64" s="14" t="str">
        <x:v>秘斯媞雅</x:v>
      </x:c>
      <x:c r="C64" s="19" t="str">
        <x:v>风</x:v>
      </x:c>
      <x:c r="D64" s="19"/>
      <x:c r="E64" s="19" t="str">
        <x:v>白银</x:v>
      </x:c>
      <x:c r="F64" s="19" t="str">
        <x:v>小型</x:v>
      </x:c>
      <x:c r="G64" s="14" t="str">
        <x:v>召唤</x:v>
      </x:c>
      <x:c r="H64" s="21" t="n">
        <x:f>ROUND(50*IF(E64="青铜",1,IF(E64="白银",2,IF(E64="黄金",3.2,IF(E64="钻石",4.8,1))))*IF(F64="小型",1,IF(F64="中型",1.6,IF(F64="大型",2.56,1))),0)</x:f>
        <x:v>100</x:v>
      </x:c>
      <x:c r="I64" s="21" t="n">
        <x:f>K64+3*L64+M64*5</x:f>
        <x:v>52</x:v>
      </x:c>
      <x:c r="J64" s="21" t="n">
        <x:f>I64-H64</x:f>
        <x:v>-48</x:v>
      </x:c>
      <x:c r="K64" s="21" t="n">
        <x:v>28</x:v>
      </x:c>
      <x:c r="L64" s="21" t="n">
        <x:v>3</x:v>
      </x:c>
      <x:c r="M64" s="21" t="n">
        <x:v>3</x:v>
      </x:c>
      <x:c r="N64" s="14" t="str">
        <x:v>A1 单点刺</x:v>
      </x:c>
      <x:c r="O64" s="14" t="str">
        <x:v>直线/1格</x:v>
      </x:c>
      <x:c r="P64" s="14" t="str">
        <x:v>召唤</x:v>
      </x:c>
      <x:c r="Q64" s="14" t="str">
        <x:v>summonFromCell</x:v>
      </x:c>
      <x:c r="R64" s="14" t="str">
        <x:v>风、召唤、成长、核心</x:v>
      </x:c>
      <x:c r="S64" s="19" t="str">
        <x:v>是</x:v>
      </x:c>
      <x:c r="T64" s="14"/>
      <x:c r="U64" s="14" t="str">
        <x:v>pal_063</x:v>
      </x:c>
    </x:row>
    <x:row r="65" ht="20" customHeight="1">
      <x:c r="A65" s="19" t="str">
        <x:v>No.064</x:v>
      </x:c>
      <x:c r="B65" s="14" t="str">
        <x:v>花冠龙</x:v>
      </x:c>
      <x:c r="C65" s="19" t="str">
        <x:v>风</x:v>
      </x:c>
      <x:c r="D65" s="19" t="str">
        <x:v>草、龙</x:v>
      </x:c>
      <x:c r="E65" s="19" t="str">
        <x:v>白银</x:v>
      </x:c>
      <x:c r="F65" s="19" t="str">
        <x:v>中型</x:v>
      </x:c>
      <x:c r="G65" s="14" t="str">
        <x:v>召唤</x:v>
      </x:c>
      <x:c r="H65" s="21" t="n">
        <x:f>ROUND(50*IF(E65="青铜",1,IF(E65="白银",2,IF(E65="黄金",3.2,IF(E65="钻石",4.8,1))))*IF(F65="小型",1,IF(F65="中型",1.6,IF(F65="大型",2.56,1))),0)</x:f>
        <x:v>160</x:v>
      </x:c>
      <x:c r="I65" s="21" t="n">
        <x:f>K65+3*L65+M65*5</x:f>
        <x:v>58</x:v>
      </x:c>
      <x:c r="J65" s="21" t="n">
        <x:f>I65-H65</x:f>
        <x:v>-102</x:v>
      </x:c>
      <x:c r="K65" s="21" t="n">
        <x:v>28</x:v>
      </x:c>
      <x:c r="L65" s="21" t="n">
        <x:v>5</x:v>
      </x:c>
      <x:c r="M65" s="21" t="n">
        <x:v>3</x:v>
      </x:c>
      <x:c r="N65" s="14" t="str">
        <x:v>A1 单点刺</x:v>
      </x:c>
      <x:c r="O65" s="14" t="str">
        <x:v>直线/1格</x:v>
      </x:c>
      <x:c r="P65" s="14" t="str">
        <x:v>召唤</x:v>
      </x:c>
      <x:c r="Q65" s="14" t="str">
        <x:v>summonFromCell</x:v>
      </x:c>
      <x:c r="R65" s="14" t="str">
        <x:v>风、召唤、成长、核心</x:v>
      </x:c>
      <x:c r="S65" s="19" t="str">
        <x:v>是</x:v>
      </x:c>
      <x:c r="T65" s="14"/>
      <x:c r="U65" s="14" t="str">
        <x:v>pal_064</x:v>
      </x:c>
    </x:row>
    <x:row r="66" ht="20" customHeight="1">
      <x:c r="A66" s="19" t="str">
        <x:v>No.064B</x:v>
      </x:c>
      <x:c r="B66" s="14" t="str">
        <x:v>雷冠龙</x:v>
      </x:c>
      <x:c r="C66" s="19" t="str">
        <x:v>风</x:v>
      </x:c>
      <x:c r="D66" s="19" t="str">
        <x:v>雷、龙</x:v>
      </x:c>
      <x:c r="E66" s="19" t="str">
        <x:v>白银</x:v>
      </x:c>
      <x:c r="F66" s="19" t="str">
        <x:v>中型</x:v>
      </x:c>
      <x:c r="G66" s="14" t="str">
        <x:v>牵制</x:v>
      </x:c>
      <x:c r="H66" s="21" t="n">
        <x:f>ROUND(50*IF(E66="青铜",1,IF(E66="白银",2,IF(E66="黄金",3.2,IF(E66="钻石",4.8,1))))*IF(F66="小型",1,IF(F66="中型",1.6,IF(F66="大型",2.56,1))),0)</x:f>
        <x:v>160</x:v>
      </x:c>
      <x:c r="I66" s="21" t="n">
        <x:f>K66+3*L66+M66*5</x:f>
        <x:v>61</x:v>
      </x:c>
      <x:c r="J66" s="21" t="n">
        <x:f>I66-H66</x:f>
        <x:v>-99</x:v>
      </x:c>
      <x:c r="K66" s="21" t="n">
        <x:v>28</x:v>
      </x:c>
      <x:c r="L66" s="21" t="n">
        <x:v>6</x:v>
      </x:c>
      <x:c r="M66" s="21" t="n">
        <x:v>3</x:v>
      </x:c>
      <x:c r="N66" s="14" t="str">
        <x:v>T2 长柄T</x:v>
      </x:c>
      <x:c r="O66" s="14" t="str">
        <x:v>T形/5格</x:v>
      </x:c>
      <x:c r="P66" s="14" t="str">
        <x:v>牵制</x:v>
      </x:c>
      <x:c r="Q66" s="14" t="str">
        <x:v>advHitBonus</x:v>
      </x:c>
      <x:c r="R66" s="14" t="str">
        <x:v>风、牵制、范围、机动</x:v>
      </x:c>
      <x:c r="S66" s="19" t="str">
        <x:v>—</x:v>
      </x:c>
      <x:c r="T66" s="14"/>
      <x:c r="U66" s="14" t="str">
        <x:v>pal_065</x:v>
      </x:c>
    </x:row>
    <x:row r="67" ht="20" customHeight="1">
      <x:c r="A67" s="19" t="str">
        <x:v>No.065</x:v>
      </x:c>
      <x:c r="B67" s="14" t="str">
        <x:v>滑水蛇</x:v>
      </x:c>
      <x:c r="C67" s="19" t="str">
        <x:v>水</x:v>
      </x:c>
      <x:c r="D67" s="19"/>
      <x:c r="E67" s="19" t="str">
        <x:v>白银</x:v>
      </x:c>
      <x:c r="F67" s="19" t="str">
        <x:v>小型</x:v>
      </x:c>
      <x:c r="G67" s="14" t="str">
        <x:v>治疗</x:v>
      </x:c>
      <x:c r="H67" s="21" t="n">
        <x:f>ROUND(50*IF(E67="青铜",1,IF(E67="白银",2,IF(E67="黄金",3.2,IF(E67="钻石",4.8,1))))*IF(F67="小型",1,IF(F67="中型",1.6,IF(F67="大型",2.56,1))),0)</x:f>
        <x:v>100</x:v>
      </x:c>
      <x:c r="I67" s="21" t="n">
        <x:f>K67+3*L67+M67*5</x:f>
        <x:v>53</x:v>
      </x:c>
      <x:c r="J67" s="21" t="n">
        <x:f>I67-H67</x:f>
        <x:v>-47</x:v>
      </x:c>
      <x:c r="K67" s="21" t="n">
        <x:v>29</x:v>
      </x:c>
      <x:c r="L67" s="21" t="n">
        <x:v>3</x:v>
      </x:c>
      <x:c r="M67" s="21" t="n">
        <x:v>3</x:v>
      </x:c>
      <x:c r="N67" s="14" t="str">
        <x:v>T1 标准前置T</x:v>
      </x:c>
      <x:c r="O67" s="14" t="str">
        <x:v>T形/4格</x:v>
      </x:c>
      <x:c r="P67" s="14" t="str">
        <x:v>场地</x:v>
      </x:c>
      <x:c r="Q67" s="14" t="str">
        <x:v>healAmpBonus</x:v>
      </x:c>
      <x:c r="R67" s="14" t="str">
        <x:v>水、治疗、后排、增益</x:v>
      </x:c>
      <x:c r="S67" s="19" t="str">
        <x:v>—</x:v>
      </x:c>
      <x:c r="T67" s="14"/>
      <x:c r="U67" s="14" t="str">
        <x:v>pal_066</x:v>
      </x:c>
    </x:row>
    <x:row r="68" ht="20" customHeight="1">
      <x:c r="A68" s="19" t="str">
        <x:v>No.065B</x:v>
      </x:c>
      <x:c r="B68" s="14" t="str">
        <x:v>流沙蛇</x:v>
      </x:c>
      <x:c r="C68" s="19" t="str">
        <x:v>土</x:v>
      </x:c>
      <x:c r="D68" s="19" t="str">
        <x:v>地</x:v>
      </x:c>
      <x:c r="E68" s="19" t="str">
        <x:v>白银</x:v>
      </x:c>
      <x:c r="F68" s="19" t="str">
        <x:v>中型</x:v>
      </x:c>
      <x:c r="G68" s="14" t="str">
        <x:v>防御</x:v>
      </x:c>
      <x:c r="H68" s="21" t="n">
        <x:f>ROUND(50*IF(E68="青铜",1,IF(E68="白银",2,IF(E68="黄金",3.2,IF(E68="钻石",4.8,1))))*IF(F68="小型",1,IF(F68="中型",1.6,IF(F68="大型",2.56,1))),0)</x:f>
        <x:v>160</x:v>
      </x:c>
      <x:c r="I68" s="21" t="n">
        <x:f>K68+3*L68+M68*5</x:f>
        <x:v>65</x:v>
      </x:c>
      <x:c r="J68" s="21" t="n">
        <x:f>I68-H68</x:f>
        <x:v>-95</x:v>
      </x:c>
      <x:c r="K68" s="21" t="n">
        <x:v>35</x:v>
      </x:c>
      <x:c r="L68" s="21" t="n">
        <x:v>5</x:v>
      </x:c>
      <x:c r="M68" s="21" t="n">
        <x:v>3</x:v>
      </x:c>
      <x:c r="N68" s="14" t="str">
        <x:v>B1 横扫三格</x:v>
      </x:c>
      <x:c r="O68" s="14" t="str">
        <x:v>扫击/3格</x:v>
      </x:c>
      <x:c r="P68" s="14" t="str">
        <x:v>阻挡</x:v>
      </x:c>
      <x:c r="Q68" s="14" t="str">
        <x:v>castleReduce</x:v>
      </x:c>
      <x:c r="R68" s="14" t="str">
        <x:v>土、防御、前排、阻挡</x:v>
      </x:c>
      <x:c r="S68" s="19" t="str">
        <x:v>—</x:v>
      </x:c>
      <x:c r="T68" s="14"/>
      <x:c r="U68" s="14" t="str">
        <x:v>pal_067</x:v>
      </x:c>
    </x:row>
    <x:row r="69" ht="20" customHeight="1">
      <x:c r="A69" s="19" t="str">
        <x:v>No.066</x:v>
      </x:c>
      <x:c r="B69" s="14" t="str">
        <x:v>噬魂兽</x:v>
      </x:c>
      <x:c r="C69" s="19" t="str">
        <x:v>土</x:v>
      </x:c>
      <x:c r="D69" s="19" t="str">
        <x:v>暗</x:v>
      </x:c>
      <x:c r="E69" s="19" t="str">
        <x:v>白银</x:v>
      </x:c>
      <x:c r="F69" s="19" t="str">
        <x:v>中型</x:v>
      </x:c>
      <x:c r="G69" s="14" t="str">
        <x:v>防御</x:v>
      </x:c>
      <x:c r="H69" s="21" t="n">
        <x:f>ROUND(50*IF(E69="青铜",1,IF(E69="白银",2,IF(E69="黄金",3.2,IF(E69="钻石",4.8,1))))*IF(F69="小型",1,IF(F69="中型",1.6,IF(F69="大型",2.56,1))),0)</x:f>
        <x:v>160</x:v>
      </x:c>
      <x:c r="I69" s="21" t="n">
        <x:f>K69+3*L69+M69*5</x:f>
        <x:v>65</x:v>
      </x:c>
      <x:c r="J69" s="21" t="n">
        <x:f>I69-H69</x:f>
        <x:v>-95</x:v>
      </x:c>
      <x:c r="K69" s="21" t="n">
        <x:v>35</x:v>
      </x:c>
      <x:c r="L69" s="21" t="n">
        <x:v>5</x:v>
      </x:c>
      <x:c r="M69" s="21" t="n">
        <x:v>3</x:v>
      </x:c>
      <x:c r="N69" s="14" t="str">
        <x:v>B1 横扫三格</x:v>
      </x:c>
      <x:c r="O69" s="14" t="str">
        <x:v>扫击/3格</x:v>
      </x:c>
      <x:c r="P69" s="14" t="str">
        <x:v>阻挡</x:v>
      </x:c>
      <x:c r="Q69" s="14" t="str">
        <x:v>castleReduce</x:v>
      </x:c>
      <x:c r="R69" s="14" t="str">
        <x:v>土、防御、前排、阻挡</x:v>
      </x:c>
      <x:c r="S69" s="19" t="str">
        <x:v>—</x:v>
      </x:c>
      <x:c r="T69" s="14"/>
      <x:c r="U69" s="14" t="str">
        <x:v>pal_068</x:v>
      </x:c>
    </x:row>
    <x:row r="70" ht="20" customHeight="1">
      <x:c r="A70" s="19" t="str">
        <x:v>No.067</x:v>
      </x:c>
      <x:c r="B70" s="14" t="str">
        <x:v>碎岩龟</x:v>
      </x:c>
      <x:c r="C70" s="19" t="str">
        <x:v>土</x:v>
      </x:c>
      <x:c r="D70" s="19" t="str">
        <x:v>地</x:v>
      </x:c>
      <x:c r="E70" s="19" t="str">
        <x:v>白银</x:v>
      </x:c>
      <x:c r="F70" s="19" t="str">
        <x:v>中型</x:v>
      </x:c>
      <x:c r="G70" s="14" t="str">
        <x:v>防御</x:v>
      </x:c>
      <x:c r="H70" s="21" t="n">
        <x:f>ROUND(50*IF(E70="青铜",1,IF(E70="白银",2,IF(E70="黄金",3.2,IF(E70="钻石",4.8,1))))*IF(F70="小型",1,IF(F70="中型",1.6,IF(F70="大型",2.56,1))),0)</x:f>
        <x:v>160</x:v>
      </x:c>
      <x:c r="I70" s="21" t="n">
        <x:f>K70+3*L70+M70*5</x:f>
        <x:v>65</x:v>
      </x:c>
      <x:c r="J70" s="21" t="n">
        <x:f>I70-H70</x:f>
        <x:v>-95</x:v>
      </x:c>
      <x:c r="K70" s="21" t="n">
        <x:v>35</x:v>
      </x:c>
      <x:c r="L70" s="21" t="n">
        <x:v>5</x:v>
      </x:c>
      <x:c r="M70" s="21" t="n">
        <x:v>3</x:v>
      </x:c>
      <x:c r="N70" s="14" t="str">
        <x:v>B1 横扫三格</x:v>
      </x:c>
      <x:c r="O70" s="14" t="str">
        <x:v>扫击/3格</x:v>
      </x:c>
      <x:c r="P70" s="14" t="str">
        <x:v>阻挡</x:v>
      </x:c>
      <x:c r="Q70" s="14" t="str">
        <x:v>castleReduce</x:v>
      </x:c>
      <x:c r="R70" s="14" t="str">
        <x:v>土、防御、前排、阻挡</x:v>
      </x:c>
      <x:c r="S70" s="19" t="str">
        <x:v>—</x:v>
      </x:c>
      <x:c r="T70" s="14"/>
      <x:c r="U70" s="14" t="str">
        <x:v>pal_069</x:v>
      </x:c>
    </x:row>
    <x:row r="71" ht="20" customHeight="1">
      <x:c r="A71" s="19" t="str">
        <x:v>No.068</x:v>
      </x:c>
      <x:c r="B71" s="14" t="str">
        <x:v>猫蝠怪</x:v>
      </x:c>
      <x:c r="C71" s="19" t="str">
        <x:v>土</x:v>
      </x:c>
      <x:c r="D71" s="19" t="str">
        <x:v>暗</x:v>
      </x:c>
      <x:c r="E71" s="19" t="str">
        <x:v>白银</x:v>
      </x:c>
      <x:c r="F71" s="19" t="str">
        <x:v>中型</x:v>
      </x:c>
      <x:c r="G71" s="14" t="str">
        <x:v>防御</x:v>
      </x:c>
      <x:c r="H71" s="21" t="n">
        <x:f>ROUND(50*IF(E71="青铜",1,IF(E71="白银",2,IF(E71="黄金",3.2,IF(E71="钻石",4.8,1))))*IF(F71="小型",1,IF(F71="中型",1.6,IF(F71="大型",2.56,1))),0)</x:f>
        <x:v>160</x:v>
      </x:c>
      <x:c r="I71" s="21" t="n">
        <x:f>K71+3*L71+M71*5</x:f>
        <x:v>65</x:v>
      </x:c>
      <x:c r="J71" s="21" t="n">
        <x:f>I71-H71</x:f>
        <x:v>-95</x:v>
      </x:c>
      <x:c r="K71" s="21" t="n">
        <x:v>35</x:v>
      </x:c>
      <x:c r="L71" s="21" t="n">
        <x:v>5</x:v>
      </x:c>
      <x:c r="M71" s="21" t="n">
        <x:v>3</x:v>
      </x:c>
      <x:c r="N71" s="14" t="str">
        <x:v>B1 横扫三格</x:v>
      </x:c>
      <x:c r="O71" s="14" t="str">
        <x:v>扫击/3格</x:v>
      </x:c>
      <x:c r="P71" s="14" t="str">
        <x:v>阻挡</x:v>
      </x:c>
      <x:c r="Q71" s="14" t="str">
        <x:v>castleReduce</x:v>
      </x:c>
      <x:c r="R71" s="14" t="str">
        <x:v>土、防御、前排、阻挡</x:v>
      </x:c>
      <x:c r="S71" s="19" t="str">
        <x:v>—</x:v>
      </x:c>
      <x:c r="T71" s="14"/>
      <x:c r="U71" s="14" t="str">
        <x:v>pal_070</x:v>
      </x:c>
    </x:row>
    <x:row r="72" ht="20" customHeight="1">
      <x:c r="A72" s="19" t="str">
        <x:v>No.069</x:v>
      </x:c>
      <x:c r="B72" s="14" t="str">
        <x:v>博爱蜥</x:v>
      </x:c>
      <x:c r="C72" s="19" t="str">
        <x:v>风</x:v>
      </x:c>
      <x:c r="D72" s="19"/>
      <x:c r="E72" s="19" t="str">
        <x:v>白银</x:v>
      </x:c>
      <x:c r="F72" s="19" t="str">
        <x:v>小型</x:v>
      </x:c>
      <x:c r="G72" s="14" t="str">
        <x:v>治疗</x:v>
      </x:c>
      <x:c r="H72" s="21" t="n">
        <x:f>ROUND(50*IF(E72="青铜",1,IF(E72="白银",2,IF(E72="黄金",3.2,IF(E72="钻石",4.8,1))))*IF(F72="小型",1,IF(F72="中型",1.6,IF(F72="大型",2.56,1))),0)</x:f>
        <x:v>100</x:v>
      </x:c>
      <x:c r="I72" s="21" t="n">
        <x:f>K72+3*L72+M72*5</x:f>
        <x:v>53</x:v>
      </x:c>
      <x:c r="J72" s="21" t="n">
        <x:f>I72-H72</x:f>
        <x:v>-47</x:v>
      </x:c>
      <x:c r="K72" s="21" t="n">
        <x:v>29</x:v>
      </x:c>
      <x:c r="L72" s="21" t="n">
        <x:v>3</x:v>
      </x:c>
      <x:c r="M72" s="21" t="n">
        <x:v>3</x:v>
      </x:c>
      <x:c r="N72" s="14" t="str">
        <x:v>T1 标准前置T</x:v>
      </x:c>
      <x:c r="O72" s="14" t="str">
        <x:v>T形/4格</x:v>
      </x:c>
      <x:c r="P72" s="14" t="str">
        <x:v>场地</x:v>
      </x:c>
      <x:c r="Q72" s="14" t="str">
        <x:v>healAmpBonus</x:v>
      </x:c>
      <x:c r="R72" s="14" t="str">
        <x:v>风、治疗、后排、增益</x:v>
      </x:c>
      <x:c r="S72" s="19" t="str">
        <x:v>—</x:v>
      </x:c>
      <x:c r="T72" s="14"/>
      <x:c r="U72" s="14" t="str">
        <x:v>pal_071</x:v>
      </x:c>
    </x:row>
    <x:row r="73" ht="20" customHeight="1">
      <x:c r="A73" s="19" t="str">
        <x:v>No.070</x:v>
      </x:c>
      <x:c r="B73" s="14" t="str">
        <x:v>融焰娘</x:v>
      </x:c>
      <x:c r="C73" s="19" t="str">
        <x:v>火</x:v>
      </x:c>
      <x:c r="D73" s="19"/>
      <x:c r="E73" s="19" t="str">
        <x:v>白银</x:v>
      </x:c>
      <x:c r="F73" s="19" t="str">
        <x:v>小型</x:v>
      </x:c>
      <x:c r="G73" s="14" t="str">
        <x:v>召唤</x:v>
      </x:c>
      <x:c r="H73" s="21" t="n">
        <x:f>ROUND(50*IF(E73="青铜",1,IF(E73="白银",2,IF(E73="黄金",3.2,IF(E73="钻石",4.8,1))))*IF(F73="小型",1,IF(F73="中型",1.6,IF(F73="大型",2.56,1))),0)</x:f>
        <x:v>100</x:v>
      </x:c>
      <x:c r="I73" s="21" t="n">
        <x:f>K73+3*L73+M73*5</x:f>
        <x:v>52</x:v>
      </x:c>
      <x:c r="J73" s="21" t="n">
        <x:f>I73-H73</x:f>
        <x:v>-48</x:v>
      </x:c>
      <x:c r="K73" s="21" t="n">
        <x:v>28</x:v>
      </x:c>
      <x:c r="L73" s="21" t="n">
        <x:v>3</x:v>
      </x:c>
      <x:c r="M73" s="21" t="n">
        <x:v>3</x:v>
      </x:c>
      <x:c r="N73" s="14" t="str">
        <x:v>A1 单点刺</x:v>
      </x:c>
      <x:c r="O73" s="14" t="str">
        <x:v>直线/1格</x:v>
      </x:c>
      <x:c r="P73" s="14" t="str">
        <x:v>召唤</x:v>
      </x:c>
      <x:c r="Q73" s="14" t="str">
        <x:v>summonFromCell</x:v>
      </x:c>
      <x:c r="R73" s="14" t="str">
        <x:v>火、召唤、成长、核心</x:v>
      </x:c>
      <x:c r="S73" s="19" t="str">
        <x:v>是</x:v>
      </x:c>
      <x:c r="T73" s="14"/>
      <x:c r="U73" s="14" t="str">
        <x:v>pal_072</x:v>
      </x:c>
    </x:row>
    <x:row r="74" ht="20" customHeight="1">
      <x:c r="A74" s="19" t="str">
        <x:v>No.071</x:v>
      </x:c>
      <x:c r="B74" s="14" t="str">
        <x:v>烽歌龙</x:v>
      </x:c>
      <x:c r="C74" s="19" t="str">
        <x:v>火</x:v>
      </x:c>
      <x:c r="D74" s="19" t="str">
        <x:v>火、暗</x:v>
      </x:c>
      <x:c r="E74" s="19" t="str">
        <x:v>白银</x:v>
      </x:c>
      <x:c r="F74" s="19" t="str">
        <x:v>中型</x:v>
      </x:c>
      <x:c r="G74" s="14" t="str">
        <x:v>机动</x:v>
      </x:c>
      <x:c r="H74" s="21" t="n">
        <x:f>ROUND(50*IF(E74="青铜",1,IF(E74="白银",2,IF(E74="黄金",3.2,IF(E74="钻石",4.8,1))))*IF(F74="小型",1,IF(F74="中型",1.6,IF(F74="大型",2.56,1))),0)</x:f>
        <x:v>160</x:v>
      </x:c>
      <x:c r="I74" s="21" t="n">
        <x:f>K74+3*L74+M74*5</x:f>
        <x:v>61</x:v>
      </x:c>
      <x:c r="J74" s="21" t="n">
        <x:f>I74-H74</x:f>
        <x:v>-99</x:v>
      </x:c>
      <x:c r="K74" s="21" t="n">
        <x:v>28</x:v>
      </x:c>
      <x:c r="L74" s="21" t="n">
        <x:v>6</x:v>
      </x:c>
      <x:c r="M74" s="21" t="n">
        <x:v>3</x:v>
      </x:c>
      <x:c r="N74" s="14" t="str">
        <x:v>T2 长柄T</x:v>
      </x:c>
      <x:c r="O74" s="14" t="str">
        <x:v>T形/5格</x:v>
      </x:c>
      <x:c r="P74" s="14" t="str">
        <x:v>牵制</x:v>
      </x:c>
      <x:c r="Q74" s="14" t="str">
        <x:v>advHitBonus</x:v>
      </x:c>
      <x:c r="R74" s="14" t="str">
        <x:v>火、机动、灵活、泛用</x:v>
      </x:c>
      <x:c r="S74" s="19" t="str">
        <x:v>—</x:v>
      </x:c>
      <x:c r="T74" s="14"/>
      <x:c r="U74" s="14" t="str">
        <x:v>pal_073</x:v>
      </x:c>
    </x:row>
    <x:row r="75" ht="20" customHeight="1">
      <x:c r="A75" s="19" t="str">
        <x:v>No.071B</x:v>
      </x:c>
      <x:c r="B75" s="14" t="str">
        <x:v>霜歌龙</x:v>
      </x:c>
      <x:c r="C75" s="19" t="str">
        <x:v>水</x:v>
      </x:c>
      <x:c r="D75" s="19" t="str">
        <x:v>冰、暗</x:v>
      </x:c>
      <x:c r="E75" s="19" t="str">
        <x:v>白银</x:v>
      </x:c>
      <x:c r="F75" s="19" t="str">
        <x:v>中型</x:v>
      </x:c>
      <x:c r="G75" s="14" t="str">
        <x:v>牵制</x:v>
      </x:c>
      <x:c r="H75" s="21" t="n">
        <x:f>ROUND(50*IF(E75="青铜",1,IF(E75="白银",2,IF(E75="黄金",3.2,IF(E75="钻石",4.8,1))))*IF(F75="小型",1,IF(F75="中型",1.6,IF(F75="大型",2.56,1))),0)</x:f>
        <x:v>160</x:v>
      </x:c>
      <x:c r="I75" s="21" t="n">
        <x:f>K75+3*L75+M75*5</x:f>
        <x:v>62</x:v>
      </x:c>
      <x:c r="J75" s="21" t="n">
        <x:f>I75-H75</x:f>
        <x:v>-98</x:v>
      </x:c>
      <x:c r="K75" s="21" t="n">
        <x:v>29</x:v>
      </x:c>
      <x:c r="L75" s="21" t="n">
        <x:v>6</x:v>
      </x:c>
      <x:c r="M75" s="21" t="n">
        <x:v>3</x:v>
      </x:c>
      <x:c r="N75" s="14" t="str">
        <x:v>T1 标准前置T</x:v>
      </x:c>
      <x:c r="O75" s="14" t="str">
        <x:v>T形/4格</x:v>
      </x:c>
      <x:c r="P75" s="14" t="str">
        <x:v>牵制</x:v>
      </x:c>
      <x:c r="Q75" s="14" t="str">
        <x:v>healAmpBonus</x:v>
      </x:c>
      <x:c r="R75" s="14" t="str">
        <x:v>水、牵制、范围、机动</x:v>
      </x:c>
      <x:c r="S75" s="19" t="str">
        <x:v>—</x:v>
      </x:c>
      <x:c r="T75" s="14"/>
      <x:c r="U75" s="14" t="str">
        <x:v>pal_074</x:v>
      </x:c>
    </x:row>
    <x:row r="76" ht="20" customHeight="1">
      <x:c r="A76" s="19" t="str">
        <x:v>No.072</x:v>
      </x:c>
      <x:c r="B76" s="14" t="str">
        <x:v>浪刃武士</x:v>
      </x:c>
      <x:c r="C76" s="19" t="str">
        <x:v>火</x:v>
      </x:c>
      <x:c r="D76" s="19"/>
      <x:c r="E76" s="19" t="str">
        <x:v>白银</x:v>
      </x:c>
      <x:c r="F76" s="19" t="str">
        <x:v>小型</x:v>
      </x:c>
      <x:c r="G76" s="14" t="str">
        <x:v>输出</x:v>
      </x:c>
      <x:c r="H76" s="21" t="n">
        <x:f>ROUND(50*IF(E76="青铜",1,IF(E76="白银",2,IF(E76="黄金",3.2,IF(E76="钻石",4.8,1))))*IF(F76="小型",1,IF(F76="中型",1.6,IF(F76="大型",2.56,1))),0)</x:f>
        <x:v>100</x:v>
      </x:c>
      <x:c r="I76" s="21" t="n">
        <x:f>K76+3*L76+M76*5</x:f>
        <x:v>62</x:v>
      </x:c>
      <x:c r="J76" s="21" t="n">
        <x:f>I76-H76</x:f>
        <x:v>-38</x:v>
      </x:c>
      <x:c r="K76" s="21" t="n">
        <x:v>35</x:v>
      </x:c>
      <x:c r="L76" s="21" t="n">
        <x:v>4</x:v>
      </x:c>
      <x:c r="M76" s="21" t="n">
        <x:v>3</x:v>
      </x:c>
      <x:c r="N76" s="14" t="str">
        <x:v>B1 横扫三格</x:v>
      </x:c>
      <x:c r="O76" s="14" t="str">
        <x:v>扫击/3格</x:v>
      </x:c>
      <x:c r="P76" s="14" t="str">
        <x:v>输出</x:v>
      </x:c>
      <x:c r="Q76" s="14" t="str">
        <x:v>castleReduce</x:v>
      </x:c>
      <x:c r="R76" s="14" t="str">
        <x:v>火、输出、爆发、前排</x:v>
      </x:c>
      <x:c r="S76" s="19" t="str">
        <x:v>—</x:v>
      </x:c>
      <x:c r="T76" s="14"/>
      <x:c r="U76" s="14" t="str">
        <x:v>pal_075</x:v>
      </x:c>
    </x:row>
    <x:row r="77" ht="20" customHeight="1">
      <x:c r="A77" s="19" t="str">
        <x:v>No.073</x:v>
      </x:c>
      <x:c r="B77" s="14" t="str">
        <x:v>迅雷鸟</x:v>
      </x:c>
      <x:c r="C77" s="19" t="str">
        <x:v>风</x:v>
      </x:c>
      <x:c r="D77" s="19" t="str">
        <x:v>雷</x:v>
      </x:c>
      <x:c r="E77" s="19" t="str">
        <x:v>白银</x:v>
      </x:c>
      <x:c r="F77" s="19" t="str">
        <x:v>大型</x:v>
      </x:c>
      <x:c r="G77" s="14" t="str">
        <x:v>牵制</x:v>
      </x:c>
      <x:c r="H77" s="21" t="n">
        <x:f>ROUND(50*IF(E77="青铜",1,IF(E77="白银",2,IF(E77="黄金",3.2,IF(E77="钻石",4.8,1))))*IF(F77="小型",1,IF(F77="中型",1.6,IF(F77="大型",2.56,1))),0)</x:f>
        <x:v>256</x:v>
      </x:c>
      <x:c r="I77" s="21" t="n">
        <x:f>K77+3*L77+M77*5</x:f>
        <x:v>67</x:v>
      </x:c>
      <x:c r="J77" s="21" t="n">
        <x:f>I77-H77</x:f>
        <x:v>-189</x:v>
      </x:c>
      <x:c r="K77" s="21" t="n">
        <x:v>28</x:v>
      </x:c>
      <x:c r="L77" s="21" t="n">
        <x:v>8</x:v>
      </x:c>
      <x:c r="M77" s="21" t="n">
        <x:v>3</x:v>
      </x:c>
      <x:c r="N77" s="14" t="str">
        <x:v>T2 长柄T</x:v>
      </x:c>
      <x:c r="O77" s="14" t="str">
        <x:v>T形/5格</x:v>
      </x:c>
      <x:c r="P77" s="14" t="str">
        <x:v>牵制</x:v>
      </x:c>
      <x:c r="Q77" s="14" t="str">
        <x:v>advHitBonus</x:v>
      </x:c>
      <x:c r="R77" s="14" t="str">
        <x:v>风、牵制、范围、机动</x:v>
      </x:c>
      <x:c r="S77" s="19" t="str">
        <x:v>—</x:v>
      </x:c>
      <x:c r="T77" s="14"/>
      <x:c r="U77" s="14" t="str">
        <x:v>pal_076</x:v>
      </x:c>
    </x:row>
    <x:row r="78" ht="20" customHeight="1">
      <x:c r="A78" s="19" t="str">
        <x:v>No.074</x:v>
      </x:c>
      <x:c r="B78" s="14" t="str">
        <x:v>燧火鸟</x:v>
      </x:c>
      <x:c r="C78" s="19" t="str">
        <x:v>火</x:v>
      </x:c>
      <x:c r="D78" s="19"/>
      <x:c r="E78" s="19" t="str">
        <x:v>白银</x:v>
      </x:c>
      <x:c r="F78" s="19" t="str">
        <x:v>中型</x:v>
      </x:c>
      <x:c r="G78" s="14" t="str">
        <x:v>机动</x:v>
      </x:c>
      <x:c r="H78" s="21" t="n">
        <x:f>ROUND(50*IF(E78="青铜",1,IF(E78="白银",2,IF(E78="黄金",3.2,IF(E78="钻石",4.8,1))))*IF(F78="小型",1,IF(F78="中型",1.6,IF(F78="大型",2.56,1))),0)</x:f>
        <x:v>160</x:v>
      </x:c>
      <x:c r="I78" s="21" t="n">
        <x:f>K78+3*L78+M78*5</x:f>
        <x:v>61</x:v>
      </x:c>
      <x:c r="J78" s="21" t="n">
        <x:f>I78-H78</x:f>
        <x:v>-99</x:v>
      </x:c>
      <x:c r="K78" s="21" t="n">
        <x:v>28</x:v>
      </x:c>
      <x:c r="L78" s="21" t="n">
        <x:v>6</x:v>
      </x:c>
      <x:c r="M78" s="21" t="n">
        <x:v>3</x:v>
      </x:c>
      <x:c r="N78" s="14" t="str">
        <x:v>T2 长柄T</x:v>
      </x:c>
      <x:c r="O78" s="14" t="str">
        <x:v>T形/5格</x:v>
      </x:c>
      <x:c r="P78" s="14" t="str">
        <x:v>牵制</x:v>
      </x:c>
      <x:c r="Q78" s="14" t="str">
        <x:v>advHitBonus</x:v>
      </x:c>
      <x:c r="R78" s="14" t="str">
        <x:v>火、机动、灵活、泛用</x:v>
      </x:c>
      <x:c r="S78" s="19" t="str">
        <x:v>—</x:v>
      </x:c>
      <x:c r="T78" s="14"/>
      <x:c r="U78" s="14" t="str">
        <x:v>pal_077</x:v>
      </x:c>
    </x:row>
    <x:row r="79" ht="20" customHeight="1">
      <x:c r="A79" s="19" t="str">
        <x:v>No.075</x:v>
      </x:c>
      <x:c r="B79" s="14" t="str">
        <x:v>暗巫猫</x:v>
      </x:c>
      <x:c r="C79" s="19" t="str">
        <x:v>土</x:v>
      </x:c>
      <x:c r="D79" s="19" t="str">
        <x:v>暗</x:v>
      </x:c>
      <x:c r="E79" s="19" t="str">
        <x:v>白银</x:v>
      </x:c>
      <x:c r="F79" s="19" t="str">
        <x:v>小型</x:v>
      </x:c>
      <x:c r="G79" s="14" t="str">
        <x:v>治疗</x:v>
      </x:c>
      <x:c r="H79" s="21" t="n">
        <x:f>ROUND(50*IF(E79="青铜",1,IF(E79="白银",2,IF(E79="黄金",3.2,IF(E79="钻石",4.8,1))))*IF(F79="小型",1,IF(F79="中型",1.6,IF(F79="大型",2.56,1))),0)</x:f>
        <x:v>100</x:v>
      </x:c>
      <x:c r="I79" s="21" t="n">
        <x:f>K79+3*L79+M79*5</x:f>
        <x:v>53</x:v>
      </x:c>
      <x:c r="J79" s="21" t="n">
        <x:f>I79-H79</x:f>
        <x:v>-47</x:v>
      </x:c>
      <x:c r="K79" s="21" t="n">
        <x:v>29</x:v>
      </x:c>
      <x:c r="L79" s="21" t="n">
        <x:v>3</x:v>
      </x:c>
      <x:c r="M79" s="21" t="n">
        <x:v>3</x:v>
      </x:c>
      <x:c r="N79" s="14" t="str">
        <x:v>T1 标准前置T</x:v>
      </x:c>
      <x:c r="O79" s="14" t="str">
        <x:v>T形/4格</x:v>
      </x:c>
      <x:c r="P79" s="14" t="str">
        <x:v>场地</x:v>
      </x:c>
      <x:c r="Q79" s="14" t="str">
        <x:v>healAmpBonus</x:v>
      </x:c>
      <x:c r="R79" s="14" t="str">
        <x:v>土、治疗、后排、增益</x:v>
      </x:c>
      <x:c r="S79" s="19" t="str">
        <x:v>—</x:v>
      </x:c>
      <x:c r="T79" s="14"/>
      <x:c r="U79" s="14" t="str">
        <x:v>pal_078</x:v>
      </x:c>
    </x:row>
    <x:row r="80" ht="20" customHeight="1">
      <x:c r="A80" s="19" t="str">
        <x:v>No.076</x:v>
      </x:c>
      <x:c r="B80" s="14" t="str">
        <x:v>焰巫狐</x:v>
      </x:c>
      <x:c r="C80" s="19" t="str">
        <x:v>火</x:v>
      </x:c>
      <x:c r="D80" s="19"/>
      <x:c r="E80" s="19" t="str">
        <x:v>白银</x:v>
      </x:c>
      <x:c r="F80" s="19" t="str">
        <x:v>中型</x:v>
      </x:c>
      <x:c r="G80" s="14" t="str">
        <x:v>输出</x:v>
      </x:c>
      <x:c r="H80" s="21" t="n">
        <x:f>ROUND(50*IF(E80="青铜",1,IF(E80="白银",2,IF(E80="黄金",3.2,IF(E80="钻石",4.8,1))))*IF(F80="小型",1,IF(F80="中型",1.6,IF(F80="大型",2.56,1))),0)</x:f>
        <x:v>160</x:v>
      </x:c>
      <x:c r="I80" s="21" t="n">
        <x:f>K80+3*L80+M80*5</x:f>
        <x:v>68</x:v>
      </x:c>
      <x:c r="J80" s="21" t="n">
        <x:f>I80-H80</x:f>
        <x:v>-92</x:v>
      </x:c>
      <x:c r="K80" s="21" t="n">
        <x:v>35</x:v>
      </x:c>
      <x:c r="L80" s="21" t="n">
        <x:v>6</x:v>
      </x:c>
      <x:c r="M80" s="21" t="n">
        <x:v>3</x:v>
      </x:c>
      <x:c r="N80" s="14" t="str">
        <x:v>B1 横扫三格</x:v>
      </x:c>
      <x:c r="O80" s="14" t="str">
        <x:v>扫击/3格</x:v>
      </x:c>
      <x:c r="P80" s="14" t="str">
        <x:v>输出</x:v>
      </x:c>
      <x:c r="Q80" s="14" t="str">
        <x:v>castleReduce</x:v>
      </x:c>
      <x:c r="R80" s="14" t="str">
        <x:v>火、输出、爆发、前排</x:v>
      </x:c>
      <x:c r="S80" s="19" t="str">
        <x:v>—</x:v>
      </x:c>
      <x:c r="T80" s="14"/>
      <x:c r="U80" s="14" t="str">
        <x:v>pal_079</x:v>
      </x:c>
    </x:row>
    <x:row r="81" ht="20" customHeight="1">
      <x:c r="A81" s="19" t="str">
        <x:v>No.077</x:v>
      </x:c>
      <x:c r="B81" s="14" t="str">
        <x:v>踏春兔</x:v>
      </x:c>
      <x:c r="C81" s="19" t="str">
        <x:v>风</x:v>
      </x:c>
      <x:c r="D81" s="19" t="str">
        <x:v>草</x:v>
      </x:c>
      <x:c r="E81" s="19" t="str">
        <x:v>白银</x:v>
      </x:c>
      <x:c r="F81" s="19" t="str">
        <x:v>小型</x:v>
      </x:c>
      <x:c r="G81" s="14" t="str">
        <x:v>治疗</x:v>
      </x:c>
      <x:c r="H81" s="21" t="n">
        <x:f>ROUND(50*IF(E81="青铜",1,IF(E81="白银",2,IF(E81="黄金",3.2,IF(E81="钻石",4.8,1))))*IF(F81="小型",1,IF(F81="中型",1.6,IF(F81="大型",2.56,1))),0)</x:f>
        <x:v>100</x:v>
      </x:c>
      <x:c r="I81" s="21" t="n">
        <x:f>K81+3*L81+M81*5</x:f>
        <x:v>53</x:v>
      </x:c>
      <x:c r="J81" s="21" t="n">
        <x:f>I81-H81</x:f>
        <x:v>-47</x:v>
      </x:c>
      <x:c r="K81" s="21" t="n">
        <x:v>29</x:v>
      </x:c>
      <x:c r="L81" s="21" t="n">
        <x:v>3</x:v>
      </x:c>
      <x:c r="M81" s="21" t="n">
        <x:v>3</x:v>
      </x:c>
      <x:c r="N81" s="14" t="str">
        <x:v>T1 标准前置T</x:v>
      </x:c>
      <x:c r="O81" s="14" t="str">
        <x:v>T形/4格</x:v>
      </x:c>
      <x:c r="P81" s="14" t="str">
        <x:v>场地</x:v>
      </x:c>
      <x:c r="Q81" s="14" t="str">
        <x:v>healAmpBonus</x:v>
      </x:c>
      <x:c r="R81" s="14" t="str">
        <x:v>风、治疗、后排、增益</x:v>
      </x:c>
      <x:c r="S81" s="19" t="str">
        <x:v>—</x:v>
      </x:c>
      <x:c r="T81" s="14"/>
      <x:c r="U81" s="14" t="str">
        <x:v>pal_080</x:v>
      </x:c>
    </x:row>
    <x:row r="82" ht="20" customHeight="1">
      <x:c r="A82" s="19" t="str">
        <x:v>No.078</x:v>
      </x:c>
      <x:c r="B82" s="14" t="str">
        <x:v>薇莉塔</x:v>
      </x:c>
      <x:c r="C82" s="19" t="str">
        <x:v>风</x:v>
      </x:c>
      <x:c r="D82" s="19" t="str">
        <x:v>草</x:v>
      </x:c>
      <x:c r="E82" s="19" t="str">
        <x:v>白银</x:v>
      </x:c>
      <x:c r="F82" s="19" t="str">
        <x:v>小型</x:v>
      </x:c>
      <x:c r="G82" s="14" t="str">
        <x:v>治疗</x:v>
      </x:c>
      <x:c r="H82" s="21" t="n">
        <x:f>ROUND(50*IF(E82="青铜",1,IF(E82="白银",2,IF(E82="黄金",3.2,IF(E82="钻石",4.8,1))))*IF(F82="小型",1,IF(F82="中型",1.6,IF(F82="大型",2.56,1))),0)</x:f>
        <x:v>100</x:v>
      </x:c>
      <x:c r="I82" s="21" t="n">
        <x:f>K82+3*L82+M82*5</x:f>
        <x:v>53</x:v>
      </x:c>
      <x:c r="J82" s="21" t="n">
        <x:f>I82-H82</x:f>
        <x:v>-47</x:v>
      </x:c>
      <x:c r="K82" s="21" t="n">
        <x:v>29</x:v>
      </x:c>
      <x:c r="L82" s="21" t="n">
        <x:v>3</x:v>
      </x:c>
      <x:c r="M82" s="21" t="n">
        <x:v>3</x:v>
      </x:c>
      <x:c r="N82" s="14" t="str">
        <x:v>T1 标准前置T</x:v>
      </x:c>
      <x:c r="O82" s="14" t="str">
        <x:v>T形/4格</x:v>
      </x:c>
      <x:c r="P82" s="14" t="str">
        <x:v>场地</x:v>
      </x:c>
      <x:c r="Q82" s="14" t="str">
        <x:v>healAmpBonus</x:v>
      </x:c>
      <x:c r="R82" s="14" t="str">
        <x:v>风、治疗、后排、增益</x:v>
      </x:c>
      <x:c r="S82" s="19" t="str">
        <x:v>—</x:v>
      </x:c>
      <x:c r="T82" s="14"/>
      <x:c r="U82" s="14" t="str">
        <x:v>pal_081</x:v>
      </x:c>
    </x:row>
    <x:row r="83" ht="20" customHeight="1">
      <x:c r="A83" s="19" t="str">
        <x:v>No.079</x:v>
      </x:c>
      <x:c r="B83" s="14" t="str">
        <x:v>绸笠蛾</x:v>
      </x:c>
      <x:c r="C83" s="19" t="str">
        <x:v>水</x:v>
      </x:c>
      <x:c r="D83" s="19" t="str">
        <x:v>冰</x:v>
      </x:c>
      <x:c r="E83" s="19" t="str">
        <x:v>白银</x:v>
      </x:c>
      <x:c r="F83" s="19" t="str">
        <x:v>小型</x:v>
      </x:c>
      <x:c r="G83" s="14" t="str">
        <x:v>治疗</x:v>
      </x:c>
      <x:c r="H83" s="21" t="n">
        <x:f>ROUND(50*IF(E83="青铜",1,IF(E83="白银",2,IF(E83="黄金",3.2,IF(E83="钻石",4.8,1))))*IF(F83="小型",1,IF(F83="中型",1.6,IF(F83="大型",2.56,1))),0)</x:f>
        <x:v>100</x:v>
      </x:c>
      <x:c r="I83" s="21" t="n">
        <x:f>K83+3*L83+M83*5</x:f>
        <x:v>53</x:v>
      </x:c>
      <x:c r="J83" s="21" t="n">
        <x:f>I83-H83</x:f>
        <x:v>-47</x:v>
      </x:c>
      <x:c r="K83" s="21" t="n">
        <x:v>29</x:v>
      </x:c>
      <x:c r="L83" s="21" t="n">
        <x:v>3</x:v>
      </x:c>
      <x:c r="M83" s="21" t="n">
        <x:v>3</x:v>
      </x:c>
      <x:c r="N83" s="14" t="str">
        <x:v>T1 标准前置T</x:v>
      </x:c>
      <x:c r="O83" s="14" t="str">
        <x:v>T形/4格</x:v>
      </x:c>
      <x:c r="P83" s="14" t="str">
        <x:v>场地</x:v>
      </x:c>
      <x:c r="Q83" s="14" t="str">
        <x:v>healAmpBonus</x:v>
      </x:c>
      <x:c r="R83" s="14" t="str">
        <x:v>水、治疗、后排、增益</x:v>
      </x:c>
      <x:c r="S83" s="19" t="str">
        <x:v>—</x:v>
      </x:c>
      <x:c r="T83" s="14"/>
      <x:c r="U83" s="14" t="str">
        <x:v>pal_082</x:v>
      </x:c>
    </x:row>
    <x:row r="84" ht="20" customHeight="1">
      <x:c r="A84" s="19" t="str">
        <x:v>No.080</x:v>
      </x:c>
      <x:c r="B84" s="14" t="str">
        <x:v>精灵龙</x:v>
      </x:c>
      <x:c r="C84" s="19" t="str">
        <x:v>风</x:v>
      </x:c>
      <x:c r="D84" s="19" t="str">
        <x:v>龙</x:v>
      </x:c>
      <x:c r="E84" s="19" t="str">
        <x:v>白银</x:v>
      </x:c>
      <x:c r="F84" s="19" t="str">
        <x:v>中型</x:v>
      </x:c>
      <x:c r="G84" s="14" t="str">
        <x:v>召唤</x:v>
      </x:c>
      <x:c r="H84" s="21" t="n">
        <x:f>ROUND(50*IF(E84="青铜",1,IF(E84="白银",2,IF(E84="黄金",3.2,IF(E84="钻石",4.8,1))))*IF(F84="小型",1,IF(F84="中型",1.6,IF(F84="大型",2.56,1))),0)</x:f>
        <x:v>160</x:v>
      </x:c>
      <x:c r="I84" s="21" t="n">
        <x:f>K84+3*L84+M84*5</x:f>
        <x:v>58</x:v>
      </x:c>
      <x:c r="J84" s="21" t="n">
        <x:f>I84-H84</x:f>
        <x:v>-102</x:v>
      </x:c>
      <x:c r="K84" s="21" t="n">
        <x:v>28</x:v>
      </x:c>
      <x:c r="L84" s="21" t="n">
        <x:v>5</x:v>
      </x:c>
      <x:c r="M84" s="21" t="n">
        <x:v>3</x:v>
      </x:c>
      <x:c r="N84" s="14" t="str">
        <x:v>A1 单点刺</x:v>
      </x:c>
      <x:c r="O84" s="14" t="str">
        <x:v>直线/1格</x:v>
      </x:c>
      <x:c r="P84" s="14" t="str">
        <x:v>召唤</x:v>
      </x:c>
      <x:c r="Q84" s="14" t="str">
        <x:v>summonFromCell</x:v>
      </x:c>
      <x:c r="R84" s="14" t="str">
        <x:v>风、召唤、成长、核心</x:v>
      </x:c>
      <x:c r="S84" s="19" t="str">
        <x:v>是</x:v>
      </x:c>
      <x:c r="T84" s="14"/>
      <x:c r="U84" s="14" t="str">
        <x:v>pal_083</x:v>
      </x:c>
    </x:row>
    <x:row r="85" ht="20" customHeight="1">
      <x:c r="A85" s="19" t="str">
        <x:v>No.080B</x:v>
      </x:c>
      <x:c r="B85" s="14" t="str">
        <x:v>水灵龙</x:v>
      </x:c>
      <x:c r="C85" s="19" t="str">
        <x:v>水</x:v>
      </x:c>
      <x:c r="D85" s="19" t="str">
        <x:v>龙、水</x:v>
      </x:c>
      <x:c r="E85" s="19" t="str">
        <x:v>白银</x:v>
      </x:c>
      <x:c r="F85" s="19" t="str">
        <x:v>中型</x:v>
      </x:c>
      <x:c r="G85" s="14" t="str">
        <x:v>治疗</x:v>
      </x:c>
      <x:c r="H85" s="21" t="n">
        <x:f>ROUND(50*IF(E85="青铜",1,IF(E85="白银",2,IF(E85="黄金",3.2,IF(E85="钻石",4.8,1))))*IF(F85="小型",1,IF(F85="中型",1.6,IF(F85="大型",2.56,1))),0)</x:f>
        <x:v>160</x:v>
      </x:c>
      <x:c r="I85" s="21" t="n">
        <x:f>K85+3*L85+M85*5</x:f>
        <x:v>59</x:v>
      </x:c>
      <x:c r="J85" s="21" t="n">
        <x:f>I85-H85</x:f>
        <x:v>-101</x:v>
      </x:c>
      <x:c r="K85" s="21" t="n">
        <x:v>29</x:v>
      </x:c>
      <x:c r="L85" s="21" t="n">
        <x:v>5</x:v>
      </x:c>
      <x:c r="M85" s="21" t="n">
        <x:v>3</x:v>
      </x:c>
      <x:c r="N85" s="14" t="str">
        <x:v>T1 标准前置T</x:v>
      </x:c>
      <x:c r="O85" s="14" t="str">
        <x:v>T形/4格</x:v>
      </x:c>
      <x:c r="P85" s="14" t="str">
        <x:v>场地</x:v>
      </x:c>
      <x:c r="Q85" s="14" t="str">
        <x:v>healAmpBonus</x:v>
      </x:c>
      <x:c r="R85" s="14" t="str">
        <x:v>水、治疗、后排、增益</x:v>
      </x:c>
      <x:c r="S85" s="19" t="str">
        <x:v>—</x:v>
      </x:c>
      <x:c r="T85" s="14"/>
      <x:c r="U85" s="14" t="str">
        <x:v>pal_084</x:v>
      </x:c>
    </x:row>
    <x:row r="86" ht="20" customHeight="1">
      <x:c r="A86" s="19" t="str">
        <x:v>No.081</x:v>
      </x:c>
      <x:c r="B86" s="14" t="str">
        <x:v>水灵儿</x:v>
      </x:c>
      <x:c r="C86" s="19" t="str">
        <x:v>水</x:v>
      </x:c>
      <x:c r="D86" s="19"/>
      <x:c r="E86" s="19" t="str">
        <x:v>白银</x:v>
      </x:c>
      <x:c r="F86" s="19" t="str">
        <x:v>小型</x:v>
      </x:c>
      <x:c r="G86" s="14" t="str">
        <x:v>治疗</x:v>
      </x:c>
      <x:c r="H86" s="21" t="n">
        <x:f>ROUND(50*IF(E86="青铜",1,IF(E86="白银",2,IF(E86="黄金",3.2,IF(E86="钻石",4.8,1))))*IF(F86="小型",1,IF(F86="中型",1.6,IF(F86="大型",2.56,1))),0)</x:f>
        <x:v>100</x:v>
      </x:c>
      <x:c r="I86" s="21" t="n">
        <x:f>K86+3*L86+M86*5</x:f>
        <x:v>53</x:v>
      </x:c>
      <x:c r="J86" s="21" t="n">
        <x:f>I86-H86</x:f>
        <x:v>-47</x:v>
      </x:c>
      <x:c r="K86" s="21" t="n">
        <x:v>29</x:v>
      </x:c>
      <x:c r="L86" s="21" t="n">
        <x:v>3</x:v>
      </x:c>
      <x:c r="M86" s="21" t="n">
        <x:v>3</x:v>
      </x:c>
      <x:c r="N86" s="14" t="str">
        <x:v>T1 标准前置T</x:v>
      </x:c>
      <x:c r="O86" s="14" t="str">
        <x:v>T形/4格</x:v>
      </x:c>
      <x:c r="P86" s="14" t="str">
        <x:v>场地</x:v>
      </x:c>
      <x:c r="Q86" s="14" t="str">
        <x:v>healAmpBonus</x:v>
      </x:c>
      <x:c r="R86" s="14" t="str">
        <x:v>水、治疗、后排、增益</x:v>
      </x:c>
      <x:c r="S86" s="19" t="str">
        <x:v>—</x:v>
      </x:c>
      <x:c r="T86" s="14"/>
      <x:c r="U86" s="14" t="str">
        <x:v>pal_085</x:v>
      </x:c>
    </x:row>
    <x:row r="87" ht="20" customHeight="1">
      <x:c r="A87" s="19" t="str">
        <x:v>No.081B</x:v>
      </x:c>
      <x:c r="B87" s="14" t="str">
        <x:v>火灵儿</x:v>
      </x:c>
      <x:c r="C87" s="19" t="str">
        <x:v>火</x:v>
      </x:c>
      <x:c r="D87" s="19"/>
      <x:c r="E87" s="19" t="str">
        <x:v>白银</x:v>
      </x:c>
      <x:c r="F87" s="19" t="str">
        <x:v>小型</x:v>
      </x:c>
      <x:c r="G87" s="14" t="str">
        <x:v>输出</x:v>
      </x:c>
      <x:c r="H87" s="21" t="n">
        <x:f>ROUND(50*IF(E87="青铜",1,IF(E87="白银",2,IF(E87="黄金",3.2,IF(E87="钻石",4.8,1))))*IF(F87="小型",1,IF(F87="中型",1.6,IF(F87="大型",2.56,1))),0)</x:f>
        <x:v>100</x:v>
      </x:c>
      <x:c r="I87" s="21" t="n">
        <x:f>K87+3*L87+M87*5</x:f>
        <x:v>62</x:v>
      </x:c>
      <x:c r="J87" s="21" t="n">
        <x:f>I87-H87</x:f>
        <x:v>-38</x:v>
      </x:c>
      <x:c r="K87" s="21" t="n">
        <x:v>35</x:v>
      </x:c>
      <x:c r="L87" s="21" t="n">
        <x:v>4</x:v>
      </x:c>
      <x:c r="M87" s="21" t="n">
        <x:v>3</x:v>
      </x:c>
      <x:c r="N87" s="14" t="str">
        <x:v>B1 横扫三格</x:v>
      </x:c>
      <x:c r="O87" s="14" t="str">
        <x:v>扫击/3格</x:v>
      </x:c>
      <x:c r="P87" s="14" t="str">
        <x:v>输出</x:v>
      </x:c>
      <x:c r="Q87" s="14" t="str">
        <x:v>castleReduce</x:v>
      </x:c>
      <x:c r="R87" s="14" t="str">
        <x:v>火、输出、爆发、前排</x:v>
      </x:c>
      <x:c r="S87" s="19" t="str">
        <x:v>—</x:v>
      </x:c>
      <x:c r="T87" s="14"/>
      <x:c r="U87" s="14" t="str">
        <x:v>pal_086</x:v>
      </x:c>
    </x:row>
    <x:row r="88" ht="20" customHeight="1">
      <x:c r="A88" s="19" t="str">
        <x:v>No.082</x:v>
      </x:c>
      <x:c r="B88" s="14" t="str">
        <x:v>碧海龙</x:v>
      </x:c>
      <x:c r="C88" s="19" t="str">
        <x:v>水</x:v>
      </x:c>
      <x:c r="D88" s="19" t="str">
        <x:v>水、龙</x:v>
      </x:c>
      <x:c r="E88" s="19" t="str">
        <x:v>白银</x:v>
      </x:c>
      <x:c r="F88" s="19" t="str">
        <x:v>中型</x:v>
      </x:c>
      <x:c r="G88" s="14" t="str">
        <x:v>治疗</x:v>
      </x:c>
      <x:c r="H88" s="21" t="n">
        <x:f>ROUND(50*IF(E88="青铜",1,IF(E88="白银",2,IF(E88="黄金",3.2,IF(E88="钻石",4.8,1))))*IF(F88="小型",1,IF(F88="中型",1.6,IF(F88="大型",2.56,1))),0)</x:f>
        <x:v>160</x:v>
      </x:c>
      <x:c r="I88" s="21" t="n">
        <x:f>K88+3*L88+M88*5</x:f>
        <x:v>59</x:v>
      </x:c>
      <x:c r="J88" s="21" t="n">
        <x:f>I88-H88</x:f>
        <x:v>-101</x:v>
      </x:c>
      <x:c r="K88" s="21" t="n">
        <x:v>29</x:v>
      </x:c>
      <x:c r="L88" s="21" t="n">
        <x:v>5</x:v>
      </x:c>
      <x:c r="M88" s="21" t="n">
        <x:v>3</x:v>
      </x:c>
      <x:c r="N88" s="14" t="str">
        <x:v>T1 标准前置T</x:v>
      </x:c>
      <x:c r="O88" s="14" t="str">
        <x:v>T形/4格</x:v>
      </x:c>
      <x:c r="P88" s="14" t="str">
        <x:v>场地</x:v>
      </x:c>
      <x:c r="Q88" s="14" t="str">
        <x:v>healAmpBonus</x:v>
      </x:c>
      <x:c r="R88" s="14" t="str">
        <x:v>水、治疗、后排、增益</x:v>
      </x:c>
      <x:c r="S88" s="19" t="str">
        <x:v>—</x:v>
      </x:c>
      <x:c r="T88" s="14"/>
      <x:c r="U88" s="14" t="str">
        <x:v>pal_087</x:v>
      </x:c>
    </x:row>
    <x:row r="89" ht="20" customHeight="1">
      <x:c r="A89" s="19" t="str">
        <x:v>No.083</x:v>
      </x:c>
      <x:c r="B89" s="14" t="str">
        <x:v>冰棘兽</x:v>
      </x:c>
      <x:c r="C89" s="19" t="str">
        <x:v>水</x:v>
      </x:c>
      <x:c r="D89" s="19" t="str">
        <x:v>冰</x:v>
      </x:c>
      <x:c r="E89" s="19" t="str">
        <x:v>白银</x:v>
      </x:c>
      <x:c r="F89" s="19" t="str">
        <x:v>中型</x:v>
      </x:c>
      <x:c r="G89" s="14" t="str">
        <x:v>防御</x:v>
      </x:c>
      <x:c r="H89" s="21" t="n">
        <x:f>ROUND(50*IF(E89="青铜",1,IF(E89="白银",2,IF(E89="黄金",3.2,IF(E89="钻石",4.8,1))))*IF(F89="小型",1,IF(F89="中型",1.6,IF(F89="大型",2.56,1))),0)</x:f>
        <x:v>160</x:v>
      </x:c>
      <x:c r="I89" s="21" t="n">
        <x:f>K89+3*L89+M89*5</x:f>
        <x:v>65</x:v>
      </x:c>
      <x:c r="J89" s="21" t="n">
        <x:f>I89-H89</x:f>
        <x:v>-95</x:v>
      </x:c>
      <x:c r="K89" s="21" t="n">
        <x:v>35</x:v>
      </x:c>
      <x:c r="L89" s="21" t="n">
        <x:v>5</x:v>
      </x:c>
      <x:c r="M89" s="21" t="n">
        <x:v>3</x:v>
      </x:c>
      <x:c r="N89" s="14" t="str">
        <x:v>B1 横扫三格</x:v>
      </x:c>
      <x:c r="O89" s="14" t="str">
        <x:v>扫击/3格</x:v>
      </x:c>
      <x:c r="P89" s="14" t="str">
        <x:v>阻挡</x:v>
      </x:c>
      <x:c r="Q89" s="14" t="str">
        <x:v>castleReduce</x:v>
      </x:c>
      <x:c r="R89" s="14" t="str">
        <x:v>水、防御、前排、阻挡</x:v>
      </x:c>
      <x:c r="S89" s="19" t="str">
        <x:v>—</x:v>
      </x:c>
      <x:c r="T89" s="14"/>
      <x:c r="U89" s="14" t="str">
        <x:v>pal_088</x:v>
      </x:c>
    </x:row>
    <x:row r="90" ht="20" customHeight="1">
      <x:c r="A90" s="19" t="str">
        <x:v>No.084</x:v>
      </x:c>
      <x:c r="B90" s="14" t="str">
        <x:v>狱焰王</x:v>
      </x:c>
      <x:c r="C90" s="19" t="str">
        <x:v>火</x:v>
      </x:c>
      <x:c r="D90" s="19"/>
      <x:c r="E90" s="19" t="str">
        <x:v>白银</x:v>
      </x:c>
      <x:c r="F90" s="19" t="str">
        <x:v>大型</x:v>
      </x:c>
      <x:c r="G90" s="14" t="str">
        <x:v>输出</x:v>
      </x:c>
      <x:c r="H90" s="21" t="n">
        <x:f>ROUND(50*IF(E90="青铜",1,IF(E90="白银",2,IF(E90="黄金",3.2,IF(E90="钻石",4.8,1))))*IF(F90="小型",1,IF(F90="中型",1.6,IF(F90="大型",2.56,1))),0)</x:f>
        <x:v>256</x:v>
      </x:c>
      <x:c r="I90" s="21" t="n">
        <x:f>K90+3*L90+M90*5</x:f>
        <x:v>74</x:v>
      </x:c>
      <x:c r="J90" s="21" t="n">
        <x:f>I90-H90</x:f>
        <x:v>-182</x:v>
      </x:c>
      <x:c r="K90" s="21" t="n">
        <x:v>35</x:v>
      </x:c>
      <x:c r="L90" s="21" t="n">
        <x:v>8</x:v>
      </x:c>
      <x:c r="M90" s="21" t="n">
        <x:v>3</x:v>
      </x:c>
      <x:c r="N90" s="14" t="str">
        <x:v>B1 横扫三格</x:v>
      </x:c>
      <x:c r="O90" s="14" t="str">
        <x:v>扫击/3格</x:v>
      </x:c>
      <x:c r="P90" s="14" t="str">
        <x:v>输出</x:v>
      </x:c>
      <x:c r="Q90" s="14" t="str">
        <x:v>castleReduce</x:v>
      </x:c>
      <x:c r="R90" s="14" t="str">
        <x:v>火、输出、爆发、前排</x:v>
      </x:c>
      <x:c r="S90" s="19" t="str">
        <x:v>—</x:v>
      </x:c>
      <x:c r="T90" s="14"/>
      <x:c r="U90" s="14" t="str">
        <x:v>pal_089</x:v>
      </x:c>
    </x:row>
    <x:row r="91" ht="20" customHeight="1">
      <x:c r="A91" s="19" t="str">
        <x:v>No.084B</x:v>
      </x:c>
      <x:c r="B91" s="14" t="str">
        <x:v>狱阎王</x:v>
      </x:c>
      <x:c r="C91" s="19" t="str">
        <x:v>火</x:v>
      </x:c>
      <x:c r="D91" s="19" t="str">
        <x:v>火、暗</x:v>
      </x:c>
      <x:c r="E91" s="19" t="str">
        <x:v>白银</x:v>
      </x:c>
      <x:c r="F91" s="19" t="str">
        <x:v>大型</x:v>
      </x:c>
      <x:c r="G91" s="14" t="str">
        <x:v>输出</x:v>
      </x:c>
      <x:c r="H91" s="21" t="n">
        <x:f>ROUND(50*IF(E91="青铜",1,IF(E91="白银",2,IF(E91="黄金",3.2,IF(E91="钻石",4.8,1))))*IF(F91="小型",1,IF(F91="中型",1.6,IF(F91="大型",2.56,1))),0)</x:f>
        <x:v>256</x:v>
      </x:c>
      <x:c r="I91" s="21" t="n">
        <x:f>K91+3*L91+M91*5</x:f>
        <x:v>74</x:v>
      </x:c>
      <x:c r="J91" s="21" t="n">
        <x:f>I91-H91</x:f>
        <x:v>-182</x:v>
      </x:c>
      <x:c r="K91" s="21" t="n">
        <x:v>35</x:v>
      </x:c>
      <x:c r="L91" s="21" t="n">
        <x:v>8</x:v>
      </x:c>
      <x:c r="M91" s="21" t="n">
        <x:v>3</x:v>
      </x:c>
      <x:c r="N91" s="14" t="str">
        <x:v>B1 横扫三格</x:v>
      </x:c>
      <x:c r="O91" s="14" t="str">
        <x:v>扫击/3格</x:v>
      </x:c>
      <x:c r="P91" s="14" t="str">
        <x:v>输出</x:v>
      </x:c>
      <x:c r="Q91" s="14" t="str">
        <x:v>castleReduce</x:v>
      </x:c>
      <x:c r="R91" s="14" t="str">
        <x:v>火、输出、爆发、前排</x:v>
      </x:c>
      <x:c r="S91" s="19" t="str">
        <x:v>—</x:v>
      </x:c>
      <x:c r="T91" s="14"/>
      <x:c r="U91" s="14" t="str">
        <x:v>pal_090</x:v>
      </x:c>
    </x:row>
    <x:row r="92" ht="20" customHeight="1">
      <x:c r="A92" s="19" t="str">
        <x:v>No.085</x:v>
      </x:c>
      <x:c r="B92" s="14" t="str">
        <x:v>佩克龙</x:v>
      </x:c>
      <x:c r="C92" s="19" t="str">
        <x:v>水</x:v>
      </x:c>
      <x:c r="D92" s="19" t="str">
        <x:v>龙、水</x:v>
      </x:c>
      <x:c r="E92" s="19" t="str">
        <x:v>白银</x:v>
      </x:c>
      <x:c r="F92" s="19" t="str">
        <x:v>大型</x:v>
      </x:c>
      <x:c r="G92" s="14" t="str">
        <x:v>防御</x:v>
      </x:c>
      <x:c r="H92" s="21" t="n">
        <x:f>ROUND(50*IF(E92="青铜",1,IF(E92="白银",2,IF(E92="黄金",3.2,IF(E92="钻石",4.8,1))))*IF(F92="小型",1,IF(F92="中型",1.6,IF(F92="大型",2.56,1))),0)</x:f>
        <x:v>256</x:v>
      </x:c>
      <x:c r="I92" s="21" t="n">
        <x:f>K92+3*L92+M92*5</x:f>
        <x:v>71</x:v>
      </x:c>
      <x:c r="J92" s="21" t="n">
        <x:f>I92-H92</x:f>
        <x:v>-185</x:v>
      </x:c>
      <x:c r="K92" s="21" t="n">
        <x:v>35</x:v>
      </x:c>
      <x:c r="L92" s="21" t="n">
        <x:v>7</x:v>
      </x:c>
      <x:c r="M92" s="21" t="n">
        <x:v>3</x:v>
      </x:c>
      <x:c r="N92" s="14" t="str">
        <x:v>B1 横扫三格</x:v>
      </x:c>
      <x:c r="O92" s="14" t="str">
        <x:v>扫击/3格</x:v>
      </x:c>
      <x:c r="P92" s="14" t="str">
        <x:v>阻挡</x:v>
      </x:c>
      <x:c r="Q92" s="14" t="str">
        <x:v>castleReduce</x:v>
      </x:c>
      <x:c r="R92" s="14" t="str">
        <x:v>水、防御、前排、阻挡</x:v>
      </x:c>
      <x:c r="S92" s="19" t="str">
        <x:v>—</x:v>
      </x:c>
      <x:c r="T92" s="14"/>
      <x:c r="U92" s="14" t="str">
        <x:v>pal_091</x:v>
      </x:c>
    </x:row>
    <x:row r="93" ht="20" customHeight="1">
      <x:c r="A93" s="19" t="str">
        <x:v>No.085B</x:v>
      </x:c>
      <x:c r="B93" s="14" t="str">
        <x:v>派克龙</x:v>
      </x:c>
      <x:c r="C93" s="19" t="str">
        <x:v>风</x:v>
      </x:c>
      <x:c r="D93" s="19" t="str">
        <x:v>龙、雷</x:v>
      </x:c>
      <x:c r="E93" s="19" t="str">
        <x:v>白银</x:v>
      </x:c>
      <x:c r="F93" s="19" t="str">
        <x:v>中型</x:v>
      </x:c>
      <x:c r="G93" s="14" t="str">
        <x:v>牵制</x:v>
      </x:c>
      <x:c r="H93" s="21" t="n">
        <x:f>ROUND(50*IF(E93="青铜",1,IF(E93="白银",2,IF(E93="黄金",3.2,IF(E93="钻石",4.8,1))))*IF(F93="小型",1,IF(F93="中型",1.6,IF(F93="大型",2.56,1))),0)</x:f>
        <x:v>160</x:v>
      </x:c>
      <x:c r="I93" s="21" t="n">
        <x:f>K93+3*L93+M93*5</x:f>
        <x:v>61</x:v>
      </x:c>
      <x:c r="J93" s="21" t="n">
        <x:f>I93-H93</x:f>
        <x:v>-99</x:v>
      </x:c>
      <x:c r="K93" s="21" t="n">
        <x:v>28</x:v>
      </x:c>
      <x:c r="L93" s="21" t="n">
        <x:v>6</x:v>
      </x:c>
      <x:c r="M93" s="21" t="n">
        <x:v>3</x:v>
      </x:c>
      <x:c r="N93" s="14" t="str">
        <x:v>T2 长柄T</x:v>
      </x:c>
      <x:c r="O93" s="14" t="str">
        <x:v>T形/5格</x:v>
      </x:c>
      <x:c r="P93" s="14" t="str">
        <x:v>牵制</x:v>
      </x:c>
      <x:c r="Q93" s="14" t="str">
        <x:v>advHitBonus</x:v>
      </x:c>
      <x:c r="R93" s="14" t="str">
        <x:v>风、牵制、范围、机动</x:v>
      </x:c>
      <x:c r="S93" s="19" t="str">
        <x:v>—</x:v>
      </x:c>
      <x:c r="T93" s="14"/>
      <x:c r="U93" s="14" t="str">
        <x:v>pal_092</x:v>
      </x:c>
    </x:row>
    <x:row r="94" ht="20" customHeight="1">
      <x:c r="A94" s="19" t="str">
        <x:v>No.086</x:v>
      </x:c>
      <x:c r="B94" s="14" t="str">
        <x:v>连理龙</x:v>
      </x:c>
      <x:c r="C94" s="19" t="str">
        <x:v>风</x:v>
      </x:c>
      <x:c r="D94" s="19" t="str">
        <x:v>草</x:v>
      </x:c>
      <x:c r="E94" s="19" t="str">
        <x:v>白银</x:v>
      </x:c>
      <x:c r="F94" s="19" t="str">
        <x:v>中型</x:v>
      </x:c>
      <x:c r="G94" s="14" t="str">
        <x:v>召唤</x:v>
      </x:c>
      <x:c r="H94" s="21" t="n">
        <x:f>ROUND(50*IF(E94="青铜",1,IF(E94="白银",2,IF(E94="黄金",3.2,IF(E94="钻石",4.8,1))))*IF(F94="小型",1,IF(F94="中型",1.6,IF(F94="大型",2.56,1))),0)</x:f>
        <x:v>160</x:v>
      </x:c>
      <x:c r="I94" s="21" t="n">
        <x:f>K94+3*L94+M94*5</x:f>
        <x:v>58</x:v>
      </x:c>
      <x:c r="J94" s="21" t="n">
        <x:f>I94-H94</x:f>
        <x:v>-102</x:v>
      </x:c>
      <x:c r="K94" s="21" t="n">
        <x:v>28</x:v>
      </x:c>
      <x:c r="L94" s="21" t="n">
        <x:v>5</x:v>
      </x:c>
      <x:c r="M94" s="21" t="n">
        <x:v>3</x:v>
      </x:c>
      <x:c r="N94" s="14" t="str">
        <x:v>A1 单点刺</x:v>
      </x:c>
      <x:c r="O94" s="14" t="str">
        <x:v>直线/1格</x:v>
      </x:c>
      <x:c r="P94" s="14" t="str">
        <x:v>召唤</x:v>
      </x:c>
      <x:c r="Q94" s="14" t="str">
        <x:v>summonFromCell</x:v>
      </x:c>
      <x:c r="R94" s="14" t="str">
        <x:v>风、召唤、成长、核心</x:v>
      </x:c>
      <x:c r="S94" s="19" t="str">
        <x:v>是</x:v>
      </x:c>
      <x:c r="T94" s="14"/>
      <x:c r="U94" s="14" t="str">
        <x:v>pal_093</x:v>
      </x:c>
    </x:row>
    <x:row r="95" ht="20" customHeight="1">
      <x:c r="A95" s="19" t="str">
        <x:v>No.086B</x:v>
      </x:c>
      <x:c r="B95" s="14" t="str">
        <x:v>海誓龙</x:v>
      </x:c>
      <x:c r="C95" s="19" t="str">
        <x:v>水</x:v>
      </x:c>
      <x:c r="D95" s="19" t="str">
        <x:v>草、水</x:v>
      </x:c>
      <x:c r="E95" s="19" t="str">
        <x:v>白银</x:v>
      </x:c>
      <x:c r="F95" s="19" t="str">
        <x:v>中型</x:v>
      </x:c>
      <x:c r="G95" s="14" t="str">
        <x:v>治疗</x:v>
      </x:c>
      <x:c r="H95" s="21" t="n">
        <x:f>ROUND(50*IF(E95="青铜",1,IF(E95="白银",2,IF(E95="黄金",3.2,IF(E95="钻石",4.8,1))))*IF(F95="小型",1,IF(F95="中型",1.6,IF(F95="大型",2.56,1))),0)</x:f>
        <x:v>160</x:v>
      </x:c>
      <x:c r="I95" s="21" t="n">
        <x:f>K95+3*L95+M95*5</x:f>
        <x:v>59</x:v>
      </x:c>
      <x:c r="J95" s="21" t="n">
        <x:f>I95-H95</x:f>
        <x:v>-101</x:v>
      </x:c>
      <x:c r="K95" s="21" t="n">
        <x:v>29</x:v>
      </x:c>
      <x:c r="L95" s="21" t="n">
        <x:v>5</x:v>
      </x:c>
      <x:c r="M95" s="21" t="n">
        <x:v>3</x:v>
      </x:c>
      <x:c r="N95" s="14" t="str">
        <x:v>T1 标准前置T</x:v>
      </x:c>
      <x:c r="O95" s="14" t="str">
        <x:v>T形/4格</x:v>
      </x:c>
      <x:c r="P95" s="14" t="str">
        <x:v>场地</x:v>
      </x:c>
      <x:c r="Q95" s="14" t="str">
        <x:v>healAmpBonus</x:v>
      </x:c>
      <x:c r="R95" s="14" t="str">
        <x:v>水、治疗、后排、增益</x:v>
      </x:c>
      <x:c r="S95" s="19" t="str">
        <x:v>—</x:v>
      </x:c>
      <x:c r="T95" s="14"/>
      <x:c r="U95" s="14" t="str">
        <x:v>pal_094</x:v>
      </x:c>
    </x:row>
    <x:row r="96" ht="20" customHeight="1">
      <x:c r="A96" s="19" t="str">
        <x:v>No.087</x:v>
      </x:c>
      <x:c r="B96" s="14" t="str">
        <x:v>花丽娜</x:v>
      </x:c>
      <x:c r="C96" s="19" t="str">
        <x:v>风</x:v>
      </x:c>
      <x:c r="D96" s="19" t="str">
        <x:v>草</x:v>
      </x:c>
      <x:c r="E96" s="19" t="str">
        <x:v>白银</x:v>
      </x:c>
      <x:c r="F96" s="19" t="str">
        <x:v>小型</x:v>
      </x:c>
      <x:c r="G96" s="14" t="str">
        <x:v>治疗</x:v>
      </x:c>
      <x:c r="H96" s="21" t="n">
        <x:f>ROUND(50*IF(E96="青铜",1,IF(E96="白银",2,IF(E96="黄金",3.2,IF(E96="钻石",4.8,1))))*IF(F96="小型",1,IF(F96="中型",1.6,IF(F96="大型",2.56,1))),0)</x:f>
        <x:v>100</x:v>
      </x:c>
      <x:c r="I96" s="21" t="n">
        <x:f>K96+3*L96+M96*5</x:f>
        <x:v>53</x:v>
      </x:c>
      <x:c r="J96" s="21" t="n">
        <x:f>I96-H96</x:f>
        <x:v>-47</x:v>
      </x:c>
      <x:c r="K96" s="21" t="n">
        <x:v>29</x:v>
      </x:c>
      <x:c r="L96" s="21" t="n">
        <x:v>3</x:v>
      </x:c>
      <x:c r="M96" s="21" t="n">
        <x:v>3</x:v>
      </x:c>
      <x:c r="N96" s="14" t="str">
        <x:v>T1 标准前置T</x:v>
      </x:c>
      <x:c r="O96" s="14" t="str">
        <x:v>T形/4格</x:v>
      </x:c>
      <x:c r="P96" s="14" t="str">
        <x:v>场地</x:v>
      </x:c>
      <x:c r="Q96" s="14" t="str">
        <x:v>healAmpBonus</x:v>
      </x:c>
      <x:c r="R96" s="14" t="str">
        <x:v>风、治疗、后排、增益</x:v>
      </x:c>
      <x:c r="S96" s="19" t="str">
        <x:v>—</x:v>
      </x:c>
      <x:c r="T96" s="14"/>
      <x:c r="U96" s="14" t="str">
        <x:v>pal_095</x:v>
      </x:c>
    </x:row>
    <x:row r="97" ht="20" customHeight="1">
      <x:c r="A97" s="19" t="str">
        <x:v>No.088</x:v>
      </x:c>
      <x:c r="B97" s="14" t="str">
        <x:v>熔岩兽</x:v>
      </x:c>
      <x:c r="C97" s="19" t="str">
        <x:v>火</x:v>
      </x:c>
      <x:c r="D97" s="19" t="str">
        <x:v>火、地</x:v>
      </x:c>
      <x:c r="E97" s="19" t="str">
        <x:v>白银</x:v>
      </x:c>
      <x:c r="F97" s="19" t="str">
        <x:v>大型</x:v>
      </x:c>
      <x:c r="G97" s="14" t="str">
        <x:v>防御</x:v>
      </x:c>
      <x:c r="H97" s="21" t="n">
        <x:f>ROUND(50*IF(E97="青铜",1,IF(E97="白银",2,IF(E97="黄金",3.2,IF(E97="钻石",4.8,1))))*IF(F97="小型",1,IF(F97="中型",1.6,IF(F97="大型",2.56,1))),0)</x:f>
        <x:v>256</x:v>
      </x:c>
      <x:c r="I97" s="21" t="n">
        <x:f>K97+3*L97+M97*5</x:f>
        <x:v>71</x:v>
      </x:c>
      <x:c r="J97" s="21" t="n">
        <x:f>I97-H97</x:f>
        <x:v>-185</x:v>
      </x:c>
      <x:c r="K97" s="21" t="n">
        <x:v>35</x:v>
      </x:c>
      <x:c r="L97" s="21" t="n">
        <x:v>7</x:v>
      </x:c>
      <x:c r="M97" s="21" t="n">
        <x:v>3</x:v>
      </x:c>
      <x:c r="N97" s="14" t="str">
        <x:v>B1 横扫三格</x:v>
      </x:c>
      <x:c r="O97" s="14" t="str">
        <x:v>扫击/3格</x:v>
      </x:c>
      <x:c r="P97" s="14" t="str">
        <x:v>阻挡</x:v>
      </x:c>
      <x:c r="Q97" s="14" t="str">
        <x:v>castleReduce</x:v>
      </x:c>
      <x:c r="R97" s="14" t="str">
        <x:v>火、防御、前排、阻挡</x:v>
      </x:c>
      <x:c r="S97" s="19" t="str">
        <x:v>—</x:v>
      </x:c>
      <x:c r="T97" s="14"/>
      <x:c r="U97" s="14" t="str">
        <x:v>pal_096</x:v>
      </x:c>
    </x:row>
    <x:row r="98" ht="20" customHeight="1">
      <x:c r="A98" s="19" t="str">
        <x:v>No.088B</x:v>
      </x:c>
      <x:c r="B98" s="14" t="str">
        <x:v>寒霜兽</x:v>
      </x:c>
      <x:c r="C98" s="19" t="str">
        <x:v>水</x:v>
      </x:c>
      <x:c r="D98" s="19" t="str">
        <x:v>冰、地</x:v>
      </x:c>
      <x:c r="E98" s="19" t="str">
        <x:v>白银</x:v>
      </x:c>
      <x:c r="F98" s="19" t="str">
        <x:v>大型</x:v>
      </x:c>
      <x:c r="G98" s="14" t="str">
        <x:v>防御</x:v>
      </x:c>
      <x:c r="H98" s="21" t="n">
        <x:f>ROUND(50*IF(E98="青铜",1,IF(E98="白银",2,IF(E98="黄金",3.2,IF(E98="钻石",4.8,1))))*IF(F98="小型",1,IF(F98="中型",1.6,IF(F98="大型",2.56,1))),0)</x:f>
        <x:v>256</x:v>
      </x:c>
      <x:c r="I98" s="21" t="n">
        <x:f>K98+3*L98+M98*5</x:f>
        <x:v>71</x:v>
      </x:c>
      <x:c r="J98" s="21" t="n">
        <x:f>I98-H98</x:f>
        <x:v>-185</x:v>
      </x:c>
      <x:c r="K98" s="21" t="n">
        <x:v>35</x:v>
      </x:c>
      <x:c r="L98" s="21" t="n">
        <x:v>7</x:v>
      </x:c>
      <x:c r="M98" s="21" t="n">
        <x:v>3</x:v>
      </x:c>
      <x:c r="N98" s="14" t="str">
        <x:v>B1 横扫三格</x:v>
      </x:c>
      <x:c r="O98" s="14" t="str">
        <x:v>扫击/3格</x:v>
      </x:c>
      <x:c r="P98" s="14" t="str">
        <x:v>阻挡</x:v>
      </x:c>
      <x:c r="Q98" s="14" t="str">
        <x:v>castleReduce</x:v>
      </x:c>
      <x:c r="R98" s="14" t="str">
        <x:v>水、防御、前排、阻挡</x:v>
      </x:c>
      <x:c r="S98" s="19" t="str">
        <x:v>—</x:v>
      </x:c>
      <x:c r="T98" s="14"/>
      <x:c r="U98" s="14" t="str">
        <x:v>pal_097</x:v>
      </x:c>
    </x:row>
    <x:row r="99" ht="20" customHeight="1">
      <x:c r="A99" s="19" t="str">
        <x:v>No.089</x:v>
      </x:c>
      <x:c r="B99" s="14" t="str">
        <x:v>君王美露帕</x:v>
      </x:c>
      <x:c r="C99" s="19" t="str">
        <x:v>风</x:v>
      </x:c>
      <x:c r="D99" s="19"/>
      <x:c r="E99" s="19" t="str">
        <x:v>白银</x:v>
      </x:c>
      <x:c r="F99" s="19" t="str">
        <x:v>中型</x:v>
      </x:c>
      <x:c r="G99" s="14" t="str">
        <x:v>经济</x:v>
      </x:c>
      <x:c r="H99" s="21" t="n">
        <x:f>ROUND(50*IF(E99="青铜",1,IF(E99="白银",2,IF(E99="黄金",3.2,IF(E99="钻石",4.8,1))))*IF(F99="小型",1,IF(F99="中型",1.6,IF(F99="大型",2.56,1))),0)</x:f>
        <x:v>160</x:v>
      </x:c>
      <x:c r="I99" s="21" t="n">
        <x:f>K99+3*L99+M99*5</x:f>
        <x:v>56</x:v>
      </x:c>
      <x:c r="J99" s="21" t="n">
        <x:f>I99-H99</x:f>
        <x:v>-104</x:v>
      </x:c>
      <x:c r="K99" s="21" t="n">
        <x:v>29</x:v>
      </x:c>
      <x:c r="L99" s="21" t="n">
        <x:v>4</x:v>
      </x:c>
      <x:c r="M99" s="21" t="n">
        <x:v>3</x:v>
      </x:c>
      <x:c r="N99" s="14" t="str">
        <x:v>A1 单点刺</x:v>
      </x:c>
      <x:c r="O99" s="14" t="str">
        <x:v>直线/1格</x:v>
      </x:c>
      <x:c r="P99" s="14" t="str">
        <x:v>召唤</x:v>
      </x:c>
      <x:c r="Q99" s="14" t="str">
        <x:v>buffAllSummons</x:v>
      </x:c>
      <x:c r="R99" s="14" t="str">
        <x:v>风、经济、召唤、发育</x:v>
      </x:c>
      <x:c r="S99" s="19" t="str">
        <x:v>是</x:v>
      </x:c>
      <x:c r="T99" s="14"/>
      <x:c r="U99" s="14" t="str">
        <x:v>pal_098</x:v>
      </x:c>
    </x:row>
    <x:row r="100" ht="20" customHeight="1">
      <x:c r="A100" s="19" t="str">
        <x:v>No.089B</x:v>
      </x:c>
      <x:c r="B100" s="14" t="str">
        <x:v>冰帝美露帕</x:v>
      </x:c>
      <x:c r="C100" s="19" t="str">
        <x:v>水</x:v>
      </x:c>
      <x:c r="D100" s="19" t="str">
        <x:v>冰</x:v>
      </x:c>
      <x:c r="E100" s="19" t="str">
        <x:v>白银</x:v>
      </x:c>
      <x:c r="F100" s="19" t="str">
        <x:v>小型</x:v>
      </x:c>
      <x:c r="G100" s="14" t="str">
        <x:v>防御</x:v>
      </x:c>
      <x:c r="H100" s="21" t="n">
        <x:f>ROUND(50*IF(E100="青铜",1,IF(E100="白银",2,IF(E100="黄金",3.2,IF(E100="钻石",4.8,1))))*IF(F100="小型",1,IF(F100="中型",1.6,IF(F100="大型",2.56,1))),0)</x:f>
        <x:v>100</x:v>
      </x:c>
      <x:c r="I100" s="21" t="n">
        <x:f>K100+3*L100+M100*5</x:f>
        <x:v>59</x:v>
      </x:c>
      <x:c r="J100" s="21" t="n">
        <x:f>I100-H100</x:f>
        <x:v>-41</x:v>
      </x:c>
      <x:c r="K100" s="21" t="n">
        <x:v>35</x:v>
      </x:c>
      <x:c r="L100" s="21" t="n">
        <x:v>3</x:v>
      </x:c>
      <x:c r="M100" s="21" t="n">
        <x:v>3</x:v>
      </x:c>
      <x:c r="N100" s="14" t="str">
        <x:v>B1 横扫三格</x:v>
      </x:c>
      <x:c r="O100" s="14" t="str">
        <x:v>扫击/3格</x:v>
      </x:c>
      <x:c r="P100" s="14" t="str">
        <x:v>阻挡</x:v>
      </x:c>
      <x:c r="Q100" s="14" t="str">
        <x:v>castleReduce</x:v>
      </x:c>
      <x:c r="R100" s="14" t="str">
        <x:v>水、防御、前排、阻挡</x:v>
      </x:c>
      <x:c r="S100" s="19" t="str">
        <x:v>—</x:v>
      </x:c>
      <x:c r="T100" s="14"/>
      <x:c r="U100" s="14" t="str">
        <x:v>pal_099</x:v>
      </x:c>
    </x:row>
    <x:row r="101" ht="20" customHeight="1">
      <x:c r="A101" s="19" t="str">
        <x:v>No.090</x:v>
      </x:c>
      <x:c r="B101" s="14" t="str">
        <x:v>森猛犸</x:v>
      </x:c>
      <x:c r="C101" s="19" t="str">
        <x:v>风</x:v>
      </x:c>
      <x:c r="D101" s="19" t="str">
        <x:v>草</x:v>
      </x:c>
      <x:c r="E101" s="19" t="str">
        <x:v>白银</x:v>
      </x:c>
      <x:c r="F101" s="19" t="str">
        <x:v>大型</x:v>
      </x:c>
      <x:c r="G101" s="14" t="str">
        <x:v>防御</x:v>
      </x:c>
      <x:c r="H101" s="21" t="n">
        <x:f>ROUND(50*IF(E101="青铜",1,IF(E101="白银",2,IF(E101="黄金",3.2,IF(E101="钻石",4.8,1))))*IF(F101="小型",1,IF(F101="中型",1.6,IF(F101="大型",2.56,1))),0)</x:f>
        <x:v>256</x:v>
      </x:c>
      <x:c r="I101" s="21" t="n">
        <x:f>K101+3*L101+M101*5</x:f>
        <x:v>73</x:v>
      </x:c>
      <x:c r="J101" s="21" t="n">
        <x:f>I101-H101</x:f>
        <x:v>-183</x:v>
      </x:c>
      <x:c r="K101" s="21" t="n">
        <x:v>37</x:v>
      </x:c>
      <x:c r="L101" s="21" t="n">
        <x:v>7</x:v>
      </x:c>
      <x:c r="M101" s="21" t="n">
        <x:v>3</x:v>
      </x:c>
      <x:c r="N101" s="14" t="str">
        <x:v>B1 横扫三格</x:v>
      </x:c>
      <x:c r="O101" s="14" t="str">
        <x:v>扫击/3格</x:v>
      </x:c>
      <x:c r="P101" s="14" t="str">
        <x:v>阻挡</x:v>
      </x:c>
      <x:c r="Q101" s="14" t="str">
        <x:v>castleReduce</x:v>
      </x:c>
      <x:c r="R101" s="14" t="str">
        <x:v>风、防御、前排、阻挡</x:v>
      </x:c>
      <x:c r="S101" s="19" t="str">
        <x:v>—</x:v>
      </x:c>
      <x:c r="T101" s="14"/>
      <x:c r="U101" s="14" t="str">
        <x:v>pal_100</x:v>
      </x:c>
    </x:row>
    <x:row r="102" ht="20" customHeight="1">
      <x:c r="A102" s="19" t="str">
        <x:v>No.090B</x:v>
      </x:c>
      <x:c r="B102" s="14" t="str">
        <x:v>雪猛犸</x:v>
      </x:c>
      <x:c r="C102" s="19" t="str">
        <x:v>水</x:v>
      </x:c>
      <x:c r="D102" s="19" t="str">
        <x:v>冰</x:v>
      </x:c>
      <x:c r="E102" s="19" t="str">
        <x:v>白银</x:v>
      </x:c>
      <x:c r="F102" s="19" t="str">
        <x:v>大型</x:v>
      </x:c>
      <x:c r="G102" s="14" t="str">
        <x:v>防御</x:v>
      </x:c>
      <x:c r="H102" s="21" t="n">
        <x:f>ROUND(50*IF(E102="青铜",1,IF(E102="白银",2,IF(E102="黄金",3.2,IF(E102="钻石",4.8,1))))*IF(F102="小型",1,IF(F102="中型",1.6,IF(F102="大型",2.56,1))),0)</x:f>
        <x:v>256</x:v>
      </x:c>
      <x:c r="I102" s="21" t="n">
        <x:f>K102+3*L102+M102*5</x:f>
        <x:v>71</x:v>
      </x:c>
      <x:c r="J102" s="21" t="n">
        <x:f>I102-H102</x:f>
        <x:v>-185</x:v>
      </x:c>
      <x:c r="K102" s="21" t="n">
        <x:v>35</x:v>
      </x:c>
      <x:c r="L102" s="21" t="n">
        <x:v>7</x:v>
      </x:c>
      <x:c r="M102" s="21" t="n">
        <x:v>3</x:v>
      </x:c>
      <x:c r="N102" s="14" t="str">
        <x:v>B1 横扫三格</x:v>
      </x:c>
      <x:c r="O102" s="14" t="str">
        <x:v>扫击/3格</x:v>
      </x:c>
      <x:c r="P102" s="14" t="str">
        <x:v>阻挡</x:v>
      </x:c>
      <x:c r="Q102" s="14" t="str">
        <x:v>castleReduce</x:v>
      </x:c>
      <x:c r="R102" s="14" t="str">
        <x:v>水、防御、前排、阻挡</x:v>
      </x:c>
      <x:c r="S102" s="19" t="str">
        <x:v>—</x:v>
      </x:c>
      <x:c r="T102" s="14"/>
      <x:c r="U102" s="14" t="str">
        <x:v>pal_101</x:v>
      </x:c>
    </x:row>
    <x:row r="103" ht="20" customHeight="1">
      <x:c r="A103" s="19" t="str">
        <x:v>No.091</x:v>
      </x:c>
      <x:c r="B103" s="14" t="str">
        <x:v>白绒雪怪</x:v>
      </x:c>
      <x:c r="C103" s="19" t="str">
        <x:v>水</x:v>
      </x:c>
      <x:c r="D103" s="19" t="str">
        <x:v>冰</x:v>
      </x:c>
      <x:c r="E103" s="19" t="str">
        <x:v>白银</x:v>
      </x:c>
      <x:c r="F103" s="19" t="str">
        <x:v>小型</x:v>
      </x:c>
      <x:c r="G103" s="14" t="str">
        <x:v>防御</x:v>
      </x:c>
      <x:c r="H103" s="21" t="n">
        <x:f>ROUND(50*IF(E103="青铜",1,IF(E103="白银",2,IF(E103="黄金",3.2,IF(E103="钻石",4.8,1))))*IF(F103="小型",1,IF(F103="中型",1.6,IF(F103="大型",2.56,1))),0)</x:f>
        <x:v>100</x:v>
      </x:c>
      <x:c r="I103" s="21" t="n">
        <x:f>K103+3*L103+M103*5</x:f>
        <x:v>59</x:v>
      </x:c>
      <x:c r="J103" s="21" t="n">
        <x:f>I103-H103</x:f>
        <x:v>-41</x:v>
      </x:c>
      <x:c r="K103" s="21" t="n">
        <x:v>35</x:v>
      </x:c>
      <x:c r="L103" s="21" t="n">
        <x:v>3</x:v>
      </x:c>
      <x:c r="M103" s="21" t="n">
        <x:v>3</x:v>
      </x:c>
      <x:c r="N103" s="14" t="str">
        <x:v>B1 横扫三格</x:v>
      </x:c>
      <x:c r="O103" s="14" t="str">
        <x:v>扫击/3格</x:v>
      </x:c>
      <x:c r="P103" s="14" t="str">
        <x:v>阻挡</x:v>
      </x:c>
      <x:c r="Q103" s="14" t="str">
        <x:v>castleReduce</x:v>
      </x:c>
      <x:c r="R103" s="14" t="str">
        <x:v>水、防御、前排、阻挡</x:v>
      </x:c>
      <x:c r="S103" s="19" t="str">
        <x:v>—</x:v>
      </x:c>
      <x:c r="T103" s="14"/>
      <x:c r="U103" s="14" t="str">
        <x:v>pal_102</x:v>
      </x:c>
    </x:row>
    <x:row r="104" ht="20" customHeight="1">
      <x:c r="A104" s="19" t="str">
        <x:v>No.091B</x:v>
      </x:c>
      <x:c r="B104" s="14" t="str">
        <x:v>绿苔绒怪</x:v>
      </x:c>
      <x:c r="C104" s="19" t="str">
        <x:v>风</x:v>
      </x:c>
      <x:c r="D104" s="19" t="str">
        <x:v>草</x:v>
      </x:c>
      <x:c r="E104" s="19" t="str">
        <x:v>白银</x:v>
      </x:c>
      <x:c r="F104" s="19" t="str">
        <x:v>小型</x:v>
      </x:c>
      <x:c r="G104" s="14" t="str">
        <x:v>防御</x:v>
      </x:c>
      <x:c r="H104" s="21" t="n">
        <x:f>ROUND(50*IF(E104="青铜",1,IF(E104="白银",2,IF(E104="黄金",3.2,IF(E104="钻石",4.8,1))))*IF(F104="小型",1,IF(F104="中型",1.6,IF(F104="大型",2.56,1))),0)</x:f>
        <x:v>100</x:v>
      </x:c>
      <x:c r="I104" s="21" t="n">
        <x:f>K104+3*L104+M104*5</x:f>
        <x:v>61</x:v>
      </x:c>
      <x:c r="J104" s="21" t="n">
        <x:f>I104-H104</x:f>
        <x:v>-39</x:v>
      </x:c>
      <x:c r="K104" s="21" t="n">
        <x:v>37</x:v>
      </x:c>
      <x:c r="L104" s="21" t="n">
        <x:v>3</x:v>
      </x:c>
      <x:c r="M104" s="21" t="n">
        <x:v>3</x:v>
      </x:c>
      <x:c r="N104" s="14" t="str">
        <x:v>B1 横扫三格</x:v>
      </x:c>
      <x:c r="O104" s="14" t="str">
        <x:v>扫击/3格</x:v>
      </x:c>
      <x:c r="P104" s="14" t="str">
        <x:v>阻挡</x:v>
      </x:c>
      <x:c r="Q104" s="14" t="str">
        <x:v>castleReduce</x:v>
      </x:c>
      <x:c r="R104" s="14" t="str">
        <x:v>风、防御、前排、阻挡</x:v>
      </x:c>
      <x:c r="S104" s="19" t="str">
        <x:v>—</x:v>
      </x:c>
      <x:c r="T104" s="14"/>
      <x:c r="U104" s="14" t="str">
        <x:v>pal_103</x:v>
      </x:c>
    </x:row>
    <x:row r="105" ht="20" customHeight="1">
      <x:c r="A105" s="19" t="str">
        <x:v>No.092</x:v>
      </x:c>
      <x:c r="B105" s="14" t="str">
        <x:v>铠格力斯</x:v>
      </x:c>
      <x:c r="C105" s="19" t="str">
        <x:v>土</x:v>
      </x:c>
      <x:c r="D105" s="19" t="str">
        <x:v>地、草</x:v>
      </x:c>
      <x:c r="E105" s="19" t="str">
        <x:v>白银</x:v>
      </x:c>
      <x:c r="F105" s="19" t="str">
        <x:v>小型</x:v>
      </x:c>
      <x:c r="G105" s="14" t="str">
        <x:v>防御</x:v>
      </x:c>
      <x:c r="H105" s="21" t="n">
        <x:f>ROUND(50*IF(E105="青铜",1,IF(E105="白银",2,IF(E105="黄金",3.2,IF(E105="钻石",4.8,1))))*IF(F105="小型",1,IF(F105="中型",1.6,IF(F105="大型",2.56,1))),0)</x:f>
        <x:v>100</x:v>
      </x:c>
      <x:c r="I105" s="21" t="n">
        <x:f>K105+3*L105+M105*5</x:f>
        <x:v>59</x:v>
      </x:c>
      <x:c r="J105" s="21" t="n">
        <x:f>I105-H105</x:f>
        <x:v>-41</x:v>
      </x:c>
      <x:c r="K105" s="21" t="n">
        <x:v>35</x:v>
      </x:c>
      <x:c r="L105" s="21" t="n">
        <x:v>3</x:v>
      </x:c>
      <x:c r="M105" s="21" t="n">
        <x:v>3</x:v>
      </x:c>
      <x:c r="N105" s="14" t="str">
        <x:v>B1 横扫三格</x:v>
      </x:c>
      <x:c r="O105" s="14" t="str">
        <x:v>扫击/3格</x:v>
      </x:c>
      <x:c r="P105" s="14" t="str">
        <x:v>阻挡</x:v>
      </x:c>
      <x:c r="Q105" s="14" t="str">
        <x:v>castleReduce</x:v>
      </x:c>
      <x:c r="R105" s="14" t="str">
        <x:v>土、防御、前排、阻挡</x:v>
      </x:c>
      <x:c r="S105" s="19" t="str">
        <x:v>—</x:v>
      </x:c>
      <x:c r="T105" s="14"/>
      <x:c r="U105" s="14" t="str">
        <x:v>pal_104</x:v>
      </x:c>
    </x:row>
    <x:row r="106" ht="20" customHeight="1">
      <x:c r="A106" s="19" t="str">
        <x:v>No.093</x:v>
      </x:c>
      <x:c r="B106" s="14" t="str">
        <x:v>云海鹿</x:v>
      </x:c>
      <x:c r="C106" s="19" t="str">
        <x:v>风</x:v>
      </x:c>
      <x:c r="D106" s="19"/>
      <x:c r="E106" s="19" t="str">
        <x:v>白银</x:v>
      </x:c>
      <x:c r="F106" s="19" t="str">
        <x:v>小型</x:v>
      </x:c>
      <x:c r="G106" s="14" t="str">
        <x:v>机动</x:v>
      </x:c>
      <x:c r="H106" s="21" t="n">
        <x:f>ROUND(50*IF(E106="青铜",1,IF(E106="白银",2,IF(E106="黄金",3.2,IF(E106="钻石",4.8,1))))*IF(F106="小型",1,IF(F106="中型",1.6,IF(F106="大型",2.56,1))),0)</x:f>
        <x:v>100</x:v>
      </x:c>
      <x:c r="I106" s="21" t="n">
        <x:f>K106+3*L106+M106*5</x:f>
        <x:v>55</x:v>
      </x:c>
      <x:c r="J106" s="21" t="n">
        <x:f>I106-H106</x:f>
        <x:v>-45</x:v>
      </x:c>
      <x:c r="K106" s="21" t="n">
        <x:v>28</x:v>
      </x:c>
      <x:c r="L106" s="21" t="n">
        <x:v>4</x:v>
      </x:c>
      <x:c r="M106" s="21" t="n">
        <x:v>3</x:v>
      </x:c>
      <x:c r="N106" s="14" t="str">
        <x:v>T2 长柄T</x:v>
      </x:c>
      <x:c r="O106" s="14" t="str">
        <x:v>T形/5格</x:v>
      </x:c>
      <x:c r="P106" s="14" t="str">
        <x:v>牵制</x:v>
      </x:c>
      <x:c r="Q106" s="14" t="str">
        <x:v>advHitBonus</x:v>
      </x:c>
      <x:c r="R106" s="14" t="str">
        <x:v>风、机动、灵活、泛用</x:v>
      </x:c>
      <x:c r="S106" s="19" t="str">
        <x:v>—</x:v>
      </x:c>
      <x:c r="T106" s="14"/>
      <x:c r="U106" s="14" t="str">
        <x:v>pal_105</x:v>
      </x:c>
    </x:row>
    <x:row r="107" ht="20" customHeight="1">
      <x:c r="A107" s="19" t="str">
        <x:v>No.094</x:v>
      </x:c>
      <x:c r="B107" s="14" t="str">
        <x:v>夜幕魔蝠</x:v>
      </x:c>
      <x:c r="C107" s="19" t="str">
        <x:v>土</x:v>
      </x:c>
      <x:c r="D107" s="19" t="str">
        <x:v>暗</x:v>
      </x:c>
      <x:c r="E107" s="19" t="str">
        <x:v>白银</x:v>
      </x:c>
      <x:c r="F107" s="19" t="str">
        <x:v>大型</x:v>
      </x:c>
      <x:c r="G107" s="14" t="str">
        <x:v>防御</x:v>
      </x:c>
      <x:c r="H107" s="21" t="n">
        <x:f>ROUND(50*IF(E107="青铜",1,IF(E107="白银",2,IF(E107="黄金",3.2,IF(E107="钻石",4.8,1))))*IF(F107="小型",1,IF(F107="中型",1.6,IF(F107="大型",2.56,1))),0)</x:f>
        <x:v>256</x:v>
      </x:c>
      <x:c r="I107" s="21" t="n">
        <x:f>K107+3*L107+M107*5</x:f>
        <x:v>71</x:v>
      </x:c>
      <x:c r="J107" s="21" t="n">
        <x:f>I107-H107</x:f>
        <x:v>-185</x:v>
      </x:c>
      <x:c r="K107" s="21" t="n">
        <x:v>35</x:v>
      </x:c>
      <x:c r="L107" s="21" t="n">
        <x:v>7</x:v>
      </x:c>
      <x:c r="M107" s="21" t="n">
        <x:v>3</x:v>
      </x:c>
      <x:c r="N107" s="14" t="str">
        <x:v>B1 横扫三格</x:v>
      </x:c>
      <x:c r="O107" s="14" t="str">
        <x:v>扫击/3格</x:v>
      </x:c>
      <x:c r="P107" s="14" t="str">
        <x:v>阻挡</x:v>
      </x:c>
      <x:c r="Q107" s="14" t="str">
        <x:v>castleReduce</x:v>
      </x:c>
      <x:c r="R107" s="14" t="str">
        <x:v>土、防御、前排、阻挡</x:v>
      </x:c>
      <x:c r="S107" s="19" t="str">
        <x:v>—</x:v>
      </x:c>
      <x:c r="T107" s="14"/>
      <x:c r="U107" s="14" t="str">
        <x:v>pal_106</x:v>
      </x:c>
    </x:row>
    <x:row r="108" ht="20" customHeight="1">
      <x:c r="A108" s="19" t="str">
        <x:v>No.095</x:v>
      </x:c>
      <x:c r="B108" s="14" t="str">
        <x:v>天羽龙</x:v>
      </x:c>
      <x:c r="C108" s="19" t="str">
        <x:v>风</x:v>
      </x:c>
      <x:c r="D108" s="19" t="str">
        <x:v>龙</x:v>
      </x:c>
      <x:c r="E108" s="19" t="str">
        <x:v>白银</x:v>
      </x:c>
      <x:c r="F108" s="19" t="str">
        <x:v>大型</x:v>
      </x:c>
      <x:c r="G108" s="14" t="str">
        <x:v>机动</x:v>
      </x:c>
      <x:c r="H108" s="21" t="n">
        <x:f>ROUND(50*IF(E108="青铜",1,IF(E108="白银",2,IF(E108="黄金",3.2,IF(E108="钻石",4.8,1))))*IF(F108="小型",1,IF(F108="中型",1.6,IF(F108="大型",2.56,1))),0)</x:f>
        <x:v>256</x:v>
      </x:c>
      <x:c r="I108" s="21" t="n">
        <x:f>K108+3*L108+M108*5</x:f>
        <x:v>67</x:v>
      </x:c>
      <x:c r="J108" s="21" t="n">
        <x:f>I108-H108</x:f>
        <x:v>-189</x:v>
      </x:c>
      <x:c r="K108" s="21" t="n">
        <x:v>28</x:v>
      </x:c>
      <x:c r="L108" s="21" t="n">
        <x:v>8</x:v>
      </x:c>
      <x:c r="M108" s="21" t="n">
        <x:v>3</x:v>
      </x:c>
      <x:c r="N108" s="14" t="str">
        <x:v>T2 长柄T</x:v>
      </x:c>
      <x:c r="O108" s="14" t="str">
        <x:v>T形/5格</x:v>
      </x:c>
      <x:c r="P108" s="14" t="str">
        <x:v>牵制</x:v>
      </x:c>
      <x:c r="Q108" s="14" t="str">
        <x:v>advHitBonus</x:v>
      </x:c>
      <x:c r="R108" s="14" t="str">
        <x:v>风、机动、灵活、泛用</x:v>
      </x:c>
      <x:c r="S108" s="19" t="str">
        <x:v>—</x:v>
      </x:c>
      <x:c r="T108" s="14"/>
      <x:c r="U108" s="14" t="str">
        <x:v>pal_107</x:v>
      </x:c>
    </x:row>
    <x:row r="109" ht="20" customHeight="1">
      <x:c r="A109" s="19" t="str">
        <x:v>No.096</x:v>
      </x:c>
      <x:c r="B109" s="14" t="str">
        <x:v>焰煌</x:v>
      </x:c>
      <x:c r="C109" s="19" t="str">
        <x:v>火</x:v>
      </x:c>
      <x:c r="D109" s="19"/>
      <x:c r="E109" s="19" t="str">
        <x:v>白银</x:v>
      </x:c>
      <x:c r="F109" s="19" t="str">
        <x:v>大型</x:v>
      </x:c>
      <x:c r="G109" s="14" t="str">
        <x:v>输出</x:v>
      </x:c>
      <x:c r="H109" s="21" t="n">
        <x:f>ROUND(50*IF(E109="青铜",1,IF(E109="白银",2,IF(E109="黄金",3.2,IF(E109="钻石",4.8,1))))*IF(F109="小型",1,IF(F109="中型",1.6,IF(F109="大型",2.56,1))),0)</x:f>
        <x:v>256</x:v>
      </x:c>
      <x:c r="I109" s="21" t="n">
        <x:f>K109+3*L109+M109*5</x:f>
        <x:v>74</x:v>
      </x:c>
      <x:c r="J109" s="21" t="n">
        <x:f>I109-H109</x:f>
        <x:v>-182</x:v>
      </x:c>
      <x:c r="K109" s="21" t="n">
        <x:v>35</x:v>
      </x:c>
      <x:c r="L109" s="21" t="n">
        <x:v>8</x:v>
      </x:c>
      <x:c r="M109" s="21" t="n">
        <x:v>3</x:v>
      </x:c>
      <x:c r="N109" s="14" t="str">
        <x:v>B1 横扫三格</x:v>
      </x:c>
      <x:c r="O109" s="14" t="str">
        <x:v>扫击/3格</x:v>
      </x:c>
      <x:c r="P109" s="14" t="str">
        <x:v>输出</x:v>
      </x:c>
      <x:c r="Q109" s="14" t="str">
        <x:v>castleReduce</x:v>
      </x:c>
      <x:c r="R109" s="14" t="str">
        <x:v>火、输出、爆发、前排</x:v>
      </x:c>
      <x:c r="S109" s="19" t="str">
        <x:v>—</x:v>
      </x:c>
      <x:c r="T109" s="14"/>
      <x:c r="U109" s="14" t="str">
        <x:v>pal_108</x:v>
      </x:c>
    </x:row>
    <x:row r="110" ht="20" customHeight="1">
      <x:c r="A110" s="19" t="str">
        <x:v>No.097</x:v>
      </x:c>
      <x:c r="B110" s="14" t="str">
        <x:v>雷冥鸟</x:v>
      </x:c>
      <x:c r="C110" s="19" t="str">
        <x:v>土</x:v>
      </x:c>
      <x:c r="D110" s="19" t="str">
        <x:v>暗</x:v>
      </x:c>
      <x:c r="E110" s="19" t="str">
        <x:v>白银</x:v>
      </x:c>
      <x:c r="F110" s="19" t="str">
        <x:v>小型</x:v>
      </x:c>
      <x:c r="G110" s="14" t="str">
        <x:v>机动</x:v>
      </x:c>
      <x:c r="H110" s="21" t="n">
        <x:f>ROUND(50*IF(E110="青铜",1,IF(E110="白银",2,IF(E110="黄金",3.2,IF(E110="钻石",4.8,1))))*IF(F110="小型",1,IF(F110="中型",1.6,IF(F110="大型",2.56,1))),0)</x:f>
        <x:v>100</x:v>
      </x:c>
      <x:c r="I110" s="21" t="n">
        <x:f>K110+3*L110+M110*5</x:f>
        <x:v>55</x:v>
      </x:c>
      <x:c r="J110" s="21" t="n">
        <x:f>I110-H110</x:f>
        <x:v>-45</x:v>
      </x:c>
      <x:c r="K110" s="21" t="n">
        <x:v>28</x:v>
      </x:c>
      <x:c r="L110" s="21" t="n">
        <x:v>4</x:v>
      </x:c>
      <x:c r="M110" s="21" t="n">
        <x:v>3</x:v>
      </x:c>
      <x:c r="N110" s="14" t="str">
        <x:v>T2 长柄T</x:v>
      </x:c>
      <x:c r="O110" s="14" t="str">
        <x:v>T形/5格</x:v>
      </x:c>
      <x:c r="P110" s="14" t="str">
        <x:v>牵制</x:v>
      </x:c>
      <x:c r="Q110" s="14" t="str">
        <x:v>advHitBonus</x:v>
      </x:c>
      <x:c r="R110" s="14" t="str">
        <x:v>土、机动、灵活、泛用</x:v>
      </x:c>
      <x:c r="S110" s="19" t="str">
        <x:v>—</x:v>
      </x:c>
      <x:c r="T110" s="14"/>
      <x:c r="U110" s="14" t="str">
        <x:v>pal_109</x:v>
      </x:c>
    </x:row>
    <x:row r="111" ht="20" customHeight="1">
      <x:c r="A111" s="19" t="str">
        <x:v>No.098</x:v>
      </x:c>
      <x:c r="B111" s="14" t="str">
        <x:v>魔渊龙</x:v>
      </x:c>
      <x:c r="C111" s="19" t="str">
        <x:v>土</x:v>
      </x:c>
      <x:c r="D111" s="19" t="str">
        <x:v>龙、暗</x:v>
      </x:c>
      <x:c r="E111" s="19" t="str">
        <x:v>白银</x:v>
      </x:c>
      <x:c r="F111" s="19" t="str">
        <x:v>大型</x:v>
      </x:c>
      <x:c r="G111" s="14" t="str">
        <x:v>防御</x:v>
      </x:c>
      <x:c r="H111" s="21" t="n">
        <x:f>ROUND(50*IF(E111="青铜",1,IF(E111="白银",2,IF(E111="黄金",3.2,IF(E111="钻石",4.8,1))))*IF(F111="小型",1,IF(F111="中型",1.6,IF(F111="大型",2.56,1))),0)</x:f>
        <x:v>256</x:v>
      </x:c>
      <x:c r="I111" s="21" t="n">
        <x:f>K111+3*L111+M111*5</x:f>
        <x:v>71</x:v>
      </x:c>
      <x:c r="J111" s="21" t="n">
        <x:f>I111-H111</x:f>
        <x:v>-185</x:v>
      </x:c>
      <x:c r="K111" s="21" t="n">
        <x:v>35</x:v>
      </x:c>
      <x:c r="L111" s="21" t="n">
        <x:v>7</x:v>
      </x:c>
      <x:c r="M111" s="21" t="n">
        <x:v>3</x:v>
      </x:c>
      <x:c r="N111" s="14" t="str">
        <x:v>B1 横扫三格</x:v>
      </x:c>
      <x:c r="O111" s="14" t="str">
        <x:v>扫击/3格</x:v>
      </x:c>
      <x:c r="P111" s="14" t="str">
        <x:v>阻挡</x:v>
      </x:c>
      <x:c r="Q111" s="14" t="str">
        <x:v>castleReduce</x:v>
      </x:c>
      <x:c r="R111" s="14" t="str">
        <x:v>土、防御、前排、阻挡</x:v>
      </x:c>
      <x:c r="S111" s="19" t="str">
        <x:v>—</x:v>
      </x:c>
      <x:c r="T111" s="14"/>
      <x:c r="U111" s="14" t="str">
        <x:v>pal_110</x:v>
      </x:c>
    </x:row>
    <x:row r="112" ht="20" customHeight="1">
      <x:c r="A112" s="19" t="str">
        <x:v>No.099</x:v>
      </x:c>
      <x:c r="B112" s="14" t="str">
        <x:v>冥铠蝎</x:v>
      </x:c>
      <x:c r="C112" s="19" t="str">
        <x:v>土</x:v>
      </x:c>
      <x:c r="D112" s="19" t="str">
        <x:v>暗、地</x:v>
      </x:c>
      <x:c r="E112" s="19" t="str">
        <x:v>黄金</x:v>
      </x:c>
      <x:c r="F112" s="19" t="str">
        <x:v>小型</x:v>
      </x:c>
      <x:c r="G112" s="14" t="str">
        <x:v>防御</x:v>
      </x:c>
      <x:c r="H112" s="21" t="n">
        <x:f>ROUND(50*IF(E112="青铜",1,IF(E112="白银",2,IF(E112="黄金",3.2,IF(E112="钻石",4.8,1))))*IF(F112="小型",1,IF(F112="中型",1.6,IF(F112="大型",2.56,1))),0)</x:f>
        <x:v>160</x:v>
      </x:c>
      <x:c r="I112" s="21" t="n">
        <x:f>K112+3*L112+M112*5</x:f>
        <x:v>79</x:v>
      </x:c>
      <x:c r="J112" s="21" t="n">
        <x:f>I112-H112</x:f>
        <x:v>-81</x:v>
      </x:c>
      <x:c r="K112" s="21" t="n">
        <x:v>52</x:v>
      </x:c>
      <x:c r="L112" s="21" t="n">
        <x:v>4</x:v>
      </x:c>
      <x:c r="M112" s="21" t="n">
        <x:v>3</x:v>
      </x:c>
      <x:c r="N112" s="14" t="str">
        <x:v>T1 标准前置T</x:v>
      </x:c>
      <x:c r="O112" s="14" t="str">
        <x:v>T形/4格</x:v>
      </x:c>
      <x:c r="P112" s="14" t="str">
        <x:v>阻挡</x:v>
      </x:c>
      <x:c r="Q112" s="14" t="str">
        <x:v>castleReduce</x:v>
      </x:c>
      <x:c r="R112" s="14" t="str">
        <x:v>土、防御、前排、阻挡</x:v>
      </x:c>
      <x:c r="S112" s="19" t="str">
        <x:v>—</x:v>
      </x:c>
      <x:c r="T112" s="14"/>
      <x:c r="U112" s="14" t="str">
        <x:v>pal_111</x:v>
      </x:c>
    </x:row>
    <x:row r="113" ht="20" customHeight="1">
      <x:c r="A113" s="19" t="str">
        <x:v>No.100</x:v>
      </x:c>
      <x:c r="B113" s="14" t="str">
        <x:v>阿努比斯</x:v>
      </x:c>
      <x:c r="C113" s="19" t="str">
        <x:v>土</x:v>
      </x:c>
      <x:c r="D113" s="19" t="str">
        <x:v>地</x:v>
      </x:c>
      <x:c r="E113" s="19" t="str">
        <x:v>黄金</x:v>
      </x:c>
      <x:c r="F113" s="19" t="str">
        <x:v>小型</x:v>
      </x:c>
      <x:c r="G113" s="14" t="str">
        <x:v>输出</x:v>
      </x:c>
      <x:c r="H113" s="21" t="n">
        <x:f>ROUND(50*IF(E113="青铜",1,IF(E113="白银",2,IF(E113="黄金",3.2,IF(E113="钻石",4.8,1))))*IF(F113="小型",1,IF(F113="中型",1.6,IF(F113="大型",2.56,1))),0)</x:f>
        <x:v>160</x:v>
      </x:c>
      <x:c r="I113" s="21" t="n">
        <x:f>K113+3*L113+M113*5</x:f>
        <x:v>77</x:v>
      </x:c>
      <x:c r="J113" s="21" t="n">
        <x:f>I113-H113</x:f>
        <x:v>-83</x:v>
      </x:c>
      <x:c r="K113" s="21" t="n">
        <x:v>47</x:v>
      </x:c>
      <x:c r="L113" s="21" t="n">
        <x:v>5</x:v>
      </x:c>
      <x:c r="M113" s="21" t="n">
        <x:v>3</x:v>
      </x:c>
      <x:c r="N113" s="14" t="str">
        <x:v>B3 前二横扫</x:v>
      </x:c>
      <x:c r="O113" s="14" t="str">
        <x:v>扫击/3格</x:v>
      </x:c>
      <x:c r="P113" s="14" t="str">
        <x:v>输出</x:v>
      </x:c>
      <x:c r="Q113" s="14" t="str">
        <x:v>spaceExplosionBonus</x:v>
      </x:c>
      <x:c r="R113" s="14" t="str">
        <x:v>土、输出、爆发、前排</x:v>
      </x:c>
      <x:c r="S113" s="19" t="str">
        <x:v>—</x:v>
      </x:c>
      <x:c r="T113" s="14"/>
      <x:c r="U113" s="14" t="str">
        <x:v>pal_112</x:v>
      </x:c>
    </x:row>
    <x:row r="114" ht="20" customHeight="1">
      <x:c r="A114" s="19" t="str">
        <x:v>No.101</x:v>
      </x:c>
      <x:c r="B114" s="14" t="str">
        <x:v>覆海龙</x:v>
      </x:c>
      <x:c r="C114" s="19" t="str">
        <x:v>水</x:v>
      </x:c>
      <x:c r="D114" s="19" t="str">
        <x:v>龙、水</x:v>
      </x:c>
      <x:c r="E114" s="19" t="str">
        <x:v>黄金</x:v>
      </x:c>
      <x:c r="F114" s="19" t="str">
        <x:v>中型</x:v>
      </x:c>
      <x:c r="G114" s="14" t="str">
        <x:v>治疗</x:v>
      </x:c>
      <x:c r="H114" s="21" t="n">
        <x:f>ROUND(50*IF(E114="青铜",1,IF(E114="白银",2,IF(E114="黄金",3.2,IF(E114="钻石",4.8,1))))*IF(F114="小型",1,IF(F114="中型",1.6,IF(F114="大型",2.56,1))),0)</x:f>
        <x:v>256</x:v>
      </x:c>
      <x:c r="I114" s="21" t="n">
        <x:f>K114+3*L114+M114*5</x:f>
        <x:v>77</x:v>
      </x:c>
      <x:c r="J114" s="21" t="n">
        <x:f>I114-H114</x:f>
        <x:v>-179</x:v>
      </x:c>
      <x:c r="K114" s="21" t="n">
        <x:v>44</x:v>
      </x:c>
      <x:c r="L114" s="21" t="n">
        <x:v>6</x:v>
      </x:c>
      <x:c r="M114" s="21" t="n">
        <x:v>3</x:v>
      </x:c>
      <x:c r="N114" s="14" t="str">
        <x:v>T1 标准前置T</x:v>
      </x:c>
      <x:c r="O114" s="14" t="str">
        <x:v>T形/4格</x:v>
      </x:c>
      <x:c r="P114" s="14" t="str">
        <x:v>场地</x:v>
      </x:c>
      <x:c r="Q114" s="14" t="str">
        <x:v>healAmpBonus</x:v>
      </x:c>
      <x:c r="R114" s="14" t="str">
        <x:v>水、治疗、后排、增益</x:v>
      </x:c>
      <x:c r="S114" s="19" t="str">
        <x:v>—</x:v>
      </x:c>
      <x:c r="T114" s="14"/>
      <x:c r="U114" s="14" t="str">
        <x:v>pal_113</x:v>
      </x:c>
    </x:row>
    <x:row r="115" ht="20" customHeight="1">
      <x:c r="A115" s="19" t="str">
        <x:v>No.101B</x:v>
      </x:c>
      <x:c r="B115" s="14" t="str">
        <x:v>腾炎龙</x:v>
      </x:c>
      <x:c r="C115" s="19" t="str">
        <x:v>火</x:v>
      </x:c>
      <x:c r="D115" s="19" t="str">
        <x:v>龙、火</x:v>
      </x:c>
      <x:c r="E115" s="19" t="str">
        <x:v>黄金</x:v>
      </x:c>
      <x:c r="F115" s="19" t="str">
        <x:v>大型</x:v>
      </x:c>
      <x:c r="G115" s="14" t="str">
        <x:v>输出</x:v>
      </x:c>
      <x:c r="H115" s="21" t="n">
        <x:f>ROUND(50*IF(E115="青铜",1,IF(E115="白银",2,IF(E115="黄金",3.2,IF(E115="钻石",4.8,1))))*IF(F115="小型",1,IF(F115="中型",1.6,IF(F115="大型",2.56,1))),0)</x:f>
        <x:v>410</x:v>
      </x:c>
      <x:c r="I115" s="21" t="n">
        <x:f>K115+3*L115+M115*5</x:f>
        <x:v>89</x:v>
      </x:c>
      <x:c r="J115" s="21" t="n">
        <x:f>I115-H115</x:f>
        <x:v>-321</x:v>
      </x:c>
      <x:c r="K115" s="21" t="n">
        <x:v>47</x:v>
      </x:c>
      <x:c r="L115" s="21" t="n">
        <x:v>9</x:v>
      </x:c>
      <x:c r="M115" s="21" t="n">
        <x:v>3</x:v>
      </x:c>
      <x:c r="N115" s="14" t="str">
        <x:v>B3 前二横扫</x:v>
      </x:c>
      <x:c r="O115" s="14" t="str">
        <x:v>扫击/3格</x:v>
      </x:c>
      <x:c r="P115" s="14" t="str">
        <x:v>输出</x:v>
      </x:c>
      <x:c r="Q115" s="14" t="str">
        <x:v>spaceExplosionBonus</x:v>
      </x:c>
      <x:c r="R115" s="14" t="str">
        <x:v>火、输出、爆发、前排</x:v>
      </x:c>
      <x:c r="S115" s="19" t="str">
        <x:v>—</x:v>
      </x:c>
      <x:c r="T115" s="14"/>
      <x:c r="U115" s="14" t="str">
        <x:v>pal_114</x:v>
      </x:c>
    </x:row>
    <x:row r="116" ht="20" customHeight="1">
      <x:c r="A116" s="19" t="str">
        <x:v>No.102</x:v>
      </x:c>
      <x:c r="B116" s="14" t="str">
        <x:v>朱雀</x:v>
      </x:c>
      <x:c r="C116" s="19" t="str">
        <x:v>火</x:v>
      </x:c>
      <x:c r="D116" s="19"/>
      <x:c r="E116" s="19" t="str">
        <x:v>黄金</x:v>
      </x:c>
      <x:c r="F116" s="19" t="str">
        <x:v>小型</x:v>
      </x:c>
      <x:c r="G116" s="14" t="str">
        <x:v>机动</x:v>
      </x:c>
      <x:c r="H116" s="21" t="n">
        <x:f>ROUND(50*IF(E116="青铜",1,IF(E116="白银",2,IF(E116="黄金",3.2,IF(E116="钻石",4.8,1))))*IF(F116="小型",1,IF(F116="中型",1.6,IF(F116="大型",2.56,1))),0)</x:f>
        <x:v>160</x:v>
      </x:c>
      <x:c r="I116" s="21" t="n">
        <x:f>K116+3*L116+M116*5</x:f>
        <x:v>75</x:v>
      </x:c>
      <x:c r="J116" s="21" t="n">
        <x:f>I116-H116</x:f>
        <x:v>-85</x:v>
      </x:c>
      <x:c r="K116" s="21" t="n">
        <x:v>45</x:v>
      </x:c>
      <x:c r="L116" s="21" t="n">
        <x:v>5</x:v>
      </x:c>
      <x:c r="M116" s="21" t="n">
        <x:v>3</x:v>
      </x:c>
      <x:c r="N116" s="14" t="str">
        <x:v>C1 前方2×2</x:v>
      </x:c>
      <x:c r="O116" s="14" t="str">
        <x:v>方形/4格</x:v>
      </x:c>
      <x:c r="P116" s="14" t="str">
        <x:v>牵制</x:v>
      </x:c>
      <x:c r="Q116" s="14" t="str">
        <x:v>advHitBonus</x:v>
      </x:c>
      <x:c r="R116" s="14" t="str">
        <x:v>火、机动、灵活、泛用</x:v>
      </x:c>
      <x:c r="S116" s="19" t="str">
        <x:v>—</x:v>
      </x:c>
      <x:c r="T116" s="14"/>
      <x:c r="U116" s="14" t="str">
        <x:v>pal_115</x:v>
      </x:c>
    </x:row>
    <x:row r="117" ht="20" customHeight="1">
      <x:c r="A117" s="19" t="str">
        <x:v>No.102B</x:v>
      </x:c>
      <x:c r="B117" s="14" t="str">
        <x:v>清雀</x:v>
      </x:c>
      <x:c r="C117" s="19" t="str">
        <x:v>水</x:v>
      </x:c>
      <x:c r="D117" s="19"/>
      <x:c r="E117" s="19" t="str">
        <x:v>黄金</x:v>
      </x:c>
      <x:c r="F117" s="19" t="str">
        <x:v>小型</x:v>
      </x:c>
      <x:c r="G117" s="14" t="str">
        <x:v>治疗</x:v>
      </x:c>
      <x:c r="H117" s="21" t="n">
        <x:f>ROUND(50*IF(E117="青铜",1,IF(E117="白银",2,IF(E117="黄金",3.2,IF(E117="钻石",4.8,1))))*IF(F117="小型",1,IF(F117="中型",1.6,IF(F117="大型",2.56,1))),0)</x:f>
        <x:v>160</x:v>
      </x:c>
      <x:c r="I117" s="21" t="n">
        <x:f>K117+3*L117+M117*5</x:f>
        <x:v>71</x:v>
      </x:c>
      <x:c r="J117" s="21" t="n">
        <x:f>I117-H117</x:f>
        <x:v>-89</x:v>
      </x:c>
      <x:c r="K117" s="21" t="n">
        <x:v>44</x:v>
      </x:c>
      <x:c r="L117" s="21" t="n">
        <x:v>4</x:v>
      </x:c>
      <x:c r="M117" s="21" t="n">
        <x:v>3</x:v>
      </x:c>
      <x:c r="N117" s="14" t="str">
        <x:v>T1 标准前置T</x:v>
      </x:c>
      <x:c r="O117" s="14" t="str">
        <x:v>T形/4格</x:v>
      </x:c>
      <x:c r="P117" s="14" t="str">
        <x:v>场地</x:v>
      </x:c>
      <x:c r="Q117" s="14" t="str">
        <x:v>healAmpBonus</x:v>
      </x:c>
      <x:c r="R117" s="14" t="str">
        <x:v>水、治疗、后排、增益</x:v>
      </x:c>
      <x:c r="S117" s="19" t="str">
        <x:v>—</x:v>
      </x:c>
      <x:c r="T117" s="14"/>
      <x:c r="U117" s="14" t="str">
        <x:v>pal_116</x:v>
      </x:c>
    </x:row>
    <x:row r="118" ht="20" customHeight="1">
      <x:c r="A118" s="19" t="str">
        <x:v>No.103</x:v>
      </x:c>
      <x:c r="B118" s="14" t="str">
        <x:v>暴电熊</x:v>
      </x:c>
      <x:c r="C118" s="19" t="str">
        <x:v>风</x:v>
      </x:c>
      <x:c r="D118" s="19" t="str">
        <x:v>雷</x:v>
      </x:c>
      <x:c r="E118" s="19" t="str">
        <x:v>黄金</x:v>
      </x:c>
      <x:c r="F118" s="19" t="str">
        <x:v>小型</x:v>
      </x:c>
      <x:c r="G118" s="14" t="str">
        <x:v>牵制</x:v>
      </x:c>
      <x:c r="H118" s="21" t="n">
        <x:f>ROUND(50*IF(E118="青铜",1,IF(E118="白银",2,IF(E118="黄金",3.2,IF(E118="钻石",4.8,1))))*IF(F118="小型",1,IF(F118="中型",1.6,IF(F118="大型",2.56,1))),0)</x:f>
        <x:v>160</x:v>
      </x:c>
      <x:c r="I118" s="21" t="n">
        <x:f>K118+3*L118+M118*5</x:f>
        <x:v>75</x:v>
      </x:c>
      <x:c r="J118" s="21" t="n">
        <x:f>I118-H118</x:f>
        <x:v>-85</x:v>
      </x:c>
      <x:c r="K118" s="21" t="n">
        <x:v>45</x:v>
      </x:c>
      <x:c r="L118" s="21" t="n">
        <x:v>5</x:v>
      </x:c>
      <x:c r="M118" s="21" t="n">
        <x:v>3</x:v>
      </x:c>
      <x:c r="N118" s="14" t="str">
        <x:v>C1 前方2×2</x:v>
      </x:c>
      <x:c r="O118" s="14" t="str">
        <x:v>方形/4格</x:v>
      </x:c>
      <x:c r="P118" s="14" t="str">
        <x:v>牵制</x:v>
      </x:c>
      <x:c r="Q118" s="14" t="str">
        <x:v>advHitBonus</x:v>
      </x:c>
      <x:c r="R118" s="14" t="str">
        <x:v>风、牵制、范围、机动</x:v>
      </x:c>
      <x:c r="S118" s="19" t="str">
        <x:v>—</x:v>
      </x:c>
      <x:c r="T118" s="14"/>
      <x:c r="U118" s="14" t="str">
        <x:v>pal_117</x:v>
      </x:c>
    </x:row>
    <x:row r="119" ht="20" customHeight="1">
      <x:c r="A119" s="19" t="str">
        <x:v>No.104</x:v>
      </x:c>
      <x:c r="B119" s="14" t="str">
        <x:v>百合女王</x:v>
      </x:c>
      <x:c r="C119" s="19" t="str">
        <x:v>风</x:v>
      </x:c>
      <x:c r="D119" s="19" t="str">
        <x:v>草</x:v>
      </x:c>
      <x:c r="E119" s="19" t="str">
        <x:v>黄金</x:v>
      </x:c>
      <x:c r="F119" s="19" t="str">
        <x:v>小型</x:v>
      </x:c>
      <x:c r="G119" s="14" t="str">
        <x:v>治疗</x:v>
      </x:c>
      <x:c r="H119" s="21" t="n">
        <x:f>ROUND(50*IF(E119="青铜",1,IF(E119="白银",2,IF(E119="黄金",3.2,IF(E119="钻石",4.8,1))))*IF(F119="小型",1,IF(F119="中型",1.6,IF(F119="大型",2.56,1))),0)</x:f>
        <x:v>160</x:v>
      </x:c>
      <x:c r="I119" s="21" t="n">
        <x:f>K119+3*L119+M119*5</x:f>
        <x:v>71</x:v>
      </x:c>
      <x:c r="J119" s="21" t="n">
        <x:f>I119-H119</x:f>
        <x:v>-89</x:v>
      </x:c>
      <x:c r="K119" s="21" t="n">
        <x:v>44</x:v>
      </x:c>
      <x:c r="L119" s="21" t="n">
        <x:v>4</x:v>
      </x:c>
      <x:c r="M119" s="21" t="n">
        <x:v>3</x:v>
      </x:c>
      <x:c r="N119" s="14" t="str">
        <x:v>T1 标准前置T</x:v>
      </x:c>
      <x:c r="O119" s="14" t="str">
        <x:v>T形/4格</x:v>
      </x:c>
      <x:c r="P119" s="14" t="str">
        <x:v>场地</x:v>
      </x:c>
      <x:c r="Q119" s="14" t="str">
        <x:v>healAmpBonus</x:v>
      </x:c>
      <x:c r="R119" s="14" t="str">
        <x:v>风、治疗、后排、增益</x:v>
      </x:c>
      <x:c r="S119" s="19" t="str">
        <x:v>—</x:v>
      </x:c>
      <x:c r="T119" s="14"/>
      <x:c r="U119" s="14" t="str">
        <x:v>pal_118</x:v>
      </x:c>
    </x:row>
    <x:row r="120" ht="20" customHeight="1">
      <x:c r="A120" s="19" t="str">
        <x:v>No.104B</x:v>
      </x:c>
      <x:c r="B120" s="14" t="str">
        <x:v>黑月女王</x:v>
      </x:c>
      <x:c r="C120" s="19" t="str">
        <x:v>土</x:v>
      </x:c>
      <x:c r="D120" s="19" t="str">
        <x:v>暗</x:v>
      </x:c>
      <x:c r="E120" s="19" t="str">
        <x:v>黄金</x:v>
      </x:c>
      <x:c r="F120" s="19" t="str">
        <x:v>小型</x:v>
      </x:c>
      <x:c r="G120" s="14" t="str">
        <x:v>治疗</x:v>
      </x:c>
      <x:c r="H120" s="21" t="n">
        <x:f>ROUND(50*IF(E120="青铜",1,IF(E120="白银",2,IF(E120="黄金",3.2,IF(E120="钻石",4.8,1))))*IF(F120="小型",1,IF(F120="中型",1.6,IF(F120="大型",2.56,1))),0)</x:f>
        <x:v>160</x:v>
      </x:c>
      <x:c r="I120" s="21" t="n">
        <x:f>K120+3*L120+M120*5</x:f>
        <x:v>72</x:v>
      </x:c>
      <x:c r="J120" s="21" t="n">
        <x:f>I120-H120</x:f>
        <x:v>-88</x:v>
      </x:c>
      <x:c r="K120" s="21" t="n">
        <x:v>45</x:v>
      </x:c>
      <x:c r="L120" s="21" t="n">
        <x:v>4</x:v>
      </x:c>
      <x:c r="M120" s="21" t="n">
        <x:v>3</x:v>
      </x:c>
      <x:c r="N120" s="14" t="str">
        <x:v>T1 标准前置T</x:v>
      </x:c>
      <x:c r="O120" s="14" t="str">
        <x:v>T形/4格</x:v>
      </x:c>
      <x:c r="P120" s="14" t="str">
        <x:v>场地</x:v>
      </x:c>
      <x:c r="Q120" s="14" t="str">
        <x:v>healAmpBonus</x:v>
      </x:c>
      <x:c r="R120" s="14" t="str">
        <x:v>土、治疗、后排、增益</x:v>
      </x:c>
      <x:c r="S120" s="19" t="str">
        <x:v>—</x:v>
      </x:c>
      <x:c r="T120" s="14"/>
      <x:c r="U120" s="14" t="str">
        <x:v>pal_119</x:v>
      </x:c>
    </x:row>
    <x:row r="121" ht="20" customHeight="1">
      <x:c r="A121" s="19" t="str">
        <x:v>No.105</x:v>
      </x:c>
      <x:c r="B121" s="14" t="str">
        <x:v>荷鲁斯</x:v>
      </x:c>
      <x:c r="C121" s="19" t="str">
        <x:v>火</x:v>
      </x:c>
      <x:c r="D121" s="19"/>
      <x:c r="E121" s="19" t="str">
        <x:v>黄金</x:v>
      </x:c>
      <x:c r="F121" s="19" t="str">
        <x:v>小型</x:v>
      </x:c>
      <x:c r="G121" s="14" t="str">
        <x:v>机动</x:v>
      </x:c>
      <x:c r="H121" s="21" t="n">
        <x:f>ROUND(50*IF(E121="青铜",1,IF(E121="白银",2,IF(E121="黄金",3.2,IF(E121="钻石",4.8,1))))*IF(F121="小型",1,IF(F121="中型",1.6,IF(F121="大型",2.56,1))),0)</x:f>
        <x:v>160</x:v>
      </x:c>
      <x:c r="I121" s="21" t="n">
        <x:f>K121+3*L121+M121*5</x:f>
        <x:v>75</x:v>
      </x:c>
      <x:c r="J121" s="21" t="n">
        <x:f>I121-H121</x:f>
        <x:v>-85</x:v>
      </x:c>
      <x:c r="K121" s="21" t="n">
        <x:v>45</x:v>
      </x:c>
      <x:c r="L121" s="21" t="n">
        <x:v>5</x:v>
      </x:c>
      <x:c r="M121" s="21" t="n">
        <x:v>3</x:v>
      </x:c>
      <x:c r="N121" s="14" t="str">
        <x:v>C1 前方2×2</x:v>
      </x:c>
      <x:c r="O121" s="14" t="str">
        <x:v>方形/4格</x:v>
      </x:c>
      <x:c r="P121" s="14" t="str">
        <x:v>牵制</x:v>
      </x:c>
      <x:c r="Q121" s="14" t="str">
        <x:v>advHitBonus</x:v>
      </x:c>
      <x:c r="R121" s="14" t="str">
        <x:v>火、机动、灵活、泛用</x:v>
      </x:c>
      <x:c r="S121" s="19" t="str">
        <x:v>—</x:v>
      </x:c>
      <x:c r="T121" s="14"/>
      <x:c r="U121" s="14" t="str">
        <x:v>pal_120</x:v>
      </x:c>
    </x:row>
    <x:row r="122" ht="20" customHeight="1">
      <x:c r="A122" s="19" t="str">
        <x:v>No.106</x:v>
      </x:c>
      <x:c r="B122" s="14" t="str">
        <x:v>波鲁杰克斯</x:v>
      </x:c>
      <x:c r="C122" s="19" t="str">
        <x:v>风</x:v>
      </x:c>
      <x:c r="D122" s="19" t="str">
        <x:v>龙、雷</x:v>
      </x:c>
      <x:c r="E122" s="19" t="str">
        <x:v>黄金</x:v>
      </x:c>
      <x:c r="F122" s="19" t="str">
        <x:v>中型</x:v>
      </x:c>
      <x:c r="G122" s="14" t="str">
        <x:v>牵制</x:v>
      </x:c>
      <x:c r="H122" s="21" t="n">
        <x:f>ROUND(50*IF(E122="青铜",1,IF(E122="白银",2,IF(E122="黄金",3.2,IF(E122="钻石",4.8,1))))*IF(F122="小型",1,IF(F122="中型",1.6,IF(F122="大型",2.56,1))),0)</x:f>
        <x:v>256</x:v>
      </x:c>
      <x:c r="I122" s="21" t="n">
        <x:f>K122+3*L122+M122*5</x:f>
        <x:v>81</x:v>
      </x:c>
      <x:c r="J122" s="21" t="n">
        <x:f>I122-H122</x:f>
        <x:v>-175</x:v>
      </x:c>
      <x:c r="K122" s="21" t="n">
        <x:v>45</x:v>
      </x:c>
      <x:c r="L122" s="21" t="n">
        <x:v>7</x:v>
      </x:c>
      <x:c r="M122" s="21" t="n">
        <x:v>3</x:v>
      </x:c>
      <x:c r="N122" s="14" t="str">
        <x:v>C1 前方2×2</x:v>
      </x:c>
      <x:c r="O122" s="14" t="str">
        <x:v>方形/4格</x:v>
      </x:c>
      <x:c r="P122" s="14" t="str">
        <x:v>牵制</x:v>
      </x:c>
      <x:c r="Q122" s="14" t="str">
        <x:v>advHitBonus</x:v>
      </x:c>
      <x:c r="R122" s="14" t="str">
        <x:v>风、牵制、范围、机动</x:v>
      </x:c>
      <x:c r="S122" s="19" t="str">
        <x:v>—</x:v>
      </x:c>
      <x:c r="T122" s="14"/>
      <x:c r="U122" s="14" t="str">
        <x:v>pal_121</x:v>
      </x:c>
    </x:row>
    <x:row r="123" ht="20" customHeight="1">
      <x:c r="A123" s="19" t="str">
        <x:v>No.107</x:v>
      </x:c>
      <x:c r="B123" s="14" t="str">
        <x:v>异构格里芬</x:v>
      </x:c>
      <x:c r="C123" s="19" t="str">
        <x:v>土</x:v>
      </x:c>
      <x:c r="D123" s="19" t="str">
        <x:v>暗</x:v>
      </x:c>
      <x:c r="E123" s="19" t="str">
        <x:v>黄金</x:v>
      </x:c>
      <x:c r="F123" s="19" t="str">
        <x:v>小型</x:v>
      </x:c>
      <x:c r="G123" s="14" t="str">
        <x:v>机动</x:v>
      </x:c>
      <x:c r="H123" s="21" t="n">
        <x:f>ROUND(50*IF(E123="青铜",1,IF(E123="白银",2,IF(E123="黄金",3.2,IF(E123="钻石",4.8,1))))*IF(F123="小型",1,IF(F123="中型",1.6,IF(F123="大型",2.56,1))),0)</x:f>
        <x:v>160</x:v>
      </x:c>
      <x:c r="I123" s="21" t="n">
        <x:f>K123+3*L123+M123*5</x:f>
        <x:v>75</x:v>
      </x:c>
      <x:c r="J123" s="21" t="n">
        <x:f>I123-H123</x:f>
        <x:v>-85</x:v>
      </x:c>
      <x:c r="K123" s="21" t="n">
        <x:v>45</x:v>
      </x:c>
      <x:c r="L123" s="21" t="n">
        <x:v>5</x:v>
      </x:c>
      <x:c r="M123" s="21" t="n">
        <x:v>3</x:v>
      </x:c>
      <x:c r="N123" s="14" t="str">
        <x:v>C1 前方2×2</x:v>
      </x:c>
      <x:c r="O123" s="14" t="str">
        <x:v>方形/4格</x:v>
      </x:c>
      <x:c r="P123" s="14" t="str">
        <x:v>牵制</x:v>
      </x:c>
      <x:c r="Q123" s="14" t="str">
        <x:v>advHitBonus</x:v>
      </x:c>
      <x:c r="R123" s="14" t="str">
        <x:v>土、机动、灵活、泛用</x:v>
      </x:c>
      <x:c r="S123" s="19" t="str">
        <x:v>—</x:v>
      </x:c>
      <x:c r="T123" s="14"/>
      <x:c r="U123" s="14" t="str">
        <x:v>pal_122</x:v>
      </x:c>
    </x:row>
    <x:row r="124" ht="20" customHeight="1">
      <x:c r="A124" s="19" t="str">
        <x:v>No.108</x:v>
      </x:c>
      <x:c r="B124" s="14" t="str">
        <x:v>圣光骑士</x:v>
      </x:c>
      <x:c r="C124" s="19" t="str">
        <x:v>风</x:v>
      </x:c>
      <x:c r="D124" s="19"/>
      <x:c r="E124" s="19" t="str">
        <x:v>黄金</x:v>
      </x:c>
      <x:c r="F124" s="19" t="str">
        <x:v>大型</x:v>
      </x:c>
      <x:c r="G124" s="14" t="str">
        <x:v>防御</x:v>
      </x:c>
      <x:c r="H124" s="21" t="n">
        <x:f>ROUND(50*IF(E124="青铜",1,IF(E124="白银",2,IF(E124="黄金",3.2,IF(E124="钻石",4.8,1))))*IF(F124="小型",1,IF(F124="中型",1.6,IF(F124="大型",2.56,1))),0)</x:f>
        <x:v>410</x:v>
      </x:c>
      <x:c r="I124" s="21" t="n">
        <x:f>K124+3*L124+M124*5</x:f>
        <x:v>89</x:v>
      </x:c>
      <x:c r="J124" s="21" t="n">
        <x:f>I124-H124</x:f>
        <x:v>-321</x:v>
      </x:c>
      <x:c r="K124" s="21" t="n">
        <x:v>50</x:v>
      </x:c>
      <x:c r="L124" s="21" t="n">
        <x:v>8</x:v>
      </x:c>
      <x:c r="M124" s="21" t="n">
        <x:v>3</x:v>
      </x:c>
      <x:c r="N124" s="14" t="str">
        <x:v>T1 标准前置T</x:v>
      </x:c>
      <x:c r="O124" s="14" t="str">
        <x:v>T形/4格</x:v>
      </x:c>
      <x:c r="P124" s="14" t="str">
        <x:v>阻挡</x:v>
      </x:c>
      <x:c r="Q124" s="14" t="str">
        <x:v>castleReduce</x:v>
      </x:c>
      <x:c r="R124" s="14" t="str">
        <x:v>风、防御、前排、阻挡</x:v>
      </x:c>
      <x:c r="S124" s="19" t="str">
        <x:v>—</x:v>
      </x:c>
      <x:c r="T124" s="14"/>
      <x:c r="U124" s="14" t="str">
        <x:v>pal_123</x:v>
      </x:c>
    </x:row>
    <x:row r="125" ht="20" customHeight="1">
      <x:c r="A125" s="19" t="str">
        <x:v>No.109</x:v>
      </x:c>
      <x:c r="B125" s="14" t="str">
        <x:v>混沌骑士</x:v>
      </x:c>
      <x:c r="C125" s="19" t="str">
        <x:v>土</x:v>
      </x:c>
      <x:c r="D125" s="19" t="str">
        <x:v>暗</x:v>
      </x:c>
      <x:c r="E125" s="19" t="str">
        <x:v>黄金</x:v>
      </x:c>
      <x:c r="F125" s="19" t="str">
        <x:v>大型</x:v>
      </x:c>
      <x:c r="G125" s="14" t="str">
        <x:v>防御</x:v>
      </x:c>
      <x:c r="H125" s="21" t="n">
        <x:f>ROUND(50*IF(E125="青铜",1,IF(E125="白银",2,IF(E125="黄金",3.2,IF(E125="钻石",4.8,1))))*IF(F125="小型",1,IF(F125="中型",1.6,IF(F125="大型",2.56,1))),0)</x:f>
        <x:v>410</x:v>
      </x:c>
      <x:c r="I125" s="21" t="n">
        <x:f>K125+3*L125+M125*5</x:f>
        <x:v>91</x:v>
      </x:c>
      <x:c r="J125" s="21" t="n">
        <x:f>I125-H125</x:f>
        <x:v>-319</x:v>
      </x:c>
      <x:c r="K125" s="21" t="n">
        <x:v>52</x:v>
      </x:c>
      <x:c r="L125" s="21" t="n">
        <x:v>8</x:v>
      </x:c>
      <x:c r="M125" s="21" t="n">
        <x:v>3</x:v>
      </x:c>
      <x:c r="N125" s="14" t="str">
        <x:v>T1 标准前置T</x:v>
      </x:c>
      <x:c r="O125" s="14" t="str">
        <x:v>T形/4格</x:v>
      </x:c>
      <x:c r="P125" s="14" t="str">
        <x:v>阻挡</x:v>
      </x:c>
      <x:c r="Q125" s="14" t="str">
        <x:v>castleReduce</x:v>
      </x:c>
      <x:c r="R125" s="14" t="str">
        <x:v>土、防御、前排、阻挡</x:v>
      </x:c>
      <x:c r="S125" s="19" t="str">
        <x:v>—</x:v>
      </x:c>
      <x:c r="T125" s="14"/>
      <x:c r="U125" s="14" t="str">
        <x:v>pal_124</x:v>
      </x:c>
    </x:row>
    <x:row r="126" ht="20" customHeight="1">
      <x:c r="A126" s="19" t="str">
        <x:v>No.110</x:v>
      </x:c>
      <x:c r="B126" s="14" t="str">
        <x:v>唤冬兽</x:v>
      </x:c>
      <x:c r="C126" s="19" t="str">
        <x:v>水</x:v>
      </x:c>
      <x:c r="D126" s="19" t="str">
        <x:v>冰</x:v>
      </x:c>
      <x:c r="E126" s="19" t="str">
        <x:v>黄金</x:v>
      </x:c>
      <x:c r="F126" s="19" t="str">
        <x:v>中型</x:v>
      </x:c>
      <x:c r="G126" s="14" t="str">
        <x:v>牵制</x:v>
      </x:c>
      <x:c r="H126" s="21" t="n">
        <x:f>ROUND(50*IF(E126="青铜",1,IF(E126="白银",2,IF(E126="黄金",3.2,IF(E126="钻石",4.8,1))))*IF(F126="小型",1,IF(F126="中型",1.6,IF(F126="大型",2.56,1))),0)</x:f>
        <x:v>256</x:v>
      </x:c>
      <x:c r="I126" s="21" t="n">
        <x:f>K126+3*L126+M126*5</x:f>
        <x:v>81</x:v>
      </x:c>
      <x:c r="J126" s="21" t="n">
        <x:f>I126-H126</x:f>
        <x:v>-175</x:v>
      </x:c>
      <x:c r="K126" s="21" t="n">
        <x:v>45</x:v>
      </x:c>
      <x:c r="L126" s="21" t="n">
        <x:v>7</x:v>
      </x:c>
      <x:c r="M126" s="21" t="n">
        <x:v>3</x:v>
      </x:c>
      <x:c r="N126" s="14" t="str">
        <x:v>C1 前方2×2</x:v>
      </x:c>
      <x:c r="O126" s="14" t="str">
        <x:v>方形/4格</x:v>
      </x:c>
      <x:c r="P126" s="14" t="str">
        <x:v>牵制</x:v>
      </x:c>
      <x:c r="Q126" s="14" t="str">
        <x:v>advHitBonus</x:v>
      </x:c>
      <x:c r="R126" s="14" t="str">
        <x:v>水、牵制、范围、机动</x:v>
      </x:c>
      <x:c r="S126" s="19" t="str">
        <x:v>—</x:v>
      </x:c>
      <x:c r="T126" s="14"/>
      <x:c r="U126" s="14" t="str">
        <x:v>pal_125</x:v>
      </x:c>
    </x:row>
    <x:row r="127" ht="20" customHeight="1">
      <x:c r="A127" s="19" t="str">
        <x:v>No.110B</x:v>
      </x:c>
      <x:c r="B127" s="14" t="str">
        <x:v>唤夜兽</x:v>
      </x:c>
      <x:c r="C127" s="19" t="str">
        <x:v>土</x:v>
      </x:c>
      <x:c r="D127" s="19" t="str">
        <x:v>暗</x:v>
      </x:c>
      <x:c r="E127" s="19" t="str">
        <x:v>黄金</x:v>
      </x:c>
      <x:c r="F127" s="19" t="str">
        <x:v>中型</x:v>
      </x:c>
      <x:c r="G127" s="14" t="str">
        <x:v>牵制</x:v>
      </x:c>
      <x:c r="H127" s="21" t="n">
        <x:f>ROUND(50*IF(E127="青铜",1,IF(E127="白银",2,IF(E127="黄金",3.2,IF(E127="钻石",4.8,1))))*IF(F127="小型",1,IF(F127="中型",1.6,IF(F127="大型",2.56,1))),0)</x:f>
        <x:v>256</x:v>
      </x:c>
      <x:c r="I127" s="21" t="n">
        <x:f>K127+3*L127+M127*5</x:f>
        <x:v>81</x:v>
      </x:c>
      <x:c r="J127" s="21" t="n">
        <x:f>I127-H127</x:f>
        <x:v>-175</x:v>
      </x:c>
      <x:c r="K127" s="21" t="n">
        <x:v>45</x:v>
      </x:c>
      <x:c r="L127" s="21" t="n">
        <x:v>7</x:v>
      </x:c>
      <x:c r="M127" s="21" t="n">
        <x:v>3</x:v>
      </x:c>
      <x:c r="N127" s="14" t="str">
        <x:v>T1 标准前置T</x:v>
      </x:c>
      <x:c r="O127" s="14" t="str">
        <x:v>T形/4格</x:v>
      </x:c>
      <x:c r="P127" s="14" t="str">
        <x:v>牵制</x:v>
      </x:c>
      <x:c r="Q127" s="14" t="str">
        <x:v>healAmpBonus</x:v>
      </x:c>
      <x:c r="R127" s="14" t="str">
        <x:v>土、牵制、范围、机动</x:v>
      </x:c>
      <x:c r="S127" s="19" t="str">
        <x:v>—</x:v>
      </x:c>
      <x:c r="T127" s="14"/>
      <x:c r="U127" s="14" t="str">
        <x:v>pal_126</x:v>
      </x:c>
    </x:row>
    <x:row r="128" ht="20" customHeight="1">
      <x:c r="A128" s="19" t="str">
        <x:v>No.111</x:v>
      </x:c>
      <x:c r="B128" s="14" t="str">
        <x:v>空涡龙</x:v>
      </x:c>
      <x:c r="C128" s="19" t="str">
        <x:v>风</x:v>
      </x:c>
      <x:c r="D128" s="19" t="str">
        <x:v>龙</x:v>
      </x:c>
      <x:c r="E128" s="19" t="str">
        <x:v>黄金</x:v>
      </x:c>
      <x:c r="F128" s="19" t="str">
        <x:v>中型</x:v>
      </x:c>
      <x:c r="G128" s="14" t="str">
        <x:v>机动</x:v>
      </x:c>
      <x:c r="H128" s="21" t="n">
        <x:f>ROUND(50*IF(E128="青铜",1,IF(E128="白银",2,IF(E128="黄金",3.2,IF(E128="钻石",4.8,1))))*IF(F128="小型",1,IF(F128="中型",1.6,IF(F128="大型",2.56,1))),0)</x:f>
        <x:v>256</x:v>
      </x:c>
      <x:c r="I128" s="21" t="n">
        <x:f>K128+3*L128+M128*5</x:f>
        <x:v>81</x:v>
      </x:c>
      <x:c r="J128" s="21" t="n">
        <x:f>I128-H128</x:f>
        <x:v>-175</x:v>
      </x:c>
      <x:c r="K128" s="21" t="n">
        <x:v>45</x:v>
      </x:c>
      <x:c r="L128" s="21" t="n">
        <x:v>7</x:v>
      </x:c>
      <x:c r="M128" s="21" t="n">
        <x:v>3</x:v>
      </x:c>
      <x:c r="N128" s="14" t="str">
        <x:v>C1 前方2×2</x:v>
      </x:c>
      <x:c r="O128" s="14" t="str">
        <x:v>方形/4格</x:v>
      </x:c>
      <x:c r="P128" s="14" t="str">
        <x:v>牵制</x:v>
      </x:c>
      <x:c r="Q128" s="14" t="str">
        <x:v>advHitBonus</x:v>
      </x:c>
      <x:c r="R128" s="14" t="str">
        <x:v>风、机动、灵活、泛用</x:v>
      </x:c>
      <x:c r="S128" s="19" t="str">
        <x:v>—</x:v>
      </x:c>
      <x:c r="T128" s="14"/>
      <x:c r="U128" s="14" t="str">
        <x:v>pal_127</x:v>
      </x:c>
    </x:row>
  </x:sheetData>
  <x:conditionalFormatting sqref="J2:J128">
    <x:cfRule type="cellIs" dxfId="0" priority="1" operator="greaterThan">
      <x:formula>5</x:formula>
    </x:cfRule>
    <x:cfRule type="cellIs" dxfId="1" priority="2" operator="lessThan">
      <x:formula>-5</x:formula>
    </x:cfRule>
  </x:conditionalFormatting>
  <x:dataValidations count="4">
    <x:dataValidation type="list" sqref="C2:C128">
      <x:formula1>"火,水,风,土"</x:formula1>
    </x:dataValidation>
    <x:dataValidation type="list" sqref="E2:E128">
      <x:formula1>"青铜,白银,黄金,钻石"</x:formula1>
    </x:dataValidation>
    <x:dataValidation type="list" sqref="F2:F128">
      <x:formula1>"小型,中型,大型"</x:formula1>
    </x:dataValidation>
    <x:dataValidation type="list" sqref="S2:S128">
      <x:formula1>"是,—"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4923aeaac54a32"/>
  </x:tableParts>
</x:worksheet>
</file>