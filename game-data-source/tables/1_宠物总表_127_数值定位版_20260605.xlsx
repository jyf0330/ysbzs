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76d59c062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宠物总表" sheetId="1" r:id="Rd07b8586541b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theme="1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</x:fills>
  <x:borders count="13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94A3B8"/>
      </x:right>
      <x:bottom style="thin">
        <x:color rgb="FFD1D5DB"/>
      </x:bottom>
    </x:border>
    <x:border>
      <x:left style="thin">
        <x:color rgb="FF94A3B8"/>
      </x:left>
      <x:right style="thin">
        <x:color rgb="FF94A3B8"/>
      </x:right>
      <x:bottom style="thin">
        <x:color rgb="FFD1D5DB"/>
      </x:bottom>
    </x:border>
    <x:border>
      <x:left style="thin">
        <x:color rgb="FF94A3B8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53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200" fontId="1" fillId="3" borderId="5" xfId="0" applyNumberFormat="1" applyFont="1" applyFill="1" applyBorder="1" applyAlignment="1">
      <x:alignment vertical="center" wrapText="1"/>
    </x:xf>
    <x:xf numFmtId="200" fontId="1" fillId="3" borderId="8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c529ab75f40b6" /><Relationship Type="http://schemas.openxmlformats.org/officeDocument/2006/relationships/theme" Target="/xl/theme/theme1.xml" Id="R4f28e81678d24688" /><Relationship Type="http://schemas.openxmlformats.org/officeDocument/2006/relationships/sharedStrings" Target="/xl/sharedStrings.xml" Id="Rf65108acc7d643d0" /><Relationship Type="http://schemas.openxmlformats.org/officeDocument/2006/relationships/worksheet" Target="/xl/worksheets/sheet1.xml" Id="Rd07b8586541b4c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11.109999656677246" hidden="0" customWidth="1"/>
    <x:col min="3" max="3" width="6.670000076293945" hidden="0" customWidth="1"/>
    <x:col min="4" max="4" width="8.890000343322754" hidden="0" customWidth="1"/>
    <x:col min="5" max="5" width="6.670000076293945" hidden="0" customWidth="1"/>
    <x:col min="6" max="6" width="6.670000076293945" hidden="0" customWidth="1"/>
    <x:col min="7" max="7" width="7.78000020980835" hidden="0" customWidth="1"/>
    <x:col min="8" max="8" width="8" hidden="0" customWidth="1"/>
    <x:col min="9" max="9" width="8" hidden="0" customWidth="1"/>
    <x:col min="10" max="10" width="6.670000076293945" hidden="0" customWidth="1"/>
    <x:col min="11" max="11" width="8" hidden="0" customWidth="1"/>
    <x:col min="12" max="12" width="8" hidden="0" customWidth="1"/>
    <x:col min="13" max="13" width="6.21999979019165" hidden="0" customWidth="1"/>
    <x:col min="14" max="14" width="6.21999979019165" hidden="0" customWidth="1"/>
    <x:col min="15" max="15" width="6.21999979019165" hidden="0" customWidth="1"/>
    <x:col min="16" max="16" width="6.21999979019165" hidden="0" customWidth="1"/>
    <x:col min="17" max="17" width="6.21999979019165" hidden="0" customWidth="1"/>
    <x:col min="18" max="18" width="12.220000267028809" hidden="0" customWidth="1"/>
    <x:col min="19" max="19" width="12.220000267028809" hidden="0" customWidth="1"/>
    <x:col min="20" max="20" width="11.109999656677246" hidden="0" customWidth="1"/>
    <x:col min="21" max="21" width="8" hidden="0" customWidth="1"/>
    <x:col min="22" max="22" width="15.5600004196167" hidden="0" customWidth="1"/>
    <x:col min="23" max="23" width="20" hidden="0" customWidth="1"/>
    <x:col min="24" max="24" width="6.21999979019165" hidden="0" customWidth="1"/>
    <x:col min="25" max="25" width="17.780000686645508" hidden="0" customWidth="1"/>
    <x:col min="26" max="26" width="10.220000267028809" hidden="0" customWidth="1"/>
  </x:cols>
  <x:sheetData>
    <x:row r="1">
      <x:c r="A1" s="46" t="str">
        <x:v>编号</x:v>
      </x:c>
      <x:c r="B1" s="47" t="str">
        <x:v>名称</x:v>
      </x:c>
      <x:c r="C1" s="47" t="str">
        <x:v>元素</x:v>
      </x:c>
      <x:c r="D1" s="47" t="str">
        <x:v>副属</x:v>
      </x:c>
      <x:c r="E1" s="47" t="str">
        <x:v>品质</x:v>
      </x:c>
      <x:c r="F1" s="47" t="str">
        <x:v>体型</x:v>
      </x:c>
      <x:c r="G1" s="47" t="str">
        <x:v>定位</x:v>
      </x:c>
      <x:c r="H1" s="47" t="str">
        <x:v>目标分</x:v>
      </x:c>
      <x:c r="I1" s="47" t="str">
        <x:v>总强度</x:v>
      </x:c>
      <x:c r="J1" s="47" t="str">
        <x:v>差值</x:v>
      </x:c>
      <x:c r="K1" s="47" t="str">
        <x:v>面板分</x:v>
      </x:c>
      <x:c r="L1" s="47" t="str">
        <x:v>机制分</x:v>
      </x:c>
      <x:c r="M1" s="47" t="str">
        <x:v>HP</x:v>
      </x:c>
      <x:c r="N1" s="47" t="str">
        <x:v>攻</x:v>
      </x:c>
      <x:c r="O1" s="47" t="str">
        <x:v>防</x:v>
      </x:c>
      <x:c r="P1" s="47" t="str">
        <x:v>盾</x:v>
      </x:c>
      <x:c r="Q1" s="47" t="str">
        <x:v>行动</x:v>
      </x:c>
      <x:c r="R1" s="47" t="str">
        <x:v>机制</x:v>
      </x:c>
      <x:c r="S1" s="47" t="str">
        <x:v>形状</x:v>
      </x:c>
      <x:c r="T1" s="47" t="str">
        <x:v>范围</x:v>
      </x:c>
      <x:c r="U1" s="47" t="str">
        <x:v>动作</x:v>
      </x:c>
      <x:c r="V1" s="47" t="str">
        <x:v>技能</x:v>
      </x:c>
      <x:c r="W1" s="47" t="str">
        <x:v>标签</x:v>
      </x:c>
      <x:c r="X1" s="47" t="str">
        <x:v>可召</x:v>
      </x:c>
      <x:c r="Y1" s="47" t="str">
        <x:v>备注</x:v>
      </x:c>
      <x:c r="Z1" s="48" t="str">
        <x:v>内部ID</x:v>
      </x:c>
    </x:row>
    <x:row r="2">
      <x:c r="A2" s="29" t="str">
        <x:v>No.001</x:v>
      </x:c>
      <x:c r="B2" s="30" t="str">
        <x:v>棉悠悠</x:v>
      </x:c>
      <x:c r="C2" s="30" t="str">
        <x:v>风</x:v>
      </x:c>
      <x:c r="D2" s="30"/>
      <x:c r="E2" s="30" t="str">
        <x:v>青铜</x:v>
      </x:c>
      <x:c r="F2" s="30" t="str">
        <x:v>小型</x:v>
      </x:c>
      <x:c r="G2" s="30" t="str">
        <x:v>经济</x:v>
      </x:c>
      <x:c r="H2" s="49" t="n">
        <x:f>IF(E2="青铜",IF(F2="小型",50,IF(F2="中型",80,128)),IF(E2="白银",IF(F2="小型",100,IF(F2="中型",160,256)),IF(E2="黄金",IF(F2="小型",160,IF(F2="中型",256,410)),IF(E2="钻石",IF(F2="小型",240,IF(F2="中型",384,614)),""))))</x:f>
        <x:v>50</x:v>
      </x:c>
      <x:c r="I2" s="49" t="n">
        <x:f>K2+L2</x:f>
        <x:v>50</x:v>
      </x:c>
      <x:c r="J2" s="49" t="n">
        <x:f>I2-H2</x:f>
        <x:v>0</x:v>
      </x:c>
      <x:c r="K2" s="49" t="n">
        <x:f>M2+N2*3+O2*3+P2*5+Q2*5</x:f>
        <x:v>34</x:v>
      </x:c>
      <x:c r="L2" s="49" t="n">
        <x:v>16</x:v>
      </x:c>
      <x:c r="M2" s="31" t="n">
        <x:v>10</x:v>
      </x:c>
      <x:c r="N2" s="31" t="n">
        <x:v>3</x:v>
      </x:c>
      <x:c r="O2" s="31" t="n">
        <x:v>0</x:v>
      </x:c>
      <x:c r="P2" s="31" t="n">
        <x:v>0</x:v>
      </x:c>
      <x:c r="Q2" s="31" t="n">
        <x:v>3</x:v>
      </x:c>
      <x:c r="R2" s="30" t="str">
        <x:v>友召增益</x:v>
      </x:c>
      <x:c r="S2" s="30" t="str">
        <x:v>A1 单点刺</x:v>
      </x:c>
      <x:c r="T2" s="30" t="str">
        <x:v>直线/1格</x:v>
      </x:c>
      <x:c r="U2" s="30" t="str">
        <x:v>召唤</x:v>
      </x:c>
      <x:c r="V2" s="30" t="str">
        <x:v>buffAllSummons</x:v>
      </x:c>
      <x:c r="W2" s="30" t="str">
        <x:v>风、经济、召唤、发育</x:v>
      </x:c>
      <x:c r="X2" s="30" t="str">
        <x:v>是</x:v>
      </x:c>
      <x:c r="Y2" s="51"/>
      <x:c r="Z2" s="32" t="str">
        <x:v>pal_001</x:v>
      </x:c>
    </x:row>
    <x:row r="3">
      <x:c r="A3" s="29" t="str">
        <x:v>No.002</x:v>
      </x:c>
      <x:c r="B3" s="30" t="str">
        <x:v>捣蛋猫</x:v>
      </x:c>
      <x:c r="C3" s="30" t="str">
        <x:v>风</x:v>
      </x:c>
      <x:c r="D3" s="30"/>
      <x:c r="E3" s="30" t="str">
        <x:v>青铜</x:v>
      </x:c>
      <x:c r="F3" s="30" t="str">
        <x:v>小型</x:v>
      </x:c>
      <x:c r="G3" s="30" t="str">
        <x:v>坦克</x:v>
      </x:c>
      <x:c r="H3" s="49" t="n">
        <x:f>IF(E3="青铜",IF(F3="小型",50,IF(F3="中型",80,128)),IF(E3="白银",IF(F3="小型",100,IF(F3="中型",160,256)),IF(E3="黄金",IF(F3="小型",160,IF(F3="中型",256,410)),IF(E3="钻石",IF(F3="小型",240,IF(F3="中型",384,614)),""))))</x:f>
        <x:v>50</x:v>
      </x:c>
      <x:c r="I3" s="49" t="n">
        <x:f>K3+L3</x:f>
        <x:v>50</x:v>
      </x:c>
      <x:c r="J3" s="49" t="n">
        <x:f>I3-H3</x:f>
        <x:v>0</x:v>
      </x:c>
      <x:c r="K3" s="49" t="n">
        <x:f>M3+N3*3+O3*3+P3*5+Q3*5</x:f>
        <x:v>42</x:v>
      </x:c>
      <x:c r="L3" s="49" t="n">
        <x:v>8</x:v>
      </x:c>
      <x:c r="M3" s="31" t="n">
        <x:v>15</x:v>
      </x:c>
      <x:c r="N3" s="31" t="n">
        <x:v>4</x:v>
      </x:c>
      <x:c r="O3" s="31" t="n">
        <x:v>0</x:v>
      </x:c>
      <x:c r="P3" s="31" t="n">
        <x:v>0</x:v>
      </x:c>
      <x:c r="Q3" s="31" t="n">
        <x:v>3</x:v>
      </x:c>
      <x:c r="R3" s="30" t="str">
        <x:v>前排减压</x:v>
      </x:c>
      <x:c r="S3" s="30" t="str">
        <x:v>B1 横扫三格</x:v>
      </x:c>
      <x:c r="T3" s="30" t="str">
        <x:v>扫击/3格</x:v>
      </x:c>
      <x:c r="U3" s="30" t="str">
        <x:v>阻挡</x:v>
      </x:c>
      <x:c r="V3" s="30" t="str">
        <x:v>castleReduce</x:v>
      </x:c>
      <x:c r="W3" s="30" t="str">
        <x:v>风、防御、前排、阻挡</x:v>
      </x:c>
      <x:c r="X3" s="30" t="str">
        <x:v>—</x:v>
      </x:c>
      <x:c r="Y3" s="51" t="str">
        <x:v>旧定位=防御</x:v>
      </x:c>
      <x:c r="Z3" s="32" t="str">
        <x:v>pal_002</x:v>
      </x:c>
    </x:row>
    <x:row r="4">
      <x:c r="A4" s="29" t="str">
        <x:v>No.003</x:v>
      </x:c>
      <x:c r="B4" s="30" t="str">
        <x:v>皮皮鸡</x:v>
      </x:c>
      <x:c r="C4" s="30" t="str">
        <x:v>风</x:v>
      </x:c>
      <x:c r="D4" s="30"/>
      <x:c r="E4" s="30" t="str">
        <x:v>青铜</x:v>
      </x:c>
      <x:c r="F4" s="30" t="str">
        <x:v>小型</x:v>
      </x:c>
      <x:c r="G4" s="30" t="str">
        <x:v>经济</x:v>
      </x:c>
      <x:c r="H4" s="49" t="n">
        <x:f>IF(E4="青铜",IF(F4="小型",50,IF(F4="中型",80,128)),IF(E4="白银",IF(F4="小型",100,IF(F4="中型",160,256)),IF(E4="黄金",IF(F4="小型",160,IF(F4="中型",256,410)),IF(E4="钻石",IF(F4="小型",240,IF(F4="中型",384,614)),""))))</x:f>
        <x:v>50</x:v>
      </x:c>
      <x:c r="I4" s="49" t="n">
        <x:f>K4+L4</x:f>
        <x:v>50</x:v>
      </x:c>
      <x:c r="J4" s="49" t="n">
        <x:f>I4-H4</x:f>
        <x:v>0</x:v>
      </x:c>
      <x:c r="K4" s="49" t="n">
        <x:f>M4+N4*3+O4*3+P4*5+Q4*5</x:f>
        <x:v>34</x:v>
      </x:c>
      <x:c r="L4" s="49" t="n">
        <x:v>16</x:v>
      </x:c>
      <x:c r="M4" s="31" t="n">
        <x:v>10</x:v>
      </x:c>
      <x:c r="N4" s="31" t="n">
        <x:v>3</x:v>
      </x:c>
      <x:c r="O4" s="31" t="n">
        <x:v>0</x:v>
      </x:c>
      <x:c r="P4" s="31" t="n">
        <x:v>0</x:v>
      </x:c>
      <x:c r="Q4" s="31" t="n">
        <x:v>3</x:v>
      </x:c>
      <x:c r="R4" s="30" t="str">
        <x:v>友召增益</x:v>
      </x:c>
      <x:c r="S4" s="30" t="str">
        <x:v>A1 单点刺</x:v>
      </x:c>
      <x:c r="T4" s="30" t="str">
        <x:v>直线/1格</x:v>
      </x:c>
      <x:c r="U4" s="30" t="str">
        <x:v>召唤</x:v>
      </x:c>
      <x:c r="V4" s="30" t="str">
        <x:v>buffAllSummons</x:v>
      </x:c>
      <x:c r="W4" s="30" t="str">
        <x:v>风、经济、召唤、发育</x:v>
      </x:c>
      <x:c r="X4" s="30" t="str">
        <x:v>是</x:v>
      </x:c>
      <x:c r="Y4" s="51"/>
      <x:c r="Z4" s="32" t="str">
        <x:v>pal_003</x:v>
      </x:c>
    </x:row>
    <x:row r="5">
      <x:c r="A5" s="29" t="str">
        <x:v>No.004</x:v>
      </x:c>
      <x:c r="B5" s="30" t="str">
        <x:v>翠叶鼠</x:v>
      </x:c>
      <x:c r="C5" s="30" t="str">
        <x:v>风</x:v>
      </x:c>
      <x:c r="D5" s="30" t="str">
        <x:v>草</x:v>
      </x:c>
      <x:c r="E5" s="30" t="str">
        <x:v>青铜</x:v>
      </x:c>
      <x:c r="F5" s="30" t="str">
        <x:v>小型</x:v>
      </x:c>
      <x:c r="G5" s="30" t="str">
        <x:v>治疗</x:v>
      </x:c>
      <x:c r="H5" s="49" t="n">
        <x:f>IF(E5="青铜",IF(F5="小型",50,IF(F5="中型",80,128)),IF(E5="白银",IF(F5="小型",100,IF(F5="中型",160,256)),IF(E5="黄金",IF(F5="小型",160,IF(F5="中型",256,410)),IF(E5="钻石",IF(F5="小型",240,IF(F5="中型",384,614)),""))))</x:f>
        <x:v>50</x:v>
      </x:c>
      <x:c r="I5" s="49" t="n">
        <x:f>K5+L5</x:f>
        <x:v>50</x:v>
      </x:c>
      <x:c r="J5" s="49" t="n">
        <x:f>I5-H5</x:f>
        <x:v>0</x:v>
      </x:c>
      <x:c r="K5" s="49" t="n">
        <x:f>M5+N5*3+O5*3+P5*5+Q5*5</x:f>
        <x:v>34</x:v>
      </x:c>
      <x:c r="L5" s="49" t="n">
        <x:v>16</x:v>
      </x:c>
      <x:c r="M5" s="31" t="n">
        <x:v>10</x:v>
      </x:c>
      <x:c r="N5" s="31" t="n">
        <x:v>3</x:v>
      </x:c>
      <x:c r="O5" s="31" t="n">
        <x:v>0</x:v>
      </x:c>
      <x:c r="P5" s="31" t="n">
        <x:v>0</x:v>
      </x:c>
      <x:c r="Q5" s="31" t="n">
        <x:v>3</x:v>
      </x:c>
      <x:c r="R5" s="30" t="str">
        <x:v>治疗续航</x:v>
      </x:c>
      <x:c r="S5" s="30" t="str">
        <x:v>B1 横扫三格</x:v>
      </x:c>
      <x:c r="T5" s="30" t="str">
        <x:v>扫击/3格</x:v>
      </x:c>
      <x:c r="U5" s="30" t="str">
        <x:v>场地</x:v>
      </x:c>
      <x:c r="V5" s="30" t="str">
        <x:v>healAmpBonus</x:v>
      </x:c>
      <x:c r="W5" s="30" t="str">
        <x:v>风、治疗、后排、增益</x:v>
      </x:c>
      <x:c r="X5" s="30" t="str">
        <x:v>—</x:v>
      </x:c>
      <x:c r="Y5" s="51"/>
      <x:c r="Z5" s="32" t="str">
        <x:v>pal_004</x:v>
      </x:c>
    </x:row>
    <x:row r="6">
      <x:c r="A6" s="29" t="str">
        <x:v>No.005</x:v>
      </x:c>
      <x:c r="B6" s="30" t="str">
        <x:v>火绒狐</x:v>
      </x:c>
      <x:c r="C6" s="30" t="str">
        <x:v>火</x:v>
      </x:c>
      <x:c r="D6" s="30"/>
      <x:c r="E6" s="30" t="str">
        <x:v>青铜</x:v>
      </x:c>
      <x:c r="F6" s="30" t="str">
        <x:v>中型</x:v>
      </x:c>
      <x:c r="G6" s="30" t="str">
        <x:v>输出</x:v>
      </x:c>
      <x:c r="H6" s="49" t="n">
        <x:f>IF(E6="青铜",IF(F6="小型",50,IF(F6="中型",80,128)),IF(E6="白银",IF(F6="小型",100,IF(F6="中型",160,256)),IF(E6="黄金",IF(F6="小型",160,IF(F6="中型",256,410)),IF(E6="钻石",IF(F6="小型",240,IF(F6="中型",384,614)),""))))</x:f>
        <x:v>80</x:v>
      </x:c>
      <x:c r="I6" s="49" t="n">
        <x:f>K6+L6</x:f>
        <x:v>80</x:v>
      </x:c>
      <x:c r="J6" s="49" t="n">
        <x:f>I6-H6</x:f>
        <x:v>0</x:v>
      </x:c>
      <x:c r="K6" s="49" t="n">
        <x:f>M6+N6*3+O6*3+P6*5+Q6*5</x:f>
        <x:v>64</x:v>
      </x:c>
      <x:c r="L6" s="49" t="n">
        <x:v>16</x:v>
      </x:c>
      <x:c r="M6" s="31" t="n">
        <x:v>10</x:v>
      </x:c>
      <x:c r="N6" s="31" t="n">
        <x:v>13</x:v>
      </x:c>
      <x:c r="O6" s="31" t="n">
        <x:v>0</x:v>
      </x:c>
      <x:c r="P6" s="31" t="n">
        <x:v>0</x:v>
      </x:c>
      <x:c r="Q6" s="31" t="n">
        <x:v>3</x:v>
      </x:c>
      <x:c r="R6" s="30" t="str">
        <x:v>爆格增伤</x:v>
      </x:c>
      <x:c r="S6" s="30" t="str">
        <x:v>A1 单点刺</x:v>
      </x:c>
      <x:c r="T6" s="30" t="str">
        <x:v>直线/1格</x:v>
      </x:c>
      <x:c r="U6" s="30" t="str">
        <x:v>输出</x:v>
      </x:c>
      <x:c r="V6" s="30" t="str">
        <x:v>spaceExplosionBonus</x:v>
      </x:c>
      <x:c r="W6" s="30" t="str">
        <x:v>火、输出、爆发、前排</x:v>
      </x:c>
      <x:c r="X6" s="30" t="str">
        <x:v>—</x:v>
      </x:c>
      <x:c r="Y6" s="51"/>
      <x:c r="Z6" s="32" t="str">
        <x:v>pal_005</x:v>
      </x:c>
    </x:row>
    <x:row r="7">
      <x:c r="A7" s="29" t="str">
        <x:v>No.006</x:v>
      </x:c>
      <x:c r="B7" s="30" t="str">
        <x:v>冲浪鸭</x:v>
      </x:c>
      <x:c r="C7" s="30" t="str">
        <x:v>水</x:v>
      </x:c>
      <x:c r="D7" s="30"/>
      <x:c r="E7" s="30" t="str">
        <x:v>青铜</x:v>
      </x:c>
      <x:c r="F7" s="30" t="str">
        <x:v>小型</x:v>
      </x:c>
      <x:c r="G7" s="30" t="str">
        <x:v>治疗</x:v>
      </x:c>
      <x:c r="H7" s="49" t="n">
        <x:f>IF(E7="青铜",IF(F7="小型",50,IF(F7="中型",80,128)),IF(E7="白银",IF(F7="小型",100,IF(F7="中型",160,256)),IF(E7="黄金",IF(F7="小型",160,IF(F7="中型",256,410)),IF(E7="钻石",IF(F7="小型",240,IF(F7="中型",384,614)),""))))</x:f>
        <x:v>50</x:v>
      </x:c>
      <x:c r="I7" s="49" t="n">
        <x:f>K7+L7</x:f>
        <x:v>50</x:v>
      </x:c>
      <x:c r="J7" s="49" t="n">
        <x:f>I7-H7</x:f>
        <x:v>0</x:v>
      </x:c>
      <x:c r="K7" s="49" t="n">
        <x:f>M7+N7*3+O7*3+P7*5+Q7*5</x:f>
        <x:v>34</x:v>
      </x:c>
      <x:c r="L7" s="49" t="n">
        <x:v>16</x:v>
      </x:c>
      <x:c r="M7" s="31" t="n">
        <x:v>10</x:v>
      </x:c>
      <x:c r="N7" s="31" t="n">
        <x:v>3</x:v>
      </x:c>
      <x:c r="O7" s="31" t="n">
        <x:v>0</x:v>
      </x:c>
      <x:c r="P7" s="31" t="n">
        <x:v>0</x:v>
      </x:c>
      <x:c r="Q7" s="31" t="n">
        <x:v>3</x:v>
      </x:c>
      <x:c r="R7" s="30" t="str">
        <x:v>治疗续航</x:v>
      </x:c>
      <x:c r="S7" s="30" t="str">
        <x:v>B1 横扫三格</x:v>
      </x:c>
      <x:c r="T7" s="30" t="str">
        <x:v>扫击/3格</x:v>
      </x:c>
      <x:c r="U7" s="30" t="str">
        <x:v>场地</x:v>
      </x:c>
      <x:c r="V7" s="30" t="str">
        <x:v>healAmpBonus</x:v>
      </x:c>
      <x:c r="W7" s="30" t="str">
        <x:v>水、治疗、后排、增益</x:v>
      </x:c>
      <x:c r="X7" s="30" t="str">
        <x:v>—</x:v>
      </x:c>
      <x:c r="Y7" s="51"/>
      <x:c r="Z7" s="32" t="str">
        <x:v>pal_006</x:v>
      </x:c>
    </x:row>
    <x:row r="8">
      <x:c r="A8" s="29" t="str">
        <x:v>No.007</x:v>
      </x:c>
      <x:c r="B8" s="30" t="str">
        <x:v>伏特喵</x:v>
      </x:c>
      <x:c r="C8" s="30" t="str">
        <x:v>风</x:v>
      </x:c>
      <x:c r="D8" s="30" t="str">
        <x:v>雷</x:v>
      </x:c>
      <x:c r="E8" s="30" t="str">
        <x:v>青铜</x:v>
      </x:c>
      <x:c r="F8" s="30" t="str">
        <x:v>小型</x:v>
      </x:c>
      <x:c r="G8" s="30" t="str">
        <x:v>坦克</x:v>
      </x:c>
      <x:c r="H8" s="49" t="n">
        <x:f>IF(E8="青铜",IF(F8="小型",50,IF(F8="中型",80,128)),IF(E8="白银",IF(F8="小型",100,IF(F8="中型",160,256)),IF(E8="黄金",IF(F8="小型",160,IF(F8="中型",256,410)),IF(E8="钻石",IF(F8="小型",240,IF(F8="中型",384,614)),""))))</x:f>
        <x:v>50</x:v>
      </x:c>
      <x:c r="I8" s="49" t="n">
        <x:f>K8+L8</x:f>
        <x:v>50</x:v>
      </x:c>
      <x:c r="J8" s="49" t="n">
        <x:f>I8-H8</x:f>
        <x:v>0</x:v>
      </x:c>
      <x:c r="K8" s="49" t="n">
        <x:f>M8+N8*3+O8*3+P8*5+Q8*5</x:f>
        <x:v>42</x:v>
      </x:c>
      <x:c r="L8" s="49" t="n">
        <x:v>8</x:v>
      </x:c>
      <x:c r="M8" s="31" t="n">
        <x:v>15</x:v>
      </x:c>
      <x:c r="N8" s="31" t="n">
        <x:v>4</x:v>
      </x:c>
      <x:c r="O8" s="31" t="n">
        <x:v>0</x:v>
      </x:c>
      <x:c r="P8" s="31" t="n">
        <x:v>0</x:v>
      </x:c>
      <x:c r="Q8" s="31" t="n">
        <x:v>3</x:v>
      </x:c>
      <x:c r="R8" s="30" t="str">
        <x:v>前排减压</x:v>
      </x:c>
      <x:c r="S8" s="30" t="str">
        <x:v>B1 横扫三格</x:v>
      </x:c>
      <x:c r="T8" s="30" t="str">
        <x:v>扫击/3格</x:v>
      </x:c>
      <x:c r="U8" s="30" t="str">
        <x:v>阻挡</x:v>
      </x:c>
      <x:c r="V8" s="30" t="str">
        <x:v>castleReduce</x:v>
      </x:c>
      <x:c r="W8" s="30" t="str">
        <x:v>风、防御、前排、阻挡</x:v>
      </x:c>
      <x:c r="X8" s="30" t="str">
        <x:v>—</x:v>
      </x:c>
      <x:c r="Y8" s="51" t="str">
        <x:v>旧定位=防御</x:v>
      </x:c>
      <x:c r="Z8" s="32" t="str">
        <x:v>pal_007</x:v>
      </x:c>
    </x:row>
    <x:row r="9">
      <x:c r="A9" s="29" t="str">
        <x:v>No.008</x:v>
      </x:c>
      <x:c r="B9" s="30" t="str">
        <x:v>新叶猿</x:v>
      </x:c>
      <x:c r="C9" s="30" t="str">
        <x:v>风</x:v>
      </x:c>
      <x:c r="D9" s="30" t="str">
        <x:v>草</x:v>
      </x:c>
      <x:c r="E9" s="30" t="str">
        <x:v>青铜</x:v>
      </x:c>
      <x:c r="F9" s="30" t="str">
        <x:v>中型</x:v>
      </x:c>
      <x:c r="G9" s="30" t="str">
        <x:v>坦克</x:v>
      </x:c>
      <x:c r="H9" s="49" t="n">
        <x:f>IF(E9="青铜",IF(F9="小型",50,IF(F9="中型",80,128)),IF(E9="白银",IF(F9="小型",100,IF(F9="中型",160,256)),IF(E9="黄金",IF(F9="小型",160,IF(F9="中型",256,410)),IF(E9="钻石",IF(F9="小型",240,IF(F9="中型",384,614)),""))))</x:f>
        <x:v>80</x:v>
      </x:c>
      <x:c r="I9" s="49" t="n">
        <x:f>K9+L9</x:f>
        <x:v>80</x:v>
      </x:c>
      <x:c r="J9" s="49" t="n">
        <x:f>I9-H9</x:f>
        <x:v>0</x:v>
      </x:c>
      <x:c r="K9" s="49" t="n">
        <x:f>M9+N9*3+O9*3+P9*5+Q9*5</x:f>
        <x:v>72</x:v>
      </x:c>
      <x:c r="L9" s="49" t="n">
        <x:v>8</x:v>
      </x:c>
      <x:c r="M9" s="31" t="n">
        <x:v>15</x:v>
      </x:c>
      <x:c r="N9" s="31" t="n">
        <x:v>4</x:v>
      </x:c>
      <x:c r="O9" s="31" t="n">
        <x:v>0</x:v>
      </x:c>
      <x:c r="P9" s="31" t="n">
        <x:v>6</x:v>
      </x:c>
      <x:c r="Q9" s="31" t="n">
        <x:v>3</x:v>
      </x:c>
      <x:c r="R9" s="30" t="str">
        <x:v>前排减压</x:v>
      </x:c>
      <x:c r="S9" s="30" t="str">
        <x:v>B1 横扫三格</x:v>
      </x:c>
      <x:c r="T9" s="30" t="str">
        <x:v>扫击/3格</x:v>
      </x:c>
      <x:c r="U9" s="30" t="str">
        <x:v>阻挡</x:v>
      </x:c>
      <x:c r="V9" s="30" t="str">
        <x:v>castleReduce</x:v>
      </x:c>
      <x:c r="W9" s="30" t="str">
        <x:v>风、防御、前排、阻挡</x:v>
      </x:c>
      <x:c r="X9" s="30" t="str">
        <x:v>—</x:v>
      </x:c>
      <x:c r="Y9" s="51" t="str">
        <x:v>旧定位=防御</x:v>
      </x:c>
      <x:c r="Z9" s="32" t="str">
        <x:v>pal_008</x:v>
      </x:c>
    </x:row>
    <x:row r="10">
      <x:c r="A10" s="29" t="str">
        <x:v>No.009</x:v>
      </x:c>
      <x:c r="B10" s="30" t="str">
        <x:v>燎火鹿</x:v>
      </x:c>
      <x:c r="C10" s="30" t="str">
        <x:v>火</x:v>
      </x:c>
      <x:c r="D10" s="30"/>
      <x:c r="E10" s="30" t="str">
        <x:v>青铜</x:v>
      </x:c>
      <x:c r="F10" s="30" t="str">
        <x:v>中型</x:v>
      </x:c>
      <x:c r="G10" s="30" t="str">
        <x:v>输出</x:v>
      </x:c>
      <x:c r="H10" s="49" t="n">
        <x:f>IF(E10="青铜",IF(F10="小型",50,IF(F10="中型",80,128)),IF(E10="白银",IF(F10="小型",100,IF(F10="中型",160,256)),IF(E10="黄金",IF(F10="小型",160,IF(F10="中型",256,410)),IF(E10="钻石",IF(F10="小型",240,IF(F10="中型",384,614)),""))))</x:f>
        <x:v>80</x:v>
      </x:c>
      <x:c r="I10" s="49" t="n">
        <x:f>K10+L10</x:f>
        <x:v>80</x:v>
      </x:c>
      <x:c r="J10" s="49" t="n">
        <x:f>I10-H10</x:f>
        <x:v>0</x:v>
      </x:c>
      <x:c r="K10" s="49" t="n">
        <x:f>M10+N10*3+O10*3+P10*5+Q10*5</x:f>
        <x:v>64</x:v>
      </x:c>
      <x:c r="L10" s="49" t="n">
        <x:v>16</x:v>
      </x:c>
      <x:c r="M10" s="31" t="n">
        <x:v>10</x:v>
      </x:c>
      <x:c r="N10" s="31" t="n">
        <x:v>13</x:v>
      </x:c>
      <x:c r="O10" s="31" t="n">
        <x:v>0</x:v>
      </x:c>
      <x:c r="P10" s="31" t="n">
        <x:v>0</x:v>
      </x:c>
      <x:c r="Q10" s="31" t="n">
        <x:v>3</x:v>
      </x:c>
      <x:c r="R10" s="30" t="str">
        <x:v>爆格增伤</x:v>
      </x:c>
      <x:c r="S10" s="30" t="str">
        <x:v>A1 单点刺</x:v>
      </x:c>
      <x:c r="T10" s="30" t="str">
        <x:v>直线/1格</x:v>
      </x:c>
      <x:c r="U10" s="30" t="str">
        <x:v>输出</x:v>
      </x:c>
      <x:c r="V10" s="30" t="str">
        <x:v>spaceExplosionBonus</x:v>
      </x:c>
      <x:c r="W10" s="30" t="str">
        <x:v>火、输出、爆发、前排</x:v>
      </x:c>
      <x:c r="X10" s="30" t="str">
        <x:v>—</x:v>
      </x:c>
      <x:c r="Y10" s="51"/>
      <x:c r="Z10" s="32" t="str">
        <x:v>pal_009</x:v>
      </x:c>
    </x:row>
    <x:row r="11">
      <x:c r="A11" s="29" t="str">
        <x:v>No.010</x:v>
      </x:c>
      <x:c r="B11" s="30" t="str">
        <x:v>企丸丸</x:v>
      </x:c>
      <x:c r="C11" s="30" t="str">
        <x:v>水</x:v>
      </x:c>
      <x:c r="D11" s="30" t="str">
        <x:v>水、冰</x:v>
      </x:c>
      <x:c r="E11" s="30" t="str">
        <x:v>青铜</x:v>
      </x:c>
      <x:c r="F11" s="30" t="str">
        <x:v>小型</x:v>
      </x:c>
      <x:c r="G11" s="30" t="str">
        <x:v>治疗</x:v>
      </x:c>
      <x:c r="H11" s="49" t="n">
        <x:f>IF(E11="青铜",IF(F11="小型",50,IF(F11="中型",80,128)),IF(E11="白银",IF(F11="小型",100,IF(F11="中型",160,256)),IF(E11="黄金",IF(F11="小型",160,IF(F11="中型",256,410)),IF(E11="钻石",IF(F11="小型",240,IF(F11="中型",384,614)),""))))</x:f>
        <x:v>50</x:v>
      </x:c>
      <x:c r="I11" s="49" t="n">
        <x:f>K11+L11</x:f>
        <x:v>50</x:v>
      </x:c>
      <x:c r="J11" s="49" t="n">
        <x:f>I11-H11</x:f>
        <x:v>0</x:v>
      </x:c>
      <x:c r="K11" s="49" t="n">
        <x:f>M11+N11*3+O11*3+P11*5+Q11*5</x:f>
        <x:v>34</x:v>
      </x:c>
      <x:c r="L11" s="49" t="n">
        <x:v>16</x:v>
      </x:c>
      <x:c r="M11" s="31" t="n">
        <x:v>10</x:v>
      </x:c>
      <x:c r="N11" s="31" t="n">
        <x:v>3</x:v>
      </x:c>
      <x:c r="O11" s="31" t="n">
        <x:v>0</x:v>
      </x:c>
      <x:c r="P11" s="31" t="n">
        <x:v>0</x:v>
      </x:c>
      <x:c r="Q11" s="31" t="n">
        <x:v>3</x:v>
      </x:c>
      <x:c r="R11" s="30" t="str">
        <x:v>治疗续航</x:v>
      </x:c>
      <x:c r="S11" s="30" t="str">
        <x:v>B1 横扫三格</x:v>
      </x:c>
      <x:c r="T11" s="30" t="str">
        <x:v>扫击/3格</x:v>
      </x:c>
      <x:c r="U11" s="30" t="str">
        <x:v>场地</x:v>
      </x:c>
      <x:c r="V11" s="30" t="str">
        <x:v>healAmpBonus</x:v>
      </x:c>
      <x:c r="W11" s="30" t="str">
        <x:v>水、治疗、后排、增益</x:v>
      </x:c>
      <x:c r="X11" s="30" t="str">
        <x:v>—</x:v>
      </x:c>
      <x:c r="Y11" s="51"/>
      <x:c r="Z11" s="32" t="str">
        <x:v>pal_010</x:v>
      </x:c>
    </x:row>
    <x:row r="12">
      <x:c r="A12" s="29" t="str">
        <x:v>No.011</x:v>
      </x:c>
      <x:c r="B12" s="30" t="str">
        <x:v>企丸王</x:v>
      </x:c>
      <x:c r="C12" s="30" t="str">
        <x:v>水</x:v>
      </x:c>
      <x:c r="D12" s="30" t="str">
        <x:v>水、冰</x:v>
      </x:c>
      <x:c r="E12" s="30" t="str">
        <x:v>青铜</x:v>
      </x:c>
      <x:c r="F12" s="30" t="str">
        <x:v>大型</x:v>
      </x:c>
      <x:c r="G12" s="30" t="str">
        <x:v>治疗</x:v>
      </x:c>
      <x:c r="H12" s="49" t="n">
        <x:f>IF(E12="青铜",IF(F12="小型",50,IF(F12="中型",80,128)),IF(E12="白银",IF(F12="小型",100,IF(F12="中型",160,256)),IF(E12="黄金",IF(F12="小型",160,IF(F12="中型",256,410)),IF(E12="钻石",IF(F12="小型",240,IF(F12="中型",384,614)),""))))</x:f>
        <x:v>128</x:v>
      </x:c>
      <x:c r="I12" s="49" t="n">
        <x:f>K12+L12</x:f>
        <x:v>128</x:v>
      </x:c>
      <x:c r="J12" s="49" t="n">
        <x:f>I12-H12</x:f>
        <x:v>0</x:v>
      </x:c>
      <x:c r="K12" s="49" t="n">
        <x:f>M12+N12*3+O12*3+P12*5+Q12*5</x:f>
        <x:v>112</x:v>
      </x:c>
      <x:c r="L12" s="49" t="n">
        <x:v>16</x:v>
      </x:c>
      <x:c r="M12" s="31" t="n">
        <x:v>25</x:v>
      </x:c>
      <x:c r="N12" s="31" t="n">
        <x:v>24</x:v>
      </x:c>
      <x:c r="O12" s="31" t="n">
        <x:v>0</x:v>
      </x:c>
      <x:c r="P12" s="31" t="n">
        <x:v>0</x:v>
      </x:c>
      <x:c r="Q12" s="31" t="n">
        <x:v>3</x:v>
      </x:c>
      <x:c r="R12" s="30" t="str">
        <x:v>治疗续航</x:v>
      </x:c>
      <x:c r="S12" s="30" t="str">
        <x:v>B1 横扫三格</x:v>
      </x:c>
      <x:c r="T12" s="30" t="str">
        <x:v>扫击/3格</x:v>
      </x:c>
      <x:c r="U12" s="30" t="str">
        <x:v>场地</x:v>
      </x:c>
      <x:c r="V12" s="30" t="str">
        <x:v>healAmpBonus</x:v>
      </x:c>
      <x:c r="W12" s="30" t="str">
        <x:v>水、治疗、后排、增益</x:v>
      </x:c>
      <x:c r="X12" s="30" t="str">
        <x:v>—</x:v>
      </x:c>
      <x:c r="Y12" s="51"/>
      <x:c r="Z12" s="32" t="str">
        <x:v>pal_011</x:v>
      </x:c>
    </x:row>
    <x:row r="13">
      <x:c r="A13" s="29" t="str">
        <x:v>No.012</x:v>
      </x:c>
      <x:c r="B13" s="30" t="str">
        <x:v>电棘鼠</x:v>
      </x:c>
      <x:c r="C13" s="30" t="str">
        <x:v>风</x:v>
      </x:c>
      <x:c r="D13" s="30" t="str">
        <x:v>雷</x:v>
      </x:c>
      <x:c r="E13" s="30" t="str">
        <x:v>青铜</x:v>
      </x:c>
      <x:c r="F13" s="30" t="str">
        <x:v>小型</x:v>
      </x:c>
      <x:c r="G13" s="30" t="str">
        <x:v>控制</x:v>
      </x:c>
      <x:c r="H13" s="49" t="n">
        <x:f>IF(E13="青铜",IF(F13="小型",50,IF(F13="中型",80,128)),IF(E13="白银",IF(F13="小型",100,IF(F13="中型",160,256)),IF(E13="黄金",IF(F13="小型",160,IF(F13="中型",256,410)),IF(E13="钻石",IF(F13="小型",240,IF(F13="中型",384,614)),""))))</x:f>
        <x:v>50</x:v>
      </x:c>
      <x:c r="I13" s="49" t="n">
        <x:f>K13+L13</x:f>
        <x:v>50</x:v>
      </x:c>
      <x:c r="J13" s="49" t="n">
        <x:f>I13-H13</x:f>
        <x:v>0</x:v>
      </x:c>
      <x:c r="K13" s="49" t="n">
        <x:f>M13+N13*3+O13*3+P13*5+Q13*5</x:f>
        <x:v>34</x:v>
      </x:c>
      <x:c r="L13" s="49" t="n">
        <x:v>16</x:v>
      </x:c>
      <x:c r="M13" s="31" t="n">
        <x:v>10</x:v>
      </x:c>
      <x:c r="N13" s="31" t="n">
        <x:v>3</x:v>
      </x:c>
      <x:c r="O13" s="31" t="n">
        <x:v>0</x:v>
      </x:c>
      <x:c r="P13" s="31" t="n">
        <x:v>0</x:v>
      </x:c>
      <x:c r="Q13" s="31" t="n">
        <x:v>3</x:v>
      </x:c>
      <x:c r="R13" s="30" t="str">
        <x:v>补刀控场</x:v>
      </x:c>
      <x:c r="S13" s="30" t="str">
        <x:v>T2 长柄T</x:v>
      </x:c>
      <x:c r="T13" s="30" t="str">
        <x:v>T形/5格</x:v>
      </x:c>
      <x:c r="U13" s="30" t="str">
        <x:v>牵制</x:v>
      </x:c>
      <x:c r="V13" s="30" t="str">
        <x:v>advHitBonus</x:v>
      </x:c>
      <x:c r="W13" s="30" t="str">
        <x:v>风、牵制、范围、机动</x:v>
      </x:c>
      <x:c r="X13" s="30" t="str">
        <x:v>—</x:v>
      </x:c>
      <x:c r="Y13" s="51" t="str">
        <x:v>旧定位=牵制</x:v>
      </x:c>
      <x:c r="Z13" s="32" t="str">
        <x:v>pal_012</x:v>
      </x:c>
    </x:row>
    <x:row r="14">
      <x:c r="A14" s="29" t="str">
        <x:v>No.013</x:v>
      </x:c>
      <x:c r="B14" s="30" t="str">
        <x:v>叶泥泥</x:v>
      </x:c>
      <x:c r="C14" s="30" t="str">
        <x:v>土</x:v>
      </x:c>
      <x:c r="D14" s="30" t="str">
        <x:v>草、地</x:v>
      </x:c>
      <x:c r="E14" s="30" t="str">
        <x:v>青铜</x:v>
      </x:c>
      <x:c r="F14" s="30" t="str">
        <x:v>小型</x:v>
      </x:c>
      <x:c r="G14" s="30" t="str">
        <x:v>坦克</x:v>
      </x:c>
      <x:c r="H14" s="49" t="n">
        <x:f>IF(E14="青铜",IF(F14="小型",50,IF(F14="中型",80,128)),IF(E14="白银",IF(F14="小型",100,IF(F14="中型",160,256)),IF(E14="黄金",IF(F14="小型",160,IF(F14="中型",256,410)),IF(E14="钻石",IF(F14="小型",240,IF(F14="中型",384,614)),""))))</x:f>
        <x:v>50</x:v>
      </x:c>
      <x:c r="I14" s="49" t="n">
        <x:f>K14+L14</x:f>
        <x:v>50</x:v>
      </x:c>
      <x:c r="J14" s="49" t="n">
        <x:f>I14-H14</x:f>
        <x:v>0</x:v>
      </x:c>
      <x:c r="K14" s="49" t="n">
        <x:f>M14+N14*3+O14*3+P14*5+Q14*5</x:f>
        <x:v>42</x:v>
      </x:c>
      <x:c r="L14" s="49" t="n">
        <x:v>8</x:v>
      </x:c>
      <x:c r="M14" s="31" t="n">
        <x:v>15</x:v>
      </x:c>
      <x:c r="N14" s="31" t="n">
        <x:v>4</x:v>
      </x:c>
      <x:c r="O14" s="31" t="n">
        <x:v>0</x:v>
      </x:c>
      <x:c r="P14" s="31" t="n">
        <x:v>0</x:v>
      </x:c>
      <x:c r="Q14" s="31" t="n">
        <x:v>3</x:v>
      </x:c>
      <x:c r="R14" s="30" t="str">
        <x:v>前排减压</x:v>
      </x:c>
      <x:c r="S14" s="30" t="str">
        <x:v>B1 横扫三格</x:v>
      </x:c>
      <x:c r="T14" s="30" t="str">
        <x:v>扫击/3格</x:v>
      </x:c>
      <x:c r="U14" s="30" t="str">
        <x:v>阻挡</x:v>
      </x:c>
      <x:c r="V14" s="30" t="str">
        <x:v>castleReduce</x:v>
      </x:c>
      <x:c r="W14" s="30" t="str">
        <x:v>土、防御、前排、阻挡</x:v>
      </x:c>
      <x:c r="X14" s="30" t="str">
        <x:v>—</x:v>
      </x:c>
      <x:c r="Y14" s="51" t="str">
        <x:v>旧定位=防御</x:v>
      </x:c>
      <x:c r="Z14" s="32" t="str">
        <x:v>pal_013</x:v>
      </x:c>
    </x:row>
    <x:row r="15">
      <x:c r="A15" s="29" t="str">
        <x:v>No.014</x:v>
      </x:c>
      <x:c r="B15" s="30" t="str">
        <x:v>玉藻狐</x:v>
      </x:c>
      <x:c r="C15" s="30" t="str">
        <x:v>风</x:v>
      </x:c>
      <x:c r="D15" s="30"/>
      <x:c r="E15" s="30" t="str">
        <x:v>青铜</x:v>
      </x:c>
      <x:c r="F15" s="30" t="str">
        <x:v>小型</x:v>
      </x:c>
      <x:c r="G15" s="30" t="str">
        <x:v>经济</x:v>
      </x:c>
      <x:c r="H15" s="49" t="n">
        <x:f>IF(E15="青铜",IF(F15="小型",50,IF(F15="中型",80,128)),IF(E15="白银",IF(F15="小型",100,IF(F15="中型",160,256)),IF(E15="黄金",IF(F15="小型",160,IF(F15="中型",256,410)),IF(E15="钻石",IF(F15="小型",240,IF(F15="中型",384,614)),""))))</x:f>
        <x:v>50</x:v>
      </x:c>
      <x:c r="I15" s="49" t="n">
        <x:f>K15+L15</x:f>
        <x:v>50</x:v>
      </x:c>
      <x:c r="J15" s="49" t="n">
        <x:f>I15-H15</x:f>
        <x:v>0</x:v>
      </x:c>
      <x:c r="K15" s="49" t="n">
        <x:f>M15+N15*3+O15*3+P15*5+Q15*5</x:f>
        <x:v>34</x:v>
      </x:c>
      <x:c r="L15" s="49" t="n">
        <x:v>16</x:v>
      </x:c>
      <x:c r="M15" s="31" t="n">
        <x:v>10</x:v>
      </x:c>
      <x:c r="N15" s="31" t="n">
        <x:v>3</x:v>
      </x:c>
      <x:c r="O15" s="31" t="n">
        <x:v>0</x:v>
      </x:c>
      <x:c r="P15" s="31" t="n">
        <x:v>0</x:v>
      </x:c>
      <x:c r="Q15" s="31" t="n">
        <x:v>3</x:v>
      </x:c>
      <x:c r="R15" s="30" t="str">
        <x:v>友召增益</x:v>
      </x:c>
      <x:c r="S15" s="30" t="str">
        <x:v>A1 单点刺</x:v>
      </x:c>
      <x:c r="T15" s="30" t="str">
        <x:v>直线/1格</x:v>
      </x:c>
      <x:c r="U15" s="30" t="str">
        <x:v>召唤</x:v>
      </x:c>
      <x:c r="V15" s="30" t="str">
        <x:v>buffAllSummons</x:v>
      </x:c>
      <x:c r="W15" s="30" t="str">
        <x:v>风、经济、召唤、发育</x:v>
      </x:c>
      <x:c r="X15" s="30" t="str">
        <x:v>是</x:v>
      </x:c>
      <x:c r="Y15" s="51"/>
      <x:c r="Z15" s="32" t="str">
        <x:v>pal_014</x:v>
      </x:c>
    </x:row>
    <x:row r="16">
      <x:c r="A16" s="29" t="str">
        <x:v>No.015</x:v>
      </x:c>
      <x:c r="B16" s="30" t="str">
        <x:v>啼卡尔</x:v>
      </x:c>
      <x:c r="C16" s="30" t="str">
        <x:v>土</x:v>
      </x:c>
      <x:c r="D16" s="30" t="str">
        <x:v>暗</x:v>
      </x:c>
      <x:c r="E16" s="30" t="str">
        <x:v>青铜</x:v>
      </x:c>
      <x:c r="F16" s="30" t="str">
        <x:v>小型</x:v>
      </x:c>
      <x:c r="G16" s="30" t="str">
        <x:v>坦克</x:v>
      </x:c>
      <x:c r="H16" s="49" t="n">
        <x:f>IF(E16="青铜",IF(F16="小型",50,IF(F16="中型",80,128)),IF(E16="白银",IF(F16="小型",100,IF(F16="中型",160,256)),IF(E16="黄金",IF(F16="小型",160,IF(F16="中型",256,410)),IF(E16="钻石",IF(F16="小型",240,IF(F16="中型",384,614)),""))))</x:f>
        <x:v>50</x:v>
      </x:c>
      <x:c r="I16" s="49" t="n">
        <x:f>K16+L16</x:f>
        <x:v>50</x:v>
      </x:c>
      <x:c r="J16" s="49" t="n">
        <x:f>I16-H16</x:f>
        <x:v>0</x:v>
      </x:c>
      <x:c r="K16" s="49" t="n">
        <x:f>M16+N16*3+O16*3+P16*5+Q16*5</x:f>
        <x:v>42</x:v>
      </x:c>
      <x:c r="L16" s="49" t="n">
        <x:v>8</x:v>
      </x:c>
      <x:c r="M16" s="31" t="n">
        <x:v>15</x:v>
      </x:c>
      <x:c r="N16" s="31" t="n">
        <x:v>4</x:v>
      </x:c>
      <x:c r="O16" s="31" t="n">
        <x:v>0</x:v>
      </x:c>
      <x:c r="P16" s="31" t="n">
        <x:v>0</x:v>
      </x:c>
      <x:c r="Q16" s="31" t="n">
        <x:v>3</x:v>
      </x:c>
      <x:c r="R16" s="30" t="str">
        <x:v>前排减压</x:v>
      </x:c>
      <x:c r="S16" s="30" t="str">
        <x:v>B1 横扫三格</x:v>
      </x:c>
      <x:c r="T16" s="30" t="str">
        <x:v>扫击/3格</x:v>
      </x:c>
      <x:c r="U16" s="30" t="str">
        <x:v>阻挡</x:v>
      </x:c>
      <x:c r="V16" s="30" t="str">
        <x:v>castleReduce</x:v>
      </x:c>
      <x:c r="W16" s="30" t="str">
        <x:v>土、防御、前排、阻挡</x:v>
      </x:c>
      <x:c r="X16" s="30" t="str">
        <x:v>—</x:v>
      </x:c>
      <x:c r="Y16" s="51" t="str">
        <x:v>旧定位=防御</x:v>
      </x:c>
      <x:c r="Z16" s="32" t="str">
        <x:v>pal_015</x:v>
      </x:c>
    </x:row>
    <x:row r="17">
      <x:c r="A17" s="29" t="str">
        <x:v>No.016</x:v>
      </x:c>
      <x:c r="B17" s="30" t="str">
        <x:v>壶小象</x:v>
      </x:c>
      <x:c r="C17" s="30" t="str">
        <x:v>水</x:v>
      </x:c>
      <x:c r="D17" s="30"/>
      <x:c r="E17" s="30" t="str">
        <x:v>青铜</x:v>
      </x:c>
      <x:c r="F17" s="30" t="str">
        <x:v>大型</x:v>
      </x:c>
      <x:c r="G17" s="30" t="str">
        <x:v>治疗</x:v>
      </x:c>
      <x:c r="H17" s="49" t="n">
        <x:f>IF(E17="青铜",IF(F17="小型",50,IF(F17="中型",80,128)),IF(E17="白银",IF(F17="小型",100,IF(F17="中型",160,256)),IF(E17="黄金",IF(F17="小型",160,IF(F17="中型",256,410)),IF(E17="钻石",IF(F17="小型",240,IF(F17="中型",384,614)),""))))</x:f>
        <x:v>128</x:v>
      </x:c>
      <x:c r="I17" s="49" t="n">
        <x:f>K17+L17</x:f>
        <x:v>128</x:v>
      </x:c>
      <x:c r="J17" s="49" t="n">
        <x:f>I17-H17</x:f>
        <x:v>0</x:v>
      </x:c>
      <x:c r="K17" s="49" t="n">
        <x:f>M17+N17*3+O17*3+P17*5+Q17*5</x:f>
        <x:v>112</x:v>
      </x:c>
      <x:c r="L17" s="49" t="n">
        <x:v>16</x:v>
      </x:c>
      <x:c r="M17" s="31" t="n">
        <x:v>25</x:v>
      </x:c>
      <x:c r="N17" s="31" t="n">
        <x:v>24</x:v>
      </x:c>
      <x:c r="O17" s="31" t="n">
        <x:v>0</x:v>
      </x:c>
      <x:c r="P17" s="31" t="n">
        <x:v>0</x:v>
      </x:c>
      <x:c r="Q17" s="31" t="n">
        <x:v>3</x:v>
      </x:c>
      <x:c r="R17" s="30" t="str">
        <x:v>治疗续航</x:v>
      </x:c>
      <x:c r="S17" s="30" t="str">
        <x:v>B1 横扫三格</x:v>
      </x:c>
      <x:c r="T17" s="30" t="str">
        <x:v>扫击/3格</x:v>
      </x:c>
      <x:c r="U17" s="30" t="str">
        <x:v>场地</x:v>
      </x:c>
      <x:c r="V17" s="30" t="str">
        <x:v>healAmpBonus</x:v>
      </x:c>
      <x:c r="W17" s="30" t="str">
        <x:v>水、治疗、后排、增益</x:v>
      </x:c>
      <x:c r="X17" s="30" t="str">
        <x:v>—</x:v>
      </x:c>
      <x:c r="Y17" s="51"/>
      <x:c r="Z17" s="32" t="str">
        <x:v>pal_016</x:v>
      </x:c>
    </x:row>
    <x:row r="18">
      <x:c r="A18" s="29" t="str">
        <x:v>No.017</x:v>
      </x:c>
      <x:c r="B18" s="30" t="str">
        <x:v>瞅什魔</x:v>
      </x:c>
      <x:c r="C18" s="30" t="str">
        <x:v>土</x:v>
      </x:c>
      <x:c r="D18" s="30" t="str">
        <x:v>暗</x:v>
      </x:c>
      <x:c r="E18" s="30" t="str">
        <x:v>青铜</x:v>
      </x:c>
      <x:c r="F18" s="30" t="str">
        <x:v>大型</x:v>
      </x:c>
      <x:c r="G18" s="30" t="str">
        <x:v>坦克</x:v>
      </x:c>
      <x:c r="H18" s="49" t="n">
        <x:f>IF(E18="青铜",IF(F18="小型",50,IF(F18="中型",80,128)),IF(E18="白银",IF(F18="小型",100,IF(F18="中型",160,256)),IF(E18="黄金",IF(F18="小型",160,IF(F18="中型",256,410)),IF(E18="钻石",IF(F18="小型",240,IF(F18="中型",384,614)),""))))</x:f>
        <x:v>128</x:v>
      </x:c>
      <x:c r="I18" s="49" t="n">
        <x:f>K18+L18</x:f>
        <x:v>128</x:v>
      </x:c>
      <x:c r="J18" s="49" t="n">
        <x:f>I18-H18</x:f>
        <x:v>0</x:v>
      </x:c>
      <x:c r="K18" s="49" t="n">
        <x:f>M18+N18*3+O18*3+P18*5+Q18*5</x:f>
        <x:v>120</x:v>
      </x:c>
      <x:c r="L18" s="49" t="n">
        <x:v>8</x:v>
      </x:c>
      <x:c r="M18" s="31" t="n">
        <x:v>20</x:v>
      </x:c>
      <x:c r="N18" s="31" t="n">
        <x:v>5</x:v>
      </x:c>
      <x:c r="O18" s="31" t="n">
        <x:v>0</x:v>
      </x:c>
      <x:c r="P18" s="31" t="n">
        <x:v>15</x:v>
      </x:c>
      <x:c r="Q18" s="31" t="n">
        <x:v>2</x:v>
      </x:c>
      <x:c r="R18" s="30" t="str">
        <x:v>前排减压</x:v>
      </x:c>
      <x:c r="S18" s="30" t="str">
        <x:v>B1 横扫三格</x:v>
      </x:c>
      <x:c r="T18" s="30" t="str">
        <x:v>扫击/3格</x:v>
      </x:c>
      <x:c r="U18" s="30" t="str">
        <x:v>阻挡</x:v>
      </x:c>
      <x:c r="V18" s="30" t="str">
        <x:v>castleReduce</x:v>
      </x:c>
      <x:c r="W18" s="30" t="str">
        <x:v>土、防御、前排、阻挡</x:v>
      </x:c>
      <x:c r="X18" s="30" t="str">
        <x:v>—</x:v>
      </x:c>
      <x:c r="Y18" s="51" t="str">
        <x:v>旧定位=防御</x:v>
      </x:c>
      <x:c r="Z18" s="32" t="str">
        <x:v>pal_017</x:v>
      </x:c>
    </x:row>
    <x:row r="19">
      <x:c r="A19" s="29" t="str">
        <x:v>No.018</x:v>
      </x:c>
      <x:c r="B19" s="30" t="str">
        <x:v>米露菲</x:v>
      </x:c>
      <x:c r="C19" s="30" t="str">
        <x:v>风</x:v>
      </x:c>
      <x:c r="D19" s="30"/>
      <x:c r="E19" s="30" t="str">
        <x:v>青铜</x:v>
      </x:c>
      <x:c r="F19" s="30" t="str">
        <x:v>小型</x:v>
      </x:c>
      <x:c r="G19" s="30" t="str">
        <x:v>经济</x:v>
      </x:c>
      <x:c r="H19" s="49" t="n">
        <x:f>IF(E19="青铜",IF(F19="小型",50,IF(F19="中型",80,128)),IF(E19="白银",IF(F19="小型",100,IF(F19="中型",160,256)),IF(E19="黄金",IF(F19="小型",160,IF(F19="中型",256,410)),IF(E19="钻石",IF(F19="小型",240,IF(F19="中型",384,614)),""))))</x:f>
        <x:v>50</x:v>
      </x:c>
      <x:c r="I19" s="49" t="n">
        <x:f>K19+L19</x:f>
        <x:v>50</x:v>
      </x:c>
      <x:c r="J19" s="49" t="n">
        <x:f>I19-H19</x:f>
        <x:v>0</x:v>
      </x:c>
      <x:c r="K19" s="49" t="n">
        <x:f>M19+N19*3+O19*3+P19*5+Q19*5</x:f>
        <x:v>34</x:v>
      </x:c>
      <x:c r="L19" s="49" t="n">
        <x:v>16</x:v>
      </x:c>
      <x:c r="M19" s="31" t="n">
        <x:v>10</x:v>
      </x:c>
      <x:c r="N19" s="31" t="n">
        <x:v>3</x:v>
      </x:c>
      <x:c r="O19" s="31" t="n">
        <x:v>0</x:v>
      </x:c>
      <x:c r="P19" s="31" t="n">
        <x:v>0</x:v>
      </x:c>
      <x:c r="Q19" s="31" t="n">
        <x:v>3</x:v>
      </x:c>
      <x:c r="R19" s="30" t="str">
        <x:v>友召增益</x:v>
      </x:c>
      <x:c r="S19" s="30" t="str">
        <x:v>A1 单点刺</x:v>
      </x:c>
      <x:c r="T19" s="30" t="str">
        <x:v>直线/1格</x:v>
      </x:c>
      <x:c r="U19" s="30" t="str">
        <x:v>召唤</x:v>
      </x:c>
      <x:c r="V19" s="30" t="str">
        <x:v>buffAllSummons</x:v>
      </x:c>
      <x:c r="W19" s="30" t="str">
        <x:v>风、经济、召唤、发育</x:v>
      </x:c>
      <x:c r="X19" s="30" t="str">
        <x:v>是</x:v>
      </x:c>
      <x:c r="Y19" s="51"/>
      <x:c r="Z19" s="32" t="str">
        <x:v>pal_018</x:v>
      </x:c>
    </x:row>
    <x:row r="20">
      <x:c r="A20" s="29" t="str">
        <x:v>No.019</x:v>
      </x:c>
      <x:c r="B20" s="30" t="str">
        <x:v>寐魔</x:v>
      </x:c>
      <x:c r="C20" s="30" t="str">
        <x:v>土</x:v>
      </x:c>
      <x:c r="D20" s="30" t="str">
        <x:v>暗</x:v>
      </x:c>
      <x:c r="E20" s="30" t="str">
        <x:v>青铜</x:v>
      </x:c>
      <x:c r="F20" s="30" t="str">
        <x:v>大型</x:v>
      </x:c>
      <x:c r="G20" s="30" t="str">
        <x:v>坦克</x:v>
      </x:c>
      <x:c r="H20" s="49" t="n">
        <x:f>IF(E20="青铜",IF(F20="小型",50,IF(F20="中型",80,128)),IF(E20="白银",IF(F20="小型",100,IF(F20="中型",160,256)),IF(E20="黄金",IF(F20="小型",160,IF(F20="中型",256,410)),IF(E20="钻石",IF(F20="小型",240,IF(F20="中型",384,614)),""))))</x:f>
        <x:v>128</x:v>
      </x:c>
      <x:c r="I20" s="49" t="n">
        <x:f>K20+L20</x:f>
        <x:v>128</x:v>
      </x:c>
      <x:c r="J20" s="49" t="n">
        <x:f>I20-H20</x:f>
        <x:v>0</x:v>
      </x:c>
      <x:c r="K20" s="49" t="n">
        <x:f>M20+N20*3+O20*3+P20*5+Q20*5</x:f>
        <x:v>120</x:v>
      </x:c>
      <x:c r="L20" s="49" t="n">
        <x:v>8</x:v>
      </x:c>
      <x:c r="M20" s="31" t="n">
        <x:v>20</x:v>
      </x:c>
      <x:c r="N20" s="31" t="n">
        <x:v>5</x:v>
      </x:c>
      <x:c r="O20" s="31" t="n">
        <x:v>0</x:v>
      </x:c>
      <x:c r="P20" s="31" t="n">
        <x:v>15</x:v>
      </x:c>
      <x:c r="Q20" s="31" t="n">
        <x:v>2</x:v>
      </x:c>
      <x:c r="R20" s="30" t="str">
        <x:v>前排减压</x:v>
      </x:c>
      <x:c r="S20" s="30" t="str">
        <x:v>B1 横扫三格</x:v>
      </x:c>
      <x:c r="T20" s="30" t="str">
        <x:v>扫击/3格</x:v>
      </x:c>
      <x:c r="U20" s="30" t="str">
        <x:v>阻挡</x:v>
      </x:c>
      <x:c r="V20" s="30" t="str">
        <x:v>castleReduce</x:v>
      </x:c>
      <x:c r="W20" s="30" t="str">
        <x:v>土、防御、前排、阻挡</x:v>
      </x:c>
      <x:c r="X20" s="30" t="str">
        <x:v>—</x:v>
      </x:c>
      <x:c r="Y20" s="51" t="str">
        <x:v>旧定位=防御</x:v>
      </x:c>
      <x:c r="Z20" s="32" t="str">
        <x:v>pal_019</x:v>
      </x:c>
    </x:row>
    <x:row r="21">
      <x:c r="A21" s="29" t="str">
        <x:v>No.020</x:v>
      </x:c>
      <x:c r="B21" s="30" t="str">
        <x:v>草莽猪</x:v>
      </x:c>
      <x:c r="C21" s="30" t="str">
        <x:v>土</x:v>
      </x:c>
      <x:c r="D21" s="30" t="str">
        <x:v>地</x:v>
      </x:c>
      <x:c r="E21" s="30" t="str">
        <x:v>青铜</x:v>
      </x:c>
      <x:c r="F21" s="30" t="str">
        <x:v>小型</x:v>
      </x:c>
      <x:c r="G21" s="30" t="str">
        <x:v>坦克</x:v>
      </x:c>
      <x:c r="H21" s="49" t="n">
        <x:f>IF(E21="青铜",IF(F21="小型",50,IF(F21="中型",80,128)),IF(E21="白银",IF(F21="小型",100,IF(F21="中型",160,256)),IF(E21="黄金",IF(F21="小型",160,IF(F21="中型",256,410)),IF(E21="钻石",IF(F21="小型",240,IF(F21="中型",384,614)),""))))</x:f>
        <x:v>50</x:v>
      </x:c>
      <x:c r="I21" s="49" t="n">
        <x:f>K21+L21</x:f>
        <x:v>50</x:v>
      </x:c>
      <x:c r="J21" s="49" t="n">
        <x:f>I21-H21</x:f>
        <x:v>0</x:v>
      </x:c>
      <x:c r="K21" s="49" t="n">
        <x:f>M21+N21*3+O21*3+P21*5+Q21*5</x:f>
        <x:v>42</x:v>
      </x:c>
      <x:c r="L21" s="49" t="n">
        <x:v>8</x:v>
      </x:c>
      <x:c r="M21" s="31" t="n">
        <x:v>15</x:v>
      </x:c>
      <x:c r="N21" s="31" t="n">
        <x:v>4</x:v>
      </x:c>
      <x:c r="O21" s="31" t="n">
        <x:v>0</x:v>
      </x:c>
      <x:c r="P21" s="31" t="n">
        <x:v>0</x:v>
      </x:c>
      <x:c r="Q21" s="31" t="n">
        <x:v>3</x:v>
      </x:c>
      <x:c r="R21" s="30" t="str">
        <x:v>前排减压</x:v>
      </x:c>
      <x:c r="S21" s="30" t="str">
        <x:v>B1 横扫三格</x:v>
      </x:c>
      <x:c r="T21" s="30" t="str">
        <x:v>扫击/3格</x:v>
      </x:c>
      <x:c r="U21" s="30" t="str">
        <x:v>阻挡</x:v>
      </x:c>
      <x:c r="V21" s="30" t="str">
        <x:v>castleReduce</x:v>
      </x:c>
      <x:c r="W21" s="30" t="str">
        <x:v>土、防御、前排、阻挡</x:v>
      </x:c>
      <x:c r="X21" s="30" t="str">
        <x:v>—</x:v>
      </x:c>
      <x:c r="Y21" s="51" t="str">
        <x:v>旧定位=防御</x:v>
      </x:c>
      <x:c r="Z21" s="32" t="str">
        <x:v>pal_020</x:v>
      </x:c>
    </x:row>
    <x:row r="22">
      <x:c r="A22" s="29" t="str">
        <x:v>No.021</x:v>
      </x:c>
      <x:c r="B22" s="30" t="str">
        <x:v>露娜蒂</x:v>
      </x:c>
      <x:c r="C22" s="30" t="str">
        <x:v>土</x:v>
      </x:c>
      <x:c r="D22" s="30" t="str">
        <x:v>暗</x:v>
      </x:c>
      <x:c r="E22" s="30" t="str">
        <x:v>青铜</x:v>
      </x:c>
      <x:c r="F22" s="30" t="str">
        <x:v>小型</x:v>
      </x:c>
      <x:c r="G22" s="30" t="str">
        <x:v>坦克</x:v>
      </x:c>
      <x:c r="H22" s="49" t="n">
        <x:f>IF(E22="青铜",IF(F22="小型",50,IF(F22="中型",80,128)),IF(E22="白银",IF(F22="小型",100,IF(F22="中型",160,256)),IF(E22="黄金",IF(F22="小型",160,IF(F22="中型",256,410)),IF(E22="钻石",IF(F22="小型",240,IF(F22="中型",384,614)),""))))</x:f>
        <x:v>50</x:v>
      </x:c>
      <x:c r="I22" s="49" t="n">
        <x:f>K22+L22</x:f>
        <x:v>50</x:v>
      </x:c>
      <x:c r="J22" s="49" t="n">
        <x:f>I22-H22</x:f>
        <x:v>0</x:v>
      </x:c>
      <x:c r="K22" s="49" t="n">
        <x:f>M22+N22*3+O22*3+P22*5+Q22*5</x:f>
        <x:v>42</x:v>
      </x:c>
      <x:c r="L22" s="49" t="n">
        <x:v>8</x:v>
      </x:c>
      <x:c r="M22" s="31" t="n">
        <x:v>15</x:v>
      </x:c>
      <x:c r="N22" s="31" t="n">
        <x:v>4</x:v>
      </x:c>
      <x:c r="O22" s="31" t="n">
        <x:v>0</x:v>
      </x:c>
      <x:c r="P22" s="31" t="n">
        <x:v>0</x:v>
      </x:c>
      <x:c r="Q22" s="31" t="n">
        <x:v>3</x:v>
      </x:c>
      <x:c r="R22" s="30" t="str">
        <x:v>前排减压</x:v>
      </x:c>
      <x:c r="S22" s="30" t="str">
        <x:v>B1 横扫三格</x:v>
      </x:c>
      <x:c r="T22" s="30" t="str">
        <x:v>扫击/3格</x:v>
      </x:c>
      <x:c r="U22" s="30" t="str">
        <x:v>阻挡</x:v>
      </x:c>
      <x:c r="V22" s="30" t="str">
        <x:v>castleReduce</x:v>
      </x:c>
      <x:c r="W22" s="30" t="str">
        <x:v>土、防御、前排、阻挡</x:v>
      </x:c>
      <x:c r="X22" s="30" t="str">
        <x:v>—</x:v>
      </x:c>
      <x:c r="Y22" s="51" t="str">
        <x:v>旧定位=防御</x:v>
      </x:c>
      <x:c r="Z22" s="32" t="str">
        <x:v>pal_021</x:v>
      </x:c>
    </x:row>
    <x:row r="23">
      <x:c r="A23" s="29" t="str">
        <x:v>No.022</x:v>
      </x:c>
      <x:c r="B23" s="30" t="str">
        <x:v>遁地鼠</x:v>
      </x:c>
      <x:c r="C23" s="30" t="str">
        <x:v>土</x:v>
      </x:c>
      <x:c r="D23" s="30" t="str">
        <x:v>地</x:v>
      </x:c>
      <x:c r="E23" s="30" t="str">
        <x:v>青铜</x:v>
      </x:c>
      <x:c r="F23" s="30" t="str">
        <x:v>中型</x:v>
      </x:c>
      <x:c r="G23" s="30" t="str">
        <x:v>坦克</x:v>
      </x:c>
      <x:c r="H23" s="49" t="n">
        <x:f>IF(E23="青铜",IF(F23="小型",50,IF(F23="中型",80,128)),IF(E23="白银",IF(F23="小型",100,IF(F23="中型",160,256)),IF(E23="黄金",IF(F23="小型",160,IF(F23="中型",256,410)),IF(E23="钻石",IF(F23="小型",240,IF(F23="中型",384,614)),""))))</x:f>
        <x:v>80</x:v>
      </x:c>
      <x:c r="I23" s="49" t="n">
        <x:f>K23+L23</x:f>
        <x:v>80</x:v>
      </x:c>
      <x:c r="J23" s="49" t="n">
        <x:f>I23-H23</x:f>
        <x:v>0</x:v>
      </x:c>
      <x:c r="K23" s="49" t="n">
        <x:f>M23+N23*3+O23*3+P23*5+Q23*5</x:f>
        <x:v>72</x:v>
      </x:c>
      <x:c r="L23" s="49" t="n">
        <x:v>8</x:v>
      </x:c>
      <x:c r="M23" s="31" t="n">
        <x:v>15</x:v>
      </x:c>
      <x:c r="N23" s="31" t="n">
        <x:v>4</x:v>
      </x:c>
      <x:c r="O23" s="31" t="n">
        <x:v>0</x:v>
      </x:c>
      <x:c r="P23" s="31" t="n">
        <x:v>6</x:v>
      </x:c>
      <x:c r="Q23" s="31" t="n">
        <x:v>3</x:v>
      </x:c>
      <x:c r="R23" s="30" t="str">
        <x:v>前排减压</x:v>
      </x:c>
      <x:c r="S23" s="30" t="str">
        <x:v>B1 横扫三格</x:v>
      </x:c>
      <x:c r="T23" s="30" t="str">
        <x:v>扫击/3格</x:v>
      </x:c>
      <x:c r="U23" s="30" t="str">
        <x:v>阻挡</x:v>
      </x:c>
      <x:c r="V23" s="30" t="str">
        <x:v>castleReduce</x:v>
      </x:c>
      <x:c r="W23" s="30" t="str">
        <x:v>土、防御、前排、阻挡</x:v>
      </x:c>
      <x:c r="X23" s="30" t="str">
        <x:v>—</x:v>
      </x:c>
      <x:c r="Y23" s="51" t="str">
        <x:v>旧定位=防御</x:v>
      </x:c>
      <x:c r="Z23" s="32" t="str">
        <x:v>pal_022</x:v>
      </x:c>
    </x:row>
    <x:row r="24">
      <x:c r="A24" s="29" t="str">
        <x:v>No.023</x:v>
      </x:c>
      <x:c r="B24" s="30" t="str">
        <x:v>勾魂鱿</x:v>
      </x:c>
      <x:c r="C24" s="30" t="str">
        <x:v>土</x:v>
      </x:c>
      <x:c r="D24" s="30" t="str">
        <x:v>暗</x:v>
      </x:c>
      <x:c r="E24" s="30" t="str">
        <x:v>青铜</x:v>
      </x:c>
      <x:c r="F24" s="30" t="str">
        <x:v>中型</x:v>
      </x:c>
      <x:c r="G24" s="30" t="str">
        <x:v>坦克</x:v>
      </x:c>
      <x:c r="H24" s="49" t="n">
        <x:f>IF(E24="青铜",IF(F24="小型",50,IF(F24="中型",80,128)),IF(E24="白银",IF(F24="小型",100,IF(F24="中型",160,256)),IF(E24="黄金",IF(F24="小型",160,IF(F24="中型",256,410)),IF(E24="钻石",IF(F24="小型",240,IF(F24="中型",384,614)),""))))</x:f>
        <x:v>80</x:v>
      </x:c>
      <x:c r="I24" s="49" t="n">
        <x:f>K24+L24</x:f>
        <x:v>80</x:v>
      </x:c>
      <x:c r="J24" s="49" t="n">
        <x:f>I24-H24</x:f>
        <x:v>0</x:v>
      </x:c>
      <x:c r="K24" s="49" t="n">
        <x:f>M24+N24*3+O24*3+P24*5+Q24*5</x:f>
        <x:v>72</x:v>
      </x:c>
      <x:c r="L24" s="49" t="n">
        <x:v>8</x:v>
      </x:c>
      <x:c r="M24" s="31" t="n">
        <x:v>15</x:v>
      </x:c>
      <x:c r="N24" s="31" t="n">
        <x:v>4</x:v>
      </x:c>
      <x:c r="O24" s="31" t="n">
        <x:v>0</x:v>
      </x:c>
      <x:c r="P24" s="31" t="n">
        <x:v>6</x:v>
      </x:c>
      <x:c r="Q24" s="31" t="n">
        <x:v>3</x:v>
      </x:c>
      <x:c r="R24" s="30" t="str">
        <x:v>前排减压</x:v>
      </x:c>
      <x:c r="S24" s="30" t="str">
        <x:v>B1 横扫三格</x:v>
      </x:c>
      <x:c r="T24" s="30" t="str">
        <x:v>扫击/3格</x:v>
      </x:c>
      <x:c r="U24" s="30" t="str">
        <x:v>阻挡</x:v>
      </x:c>
      <x:c r="V24" s="30" t="str">
        <x:v>castleReduce</x:v>
      </x:c>
      <x:c r="W24" s="30" t="str">
        <x:v>土、防御、前排、阻挡</x:v>
      </x:c>
      <x:c r="X24" s="30" t="str">
        <x:v>—</x:v>
      </x:c>
      <x:c r="Y24" s="51" t="str">
        <x:v>旧定位=防御</x:v>
      </x:c>
      <x:c r="Z24" s="32" t="str">
        <x:v>pal_023</x:v>
      </x:c>
    </x:row>
    <x:row r="25">
      <x:c r="A25" s="29" t="str">
        <x:v>No.024</x:v>
      </x:c>
      <x:c r="B25" s="30" t="str">
        <x:v>喵丝特</x:v>
      </x:c>
      <x:c r="C25" s="30" t="str">
        <x:v>土</x:v>
      </x:c>
      <x:c r="D25" s="30" t="str">
        <x:v>暗</x:v>
      </x:c>
      <x:c r="E25" s="30" t="str">
        <x:v>青铜</x:v>
      </x:c>
      <x:c r="F25" s="30" t="str">
        <x:v>小型</x:v>
      </x:c>
      <x:c r="G25" s="30" t="str">
        <x:v>经济</x:v>
      </x:c>
      <x:c r="H25" s="49" t="n">
        <x:f>IF(E25="青铜",IF(F25="小型",50,IF(F25="中型",80,128)),IF(E25="白银",IF(F25="小型",100,IF(F25="中型",160,256)),IF(E25="黄金",IF(F25="小型",160,IF(F25="中型",256,410)),IF(E25="钻石",IF(F25="小型",240,IF(F25="中型",384,614)),""))))</x:f>
        <x:v>50</x:v>
      </x:c>
      <x:c r="I25" s="49" t="n">
        <x:f>K25+L25</x:f>
        <x:v>50</x:v>
      </x:c>
      <x:c r="J25" s="49" t="n">
        <x:f>I25-H25</x:f>
        <x:v>0</x:v>
      </x:c>
      <x:c r="K25" s="49" t="n">
        <x:f>M25+N25*3+O25*3+P25*5+Q25*5</x:f>
        <x:v>34</x:v>
      </x:c>
      <x:c r="L25" s="49" t="n">
        <x:v>16</x:v>
      </x:c>
      <x:c r="M25" s="31" t="n">
        <x:v>10</x:v>
      </x:c>
      <x:c r="N25" s="31" t="n">
        <x:v>3</x:v>
      </x:c>
      <x:c r="O25" s="31" t="n">
        <x:v>0</x:v>
      </x:c>
      <x:c r="P25" s="31" t="n">
        <x:v>0</x:v>
      </x:c>
      <x:c r="Q25" s="31" t="n">
        <x:v>3</x:v>
      </x:c>
      <x:c r="R25" s="30" t="str">
        <x:v>友召增益</x:v>
      </x:c>
      <x:c r="S25" s="30" t="str">
        <x:v>A1 单点刺</x:v>
      </x:c>
      <x:c r="T25" s="30" t="str">
        <x:v>直线/1格</x:v>
      </x:c>
      <x:c r="U25" s="30" t="str">
        <x:v>召唤</x:v>
      </x:c>
      <x:c r="V25" s="30" t="str">
        <x:v>buffAllSummons</x:v>
      </x:c>
      <x:c r="W25" s="30" t="str">
        <x:v>土、经济、召唤、发育</x:v>
      </x:c>
      <x:c r="X25" s="30" t="str">
        <x:v>是</x:v>
      </x:c>
      <x:c r="Y25" s="51"/>
      <x:c r="Z25" s="32" t="str">
        <x:v>pal_024</x:v>
      </x:c>
    </x:row>
    <x:row r="26">
      <x:c r="A26" s="29" t="str">
        <x:v>No.025</x:v>
      </x:c>
      <x:c r="B26" s="30" t="str">
        <x:v>鲁米儿</x:v>
      </x:c>
      <x:c r="C26" s="30" t="str">
        <x:v>水</x:v>
      </x:c>
      <x:c r="D26" s="30"/>
      <x:c r="E26" s="30" t="str">
        <x:v>青铜</x:v>
      </x:c>
      <x:c r="F26" s="30" t="str">
        <x:v>小型</x:v>
      </x:c>
      <x:c r="G26" s="30" t="str">
        <x:v>治疗</x:v>
      </x:c>
      <x:c r="H26" s="49" t="n">
        <x:f>IF(E26="青铜",IF(F26="小型",50,IF(F26="中型",80,128)),IF(E26="白银",IF(F26="小型",100,IF(F26="中型",160,256)),IF(E26="黄金",IF(F26="小型",160,IF(F26="中型",256,410)),IF(E26="钻石",IF(F26="小型",240,IF(F26="中型",384,614)),""))))</x:f>
        <x:v>50</x:v>
      </x:c>
      <x:c r="I26" s="49" t="n">
        <x:f>K26+L26</x:f>
        <x:v>50</x:v>
      </x:c>
      <x:c r="J26" s="49" t="n">
        <x:f>I26-H26</x:f>
        <x:v>0</x:v>
      </x:c>
      <x:c r="K26" s="49" t="n">
        <x:f>M26+N26*3+O26*3+P26*5+Q26*5</x:f>
        <x:v>34</x:v>
      </x:c>
      <x:c r="L26" s="49" t="n">
        <x:v>16</x:v>
      </x:c>
      <x:c r="M26" s="31" t="n">
        <x:v>10</x:v>
      </x:c>
      <x:c r="N26" s="31" t="n">
        <x:v>3</x:v>
      </x:c>
      <x:c r="O26" s="31" t="n">
        <x:v>0</x:v>
      </x:c>
      <x:c r="P26" s="31" t="n">
        <x:v>0</x:v>
      </x:c>
      <x:c r="Q26" s="31" t="n">
        <x:v>3</x:v>
      </x:c>
      <x:c r="R26" s="30" t="str">
        <x:v>治疗续航</x:v>
      </x:c>
      <x:c r="S26" s="30" t="str">
        <x:v>B1 横扫三格</x:v>
      </x:c>
      <x:c r="T26" s="30" t="str">
        <x:v>扫击/3格</x:v>
      </x:c>
      <x:c r="U26" s="30" t="str">
        <x:v>场地</x:v>
      </x:c>
      <x:c r="V26" s="30" t="str">
        <x:v>healAmpBonus</x:v>
      </x:c>
      <x:c r="W26" s="30" t="str">
        <x:v>水、治疗、后排、增益</x:v>
      </x:c>
      <x:c r="X26" s="30" t="str">
        <x:v>—</x:v>
      </x:c>
      <x:c r="Y26" s="51"/>
      <x:c r="Z26" s="32" t="str">
        <x:v>pal_025</x:v>
      </x:c>
    </x:row>
    <x:row r="27">
      <x:c r="A27" s="29" t="str">
        <x:v>No.026</x:v>
      </x:c>
      <x:c r="B27" s="30" t="str">
        <x:v>猎狼</x:v>
      </x:c>
      <x:c r="C27" s="30" t="str">
        <x:v>风</x:v>
      </x:c>
      <x:c r="D27" s="30"/>
      <x:c r="E27" s="30" t="str">
        <x:v>青铜</x:v>
      </x:c>
      <x:c r="F27" s="30" t="str">
        <x:v>中型</x:v>
      </x:c>
      <x:c r="G27" s="30" t="str">
        <x:v>机动</x:v>
      </x:c>
      <x:c r="H27" s="49" t="n">
        <x:f>IF(E27="青铜",IF(F27="小型",50,IF(F27="中型",80,128)),IF(E27="白银",IF(F27="小型",100,IF(F27="中型",160,256)),IF(E27="黄金",IF(F27="小型",160,IF(F27="中型",256,410)),IF(E27="钻石",IF(F27="小型",240,IF(F27="中型",384,614)),""))))</x:f>
        <x:v>80</x:v>
      </x:c>
      <x:c r="I27" s="49" t="n">
        <x:f>K27+L27</x:f>
        <x:v>80</x:v>
      </x:c>
      <x:c r="J27" s="49" t="n">
        <x:f>I27-H27</x:f>
        <x:v>0</x:v>
      </x:c>
      <x:c r="K27" s="49" t="n">
        <x:f>M27+N27*3+O27*3+P27*5+Q27*5</x:f>
        <x:v>64</x:v>
      </x:c>
      <x:c r="L27" s="49" t="n">
        <x:v>16</x:v>
      </x:c>
      <x:c r="M27" s="31" t="n">
        <x:v>20</x:v>
      </x:c>
      <x:c r="N27" s="31" t="n">
        <x:v>8</x:v>
      </x:c>
      <x:c r="O27" s="31" t="n">
        <x:v>0</x:v>
      </x:c>
      <x:c r="P27" s="31" t="n">
        <x:v>0</x:v>
      </x:c>
      <x:c r="Q27" s="31" t="n">
        <x:v>4</x:v>
      </x:c>
      <x:c r="R27" s="30" t="str">
        <x:v>友召增益</x:v>
      </x:c>
      <x:c r="S27" s="30" t="str">
        <x:v>A1 单点刺</x:v>
      </x:c>
      <x:c r="T27" s="30" t="str">
        <x:v>直线/1格</x:v>
      </x:c>
      <x:c r="U27" s="30" t="str">
        <x:v>召唤</x:v>
      </x:c>
      <x:c r="V27" s="30" t="str">
        <x:v>buffAllSummons</x:v>
      </x:c>
      <x:c r="W27" s="30" t="str">
        <x:v>风、机动、灵活、泛用</x:v>
      </x:c>
      <x:c r="X27" s="30" t="str">
        <x:v>是</x:v>
      </x:c>
      <x:c r="Y27" s="51"/>
      <x:c r="Z27" s="32" t="str">
        <x:v>pal_026</x:v>
      </x:c>
    </x:row>
    <x:row r="28">
      <x:c r="A28" s="29" t="str">
        <x:v>No.027</x:v>
      </x:c>
      <x:c r="B28" s="30" t="str">
        <x:v>炸蛋鸟</x:v>
      </x:c>
      <x:c r="C28" s="30" t="str">
        <x:v>风</x:v>
      </x:c>
      <x:c r="D28" s="30"/>
      <x:c r="E28" s="30" t="str">
        <x:v>青铜</x:v>
      </x:c>
      <x:c r="F28" s="30" t="str">
        <x:v>中型</x:v>
      </x:c>
      <x:c r="G28" s="30" t="str">
        <x:v>机动</x:v>
      </x:c>
      <x:c r="H28" s="49" t="n">
        <x:f>IF(E28="青铜",IF(F28="小型",50,IF(F28="中型",80,128)),IF(E28="白银",IF(F28="小型",100,IF(F28="中型",160,256)),IF(E28="黄金",IF(F28="小型",160,IF(F28="中型",256,410)),IF(E28="钻石",IF(F28="小型",240,IF(F28="中型",384,614)),""))))</x:f>
        <x:v>80</x:v>
      </x:c>
      <x:c r="I28" s="49" t="n">
        <x:f>K28+L28</x:f>
        <x:v>80</x:v>
      </x:c>
      <x:c r="J28" s="49" t="n">
        <x:f>I28-H28</x:f>
        <x:v>0</x:v>
      </x:c>
      <x:c r="K28" s="49" t="n">
        <x:f>M28+N28*3+O28*3+P28*5+Q28*5</x:f>
        <x:v>64</x:v>
      </x:c>
      <x:c r="L28" s="49" t="n">
        <x:v>16</x:v>
      </x:c>
      <x:c r="M28" s="31" t="n">
        <x:v>20</x:v>
      </x:c>
      <x:c r="N28" s="31" t="n">
        <x:v>8</x:v>
      </x:c>
      <x:c r="O28" s="31" t="n">
        <x:v>0</x:v>
      </x:c>
      <x:c r="P28" s="31" t="n">
        <x:v>0</x:v>
      </x:c>
      <x:c r="Q28" s="31" t="n">
        <x:v>4</x:v>
      </x:c>
      <x:c r="R28" s="30" t="str">
        <x:v>友召增益</x:v>
      </x:c>
      <x:c r="S28" s="30" t="str">
        <x:v>A1 单点刺</x:v>
      </x:c>
      <x:c r="T28" s="30" t="str">
        <x:v>直线/1格</x:v>
      </x:c>
      <x:c r="U28" s="30" t="str">
        <x:v>召唤</x:v>
      </x:c>
      <x:c r="V28" s="30" t="str">
        <x:v>buffAllSummons</x:v>
      </x:c>
      <x:c r="W28" s="30" t="str">
        <x:v>风、机动、灵活、泛用</x:v>
      </x:c>
      <x:c r="X28" s="30" t="str">
        <x:v>是</x:v>
      </x:c>
      <x:c r="Y28" s="51"/>
      <x:c r="Z28" s="32" t="str">
        <x:v>pal_027</x:v>
      </x:c>
    </x:row>
    <x:row r="29">
      <x:c r="A29" s="29" t="str">
        <x:v>No.028</x:v>
      </x:c>
      <x:c r="B29" s="30" t="str">
        <x:v>波娜兔</x:v>
      </x:c>
      <x:c r="C29" s="30" t="str">
        <x:v>风</x:v>
      </x:c>
      <x:c r="D29" s="30" t="str">
        <x:v>草</x:v>
      </x:c>
      <x:c r="E29" s="30" t="str">
        <x:v>青铜</x:v>
      </x:c>
      <x:c r="F29" s="30" t="str">
        <x:v>小型</x:v>
      </x:c>
      <x:c r="G29" s="30" t="str">
        <x:v>治疗</x:v>
      </x:c>
      <x:c r="H29" s="49" t="n">
        <x:f>IF(E29="青铜",IF(F29="小型",50,IF(F29="中型",80,128)),IF(E29="白银",IF(F29="小型",100,IF(F29="中型",160,256)),IF(E29="黄金",IF(F29="小型",160,IF(F29="中型",256,410)),IF(E29="钻石",IF(F29="小型",240,IF(F29="中型",384,614)),""))))</x:f>
        <x:v>50</x:v>
      </x:c>
      <x:c r="I29" s="49" t="n">
        <x:f>K29+L29</x:f>
        <x:v>50</x:v>
      </x:c>
      <x:c r="J29" s="49" t="n">
        <x:f>I29-H29</x:f>
        <x:v>0</x:v>
      </x:c>
      <x:c r="K29" s="49" t="n">
        <x:f>M29+N29*3+O29*3+P29*5+Q29*5</x:f>
        <x:v>34</x:v>
      </x:c>
      <x:c r="L29" s="49" t="n">
        <x:v>16</x:v>
      </x:c>
      <x:c r="M29" s="31" t="n">
        <x:v>10</x:v>
      </x:c>
      <x:c r="N29" s="31" t="n">
        <x:v>3</x:v>
      </x:c>
      <x:c r="O29" s="31" t="n">
        <x:v>0</x:v>
      </x:c>
      <x:c r="P29" s="31" t="n">
        <x:v>0</x:v>
      </x:c>
      <x:c r="Q29" s="31" t="n">
        <x:v>3</x:v>
      </x:c>
      <x:c r="R29" s="30" t="str">
        <x:v>治疗续航</x:v>
      </x:c>
      <x:c r="S29" s="30" t="str">
        <x:v>B1 横扫三格</x:v>
      </x:c>
      <x:c r="T29" s="30" t="str">
        <x:v>扫击/3格</x:v>
      </x:c>
      <x:c r="U29" s="30" t="str">
        <x:v>场地</x:v>
      </x:c>
      <x:c r="V29" s="30" t="str">
        <x:v>healAmpBonus</x:v>
      </x:c>
      <x:c r="W29" s="30" t="str">
        <x:v>风、治疗、后排、增益</x:v>
      </x:c>
      <x:c r="X29" s="30" t="str">
        <x:v>—</x:v>
      </x:c>
      <x:c r="Y29" s="51"/>
      <x:c r="Z29" s="32" t="str">
        <x:v>pal_028</x:v>
      </x:c>
    </x:row>
    <x:row r="30">
      <x:c r="A30" s="29" t="str">
        <x:v>No.029</x:v>
      </x:c>
      <x:c r="B30" s="30" t="str">
        <x:v>波霸牛</x:v>
      </x:c>
      <x:c r="C30" s="30" t="str">
        <x:v>风</x:v>
      </x:c>
      <x:c r="D30" s="30"/>
      <x:c r="E30" s="30" t="str">
        <x:v>青铜</x:v>
      </x:c>
      <x:c r="F30" s="30" t="str">
        <x:v>中型</x:v>
      </x:c>
      <x:c r="G30" s="30" t="str">
        <x:v>经济</x:v>
      </x:c>
      <x:c r="H30" s="49" t="n">
        <x:f>IF(E30="青铜",IF(F30="小型",50,IF(F30="中型",80,128)),IF(E30="白银",IF(F30="小型",100,IF(F30="中型",160,256)),IF(E30="黄金",IF(F30="小型",160,IF(F30="中型",256,410)),IF(E30="钻石",IF(F30="小型",240,IF(F30="中型",384,614)),""))))</x:f>
        <x:v>80</x:v>
      </x:c>
      <x:c r="I30" s="49" t="n">
        <x:f>K30+L30</x:f>
        <x:v>80</x:v>
      </x:c>
      <x:c r="J30" s="49" t="n">
        <x:f>I30-H30</x:f>
        <x:v>0</x:v>
      </x:c>
      <x:c r="K30" s="49" t="n">
        <x:f>M30+N30*3+O30*3+P30*5+Q30*5</x:f>
        <x:v>56</x:v>
      </x:c>
      <x:c r="L30" s="49" t="n">
        <x:v>24</x:v>
      </x:c>
      <x:c r="M30" s="31" t="n">
        <x:v>20</x:v>
      </x:c>
      <x:c r="N30" s="31" t="n">
        <x:v>7</x:v>
      </x:c>
      <x:c r="O30" s="31" t="n">
        <x:v>0</x:v>
      </x:c>
      <x:c r="P30" s="31" t="n">
        <x:v>0</x:v>
      </x:c>
      <x:c r="Q30" s="31" t="n">
        <x:v>3</x:v>
      </x:c>
      <x:c r="R30" s="30" t="str">
        <x:v>友召增益</x:v>
      </x:c>
      <x:c r="S30" s="30" t="str">
        <x:v>A1 单点刺</x:v>
      </x:c>
      <x:c r="T30" s="30" t="str">
        <x:v>直线/1格</x:v>
      </x:c>
      <x:c r="U30" s="30" t="str">
        <x:v>召唤</x:v>
      </x:c>
      <x:c r="V30" s="30" t="str">
        <x:v>buffAllSummons</x:v>
      </x:c>
      <x:c r="W30" s="30" t="str">
        <x:v>风、经济、召唤、发育</x:v>
      </x:c>
      <x:c r="X30" s="30" t="str">
        <x:v>是</x:v>
      </x:c>
      <x:c r="Y30" s="51" t="str">
        <x:v>经济补预算</x:v>
      </x:c>
      <x:c r="Z30" s="32" t="str">
        <x:v>pal_029</x:v>
      </x:c>
    </x:row>
    <x:row r="31">
      <x:c r="A31" s="29" t="str">
        <x:v>No.030</x:v>
      </x:c>
      <x:c r="B31" s="30" t="str">
        <x:v>荆棘魔仙</x:v>
      </x:c>
      <x:c r="C31" s="30" t="str">
        <x:v>风</x:v>
      </x:c>
      <x:c r="D31" s="30" t="str">
        <x:v>草</x:v>
      </x:c>
      <x:c r="E31" s="30" t="str">
        <x:v>青铜</x:v>
      </x:c>
      <x:c r="F31" s="30" t="str">
        <x:v>大型</x:v>
      </x:c>
      <x:c r="G31" s="30" t="str">
        <x:v>治疗</x:v>
      </x:c>
      <x:c r="H31" s="49" t="n">
        <x:f>IF(E31="青铜",IF(F31="小型",50,IF(F31="中型",80,128)),IF(E31="白银",IF(F31="小型",100,IF(F31="中型",160,256)),IF(E31="黄金",IF(F31="小型",160,IF(F31="中型",256,410)),IF(E31="钻石",IF(F31="小型",240,IF(F31="中型",384,614)),""))))</x:f>
        <x:v>128</x:v>
      </x:c>
      <x:c r="I31" s="49" t="n">
        <x:f>K31+L31</x:f>
        <x:v>128</x:v>
      </x:c>
      <x:c r="J31" s="49" t="n">
        <x:f>I31-H31</x:f>
        <x:v>0</x:v>
      </x:c>
      <x:c r="K31" s="49" t="n">
        <x:f>M31+N31*3+O31*3+P31*5+Q31*5</x:f>
        <x:v>112</x:v>
      </x:c>
      <x:c r="L31" s="49" t="n">
        <x:v>16</x:v>
      </x:c>
      <x:c r="M31" s="31" t="n">
        <x:v>25</x:v>
      </x:c>
      <x:c r="N31" s="31" t="n">
        <x:v>24</x:v>
      </x:c>
      <x:c r="O31" s="31" t="n">
        <x:v>0</x:v>
      </x:c>
      <x:c r="P31" s="31" t="n">
        <x:v>0</x:v>
      </x:c>
      <x:c r="Q31" s="31" t="n">
        <x:v>3</x:v>
      </x:c>
      <x:c r="R31" s="30" t="str">
        <x:v>治疗续航</x:v>
      </x:c>
      <x:c r="S31" s="30" t="str">
        <x:v>B1 横扫三格</x:v>
      </x:c>
      <x:c r="T31" s="30" t="str">
        <x:v>扫击/3格</x:v>
      </x:c>
      <x:c r="U31" s="30" t="str">
        <x:v>场地</x:v>
      </x:c>
      <x:c r="V31" s="30" t="str">
        <x:v>healAmpBonus</x:v>
      </x:c>
      <x:c r="W31" s="30" t="str">
        <x:v>风、治疗、后排、增益</x:v>
      </x:c>
      <x:c r="X31" s="30" t="str">
        <x:v>—</x:v>
      </x:c>
      <x:c r="Y31" s="51"/>
      <x:c r="Z31" s="32" t="str">
        <x:v>pal_030</x:v>
      </x:c>
    </x:row>
    <x:row r="32">
      <x:c r="A32" s="29" t="str">
        <x:v>No.031</x:v>
      </x:c>
      <x:c r="B32" s="30" t="str">
        <x:v>鲨小子</x:v>
      </x:c>
      <x:c r="C32" s="30" t="str">
        <x:v>水</x:v>
      </x:c>
      <x:c r="D32" s="30"/>
      <x:c r="E32" s="30" t="str">
        <x:v>青铜</x:v>
      </x:c>
      <x:c r="F32" s="30" t="str">
        <x:v>中型</x:v>
      </x:c>
      <x:c r="G32" s="30" t="str">
        <x:v>治疗</x:v>
      </x:c>
      <x:c r="H32" s="49" t="n">
        <x:f>IF(E32="青铜",IF(F32="小型",50,IF(F32="中型",80,128)),IF(E32="白银",IF(F32="小型",100,IF(F32="中型",160,256)),IF(E32="黄金",IF(F32="小型",160,IF(F32="中型",256,410)),IF(E32="钻石",IF(F32="小型",240,IF(F32="中型",384,614)),""))))</x:f>
        <x:v>80</x:v>
      </x:c>
      <x:c r="I32" s="49" t="n">
        <x:f>K32+L32</x:f>
        <x:v>80</x:v>
      </x:c>
      <x:c r="J32" s="49" t="n">
        <x:f>I32-H32</x:f>
        <x:v>0</x:v>
      </x:c>
      <x:c r="K32" s="49" t="n">
        <x:f>M32+N32*3+O32*3+P32*5+Q32*5</x:f>
        <x:v>64</x:v>
      </x:c>
      <x:c r="L32" s="49" t="n">
        <x:v>16</x:v>
      </x:c>
      <x:c r="M32" s="31" t="n">
        <x:v>10</x:v>
      </x:c>
      <x:c r="N32" s="31" t="n">
        <x:v>13</x:v>
      </x:c>
      <x:c r="O32" s="31" t="n">
        <x:v>0</x:v>
      </x:c>
      <x:c r="P32" s="31" t="n">
        <x:v>0</x:v>
      </x:c>
      <x:c r="Q32" s="31" t="n">
        <x:v>3</x:v>
      </x:c>
      <x:c r="R32" s="30" t="str">
        <x:v>治疗续航</x:v>
      </x:c>
      <x:c r="S32" s="30" t="str">
        <x:v>B1 横扫三格</x:v>
      </x:c>
      <x:c r="T32" s="30" t="str">
        <x:v>扫击/3格</x:v>
      </x:c>
      <x:c r="U32" s="30" t="str">
        <x:v>场地</x:v>
      </x:c>
      <x:c r="V32" s="30" t="str">
        <x:v>healAmpBonus</x:v>
      </x:c>
      <x:c r="W32" s="30" t="str">
        <x:v>水、治疗、后排、增益</x:v>
      </x:c>
      <x:c r="X32" s="30" t="str">
        <x:v>—</x:v>
      </x:c>
      <x:c r="Y32" s="51"/>
      <x:c r="Z32" s="32" t="str">
        <x:v>pal_031</x:v>
      </x:c>
    </x:row>
    <x:row r="33">
      <x:c r="A33" s="29" t="str">
        <x:v>No.032</x:v>
      </x:c>
      <x:c r="B33" s="30" t="str">
        <x:v>吊缚灵</x:v>
      </x:c>
      <x:c r="C33" s="30" t="str">
        <x:v>土</x:v>
      </x:c>
      <x:c r="D33" s="30" t="str">
        <x:v>地</x:v>
      </x:c>
      <x:c r="E33" s="30" t="str">
        <x:v>青铜</x:v>
      </x:c>
      <x:c r="F33" s="30" t="str">
        <x:v>中型</x:v>
      </x:c>
      <x:c r="G33" s="30" t="str">
        <x:v>坦克</x:v>
      </x:c>
      <x:c r="H33" s="49" t="n">
        <x:f>IF(E33="青铜",IF(F33="小型",50,IF(F33="中型",80,128)),IF(E33="白银",IF(F33="小型",100,IF(F33="中型",160,256)),IF(E33="黄金",IF(F33="小型",160,IF(F33="中型",256,410)),IF(E33="钻石",IF(F33="小型",240,IF(F33="中型",384,614)),""))))</x:f>
        <x:v>80</x:v>
      </x:c>
      <x:c r="I33" s="49" t="n">
        <x:f>K33+L33</x:f>
        <x:v>80</x:v>
      </x:c>
      <x:c r="J33" s="49" t="n">
        <x:f>I33-H33</x:f>
        <x:v>0</x:v>
      </x:c>
      <x:c r="K33" s="49" t="n">
        <x:f>M33+N33*3+O33*3+P33*5+Q33*5</x:f>
        <x:v>72</x:v>
      </x:c>
      <x:c r="L33" s="49" t="n">
        <x:v>8</x:v>
      </x:c>
      <x:c r="M33" s="31" t="n">
        <x:v>15</x:v>
      </x:c>
      <x:c r="N33" s="31" t="n">
        <x:v>4</x:v>
      </x:c>
      <x:c r="O33" s="31" t="n">
        <x:v>0</x:v>
      </x:c>
      <x:c r="P33" s="31" t="n">
        <x:v>6</x:v>
      </x:c>
      <x:c r="Q33" s="31" t="n">
        <x:v>3</x:v>
      </x:c>
      <x:c r="R33" s="30" t="str">
        <x:v>前排减压</x:v>
      </x:c>
      <x:c r="S33" s="30" t="str">
        <x:v>B1 横扫三格</x:v>
      </x:c>
      <x:c r="T33" s="30" t="str">
        <x:v>扫击/3格</x:v>
      </x:c>
      <x:c r="U33" s="30" t="str">
        <x:v>阻挡</x:v>
      </x:c>
      <x:c r="V33" s="30" t="str">
        <x:v>castleReduce</x:v>
      </x:c>
      <x:c r="W33" s="30" t="str">
        <x:v>土、防御、前排、阻挡</x:v>
      </x:c>
      <x:c r="X33" s="30" t="str">
        <x:v>—</x:v>
      </x:c>
      <x:c r="Y33" s="51" t="str">
        <x:v>旧定位=防御</x:v>
      </x:c>
      <x:c r="Z33" s="32" t="str">
        <x:v>pal_032</x:v>
      </x:c>
    </x:row>
    <x:row r="34">
      <x:c r="A34" s="29" t="str">
        <x:v>No.033</x:v>
      </x:c>
      <x:c r="B34" s="30" t="str">
        <x:v>叶胖达</x:v>
      </x:c>
      <x:c r="C34" s="30" t="str">
        <x:v>风</x:v>
      </x:c>
      <x:c r="D34" s="30" t="str">
        <x:v>草</x:v>
      </x:c>
      <x:c r="E34" s="30" t="str">
        <x:v>青铜</x:v>
      </x:c>
      <x:c r="F34" s="30" t="str">
        <x:v>中型</x:v>
      </x:c>
      <x:c r="G34" s="30" t="str">
        <x:v>坦克</x:v>
      </x:c>
      <x:c r="H34" s="49" t="n">
        <x:f>IF(E34="青铜",IF(F34="小型",50,IF(F34="中型",80,128)),IF(E34="白银",IF(F34="小型",100,IF(F34="中型",160,256)),IF(E34="黄金",IF(F34="小型",160,IF(F34="中型",256,410)),IF(E34="钻石",IF(F34="小型",240,IF(F34="中型",384,614)),""))))</x:f>
        <x:v>80</x:v>
      </x:c>
      <x:c r="I34" s="49" t="n">
        <x:f>K34+L34</x:f>
        <x:v>80</x:v>
      </x:c>
      <x:c r="J34" s="49" t="n">
        <x:f>I34-H34</x:f>
        <x:v>0</x:v>
      </x:c>
      <x:c r="K34" s="49" t="n">
        <x:f>M34+N34*3+O34*3+P34*5+Q34*5</x:f>
        <x:v>72</x:v>
      </x:c>
      <x:c r="L34" s="49" t="n">
        <x:v>8</x:v>
      </x:c>
      <x:c r="M34" s="31" t="n">
        <x:v>15</x:v>
      </x:c>
      <x:c r="N34" s="31" t="n">
        <x:v>4</x:v>
      </x:c>
      <x:c r="O34" s="31" t="n">
        <x:v>0</x:v>
      </x:c>
      <x:c r="P34" s="31" t="n">
        <x:v>6</x:v>
      </x:c>
      <x:c r="Q34" s="31" t="n">
        <x:v>3</x:v>
      </x:c>
      <x:c r="R34" s="30" t="str">
        <x:v>前排减压</x:v>
      </x:c>
      <x:c r="S34" s="30" t="str">
        <x:v>B1 横扫三格</x:v>
      </x:c>
      <x:c r="T34" s="30" t="str">
        <x:v>扫击/3格</x:v>
      </x:c>
      <x:c r="U34" s="30" t="str">
        <x:v>阻挡</x:v>
      </x:c>
      <x:c r="V34" s="30" t="str">
        <x:v>castleReduce</x:v>
      </x:c>
      <x:c r="W34" s="30" t="str">
        <x:v>风、防御、前排、阻挡</x:v>
      </x:c>
      <x:c r="X34" s="30" t="str">
        <x:v>—</x:v>
      </x:c>
      <x:c r="Y34" s="51" t="str">
        <x:v>旧定位=防御</x:v>
      </x:c>
      <x:c r="Z34" s="32" t="str">
        <x:v>pal_033</x:v>
      </x:c>
    </x:row>
    <x:row r="35">
      <x:c r="A35" s="29" t="str">
        <x:v>No.034</x:v>
      </x:c>
      <x:c r="B35" s="30" t="str">
        <x:v>棉花糖</x:v>
      </x:c>
      <x:c r="C35" s="30" t="str">
        <x:v>风</x:v>
      </x:c>
      <x:c r="D35" s="30"/>
      <x:c r="E35" s="30" t="str">
        <x:v>青铜</x:v>
      </x:c>
      <x:c r="F35" s="30" t="str">
        <x:v>小型</x:v>
      </x:c>
      <x:c r="G35" s="30" t="str">
        <x:v>经济</x:v>
      </x:c>
      <x:c r="H35" s="49" t="n">
        <x:f>IF(E35="青铜",IF(F35="小型",50,IF(F35="中型",80,128)),IF(E35="白银",IF(F35="小型",100,IF(F35="中型",160,256)),IF(E35="黄金",IF(F35="小型",160,IF(F35="中型",256,410)),IF(E35="钻石",IF(F35="小型",240,IF(F35="中型",384,614)),""))))</x:f>
        <x:v>50</x:v>
      </x:c>
      <x:c r="I35" s="49" t="n">
        <x:f>K35+L35</x:f>
        <x:v>50</x:v>
      </x:c>
      <x:c r="J35" s="49" t="n">
        <x:f>I35-H35</x:f>
        <x:v>0</x:v>
      </x:c>
      <x:c r="K35" s="49" t="n">
        <x:f>M35+N35*3+O35*3+P35*5+Q35*5</x:f>
        <x:v>34</x:v>
      </x:c>
      <x:c r="L35" s="49" t="n">
        <x:v>16</x:v>
      </x:c>
      <x:c r="M35" s="31" t="n">
        <x:v>10</x:v>
      </x:c>
      <x:c r="N35" s="31" t="n">
        <x:v>3</x:v>
      </x:c>
      <x:c r="O35" s="31" t="n">
        <x:v>0</x:v>
      </x:c>
      <x:c r="P35" s="31" t="n">
        <x:v>0</x:v>
      </x:c>
      <x:c r="Q35" s="31" t="n">
        <x:v>3</x:v>
      </x:c>
      <x:c r="R35" s="30" t="str">
        <x:v>友召增益</x:v>
      </x:c>
      <x:c r="S35" s="30" t="str">
        <x:v>A1 单点刺</x:v>
      </x:c>
      <x:c r="T35" s="30" t="str">
        <x:v>直线/1格</x:v>
      </x:c>
      <x:c r="U35" s="30" t="str">
        <x:v>召唤</x:v>
      </x:c>
      <x:c r="V35" s="30" t="str">
        <x:v>buffAllSummons</x:v>
      </x:c>
      <x:c r="W35" s="30" t="str">
        <x:v>风、经济、召唤、发育</x:v>
      </x:c>
      <x:c r="X35" s="30" t="str">
        <x:v>是</x:v>
      </x:c>
      <x:c r="Y35" s="51"/>
      <x:c r="Z35" s="32" t="str">
        <x:v>pal_034</x:v>
      </x:c>
    </x:row>
    <x:row r="36">
      <x:c r="A36" s="29" t="str">
        <x:v>No.035</x:v>
      </x:c>
      <x:c r="B36" s="30" t="str">
        <x:v>灌木羊</x:v>
      </x:c>
      <x:c r="C36" s="30" t="str">
        <x:v>风</x:v>
      </x:c>
      <x:c r="D36" s="30" t="str">
        <x:v>草</x:v>
      </x:c>
      <x:c r="E36" s="30" t="str">
        <x:v>青铜</x:v>
      </x:c>
      <x:c r="F36" s="30" t="str">
        <x:v>小型</x:v>
      </x:c>
      <x:c r="G36" s="30" t="str">
        <x:v>召唤</x:v>
      </x:c>
      <x:c r="H36" s="49" t="n">
        <x:f>IF(E36="青铜",IF(F36="小型",50,IF(F36="中型",80,128)),IF(E36="白银",IF(F36="小型",100,IF(F36="中型",160,256)),IF(E36="黄金",IF(F36="小型",160,IF(F36="中型",256,410)),IF(E36="钻石",IF(F36="小型",240,IF(F36="中型",384,614)),""))))</x:f>
        <x:v>50</x:v>
      </x:c>
      <x:c r="I36" s="49" t="n">
        <x:f>K36+L36</x:f>
        <x:v>50</x:v>
      </x:c>
      <x:c r="J36" s="49" t="n">
        <x:f>I36-H36</x:f>
        <x:v>0</x:v>
      </x:c>
      <x:c r="K36" s="49" t="n">
        <x:f>M36+N36*3+O36*3+P36*5+Q36*5</x:f>
        <x:v>34</x:v>
      </x:c>
      <x:c r="L36" s="49" t="n">
        <x:v>16</x:v>
      </x:c>
      <x:c r="M36" s="31" t="n">
        <x:v>10</x:v>
      </x:c>
      <x:c r="N36" s="31" t="n">
        <x:v>3</x:v>
      </x:c>
      <x:c r="O36" s="31" t="n">
        <x:v>0</x:v>
      </x:c>
      <x:c r="P36" s="31" t="n">
        <x:v>0</x:v>
      </x:c>
      <x:c r="Q36" s="31" t="n">
        <x:v>3</x:v>
      </x:c>
      <x:c r="R36" s="30" t="str">
        <x:v>友召增益</x:v>
      </x:c>
      <x:c r="S36" s="30" t="str">
        <x:v>A1 单点刺</x:v>
      </x:c>
      <x:c r="T36" s="30" t="str">
        <x:v>直线/1格</x:v>
      </x:c>
      <x:c r="U36" s="30" t="str">
        <x:v>召唤</x:v>
      </x:c>
      <x:c r="V36" s="30" t="str">
        <x:v>buffAllSummons</x:v>
      </x:c>
      <x:c r="W36" s="30" t="str">
        <x:v>风、召唤、成长、核心</x:v>
      </x:c>
      <x:c r="X36" s="30" t="str">
        <x:v>是</x:v>
      </x:c>
      <x:c r="Y36" s="51"/>
      <x:c r="Z36" s="32" t="str">
        <x:v>pal_035</x:v>
      </x:c>
    </x:row>
    <x:row r="37">
      <x:c r="A37" s="29" t="str">
        <x:v>No.036</x:v>
      </x:c>
      <x:c r="B37" s="30" t="str">
        <x:v>美露帕</x:v>
      </x:c>
      <x:c r="C37" s="30" t="str">
        <x:v>风</x:v>
      </x:c>
      <x:c r="D37" s="30"/>
      <x:c r="E37" s="30" t="str">
        <x:v>白银</x:v>
      </x:c>
      <x:c r="F37" s="30" t="str">
        <x:v>小型</x:v>
      </x:c>
      <x:c r="G37" s="30" t="str">
        <x:v>经济</x:v>
      </x:c>
      <x:c r="H37" s="49" t="n">
        <x:f>IF(E37="青铜",IF(F37="小型",50,IF(F37="中型",80,128)),IF(E37="白银",IF(F37="小型",100,IF(F37="中型",160,256)),IF(E37="黄金",IF(F37="小型",160,IF(F37="中型",256,410)),IF(E37="钻石",IF(F37="小型",240,IF(F37="中型",384,614)),""))))</x:f>
        <x:v>100</x:v>
      </x:c>
      <x:c r="I37" s="49" t="n">
        <x:f>K37+L37</x:f>
        <x:v>100</x:v>
      </x:c>
      <x:c r="J37" s="49" t="n">
        <x:f>I37-H37</x:f>
        <x:v>0</x:v>
      </x:c>
      <x:c r="K37" s="49" t="n">
        <x:f>M37+N37*3+O37*3+P37*5+Q37*5</x:f>
        <x:v>68</x:v>
      </x:c>
      <x:c r="L37" s="49" t="n">
        <x:v>32</x:v>
      </x:c>
      <x:c r="M37" s="31" t="n">
        <x:v>20</x:v>
      </x:c>
      <x:c r="N37" s="31" t="n">
        <x:v>11</x:v>
      </x:c>
      <x:c r="O37" s="31" t="n">
        <x:v>0</x:v>
      </x:c>
      <x:c r="P37" s="31" t="n">
        <x:v>0</x:v>
      </x:c>
      <x:c r="Q37" s="31" t="n">
        <x:v>3</x:v>
      </x:c>
      <x:c r="R37" s="30" t="str">
        <x:v>友召增益</x:v>
      </x:c>
      <x:c r="S37" s="30" t="str">
        <x:v>A1 单点刺</x:v>
      </x:c>
      <x:c r="T37" s="30" t="str">
        <x:v>直线/1格</x:v>
      </x:c>
      <x:c r="U37" s="30" t="str">
        <x:v>召唤</x:v>
      </x:c>
      <x:c r="V37" s="30" t="str">
        <x:v>buffAllSummons</x:v>
      </x:c>
      <x:c r="W37" s="30" t="str">
        <x:v>风、经济、召唤、发育</x:v>
      </x:c>
      <x:c r="X37" s="30" t="str">
        <x:v>是</x:v>
      </x:c>
      <x:c r="Y37" s="51" t="str">
        <x:v>经济补预算</x:v>
      </x:c>
      <x:c r="Z37" s="32" t="str">
        <x:v>pal_036</x:v>
      </x:c>
    </x:row>
    <x:row r="38">
      <x:c r="A38" s="29" t="str">
        <x:v>No.037</x:v>
      </x:c>
      <x:c r="B38" s="30" t="str">
        <x:v>紫霞鹿</x:v>
      </x:c>
      <x:c r="C38" s="30" t="str">
        <x:v>风</x:v>
      </x:c>
      <x:c r="D38" s="30"/>
      <x:c r="E38" s="30" t="str">
        <x:v>白银</x:v>
      </x:c>
      <x:c r="F38" s="30" t="str">
        <x:v>小型</x:v>
      </x:c>
      <x:c r="G38" s="30" t="str">
        <x:v>机动</x:v>
      </x:c>
      <x:c r="H38" s="49" t="n">
        <x:f>IF(E38="青铜",IF(F38="小型",50,IF(F38="中型",80,128)),IF(E38="白银",IF(F38="小型",100,IF(F38="中型",160,256)),IF(E38="黄金",IF(F38="小型",160,IF(F38="中型",256,410)),IF(E38="钻石",IF(F38="小型",240,IF(F38="中型",384,614)),""))))</x:f>
        <x:v>100</x:v>
      </x:c>
      <x:c r="I38" s="49" t="n">
        <x:f>K38+L38</x:f>
        <x:v>100</x:v>
      </x:c>
      <x:c r="J38" s="49" t="n">
        <x:f>I38-H38</x:f>
        <x:v>0</x:v>
      </x:c>
      <x:c r="K38" s="49" t="n">
        <x:f>M38+N38*3+O38*3+P38*5+Q38*5</x:f>
        <x:v>76</x:v>
      </x:c>
      <x:c r="L38" s="49" t="n">
        <x:v>24</x:v>
      </x:c>
      <x:c r="M38" s="31" t="n">
        <x:v>10</x:v>
      </x:c>
      <x:c r="N38" s="31" t="n">
        <x:v>17</x:v>
      </x:c>
      <x:c r="O38" s="31" t="n">
        <x:v>0</x:v>
      </x:c>
      <x:c r="P38" s="31" t="n">
        <x:v>0</x:v>
      </x:c>
      <x:c r="Q38" s="31" t="n">
        <x:v>3</x:v>
      </x:c>
      <x:c r="R38" s="30" t="str">
        <x:v>补刀控场</x:v>
      </x:c>
      <x:c r="S38" s="30" t="str">
        <x:v>T2 长柄T</x:v>
      </x:c>
      <x:c r="T38" s="30" t="str">
        <x:v>T形/5格</x:v>
      </x:c>
      <x:c r="U38" s="30" t="str">
        <x:v>牵制</x:v>
      </x:c>
      <x:c r="V38" s="30" t="str">
        <x:v>advHitBonus</x:v>
      </x:c>
      <x:c r="W38" s="30" t="str">
        <x:v>风、机动、灵活、泛用</x:v>
      </x:c>
      <x:c r="X38" s="30" t="str">
        <x:v>—</x:v>
      </x:c>
      <x:c r="Y38" s="51"/>
      <x:c r="Z38" s="32" t="str">
        <x:v>pal_037</x:v>
      </x:c>
    </x:row>
    <x:row r="39">
      <x:c r="A39" s="29" t="str">
        <x:v>No.038</x:v>
      </x:c>
      <x:c r="B39" s="30" t="str">
        <x:v>疾风隼</x:v>
      </x:c>
      <x:c r="C39" s="30" t="str">
        <x:v>风</x:v>
      </x:c>
      <x:c r="D39" s="30"/>
      <x:c r="E39" s="30" t="str">
        <x:v>白银</x:v>
      </x:c>
      <x:c r="F39" s="30" t="str">
        <x:v>小型</x:v>
      </x:c>
      <x:c r="G39" s="30" t="str">
        <x:v>机动</x:v>
      </x:c>
      <x:c r="H39" s="49" t="n">
        <x:f>IF(E39="青铜",IF(F39="小型",50,IF(F39="中型",80,128)),IF(E39="白银",IF(F39="小型",100,IF(F39="中型",160,256)),IF(E39="黄金",IF(F39="小型",160,IF(F39="中型",256,410)),IF(E39="钻石",IF(F39="小型",240,IF(F39="中型",384,614)),""))))</x:f>
        <x:v>100</x:v>
      </x:c>
      <x:c r="I39" s="49" t="n">
        <x:f>K39+L39</x:f>
        <x:v>100</x:v>
      </x:c>
      <x:c r="J39" s="49" t="n">
        <x:f>I39-H39</x:f>
        <x:v>0</x:v>
      </x:c>
      <x:c r="K39" s="49" t="n">
        <x:f>M39+N39*3+O39*3+P39*5+Q39*5</x:f>
        <x:v>76</x:v>
      </x:c>
      <x:c r="L39" s="49" t="n">
        <x:v>24</x:v>
      </x:c>
      <x:c r="M39" s="31" t="n">
        <x:v>10</x:v>
      </x:c>
      <x:c r="N39" s="31" t="n">
        <x:v>17</x:v>
      </x:c>
      <x:c r="O39" s="31" t="n">
        <x:v>0</x:v>
      </x:c>
      <x:c r="P39" s="31" t="n">
        <x:v>0</x:v>
      </x:c>
      <x:c r="Q39" s="31" t="n">
        <x:v>3</x:v>
      </x:c>
      <x:c r="R39" s="30" t="str">
        <x:v>补刀控场</x:v>
      </x:c>
      <x:c r="S39" s="30" t="str">
        <x:v>T2 长柄T</x:v>
      </x:c>
      <x:c r="T39" s="30" t="str">
        <x:v>T形/5格</x:v>
      </x:c>
      <x:c r="U39" s="30" t="str">
        <x:v>牵制</x:v>
      </x:c>
      <x:c r="V39" s="30" t="str">
        <x:v>advHitBonus</x:v>
      </x:c>
      <x:c r="W39" s="30" t="str">
        <x:v>风、机动、灵活、泛用</x:v>
      </x:c>
      <x:c r="X39" s="30" t="str">
        <x:v>—</x:v>
      </x:c>
      <x:c r="Y39" s="51"/>
      <x:c r="Z39" s="32" t="str">
        <x:v>pal_038</x:v>
      </x:c>
    </x:row>
    <x:row r="40">
      <x:c r="A40" s="29" t="str">
        <x:v>No.039</x:v>
      </x:c>
      <x:c r="B40" s="30" t="str">
        <x:v>姬小兔</x:v>
      </x:c>
      <x:c r="C40" s="30" t="str">
        <x:v>风</x:v>
      </x:c>
      <x:c r="D40" s="30"/>
      <x:c r="E40" s="30" t="str">
        <x:v>白银</x:v>
      </x:c>
      <x:c r="F40" s="30" t="str">
        <x:v>小型</x:v>
      </x:c>
      <x:c r="G40" s="30" t="str">
        <x:v>坦克</x:v>
      </x:c>
      <x:c r="H40" s="49" t="n">
        <x:f>IF(E40="青铜",IF(F40="小型",50,IF(F40="中型",80,128)),IF(E40="白银",IF(F40="小型",100,IF(F40="中型",160,256)),IF(E40="黄金",IF(F40="小型",160,IF(F40="中型",256,410)),IF(E40="钻石",IF(F40="小型",240,IF(F40="中型",384,614)),""))))</x:f>
        <x:v>100</x:v>
      </x:c>
      <x:c r="I40" s="49" t="n">
        <x:f>K40+L40</x:f>
        <x:v>100</x:v>
      </x:c>
      <x:c r="J40" s="49" t="n">
        <x:f>I40-H40</x:f>
        <x:v>0</x:v>
      </x:c>
      <x:c r="K40" s="49" t="n">
        <x:f>M40+N40*3+O40*3+P40*5+Q40*5</x:f>
        <x:v>84</x:v>
      </x:c>
      <x:c r="L40" s="49" t="n">
        <x:v>16</x:v>
      </x:c>
      <x:c r="M40" s="31" t="n">
        <x:v>15</x:v>
      </x:c>
      <x:c r="N40" s="31" t="n">
        <x:v>8</x:v>
      </x:c>
      <x:c r="O40" s="31" t="n">
        <x:v>0</x:v>
      </x:c>
      <x:c r="P40" s="31" t="n">
        <x:v>6</x:v>
      </x:c>
      <x:c r="Q40" s="31" t="n">
        <x:v>3</x:v>
      </x:c>
      <x:c r="R40" s="30" t="str">
        <x:v>前排减压</x:v>
      </x:c>
      <x:c r="S40" s="30" t="str">
        <x:v>B1 横扫三格</x:v>
      </x:c>
      <x:c r="T40" s="30" t="str">
        <x:v>扫击/3格</x:v>
      </x:c>
      <x:c r="U40" s="30" t="str">
        <x:v>阻挡</x:v>
      </x:c>
      <x:c r="V40" s="30" t="str">
        <x:v>castleReduce</x:v>
      </x:c>
      <x:c r="W40" s="30" t="str">
        <x:v>风、防御、前排、阻挡</x:v>
      </x:c>
      <x:c r="X40" s="30" t="str">
        <x:v>—</x:v>
      </x:c>
      <x:c r="Y40" s="51" t="str">
        <x:v>旧定位=防御</x:v>
      </x:c>
      <x:c r="Z40" s="32" t="str">
        <x:v>pal_039</x:v>
      </x:c>
    </x:row>
    <x:row r="41">
      <x:c r="A41" s="29" t="str">
        <x:v>No.040</x:v>
      </x:c>
      <x:c r="B41" s="30" t="str">
        <x:v>炎魔羊</x:v>
      </x:c>
      <x:c r="C41" s="30" t="str">
        <x:v>火</x:v>
      </x:c>
      <x:c r="D41" s="30" t="str">
        <x:v>火、暗</x:v>
      </x:c>
      <x:c r="E41" s="30" t="str">
        <x:v>白银</x:v>
      </x:c>
      <x:c r="F41" s="30" t="str">
        <x:v>中型</x:v>
      </x:c>
      <x:c r="G41" s="30" t="str">
        <x:v>输出</x:v>
      </x:c>
      <x:c r="H41" s="49" t="n">
        <x:f>IF(E41="青铜",IF(F41="小型",50,IF(F41="中型",80,128)),IF(E41="白银",IF(F41="小型",100,IF(F41="中型",160,256)),IF(E41="黄金",IF(F41="小型",160,IF(F41="中型",256,410)),IF(E41="钻石",IF(F41="小型",240,IF(F41="中型",384,614)),""))))</x:f>
        <x:v>160</x:v>
      </x:c>
      <x:c r="I41" s="49" t="n">
        <x:f>K41+L41</x:f>
        <x:v>160</x:v>
      </x:c>
      <x:c r="J41" s="49" t="n">
        <x:f>I41-H41</x:f>
        <x:v>0</x:v>
      </x:c>
      <x:c r="K41" s="49" t="n">
        <x:f>M41+N41*3+O41*3+P41*5+Q41*5</x:f>
        <x:v>144</x:v>
      </x:c>
      <x:c r="L41" s="49" t="n">
        <x:v>16</x:v>
      </x:c>
      <x:c r="M41" s="31" t="n">
        <x:v>60</x:v>
      </x:c>
      <x:c r="N41" s="31" t="n">
        <x:v>23</x:v>
      </x:c>
      <x:c r="O41" s="31" t="n">
        <x:v>0</x:v>
      </x:c>
      <x:c r="P41" s="31" t="n">
        <x:v>0</x:v>
      </x:c>
      <x:c r="Q41" s="31" t="n">
        <x:v>3</x:v>
      </x:c>
      <x:c r="R41" s="30" t="str">
        <x:v>前排减压</x:v>
      </x:c>
      <x:c r="S41" s="30" t="str">
        <x:v>B1 横扫三格</x:v>
      </x:c>
      <x:c r="T41" s="30" t="str">
        <x:v>扫击/3格</x:v>
      </x:c>
      <x:c r="U41" s="30" t="str">
        <x:v>输出</x:v>
      </x:c>
      <x:c r="V41" s="30" t="str">
        <x:v>castleReduce</x:v>
      </x:c>
      <x:c r="W41" s="30" t="str">
        <x:v>火、输出、爆发、前排</x:v>
      </x:c>
      <x:c r="X41" s="30" t="str">
        <x:v>—</x:v>
      </x:c>
      <x:c r="Y41" s="51"/>
      <x:c r="Z41" s="32" t="str">
        <x:v>pal_040</x:v>
      </x:c>
    </x:row>
    <x:row r="42">
      <x:c r="A42" s="29" t="str">
        <x:v>No.041</x:v>
      </x:c>
      <x:c r="B42" s="30" t="str">
        <x:v>幻悦蝶</x:v>
      </x:c>
      <x:c r="C42" s="30" t="str">
        <x:v>风</x:v>
      </x:c>
      <x:c r="D42" s="30" t="str">
        <x:v>草</x:v>
      </x:c>
      <x:c r="E42" s="30" t="str">
        <x:v>白银</x:v>
      </x:c>
      <x:c r="F42" s="30" t="str">
        <x:v>小型</x:v>
      </x:c>
      <x:c r="G42" s="30" t="str">
        <x:v>治疗</x:v>
      </x:c>
      <x:c r="H42" s="49" t="n">
        <x:f>IF(E42="青铜",IF(F42="小型",50,IF(F42="中型",80,128)),IF(E42="白银",IF(F42="小型",100,IF(F42="中型",160,256)),IF(E42="黄金",IF(F42="小型",160,IF(F42="中型",256,410)),IF(E42="钻石",IF(F42="小型",240,IF(F42="中型",384,614)),""))))</x:f>
        <x:v>100</x:v>
      </x:c>
      <x:c r="I42" s="49" t="n">
        <x:f>K42+L42</x:f>
        <x:v>100</x:v>
      </x:c>
      <x:c r="J42" s="49" t="n">
        <x:f>I42-H42</x:f>
        <x:v>0</x:v>
      </x:c>
      <x:c r="K42" s="49" t="n">
        <x:f>M42+N42*3+O42*3+P42*5+Q42*5</x:f>
        <x:v>76</x:v>
      </x:c>
      <x:c r="L42" s="49" t="n">
        <x:v>24</x:v>
      </x:c>
      <x:c r="M42" s="31" t="n">
        <x:v>25</x:v>
      </x:c>
      <x:c r="N42" s="31" t="n">
        <x:v>12</x:v>
      </x:c>
      <x:c r="O42" s="31" t="n">
        <x:v>0</x:v>
      </x:c>
      <x:c r="P42" s="31" t="n">
        <x:v>0</x:v>
      </x:c>
      <x:c r="Q42" s="31" t="n">
        <x:v>3</x:v>
      </x:c>
      <x:c r="R42" s="30" t="str">
        <x:v>治疗续航</x:v>
      </x:c>
      <x:c r="S42" s="30" t="str">
        <x:v>T1 标准前置T</x:v>
      </x:c>
      <x:c r="T42" s="30" t="str">
        <x:v>T形/4格</x:v>
      </x:c>
      <x:c r="U42" s="30" t="str">
        <x:v>场地</x:v>
      </x:c>
      <x:c r="V42" s="30" t="str">
        <x:v>healAmpBonus</x:v>
      </x:c>
      <x:c r="W42" s="30" t="str">
        <x:v>风、治疗、后排、增益</x:v>
      </x:c>
      <x:c r="X42" s="30" t="str">
        <x:v>—</x:v>
      </x:c>
      <x:c r="Y42" s="51" t="str">
        <x:v>治疗补预算</x:v>
      </x:c>
      <x:c r="Z42" s="32" t="str">
        <x:v>pal_041</x:v>
      </x:c>
    </x:row>
    <x:row r="43">
      <x:c r="A43" s="29" t="str">
        <x:v>No.042</x:v>
      </x:c>
      <x:c r="B43" s="30" t="str">
        <x:v>炽焰牛</x:v>
      </x:c>
      <x:c r="C43" s="30" t="str">
        <x:v>火</x:v>
      </x:c>
      <x:c r="D43" s="30"/>
      <x:c r="E43" s="30" t="str">
        <x:v>白银</x:v>
      </x:c>
      <x:c r="F43" s="30" t="str">
        <x:v>小型</x:v>
      </x:c>
      <x:c r="G43" s="30" t="str">
        <x:v>输出</x:v>
      </x:c>
      <x:c r="H43" s="49" t="n">
        <x:f>IF(E43="青铜",IF(F43="小型",50,IF(F43="中型",80,128)),IF(E43="白银",IF(F43="小型",100,IF(F43="中型",160,256)),IF(E43="黄金",IF(F43="小型",160,IF(F43="中型",256,410)),IF(E43="钻石",IF(F43="小型",240,IF(F43="中型",384,614)),""))))</x:f>
        <x:v>100</x:v>
      </x:c>
      <x:c r="I43" s="49" t="n">
        <x:f>K43+L43</x:f>
        <x:v>100</x:v>
      </x:c>
      <x:c r="J43" s="49" t="n">
        <x:f>I43-H43</x:f>
        <x:v>0</x:v>
      </x:c>
      <x:c r="K43" s="49" t="n">
        <x:f>M43+N43*3+O43*3+P43*5+Q43*5</x:f>
        <x:v>84</x:v>
      </x:c>
      <x:c r="L43" s="49" t="n">
        <x:v>16</x:v>
      </x:c>
      <x:c r="M43" s="31" t="n">
        <x:v>30</x:v>
      </x:c>
      <x:c r="N43" s="31" t="n">
        <x:v>13</x:v>
      </x:c>
      <x:c r="O43" s="31" t="n">
        <x:v>0</x:v>
      </x:c>
      <x:c r="P43" s="31" t="n">
        <x:v>0</x:v>
      </x:c>
      <x:c r="Q43" s="31" t="n">
        <x:v>3</x:v>
      </x:c>
      <x:c r="R43" s="30" t="str">
        <x:v>前排减压</x:v>
      </x:c>
      <x:c r="S43" s="30" t="str">
        <x:v>B1 横扫三格</x:v>
      </x:c>
      <x:c r="T43" s="30" t="str">
        <x:v>扫击/3格</x:v>
      </x:c>
      <x:c r="U43" s="30" t="str">
        <x:v>输出</x:v>
      </x:c>
      <x:c r="V43" s="30" t="str">
        <x:v>castleReduce</x:v>
      </x:c>
      <x:c r="W43" s="30" t="str">
        <x:v>火、输出、爆发、前排</x:v>
      </x:c>
      <x:c r="X43" s="30" t="str">
        <x:v>—</x:v>
      </x:c>
      <x:c r="Y43" s="51"/>
      <x:c r="Z43" s="32" t="str">
        <x:v>pal_042</x:v>
      </x:c>
    </x:row>
    <x:row r="44">
      <x:c r="A44" s="29" t="str">
        <x:v>No.043</x:v>
      </x:c>
      <x:c r="B44" s="30" t="str">
        <x:v>趴趴鲶</x:v>
      </x:c>
      <x:c r="C44" s="30" t="str">
        <x:v>土</x:v>
      </x:c>
      <x:c r="D44" s="30" t="str">
        <x:v>地</x:v>
      </x:c>
      <x:c r="E44" s="30" t="str">
        <x:v>白银</x:v>
      </x:c>
      <x:c r="F44" s="30" t="str">
        <x:v>小型</x:v>
      </x:c>
      <x:c r="G44" s="30" t="str">
        <x:v>治疗</x:v>
      </x:c>
      <x:c r="H44" s="49" t="n">
        <x:f>IF(E44="青铜",IF(F44="小型",50,IF(F44="中型",80,128)),IF(E44="白银",IF(F44="小型",100,IF(F44="中型",160,256)),IF(E44="黄金",IF(F44="小型",160,IF(F44="中型",256,410)),IF(E44="钻石",IF(F44="小型",240,IF(F44="中型",384,614)),""))))</x:f>
        <x:v>100</x:v>
      </x:c>
      <x:c r="I44" s="49" t="n">
        <x:f>K44+L44</x:f>
        <x:v>100</x:v>
      </x:c>
      <x:c r="J44" s="49" t="n">
        <x:f>I44-H44</x:f>
        <x:v>0</x:v>
      </x:c>
      <x:c r="K44" s="49" t="n">
        <x:f>M44+N44*3+O44*3+P44*5+Q44*5</x:f>
        <x:v>76</x:v>
      </x:c>
      <x:c r="L44" s="49" t="n">
        <x:v>24</x:v>
      </x:c>
      <x:c r="M44" s="31" t="n">
        <x:v>25</x:v>
      </x:c>
      <x:c r="N44" s="31" t="n">
        <x:v>12</x:v>
      </x:c>
      <x:c r="O44" s="31" t="n">
        <x:v>0</x:v>
      </x:c>
      <x:c r="P44" s="31" t="n">
        <x:v>0</x:v>
      </x:c>
      <x:c r="Q44" s="31" t="n">
        <x:v>3</x:v>
      </x:c>
      <x:c r="R44" s="30" t="str">
        <x:v>治疗续航</x:v>
      </x:c>
      <x:c r="S44" s="30" t="str">
        <x:v>T1 标准前置T</x:v>
      </x:c>
      <x:c r="T44" s="30" t="str">
        <x:v>T形/4格</x:v>
      </x:c>
      <x:c r="U44" s="30" t="str">
        <x:v>场地</x:v>
      </x:c>
      <x:c r="V44" s="30" t="str">
        <x:v>healAmpBonus</x:v>
      </x:c>
      <x:c r="W44" s="30" t="str">
        <x:v>土、治疗、后排、增益</x:v>
      </x:c>
      <x:c r="X44" s="30" t="str">
        <x:v>—</x:v>
      </x:c>
      <x:c r="Y44" s="51" t="str">
        <x:v>治疗补预算</x:v>
      </x:c>
      <x:c r="Z44" s="32" t="str">
        <x:v>pal_043</x:v>
      </x:c>
    </x:row>
    <x:row r="45">
      <x:c r="A45" s="29" t="str">
        <x:v>No.044</x:v>
      </x:c>
      <x:c r="B45" s="30" t="str">
        <x:v>黑鸦隐士</x:v>
      </x:c>
      <x:c r="C45" s="30" t="str">
        <x:v>土</x:v>
      </x:c>
      <x:c r="D45" s="30" t="str">
        <x:v>暗</x:v>
      </x:c>
      <x:c r="E45" s="30" t="str">
        <x:v>白银</x:v>
      </x:c>
      <x:c r="F45" s="30" t="str">
        <x:v>小型</x:v>
      </x:c>
      <x:c r="G45" s="30" t="str">
        <x:v>坦克</x:v>
      </x:c>
      <x:c r="H45" s="49" t="n">
        <x:f>IF(E45="青铜",IF(F45="小型",50,IF(F45="中型",80,128)),IF(E45="白银",IF(F45="小型",100,IF(F45="中型",160,256)),IF(E45="黄金",IF(F45="小型",160,IF(F45="中型",256,410)),IF(E45="钻石",IF(F45="小型",240,IF(F45="中型",384,614)),""))))</x:f>
        <x:v>100</x:v>
      </x:c>
      <x:c r="I45" s="49" t="n">
        <x:f>K45+L45</x:f>
        <x:v>100</x:v>
      </x:c>
      <x:c r="J45" s="49" t="n">
        <x:f>I45-H45</x:f>
        <x:v>0</x:v>
      </x:c>
      <x:c r="K45" s="49" t="n">
        <x:f>M45+N45*3+O45*3+P45*5+Q45*5</x:f>
        <x:v>84</x:v>
      </x:c>
      <x:c r="L45" s="49" t="n">
        <x:v>16</x:v>
      </x:c>
      <x:c r="M45" s="31" t="n">
        <x:v>15</x:v>
      </x:c>
      <x:c r="N45" s="31" t="n">
        <x:v>8</x:v>
      </x:c>
      <x:c r="O45" s="31" t="n">
        <x:v>0</x:v>
      </x:c>
      <x:c r="P45" s="31" t="n">
        <x:v>6</x:v>
      </x:c>
      <x:c r="Q45" s="31" t="n">
        <x:v>3</x:v>
      </x:c>
      <x:c r="R45" s="30" t="str">
        <x:v>前排减压</x:v>
      </x:c>
      <x:c r="S45" s="30" t="str">
        <x:v>B1 横扫三格</x:v>
      </x:c>
      <x:c r="T45" s="30" t="str">
        <x:v>扫击/3格</x:v>
      </x:c>
      <x:c r="U45" s="30" t="str">
        <x:v>阻挡</x:v>
      </x:c>
      <x:c r="V45" s="30" t="str">
        <x:v>castleReduce</x:v>
      </x:c>
      <x:c r="W45" s="30" t="str">
        <x:v>土、防御、前排、阻挡</x:v>
      </x:c>
      <x:c r="X45" s="30" t="str">
        <x:v>—</x:v>
      </x:c>
      <x:c r="Y45" s="51" t="str">
        <x:v>旧定位=防御</x:v>
      </x:c>
      <x:c r="Z45" s="32" t="str">
        <x:v>pal_044</x:v>
      </x:c>
    </x:row>
    <x:row r="46">
      <x:c r="A46" s="29" t="str">
        <x:v>No.045</x:v>
      </x:c>
      <x:c r="B46" s="30" t="str">
        <x:v>朋克蜥</x:v>
      </x:c>
      <x:c r="C46" s="30" t="str">
        <x:v>土</x:v>
      </x:c>
      <x:c r="D46" s="30" t="str">
        <x:v>暗</x:v>
      </x:c>
      <x:c r="E46" s="30" t="str">
        <x:v>白银</x:v>
      </x:c>
      <x:c r="F46" s="30" t="str">
        <x:v>小型</x:v>
      </x:c>
      <x:c r="G46" s="30" t="str">
        <x:v>坦克</x:v>
      </x:c>
      <x:c r="H46" s="49" t="n">
        <x:f>IF(E46="青铜",IF(F46="小型",50,IF(F46="中型",80,128)),IF(E46="白银",IF(F46="小型",100,IF(F46="中型",160,256)),IF(E46="黄金",IF(F46="小型",160,IF(F46="中型",256,410)),IF(E46="钻石",IF(F46="小型",240,IF(F46="中型",384,614)),""))))</x:f>
        <x:v>100</x:v>
      </x:c>
      <x:c r="I46" s="49" t="n">
        <x:f>K46+L46</x:f>
        <x:v>100</x:v>
      </x:c>
      <x:c r="J46" s="49" t="n">
        <x:f>I46-H46</x:f>
        <x:v>0</x:v>
      </x:c>
      <x:c r="K46" s="49" t="n">
        <x:f>M46+N46*3+O46*3+P46*5+Q46*5</x:f>
        <x:v>84</x:v>
      </x:c>
      <x:c r="L46" s="49" t="n">
        <x:v>16</x:v>
      </x:c>
      <x:c r="M46" s="31" t="n">
        <x:v>15</x:v>
      </x:c>
      <x:c r="N46" s="31" t="n">
        <x:v>8</x:v>
      </x:c>
      <x:c r="O46" s="31" t="n">
        <x:v>0</x:v>
      </x:c>
      <x:c r="P46" s="31" t="n">
        <x:v>6</x:v>
      </x:c>
      <x:c r="Q46" s="31" t="n">
        <x:v>3</x:v>
      </x:c>
      <x:c r="R46" s="30" t="str">
        <x:v>前排减压</x:v>
      </x:c>
      <x:c r="S46" s="30" t="str">
        <x:v>B1 横扫三格</x:v>
      </x:c>
      <x:c r="T46" s="30" t="str">
        <x:v>扫击/3格</x:v>
      </x:c>
      <x:c r="U46" s="30" t="str">
        <x:v>阻挡</x:v>
      </x:c>
      <x:c r="V46" s="30" t="str">
        <x:v>castleReduce</x:v>
      </x:c>
      <x:c r="W46" s="30" t="str">
        <x:v>土、防御、前排、阻挡</x:v>
      </x:c>
      <x:c r="X46" s="30" t="str">
        <x:v>—</x:v>
      </x:c>
      <x:c r="Y46" s="51" t="str">
        <x:v>旧定位=防御</x:v>
      </x:c>
      <x:c r="Z46" s="32" t="str">
        <x:v>pal_045</x:v>
      </x:c>
    </x:row>
    <x:row r="47">
      <x:c r="A47" s="29" t="str">
        <x:v>No.046</x:v>
      </x:c>
      <x:c r="B47" s="30" t="str">
        <x:v>月镰魔</x:v>
      </x:c>
      <x:c r="C47" s="30" t="str">
        <x:v>土</x:v>
      </x:c>
      <x:c r="D47" s="30" t="str">
        <x:v>暗</x:v>
      </x:c>
      <x:c r="E47" s="30" t="str">
        <x:v>白银</x:v>
      </x:c>
      <x:c r="F47" s="30" t="str">
        <x:v>中型</x:v>
      </x:c>
      <x:c r="G47" s="30" t="str">
        <x:v>坦克</x:v>
      </x:c>
      <x:c r="H47" s="49" t="n">
        <x:f>IF(E47="青铜",IF(F47="小型",50,IF(F47="中型",80,128)),IF(E47="白银",IF(F47="小型",100,IF(F47="中型",160,256)),IF(E47="黄金",IF(F47="小型",160,IF(F47="中型",256,410)),IF(E47="钻石",IF(F47="小型",240,IF(F47="中型",384,614)),""))))</x:f>
        <x:v>160</x:v>
      </x:c>
      <x:c r="I47" s="49" t="n">
        <x:f>K47+L47</x:f>
        <x:v>160</x:v>
      </x:c>
      <x:c r="J47" s="49" t="n">
        <x:f>I47-H47</x:f>
        <x:v>0</x:v>
      </x:c>
      <x:c r="K47" s="49" t="n">
        <x:f>M47+N47*3+O47*3+P47*5+Q47*5</x:f>
        <x:v>144</x:v>
      </x:c>
      <x:c r="L47" s="49" t="n">
        <x:v>16</x:v>
      </x:c>
      <x:c r="M47" s="31" t="n">
        <x:v>25</x:v>
      </x:c>
      <x:c r="N47" s="31" t="n">
        <x:v>18</x:v>
      </x:c>
      <x:c r="O47" s="31" t="n">
        <x:v>0</x:v>
      </x:c>
      <x:c r="P47" s="31" t="n">
        <x:v>10</x:v>
      </x:c>
      <x:c r="Q47" s="31" t="n">
        <x:v>3</x:v>
      </x:c>
      <x:c r="R47" s="30" t="str">
        <x:v>前排减压</x:v>
      </x:c>
      <x:c r="S47" s="30" t="str">
        <x:v>B1 横扫三格</x:v>
      </x:c>
      <x:c r="T47" s="30" t="str">
        <x:v>扫击/3格</x:v>
      </x:c>
      <x:c r="U47" s="30" t="str">
        <x:v>阻挡</x:v>
      </x:c>
      <x:c r="V47" s="30" t="str">
        <x:v>castleReduce</x:v>
      </x:c>
      <x:c r="W47" s="30" t="str">
        <x:v>土、防御、前排、阻挡</x:v>
      </x:c>
      <x:c r="X47" s="30" t="str">
        <x:v>—</x:v>
      </x:c>
      <x:c r="Y47" s="51" t="str">
        <x:v>旧定位=防御</x:v>
      </x:c>
      <x:c r="Z47" s="32" t="str">
        <x:v>pal_046</x:v>
      </x:c>
    </x:row>
    <x:row r="48">
      <x:c r="A48" s="29" t="str">
        <x:v>No.047</x:v>
      </x:c>
      <x:c r="B48" s="30" t="str">
        <x:v>天擒鸟</x:v>
      </x:c>
      <x:c r="C48" s="30" t="str">
        <x:v>风</x:v>
      </x:c>
      <x:c r="D48" s="30"/>
      <x:c r="E48" s="30" t="str">
        <x:v>白银</x:v>
      </x:c>
      <x:c r="F48" s="30" t="str">
        <x:v>小型</x:v>
      </x:c>
      <x:c r="G48" s="30" t="str">
        <x:v>机动</x:v>
      </x:c>
      <x:c r="H48" s="49" t="n">
        <x:f>IF(E48="青铜",IF(F48="小型",50,IF(F48="中型",80,128)),IF(E48="白银",IF(F48="小型",100,IF(F48="中型",160,256)),IF(E48="黄金",IF(F48="小型",160,IF(F48="中型",256,410)),IF(E48="钻石",IF(F48="小型",240,IF(F48="中型",384,614)),""))))</x:f>
        <x:v>100</x:v>
      </x:c>
      <x:c r="I48" s="49" t="n">
        <x:f>K48+L48</x:f>
        <x:v>100</x:v>
      </x:c>
      <x:c r="J48" s="49" t="n">
        <x:f>I48-H48</x:f>
        <x:v>0</x:v>
      </x:c>
      <x:c r="K48" s="49" t="n">
        <x:f>M48+N48*3+O48*3+P48*5+Q48*5</x:f>
        <x:v>76</x:v>
      </x:c>
      <x:c r="L48" s="49" t="n">
        <x:v>24</x:v>
      </x:c>
      <x:c r="M48" s="31" t="n">
        <x:v>10</x:v>
      </x:c>
      <x:c r="N48" s="31" t="n">
        <x:v>17</x:v>
      </x:c>
      <x:c r="O48" s="31" t="n">
        <x:v>0</x:v>
      </x:c>
      <x:c r="P48" s="31" t="n">
        <x:v>0</x:v>
      </x:c>
      <x:c r="Q48" s="31" t="n">
        <x:v>3</x:v>
      </x:c>
      <x:c r="R48" s="30" t="str">
        <x:v>补刀控场</x:v>
      </x:c>
      <x:c r="S48" s="30" t="str">
        <x:v>T2 长柄T</x:v>
      </x:c>
      <x:c r="T48" s="30" t="str">
        <x:v>T形/5格</x:v>
      </x:c>
      <x:c r="U48" s="30" t="str">
        <x:v>牵制</x:v>
      </x:c>
      <x:c r="V48" s="30" t="str">
        <x:v>advHitBonus</x:v>
      </x:c>
      <x:c r="W48" s="30" t="str">
        <x:v>风、机动、灵活、泛用</x:v>
      </x:c>
      <x:c r="X48" s="30" t="str">
        <x:v>—</x:v>
      </x:c>
      <x:c r="Y48" s="51"/>
      <x:c r="Z48" s="32" t="str">
        <x:v>pal_047</x:v>
      </x:c>
    </x:row>
    <x:row r="49">
      <x:c r="A49" s="29" t="str">
        <x:v>No.048</x:v>
      </x:c>
      <x:c r="B49" s="30" t="str">
        <x:v>羽箭射手</x:v>
      </x:c>
      <x:c r="C49" s="30" t="str">
        <x:v>风</x:v>
      </x:c>
      <x:c r="D49" s="30" t="str">
        <x:v>草</x:v>
      </x:c>
      <x:c r="E49" s="30" t="str">
        <x:v>白银</x:v>
      </x:c>
      <x:c r="F49" s="30" t="str">
        <x:v>小型</x:v>
      </x:c>
      <x:c r="G49" s="30" t="str">
        <x:v>治疗</x:v>
      </x:c>
      <x:c r="H49" s="49" t="n">
        <x:f>IF(E49="青铜",IF(F49="小型",50,IF(F49="中型",80,128)),IF(E49="白银",IF(F49="小型",100,IF(F49="中型",160,256)),IF(E49="黄金",IF(F49="小型",160,IF(F49="中型",256,410)),IF(E49="钻石",IF(F49="小型",240,IF(F49="中型",384,614)),""))))</x:f>
        <x:v>100</x:v>
      </x:c>
      <x:c r="I49" s="49" t="n">
        <x:f>K49+L49</x:f>
        <x:v>100</x:v>
      </x:c>
      <x:c r="J49" s="49" t="n">
        <x:f>I49-H49</x:f>
        <x:v>0</x:v>
      </x:c>
      <x:c r="K49" s="49" t="n">
        <x:f>M49+N49*3+O49*3+P49*5+Q49*5</x:f>
        <x:v>76</x:v>
      </x:c>
      <x:c r="L49" s="49" t="n">
        <x:v>24</x:v>
      </x:c>
      <x:c r="M49" s="31" t="n">
        <x:v>25</x:v>
      </x:c>
      <x:c r="N49" s="31" t="n">
        <x:v>12</x:v>
      </x:c>
      <x:c r="O49" s="31" t="n">
        <x:v>0</x:v>
      </x:c>
      <x:c r="P49" s="31" t="n">
        <x:v>0</x:v>
      </x:c>
      <x:c r="Q49" s="31" t="n">
        <x:v>3</x:v>
      </x:c>
      <x:c r="R49" s="30" t="str">
        <x:v>治疗续航</x:v>
      </x:c>
      <x:c r="S49" s="30" t="str">
        <x:v>T1 标准前置T</x:v>
      </x:c>
      <x:c r="T49" s="30" t="str">
        <x:v>T形/4格</x:v>
      </x:c>
      <x:c r="U49" s="30" t="str">
        <x:v>场地</x:v>
      </x:c>
      <x:c r="V49" s="30" t="str">
        <x:v>healAmpBonus</x:v>
      </x:c>
      <x:c r="W49" s="30" t="str">
        <x:v>风、治疗、后排、增益</x:v>
      </x:c>
      <x:c r="X49" s="30" t="str">
        <x:v>—</x:v>
      </x:c>
      <x:c r="Y49" s="51" t="str">
        <x:v>治疗补预算</x:v>
      </x:c>
      <x:c r="Z49" s="32" t="str">
        <x:v>pal_048</x:v>
      </x:c>
    </x:row>
    <x:row r="50">
      <x:c r="A50" s="29" t="str">
        <x:v>No.049</x:v>
      </x:c>
      <x:c r="B50" s="30" t="str">
        <x:v>铁拳猿</x:v>
      </x:c>
      <x:c r="C50" s="30" t="str">
        <x:v>风</x:v>
      </x:c>
      <x:c r="D50" s="30"/>
      <x:c r="E50" s="30" t="str">
        <x:v>白银</x:v>
      </x:c>
      <x:c r="F50" s="30" t="str">
        <x:v>小型</x:v>
      </x:c>
      <x:c r="G50" s="30" t="str">
        <x:v>坦克</x:v>
      </x:c>
      <x:c r="H50" s="49" t="n">
        <x:f>IF(E50="青铜",IF(F50="小型",50,IF(F50="中型",80,128)),IF(E50="白银",IF(F50="小型",100,IF(F50="中型",160,256)),IF(E50="黄金",IF(F50="小型",160,IF(F50="中型",256,410)),IF(E50="钻石",IF(F50="小型",240,IF(F50="中型",384,614)),""))))</x:f>
        <x:v>100</x:v>
      </x:c>
      <x:c r="I50" s="49" t="n">
        <x:f>K50+L50</x:f>
        <x:v>100</x:v>
      </x:c>
      <x:c r="J50" s="49" t="n">
        <x:f>I50-H50</x:f>
        <x:v>0</x:v>
      </x:c>
      <x:c r="K50" s="49" t="n">
        <x:f>M50+N50*3+O50*3+P50*5+Q50*5</x:f>
        <x:v>84</x:v>
      </x:c>
      <x:c r="L50" s="49" t="n">
        <x:v>16</x:v>
      </x:c>
      <x:c r="M50" s="31" t="n">
        <x:v>15</x:v>
      </x:c>
      <x:c r="N50" s="31" t="n">
        <x:v>8</x:v>
      </x:c>
      <x:c r="O50" s="31" t="n">
        <x:v>0</x:v>
      </x:c>
      <x:c r="P50" s="31" t="n">
        <x:v>6</x:v>
      </x:c>
      <x:c r="Q50" s="31" t="n">
        <x:v>3</x:v>
      </x:c>
      <x:c r="R50" s="30" t="str">
        <x:v>前排减压</x:v>
      </x:c>
      <x:c r="S50" s="30" t="str">
        <x:v>B1 横扫三格</x:v>
      </x:c>
      <x:c r="T50" s="30" t="str">
        <x:v>扫击/3格</x:v>
      </x:c>
      <x:c r="U50" s="30" t="str">
        <x:v>阻挡</x:v>
      </x:c>
      <x:c r="V50" s="30" t="str">
        <x:v>castleReduce</x:v>
      </x:c>
      <x:c r="W50" s="30" t="str">
        <x:v>风、防御、前排、阻挡</x:v>
      </x:c>
      <x:c r="X50" s="30" t="str">
        <x:v>—</x:v>
      </x:c>
      <x:c r="Y50" s="51" t="str">
        <x:v>旧定位=防御</x:v>
      </x:c>
      <x:c r="Z50" s="32" t="str">
        <x:v>pal_049</x:v>
      </x:c>
    </x:row>
    <x:row r="51">
      <x:c r="A51" s="29" t="str">
        <x:v>No.050</x:v>
      </x:c>
      <x:c r="B51" s="30" t="str">
        <x:v>骑士蜂</x:v>
      </x:c>
      <x:c r="C51" s="30" t="str">
        <x:v>风</x:v>
      </x:c>
      <x:c r="D51" s="30" t="str">
        <x:v>草</x:v>
      </x:c>
      <x:c r="E51" s="30" t="str">
        <x:v>白银</x:v>
      </x:c>
      <x:c r="F51" s="30" t="str">
        <x:v>中型</x:v>
      </x:c>
      <x:c r="G51" s="30" t="str">
        <x:v>召唤</x:v>
      </x:c>
      <x:c r="H51" s="49" t="n">
        <x:f>IF(E51="青铜",IF(F51="小型",50,IF(F51="中型",80,128)),IF(E51="白银",IF(F51="小型",100,IF(F51="中型",160,256)),IF(E51="黄金",IF(F51="小型",160,IF(F51="中型",256,410)),IF(E51="钻石",IF(F51="小型",240,IF(F51="中型",384,614)),""))))</x:f>
        <x:v>160</x:v>
      </x:c>
      <x:c r="I51" s="49" t="n">
        <x:f>K51+L51</x:f>
        <x:v>160</x:v>
      </x:c>
      <x:c r="J51" s="49" t="n">
        <x:f>I51-H51</x:f>
        <x:v>0</x:v>
      </x:c>
      <x:c r="K51" s="49" t="n">
        <x:f>M51+N51*3+O51*3+P51*5+Q51*5</x:f>
        <x:v>128</x:v>
      </x:c>
      <x:c r="L51" s="49" t="n">
        <x:v>32</x:v>
      </x:c>
      <x:c r="M51" s="31" t="n">
        <x:v>35</x:v>
      </x:c>
      <x:c r="N51" s="31" t="n">
        <x:v>26</x:v>
      </x:c>
      <x:c r="O51" s="31" t="n">
        <x:v>0</x:v>
      </x:c>
      <x:c r="P51" s="31" t="n">
        <x:v>0</x:v>
      </x:c>
      <x:c r="Q51" s="31" t="n">
        <x:v>3</x:v>
      </x:c>
      <x:c r="R51" s="30" t="str">
        <x:v>落子召唤</x:v>
      </x:c>
      <x:c r="S51" s="30" t="str">
        <x:v>A1 单点刺</x:v>
      </x:c>
      <x:c r="T51" s="30" t="str">
        <x:v>直线/1格</x:v>
      </x:c>
      <x:c r="U51" s="30" t="str">
        <x:v>召唤</x:v>
      </x:c>
      <x:c r="V51" s="30" t="str">
        <x:v>summonFromCell</x:v>
      </x:c>
      <x:c r="W51" s="30" t="str">
        <x:v>风、召唤、成长、核心</x:v>
      </x:c>
      <x:c r="X51" s="30" t="str">
        <x:v>是</x:v>
      </x:c>
      <x:c r="Y51" s="51" t="str">
        <x:v>召唤补预算</x:v>
      </x:c>
      <x:c r="Z51" s="32" t="str">
        <x:v>pal_050</x:v>
      </x:c>
    </x:row>
    <x:row r="52">
      <x:c r="A52" s="29" t="str">
        <x:v>No.051</x:v>
      </x:c>
      <x:c r="B52" s="30" t="str">
        <x:v>女皇蜂</x:v>
      </x:c>
      <x:c r="C52" s="30" t="str">
        <x:v>风</x:v>
      </x:c>
      <x:c r="D52" s="30" t="str">
        <x:v>草</x:v>
      </x:c>
      <x:c r="E52" s="30" t="str">
        <x:v>白银</x:v>
      </x:c>
      <x:c r="F52" s="30" t="str">
        <x:v>小型</x:v>
      </x:c>
      <x:c r="G52" s="30" t="str">
        <x:v>治疗</x:v>
      </x:c>
      <x:c r="H52" s="49" t="n">
        <x:f>IF(E52="青铜",IF(F52="小型",50,IF(F52="中型",80,128)),IF(E52="白银",IF(F52="小型",100,IF(F52="中型",160,256)),IF(E52="黄金",IF(F52="小型",160,IF(F52="中型",256,410)),IF(E52="钻石",IF(F52="小型",240,IF(F52="中型",384,614)),""))))</x:f>
        <x:v>100</x:v>
      </x:c>
      <x:c r="I52" s="49" t="n">
        <x:f>K52+L52</x:f>
        <x:v>100</x:v>
      </x:c>
      <x:c r="J52" s="49" t="n">
        <x:f>I52-H52</x:f>
        <x:v>0</x:v>
      </x:c>
      <x:c r="K52" s="49" t="n">
        <x:f>M52+N52*3+O52*3+P52*5+Q52*5</x:f>
        <x:v>76</x:v>
      </x:c>
      <x:c r="L52" s="49" t="n">
        <x:v>24</x:v>
      </x:c>
      <x:c r="M52" s="31" t="n">
        <x:v>25</x:v>
      </x:c>
      <x:c r="N52" s="31" t="n">
        <x:v>12</x:v>
      </x:c>
      <x:c r="O52" s="31" t="n">
        <x:v>0</x:v>
      </x:c>
      <x:c r="P52" s="31" t="n">
        <x:v>0</x:v>
      </x:c>
      <x:c r="Q52" s="31" t="n">
        <x:v>3</x:v>
      </x:c>
      <x:c r="R52" s="30" t="str">
        <x:v>治疗续航</x:v>
      </x:c>
      <x:c r="S52" s="30" t="str">
        <x:v>T1 标准前置T</x:v>
      </x:c>
      <x:c r="T52" s="30" t="str">
        <x:v>T形/4格</x:v>
      </x:c>
      <x:c r="U52" s="30" t="str">
        <x:v>场地</x:v>
      </x:c>
      <x:c r="V52" s="30" t="str">
        <x:v>healAmpBonus</x:v>
      </x:c>
      <x:c r="W52" s="30" t="str">
        <x:v>风、治疗、后排、增益</x:v>
      </x:c>
      <x:c r="X52" s="30" t="str">
        <x:v>—</x:v>
      </x:c>
      <x:c r="Y52" s="51" t="str">
        <x:v>治疗补预算</x:v>
      </x:c>
      <x:c r="Z52" s="32" t="str">
        <x:v>pal_051</x:v>
      </x:c>
    </x:row>
    <x:row r="53">
      <x:c r="A53" s="29" t="str">
        <x:v>No.052</x:v>
      </x:c>
      <x:c r="B53" s="30" t="str">
        <x:v>笑魇猫</x:v>
      </x:c>
      <x:c r="C53" s="30" t="str">
        <x:v>风</x:v>
      </x:c>
      <x:c r="D53" s="30"/>
      <x:c r="E53" s="30" t="str">
        <x:v>白银</x:v>
      </x:c>
      <x:c r="F53" s="30" t="str">
        <x:v>小型</x:v>
      </x:c>
      <x:c r="G53" s="30" t="str">
        <x:v>机动</x:v>
      </x:c>
      <x:c r="H53" s="49" t="n">
        <x:f>IF(E53="青铜",IF(F53="小型",50,IF(F53="中型",80,128)),IF(E53="白银",IF(F53="小型",100,IF(F53="中型",160,256)),IF(E53="黄金",IF(F53="小型",160,IF(F53="中型",256,410)),IF(E53="钻石",IF(F53="小型",240,IF(F53="中型",384,614)),""))))</x:f>
        <x:v>100</x:v>
      </x:c>
      <x:c r="I53" s="49" t="n">
        <x:f>K53+L53</x:f>
        <x:v>100</x:v>
      </x:c>
      <x:c r="J53" s="49" t="n">
        <x:f>I53-H53</x:f>
        <x:v>0</x:v>
      </x:c>
      <x:c r="K53" s="49" t="n">
        <x:f>M53+N53*3+O53*3+P53*5+Q53*5</x:f>
        <x:v>76</x:v>
      </x:c>
      <x:c r="L53" s="49" t="n">
        <x:v>24</x:v>
      </x:c>
      <x:c r="M53" s="31" t="n">
        <x:v>10</x:v>
      </x:c>
      <x:c r="N53" s="31" t="n">
        <x:v>17</x:v>
      </x:c>
      <x:c r="O53" s="31" t="n">
        <x:v>0</x:v>
      </x:c>
      <x:c r="P53" s="31" t="n">
        <x:v>0</x:v>
      </x:c>
      <x:c r="Q53" s="31" t="n">
        <x:v>3</x:v>
      </x:c>
      <x:c r="R53" s="30" t="str">
        <x:v>补刀控场</x:v>
      </x:c>
      <x:c r="S53" s="30" t="str">
        <x:v>T2 长柄T</x:v>
      </x:c>
      <x:c r="T53" s="30" t="str">
        <x:v>T形/5格</x:v>
      </x:c>
      <x:c r="U53" s="30" t="str">
        <x:v>牵制</x:v>
      </x:c>
      <x:c r="V53" s="30" t="str">
        <x:v>advHitBonus</x:v>
      </x:c>
      <x:c r="W53" s="30" t="str">
        <x:v>风、机动、灵活、泛用</x:v>
      </x:c>
      <x:c r="X53" s="30" t="str">
        <x:v>—</x:v>
      </x:c>
      <x:c r="Y53" s="51"/>
      <x:c r="Z53" s="32" t="str">
        <x:v>pal_052</x:v>
      </x:c>
    </x:row>
    <x:row r="54">
      <x:c r="A54" s="29" t="str">
        <x:v>No.053</x:v>
      </x:c>
      <x:c r="B54" s="30" t="str">
        <x:v>毛掸儿</x:v>
      </x:c>
      <x:c r="C54" s="30" t="str">
        <x:v>水</x:v>
      </x:c>
      <x:c r="D54" s="30" t="str">
        <x:v>冰</x:v>
      </x:c>
      <x:c r="E54" s="30" t="str">
        <x:v>白银</x:v>
      </x:c>
      <x:c r="F54" s="30" t="str">
        <x:v>小型</x:v>
      </x:c>
      <x:c r="G54" s="30" t="str">
        <x:v>控制</x:v>
      </x:c>
      <x:c r="H54" s="49" t="n">
        <x:f>IF(E54="青铜",IF(F54="小型",50,IF(F54="中型",80,128)),IF(E54="白银",IF(F54="小型",100,IF(F54="中型",160,256)),IF(E54="黄金",IF(F54="小型",160,IF(F54="中型",256,410)),IF(E54="钻石",IF(F54="小型",240,IF(F54="中型",384,614)),""))))</x:f>
        <x:v>100</x:v>
      </x:c>
      <x:c r="I54" s="49" t="n">
        <x:f>K54+L54</x:f>
        <x:v>100</x:v>
      </x:c>
      <x:c r="J54" s="49" t="n">
        <x:f>I54-H54</x:f>
        <x:v>0</x:v>
      </x:c>
      <x:c r="K54" s="49" t="n">
        <x:f>M54+N54*3+O54*3+P54*5+Q54*5</x:f>
        <x:v>76</x:v>
      </x:c>
      <x:c r="L54" s="49" t="n">
        <x:v>24</x:v>
      </x:c>
      <x:c r="M54" s="31" t="n">
        <x:v>20</x:v>
      </x:c>
      <x:c r="N54" s="31" t="n">
        <x:v>12</x:v>
      </x:c>
      <x:c r="O54" s="31" t="n">
        <x:v>0</x:v>
      </x:c>
      <x:c r="P54" s="31" t="n">
        <x:v>0</x:v>
      </x:c>
      <x:c r="Q54" s="31" t="n">
        <x:v>4</x:v>
      </x:c>
      <x:c r="R54" s="30" t="str">
        <x:v>治疗续航</x:v>
      </x:c>
      <x:c r="S54" s="30" t="str">
        <x:v>T1 标准前置T</x:v>
      </x:c>
      <x:c r="T54" s="30" t="str">
        <x:v>T形/4格</x:v>
      </x:c>
      <x:c r="U54" s="30" t="str">
        <x:v>牵制</x:v>
      </x:c>
      <x:c r="V54" s="30" t="str">
        <x:v>healAmpBonus</x:v>
      </x:c>
      <x:c r="W54" s="30" t="str">
        <x:v>水、牵制、范围、机动</x:v>
      </x:c>
      <x:c r="X54" s="30" t="str">
        <x:v>—</x:v>
      </x:c>
      <x:c r="Y54" s="51" t="str">
        <x:v>旧定位=牵制；控制补预算</x:v>
      </x:c>
      <x:c r="Z54" s="32" t="str">
        <x:v>pal_053</x:v>
      </x:c>
    </x:row>
    <x:row r="55">
      <x:c r="A55" s="29" t="str">
        <x:v>No.054</x:v>
      </x:c>
      <x:c r="B55" s="30" t="str">
        <x:v>毛老爹</x:v>
      </x:c>
      <x:c r="C55" s="30" t="str">
        <x:v>水</x:v>
      </x:c>
      <x:c r="D55" s="30" t="str">
        <x:v>冰</x:v>
      </x:c>
      <x:c r="E55" s="30" t="str">
        <x:v>白银</x:v>
      </x:c>
      <x:c r="F55" s="30" t="str">
        <x:v>小型</x:v>
      </x:c>
      <x:c r="G55" s="30" t="str">
        <x:v>控制</x:v>
      </x:c>
      <x:c r="H55" s="49" t="n">
        <x:f>IF(E55="青铜",IF(F55="小型",50,IF(F55="中型",80,128)),IF(E55="白银",IF(F55="小型",100,IF(F55="中型",160,256)),IF(E55="黄金",IF(F55="小型",160,IF(F55="中型",256,410)),IF(E55="钻石",IF(F55="小型",240,IF(F55="中型",384,614)),""))))</x:f>
        <x:v>100</x:v>
      </x:c>
      <x:c r="I55" s="49" t="n">
        <x:f>K55+L55</x:f>
        <x:v>100</x:v>
      </x:c>
      <x:c r="J55" s="49" t="n">
        <x:f>I55-H55</x:f>
        <x:v>0</x:v>
      </x:c>
      <x:c r="K55" s="49" t="n">
        <x:f>M55+N55*3+O55*3+P55*5+Q55*5</x:f>
        <x:v>76</x:v>
      </x:c>
      <x:c r="L55" s="49" t="n">
        <x:v>24</x:v>
      </x:c>
      <x:c r="M55" s="31" t="n">
        <x:v>20</x:v>
      </x:c>
      <x:c r="N55" s="31" t="n">
        <x:v>12</x:v>
      </x:c>
      <x:c r="O55" s="31" t="n">
        <x:v>0</x:v>
      </x:c>
      <x:c r="P55" s="31" t="n">
        <x:v>0</x:v>
      </x:c>
      <x:c r="Q55" s="31" t="n">
        <x:v>4</x:v>
      </x:c>
      <x:c r="R55" s="30" t="str">
        <x:v>治疗续航</x:v>
      </x:c>
      <x:c r="S55" s="30" t="str">
        <x:v>T1 标准前置T</x:v>
      </x:c>
      <x:c r="T55" s="30" t="str">
        <x:v>T形/4格</x:v>
      </x:c>
      <x:c r="U55" s="30" t="str">
        <x:v>牵制</x:v>
      </x:c>
      <x:c r="V55" s="30" t="str">
        <x:v>healAmpBonus</x:v>
      </x:c>
      <x:c r="W55" s="30" t="str">
        <x:v>水、牵制、范围、机动</x:v>
      </x:c>
      <x:c r="X55" s="30" t="str">
        <x:v>—</x:v>
      </x:c>
      <x:c r="Y55" s="51" t="str">
        <x:v>旧定位=牵制；控制补预算</x:v>
      </x:c>
      <x:c r="Z55" s="32" t="str">
        <x:v>pal_054</x:v>
      </x:c>
    </x:row>
    <x:row r="56">
      <x:c r="A56" s="29" t="str">
        <x:v>No.055</x:v>
      </x:c>
      <x:c r="B56" s="30" t="str">
        <x:v>疾旋鼬</x:v>
      </x:c>
      <x:c r="C56" s="30" t="str">
        <x:v>水</x:v>
      </x:c>
      <x:c r="D56" s="30" t="str">
        <x:v>冰、龙</x:v>
      </x:c>
      <x:c r="E56" s="30" t="str">
        <x:v>白银</x:v>
      </x:c>
      <x:c r="F56" s="30" t="str">
        <x:v>中型</x:v>
      </x:c>
      <x:c r="G56" s="30" t="str">
        <x:v>控制</x:v>
      </x:c>
      <x:c r="H56" s="49" t="n">
        <x:f>IF(E56="青铜",IF(F56="小型",50,IF(F56="中型",80,128)),IF(E56="白银",IF(F56="小型",100,IF(F56="中型",160,256)),IF(E56="黄金",IF(F56="小型",160,IF(F56="中型",256,410)),IF(E56="钻石",IF(F56="小型",240,IF(F56="中型",384,614)),""))))</x:f>
        <x:v>160</x:v>
      </x:c>
      <x:c r="I56" s="49" t="n">
        <x:f>K56+L56</x:f>
        <x:v>160</x:v>
      </x:c>
      <x:c r="J56" s="49" t="n">
        <x:f>I56-H56</x:f>
        <x:v>0</x:v>
      </x:c>
      <x:c r="K56" s="49" t="n">
        <x:f>M56+N56*3+O56*3+P56*5+Q56*5</x:f>
        <x:v>136</x:v>
      </x:c>
      <x:c r="L56" s="49" t="n">
        <x:v>24</x:v>
      </x:c>
      <x:c r="M56" s="31" t="n">
        <x:v>35</x:v>
      </x:c>
      <x:c r="N56" s="31" t="n">
        <x:v>27</x:v>
      </x:c>
      <x:c r="O56" s="31" t="n">
        <x:v>0</x:v>
      </x:c>
      <x:c r="P56" s="31" t="n">
        <x:v>0</x:v>
      </x:c>
      <x:c r="Q56" s="31" t="n">
        <x:v>4</x:v>
      </x:c>
      <x:c r="R56" s="30" t="str">
        <x:v>治疗续航</x:v>
      </x:c>
      <x:c r="S56" s="30" t="str">
        <x:v>T1 标准前置T</x:v>
      </x:c>
      <x:c r="T56" s="30" t="str">
        <x:v>T形/4格</x:v>
      </x:c>
      <x:c r="U56" s="30" t="str">
        <x:v>牵制</x:v>
      </x:c>
      <x:c r="V56" s="30" t="str">
        <x:v>healAmpBonus</x:v>
      </x:c>
      <x:c r="W56" s="30" t="str">
        <x:v>水、牵制、范围、机动</x:v>
      </x:c>
      <x:c r="X56" s="30" t="str">
        <x:v>—</x:v>
      </x:c>
      <x:c r="Y56" s="51" t="str">
        <x:v>旧定位=牵制；控制补预算</x:v>
      </x:c>
      <x:c r="Z56" s="32" t="str">
        <x:v>pal_055</x:v>
      </x:c>
    </x:row>
    <x:row r="57">
      <x:c r="A57" s="29" t="str">
        <x:v>No.056</x:v>
      </x:c>
      <x:c r="B57" s="30" t="str">
        <x:v>雷角马</x:v>
      </x:c>
      <x:c r="C57" s="30" t="str">
        <x:v>风</x:v>
      </x:c>
      <x:c r="D57" s="30" t="str">
        <x:v>雷</x:v>
      </x:c>
      <x:c r="E57" s="30" t="str">
        <x:v>白银</x:v>
      </x:c>
      <x:c r="F57" s="30" t="str">
        <x:v>小型</x:v>
      </x:c>
      <x:c r="G57" s="30" t="str">
        <x:v>控制</x:v>
      </x:c>
      <x:c r="H57" s="49" t="n">
        <x:f>IF(E57="青铜",IF(F57="小型",50,IF(F57="中型",80,128)),IF(E57="白银",IF(F57="小型",100,IF(F57="中型",160,256)),IF(E57="黄金",IF(F57="小型",160,IF(F57="中型",256,410)),IF(E57="钻石",IF(F57="小型",240,IF(F57="中型",384,614)),""))))</x:f>
        <x:v>100</x:v>
      </x:c>
      <x:c r="I57" s="49" t="n">
        <x:f>K57+L57</x:f>
        <x:v>100</x:v>
      </x:c>
      <x:c r="J57" s="49" t="n">
        <x:f>I57-H57</x:f>
        <x:v>0</x:v>
      </x:c>
      <x:c r="K57" s="49" t="n">
        <x:f>M57+N57*3+O57*3+P57*5+Q57*5</x:f>
        <x:v>76</x:v>
      </x:c>
      <x:c r="L57" s="49" t="n">
        <x:v>24</x:v>
      </x:c>
      <x:c r="M57" s="31" t="n">
        <x:v>20</x:v>
      </x:c>
      <x:c r="N57" s="31" t="n">
        <x:v>12</x:v>
      </x:c>
      <x:c r="O57" s="31" t="n">
        <x:v>0</x:v>
      </x:c>
      <x:c r="P57" s="31" t="n">
        <x:v>0</x:v>
      </x:c>
      <x:c r="Q57" s="31" t="n">
        <x:v>4</x:v>
      </x:c>
      <x:c r="R57" s="30" t="str">
        <x:v>补刀控场</x:v>
      </x:c>
      <x:c r="S57" s="30" t="str">
        <x:v>T2 长柄T</x:v>
      </x:c>
      <x:c r="T57" s="30" t="str">
        <x:v>T形/5格</x:v>
      </x:c>
      <x:c r="U57" s="30" t="str">
        <x:v>牵制</x:v>
      </x:c>
      <x:c r="V57" s="30" t="str">
        <x:v>advHitBonus</x:v>
      </x:c>
      <x:c r="W57" s="30" t="str">
        <x:v>风、牵制、范围、机动</x:v>
      </x:c>
      <x:c r="X57" s="30" t="str">
        <x:v>—</x:v>
      </x:c>
      <x:c r="Y57" s="51" t="str">
        <x:v>旧定位=牵制；控制补预算</x:v>
      </x:c>
      <x:c r="Z57" s="32" t="str">
        <x:v>pal_056</x:v>
      </x:c>
    </x:row>
    <x:row r="58">
      <x:c r="A58" s="29" t="str">
        <x:v>No.057</x:v>
      </x:c>
      <x:c r="B58" s="30" t="str">
        <x:v>吹雪狐</x:v>
      </x:c>
      <x:c r="C58" s="30" t="str">
        <x:v>水</x:v>
      </x:c>
      <x:c r="D58" s="30" t="str">
        <x:v>冰</x:v>
      </x:c>
      <x:c r="E58" s="30" t="str">
        <x:v>白银</x:v>
      </x:c>
      <x:c r="F58" s="30" t="str">
        <x:v>小型</x:v>
      </x:c>
      <x:c r="G58" s="30" t="str">
        <x:v>控制</x:v>
      </x:c>
      <x:c r="H58" s="49" t="n">
        <x:f>IF(E58="青铜",IF(F58="小型",50,IF(F58="中型",80,128)),IF(E58="白银",IF(F58="小型",100,IF(F58="中型",160,256)),IF(E58="黄金",IF(F58="小型",160,IF(F58="中型",256,410)),IF(E58="钻石",IF(F58="小型",240,IF(F58="中型",384,614)),""))))</x:f>
        <x:v>100</x:v>
      </x:c>
      <x:c r="I58" s="49" t="n">
        <x:f>K58+L58</x:f>
        <x:v>100</x:v>
      </x:c>
      <x:c r="J58" s="49" t="n">
        <x:f>I58-H58</x:f>
        <x:v>0</x:v>
      </x:c>
      <x:c r="K58" s="49" t="n">
        <x:f>M58+N58*3+O58*3+P58*5+Q58*5</x:f>
        <x:v>76</x:v>
      </x:c>
      <x:c r="L58" s="49" t="n">
        <x:v>24</x:v>
      </x:c>
      <x:c r="M58" s="31" t="n">
        <x:v>20</x:v>
      </x:c>
      <x:c r="N58" s="31" t="n">
        <x:v>12</x:v>
      </x:c>
      <x:c r="O58" s="31" t="n">
        <x:v>0</x:v>
      </x:c>
      <x:c r="P58" s="31" t="n">
        <x:v>0</x:v>
      </x:c>
      <x:c r="Q58" s="31" t="n">
        <x:v>4</x:v>
      </x:c>
      <x:c r="R58" s="30" t="str">
        <x:v>治疗续航</x:v>
      </x:c>
      <x:c r="S58" s="30" t="str">
        <x:v>T1 标准前置T</x:v>
      </x:c>
      <x:c r="T58" s="30" t="str">
        <x:v>T形/4格</x:v>
      </x:c>
      <x:c r="U58" s="30" t="str">
        <x:v>牵制</x:v>
      </x:c>
      <x:c r="V58" s="30" t="str">
        <x:v>healAmpBonus</x:v>
      </x:c>
      <x:c r="W58" s="30" t="str">
        <x:v>水、牵制、范围、机动</x:v>
      </x:c>
      <x:c r="X58" s="30" t="str">
        <x:v>—</x:v>
      </x:c>
      <x:c r="Y58" s="51" t="str">
        <x:v>旧定位=牵制；控制补预算</x:v>
      </x:c>
      <x:c r="Z58" s="32" t="str">
        <x:v>pal_057</x:v>
      </x:c>
    </x:row>
    <x:row r="59">
      <x:c r="A59" s="29" t="str">
        <x:v>No.058</x:v>
      </x:c>
      <x:c r="B59" s="30" t="str">
        <x:v>火麒麟</x:v>
      </x:c>
      <x:c r="C59" s="30" t="str">
        <x:v>火</x:v>
      </x:c>
      <x:c r="D59" s="30"/>
      <x:c r="E59" s="30" t="str">
        <x:v>白银</x:v>
      </x:c>
      <x:c r="F59" s="30" t="str">
        <x:v>小型</x:v>
      </x:c>
      <x:c r="G59" s="30" t="str">
        <x:v>输出</x:v>
      </x:c>
      <x:c r="H59" s="49" t="n">
        <x:f>IF(E59="青铜",IF(F59="小型",50,IF(F59="中型",80,128)),IF(E59="白银",IF(F59="小型",100,IF(F59="中型",160,256)),IF(E59="黄金",IF(F59="小型",160,IF(F59="中型",256,410)),IF(E59="钻石",IF(F59="小型",240,IF(F59="中型",384,614)),""))))</x:f>
        <x:v>100</x:v>
      </x:c>
      <x:c r="I59" s="49" t="n">
        <x:f>K59+L59</x:f>
        <x:v>100</x:v>
      </x:c>
      <x:c r="J59" s="49" t="n">
        <x:f>I59-H59</x:f>
        <x:v>0</x:v>
      </x:c>
      <x:c r="K59" s="49" t="n">
        <x:f>M59+N59*3+O59*3+P59*5+Q59*5</x:f>
        <x:v>84</x:v>
      </x:c>
      <x:c r="L59" s="49" t="n">
        <x:v>16</x:v>
      </x:c>
      <x:c r="M59" s="31" t="n">
        <x:v>30</x:v>
      </x:c>
      <x:c r="N59" s="31" t="n">
        <x:v>13</x:v>
      </x:c>
      <x:c r="O59" s="31" t="n">
        <x:v>0</x:v>
      </x:c>
      <x:c r="P59" s="31" t="n">
        <x:v>0</x:v>
      </x:c>
      <x:c r="Q59" s="31" t="n">
        <x:v>3</x:v>
      </x:c>
      <x:c r="R59" s="30" t="str">
        <x:v>前排减压</x:v>
      </x:c>
      <x:c r="S59" s="30" t="str">
        <x:v>B1 横扫三格</x:v>
      </x:c>
      <x:c r="T59" s="30" t="str">
        <x:v>扫击/3格</x:v>
      </x:c>
      <x:c r="U59" s="30" t="str">
        <x:v>输出</x:v>
      </x:c>
      <x:c r="V59" s="30" t="str">
        <x:v>castleReduce</x:v>
      </x:c>
      <x:c r="W59" s="30" t="str">
        <x:v>火、输出、爆发、前排</x:v>
      </x:c>
      <x:c r="X59" s="30" t="str">
        <x:v>—</x:v>
      </x:c>
      <x:c r="Y59" s="51"/>
      <x:c r="Z59" s="32" t="str">
        <x:v>pal_058</x:v>
      </x:c>
    </x:row>
    <x:row r="60">
      <x:c r="A60" s="29" t="str">
        <x:v>No.059</x:v>
      </x:c>
      <x:c r="B60" s="30" t="str">
        <x:v>严冬鹿</x:v>
      </x:c>
      <x:c r="C60" s="30" t="str">
        <x:v>水</x:v>
      </x:c>
      <x:c r="D60" s="30" t="str">
        <x:v>冰</x:v>
      </x:c>
      <x:c r="E60" s="30" t="str">
        <x:v>白银</x:v>
      </x:c>
      <x:c r="F60" s="30" t="str">
        <x:v>小型</x:v>
      </x:c>
      <x:c r="G60" s="30" t="str">
        <x:v>控制</x:v>
      </x:c>
      <x:c r="H60" s="49" t="n">
        <x:f>IF(E60="青铜",IF(F60="小型",50,IF(F60="中型",80,128)),IF(E60="白银",IF(F60="小型",100,IF(F60="中型",160,256)),IF(E60="黄金",IF(F60="小型",160,IF(F60="中型",256,410)),IF(E60="钻石",IF(F60="小型",240,IF(F60="中型",384,614)),""))))</x:f>
        <x:v>100</x:v>
      </x:c>
      <x:c r="I60" s="49" t="n">
        <x:f>K60+L60</x:f>
        <x:v>100</x:v>
      </x:c>
      <x:c r="J60" s="49" t="n">
        <x:f>I60-H60</x:f>
        <x:v>0</x:v>
      </x:c>
      <x:c r="K60" s="49" t="n">
        <x:f>M60+N60*3+O60*3+P60*5+Q60*5</x:f>
        <x:v>76</x:v>
      </x:c>
      <x:c r="L60" s="49" t="n">
        <x:v>24</x:v>
      </x:c>
      <x:c r="M60" s="31" t="n">
        <x:v>20</x:v>
      </x:c>
      <x:c r="N60" s="31" t="n">
        <x:v>12</x:v>
      </x:c>
      <x:c r="O60" s="31" t="n">
        <x:v>0</x:v>
      </x:c>
      <x:c r="P60" s="31" t="n">
        <x:v>0</x:v>
      </x:c>
      <x:c r="Q60" s="31" t="n">
        <x:v>4</x:v>
      </x:c>
      <x:c r="R60" s="30" t="str">
        <x:v>治疗续航</x:v>
      </x:c>
      <x:c r="S60" s="30" t="str">
        <x:v>T1 标准前置T</x:v>
      </x:c>
      <x:c r="T60" s="30" t="str">
        <x:v>T形/4格</x:v>
      </x:c>
      <x:c r="U60" s="30" t="str">
        <x:v>牵制</x:v>
      </x:c>
      <x:c r="V60" s="30" t="str">
        <x:v>healAmpBonus</x:v>
      </x:c>
      <x:c r="W60" s="30" t="str">
        <x:v>水、牵制、范围、机动</x:v>
      </x:c>
      <x:c r="X60" s="30" t="str">
        <x:v>—</x:v>
      </x:c>
      <x:c r="Y60" s="51" t="str">
        <x:v>旧定位=牵制；控制补预算</x:v>
      </x:c>
      <x:c r="Z60" s="32" t="str">
        <x:v>pal_059</x:v>
      </x:c>
    </x:row>
    <x:row r="61">
      <x:c r="A61" s="29" t="str">
        <x:v>No.060</x:v>
      </x:c>
      <x:c r="B61" s="30" t="str">
        <x:v>霹雳犬</x:v>
      </x:c>
      <x:c r="C61" s="30" t="str">
        <x:v>风</x:v>
      </x:c>
      <x:c r="D61" s="30" t="str">
        <x:v>雷</x:v>
      </x:c>
      <x:c r="E61" s="30" t="str">
        <x:v>白银</x:v>
      </x:c>
      <x:c r="F61" s="30" t="str">
        <x:v>小型</x:v>
      </x:c>
      <x:c r="G61" s="30" t="str">
        <x:v>控制</x:v>
      </x:c>
      <x:c r="H61" s="49" t="n">
        <x:f>IF(E61="青铜",IF(F61="小型",50,IF(F61="中型",80,128)),IF(E61="白银",IF(F61="小型",100,IF(F61="中型",160,256)),IF(E61="黄金",IF(F61="小型",160,IF(F61="中型",256,410)),IF(E61="钻石",IF(F61="小型",240,IF(F61="中型",384,614)),""))))</x:f>
        <x:v>100</x:v>
      </x:c>
      <x:c r="I61" s="49" t="n">
        <x:f>K61+L61</x:f>
        <x:v>100</x:v>
      </x:c>
      <x:c r="J61" s="49" t="n">
        <x:f>I61-H61</x:f>
        <x:v>0</x:v>
      </x:c>
      <x:c r="K61" s="49" t="n">
        <x:f>M61+N61*3+O61*3+P61*5+Q61*5</x:f>
        <x:v>76</x:v>
      </x:c>
      <x:c r="L61" s="49" t="n">
        <x:v>24</x:v>
      </x:c>
      <x:c r="M61" s="31" t="n">
        <x:v>20</x:v>
      </x:c>
      <x:c r="N61" s="31" t="n">
        <x:v>12</x:v>
      </x:c>
      <x:c r="O61" s="31" t="n">
        <x:v>0</x:v>
      </x:c>
      <x:c r="P61" s="31" t="n">
        <x:v>0</x:v>
      </x:c>
      <x:c r="Q61" s="31" t="n">
        <x:v>4</x:v>
      </x:c>
      <x:c r="R61" s="30" t="str">
        <x:v>补刀控场</x:v>
      </x:c>
      <x:c r="S61" s="30" t="str">
        <x:v>T2 长柄T</x:v>
      </x:c>
      <x:c r="T61" s="30" t="str">
        <x:v>T形/5格</x:v>
      </x:c>
      <x:c r="U61" s="30" t="str">
        <x:v>牵制</x:v>
      </x:c>
      <x:c r="V61" s="30" t="str">
        <x:v>advHitBonus</x:v>
      </x:c>
      <x:c r="W61" s="30" t="str">
        <x:v>风、牵制、范围、机动</x:v>
      </x:c>
      <x:c r="X61" s="30" t="str">
        <x:v>—</x:v>
      </x:c>
      <x:c r="Y61" s="51" t="str">
        <x:v>旧定位=牵制；控制补预算</x:v>
      </x:c>
      <x:c r="Z61" s="32" t="str">
        <x:v>pal_060</x:v>
      </x:c>
    </x:row>
    <x:row r="62">
      <x:c r="A62" s="29" t="str">
        <x:v>No.061</x:v>
      </x:c>
      <x:c r="B62" s="30" t="str">
        <x:v>苍焰狼</x:v>
      </x:c>
      <x:c r="C62" s="30" t="str">
        <x:v>火</x:v>
      </x:c>
      <x:c r="D62" s="30"/>
      <x:c r="E62" s="30" t="str">
        <x:v>白银</x:v>
      </x:c>
      <x:c r="F62" s="30" t="str">
        <x:v>中型</x:v>
      </x:c>
      <x:c r="G62" s="30" t="str">
        <x:v>输出</x:v>
      </x:c>
      <x:c r="H62" s="49" t="n">
        <x:f>IF(E62="青铜",IF(F62="小型",50,IF(F62="中型",80,128)),IF(E62="白银",IF(F62="小型",100,IF(F62="中型",160,256)),IF(E62="黄金",IF(F62="小型",160,IF(F62="中型",256,410)),IF(E62="钻石",IF(F62="小型",240,IF(F62="中型",384,614)),""))))</x:f>
        <x:v>160</x:v>
      </x:c>
      <x:c r="I62" s="49" t="n">
        <x:f>K62+L62</x:f>
        <x:v>160</x:v>
      </x:c>
      <x:c r="J62" s="49" t="n">
        <x:f>I62-H62</x:f>
        <x:v>0</x:v>
      </x:c>
      <x:c r="K62" s="49" t="n">
        <x:f>M62+N62*3+O62*3+P62*5+Q62*5</x:f>
        <x:v>144</x:v>
      </x:c>
      <x:c r="L62" s="49" t="n">
        <x:v>16</x:v>
      </x:c>
      <x:c r="M62" s="31" t="n">
        <x:v>60</x:v>
      </x:c>
      <x:c r="N62" s="31" t="n">
        <x:v>23</x:v>
      </x:c>
      <x:c r="O62" s="31" t="n">
        <x:v>0</x:v>
      </x:c>
      <x:c r="P62" s="31" t="n">
        <x:v>0</x:v>
      </x:c>
      <x:c r="Q62" s="31" t="n">
        <x:v>3</x:v>
      </x:c>
      <x:c r="R62" s="30" t="str">
        <x:v>前排减压</x:v>
      </x:c>
      <x:c r="S62" s="30" t="str">
        <x:v>B1 横扫三格</x:v>
      </x:c>
      <x:c r="T62" s="30" t="str">
        <x:v>扫击/3格</x:v>
      </x:c>
      <x:c r="U62" s="30" t="str">
        <x:v>输出</x:v>
      </x:c>
      <x:c r="V62" s="30" t="str">
        <x:v>castleReduce</x:v>
      </x:c>
      <x:c r="W62" s="30" t="str">
        <x:v>火、输出、爆发、前排</x:v>
      </x:c>
      <x:c r="X62" s="30" t="str">
        <x:v>—</x:v>
      </x:c>
      <x:c r="Y62" s="51"/>
      <x:c r="Z62" s="32" t="str">
        <x:v>pal_061</x:v>
      </x:c>
    </x:row>
    <x:row r="63">
      <x:c r="A63" s="29" t="str">
        <x:v>No.062</x:v>
      </x:c>
      <x:c r="B63" s="30" t="str">
        <x:v>雷鸣童子</x:v>
      </x:c>
      <x:c r="C63" s="30" t="str">
        <x:v>风</x:v>
      </x:c>
      <x:c r="D63" s="30" t="str">
        <x:v>雷</x:v>
      </x:c>
      <x:c r="E63" s="30" t="str">
        <x:v>白银</x:v>
      </x:c>
      <x:c r="F63" s="30" t="str">
        <x:v>小型</x:v>
      </x:c>
      <x:c r="G63" s="30" t="str">
        <x:v>控制</x:v>
      </x:c>
      <x:c r="H63" s="49" t="n">
        <x:f>IF(E63="青铜",IF(F63="小型",50,IF(F63="中型",80,128)),IF(E63="白银",IF(F63="小型",100,IF(F63="中型",160,256)),IF(E63="黄金",IF(F63="小型",160,IF(F63="中型",256,410)),IF(E63="钻石",IF(F63="小型",240,IF(F63="中型",384,614)),""))))</x:f>
        <x:v>100</x:v>
      </x:c>
      <x:c r="I63" s="49" t="n">
        <x:f>K63+L63</x:f>
        <x:v>100</x:v>
      </x:c>
      <x:c r="J63" s="49" t="n">
        <x:f>I63-H63</x:f>
        <x:v>0</x:v>
      </x:c>
      <x:c r="K63" s="49" t="n">
        <x:f>M63+N63*3+O63*3+P63*5+Q63*5</x:f>
        <x:v>76</x:v>
      </x:c>
      <x:c r="L63" s="49" t="n">
        <x:v>24</x:v>
      </x:c>
      <x:c r="M63" s="31" t="n">
        <x:v>20</x:v>
      </x:c>
      <x:c r="N63" s="31" t="n">
        <x:v>12</x:v>
      </x:c>
      <x:c r="O63" s="31" t="n">
        <x:v>0</x:v>
      </x:c>
      <x:c r="P63" s="31" t="n">
        <x:v>0</x:v>
      </x:c>
      <x:c r="Q63" s="31" t="n">
        <x:v>4</x:v>
      </x:c>
      <x:c r="R63" s="30" t="str">
        <x:v>补刀控场</x:v>
      </x:c>
      <x:c r="S63" s="30" t="str">
        <x:v>T2 长柄T</x:v>
      </x:c>
      <x:c r="T63" s="30" t="str">
        <x:v>T形/5格</x:v>
      </x:c>
      <x:c r="U63" s="30" t="str">
        <x:v>牵制</x:v>
      </x:c>
      <x:c r="V63" s="30" t="str">
        <x:v>advHitBonus</x:v>
      </x:c>
      <x:c r="W63" s="30" t="str">
        <x:v>风、牵制、范围、机动</x:v>
      </x:c>
      <x:c r="X63" s="30" t="str">
        <x:v>—</x:v>
      </x:c>
      <x:c r="Y63" s="51" t="str">
        <x:v>旧定位=牵制；控制补预算</x:v>
      </x:c>
      <x:c r="Z63" s="32" t="str">
        <x:v>pal_062</x:v>
      </x:c>
    </x:row>
    <x:row r="64">
      <x:c r="A64" s="29" t="str">
        <x:v>No.063</x:v>
      </x:c>
      <x:c r="B64" s="30" t="str">
        <x:v>秘斯媞雅</x:v>
      </x:c>
      <x:c r="C64" s="30" t="str">
        <x:v>风</x:v>
      </x:c>
      <x:c r="D64" s="30"/>
      <x:c r="E64" s="30" t="str">
        <x:v>白银</x:v>
      </x:c>
      <x:c r="F64" s="30" t="str">
        <x:v>小型</x:v>
      </x:c>
      <x:c r="G64" s="30" t="str">
        <x:v>召唤</x:v>
      </x:c>
      <x:c r="H64" s="49" t="n">
        <x:f>IF(E64="青铜",IF(F64="小型",50,IF(F64="中型",80,128)),IF(E64="白银",IF(F64="小型",100,IF(F64="中型",160,256)),IF(E64="黄金",IF(F64="小型",160,IF(F64="中型",256,410)),IF(E64="钻石",IF(F64="小型",240,IF(F64="中型",384,614)),""))))</x:f>
        <x:v>100</x:v>
      </x:c>
      <x:c r="I64" s="49" t="n">
        <x:f>K64+L64</x:f>
        <x:v>100</x:v>
      </x:c>
      <x:c r="J64" s="49" t="n">
        <x:f>I64-H64</x:f>
        <x:v>0</x:v>
      </x:c>
      <x:c r="K64" s="49" t="n">
        <x:f>M64+N64*3+O64*3+P64*5+Q64*5</x:f>
        <x:v>68</x:v>
      </x:c>
      <x:c r="L64" s="49" t="n">
        <x:v>32</x:v>
      </x:c>
      <x:c r="M64" s="31" t="n">
        <x:v>20</x:v>
      </x:c>
      <x:c r="N64" s="31" t="n">
        <x:v>11</x:v>
      </x:c>
      <x:c r="O64" s="31" t="n">
        <x:v>0</x:v>
      </x:c>
      <x:c r="P64" s="31" t="n">
        <x:v>0</x:v>
      </x:c>
      <x:c r="Q64" s="31" t="n">
        <x:v>3</x:v>
      </x:c>
      <x:c r="R64" s="30" t="str">
        <x:v>落子召唤</x:v>
      </x:c>
      <x:c r="S64" s="30" t="str">
        <x:v>A1 单点刺</x:v>
      </x:c>
      <x:c r="T64" s="30" t="str">
        <x:v>直线/1格</x:v>
      </x:c>
      <x:c r="U64" s="30" t="str">
        <x:v>召唤</x:v>
      </x:c>
      <x:c r="V64" s="30" t="str">
        <x:v>summonFromCell</x:v>
      </x:c>
      <x:c r="W64" s="30" t="str">
        <x:v>风、召唤、成长、核心</x:v>
      </x:c>
      <x:c r="X64" s="30" t="str">
        <x:v>是</x:v>
      </x:c>
      <x:c r="Y64" s="51" t="str">
        <x:v>召唤补预算</x:v>
      </x:c>
      <x:c r="Z64" s="32" t="str">
        <x:v>pal_063</x:v>
      </x:c>
    </x:row>
    <x:row r="65">
      <x:c r="A65" s="29" t="str">
        <x:v>No.064</x:v>
      </x:c>
      <x:c r="B65" s="30" t="str">
        <x:v>花冠龙</x:v>
      </x:c>
      <x:c r="C65" s="30" t="str">
        <x:v>风</x:v>
      </x:c>
      <x:c r="D65" s="30" t="str">
        <x:v>草、龙</x:v>
      </x:c>
      <x:c r="E65" s="30" t="str">
        <x:v>白银</x:v>
      </x:c>
      <x:c r="F65" s="30" t="str">
        <x:v>中型</x:v>
      </x:c>
      <x:c r="G65" s="30" t="str">
        <x:v>召唤</x:v>
      </x:c>
      <x:c r="H65" s="49" t="n">
        <x:f>IF(E65="青铜",IF(F65="小型",50,IF(F65="中型",80,128)),IF(E65="白银",IF(F65="小型",100,IF(F65="中型",160,256)),IF(E65="黄金",IF(F65="小型",160,IF(F65="中型",256,410)),IF(E65="钻石",IF(F65="小型",240,IF(F65="中型",384,614)),""))))</x:f>
        <x:v>160</x:v>
      </x:c>
      <x:c r="I65" s="49" t="n">
        <x:f>K65+L65</x:f>
        <x:v>160</x:v>
      </x:c>
      <x:c r="J65" s="49" t="n">
        <x:f>I65-H65</x:f>
        <x:v>0</x:v>
      </x:c>
      <x:c r="K65" s="49" t="n">
        <x:f>M65+N65*3+O65*3+P65*5+Q65*5</x:f>
        <x:v>128</x:v>
      </x:c>
      <x:c r="L65" s="49" t="n">
        <x:v>32</x:v>
      </x:c>
      <x:c r="M65" s="31" t="n">
        <x:v>35</x:v>
      </x:c>
      <x:c r="N65" s="31" t="n">
        <x:v>26</x:v>
      </x:c>
      <x:c r="O65" s="31" t="n">
        <x:v>0</x:v>
      </x:c>
      <x:c r="P65" s="31" t="n">
        <x:v>0</x:v>
      </x:c>
      <x:c r="Q65" s="31" t="n">
        <x:v>3</x:v>
      </x:c>
      <x:c r="R65" s="30" t="str">
        <x:v>落子召唤</x:v>
      </x:c>
      <x:c r="S65" s="30" t="str">
        <x:v>A1 单点刺</x:v>
      </x:c>
      <x:c r="T65" s="30" t="str">
        <x:v>直线/1格</x:v>
      </x:c>
      <x:c r="U65" s="30" t="str">
        <x:v>召唤</x:v>
      </x:c>
      <x:c r="V65" s="30" t="str">
        <x:v>summonFromCell</x:v>
      </x:c>
      <x:c r="W65" s="30" t="str">
        <x:v>风、召唤、成长、核心</x:v>
      </x:c>
      <x:c r="X65" s="30" t="str">
        <x:v>是</x:v>
      </x:c>
      <x:c r="Y65" s="51" t="str">
        <x:v>召唤补预算</x:v>
      </x:c>
      <x:c r="Z65" s="32" t="str">
        <x:v>pal_064</x:v>
      </x:c>
    </x:row>
    <x:row r="66">
      <x:c r="A66" s="29" t="str">
        <x:v>No.064B</x:v>
      </x:c>
      <x:c r="B66" s="30" t="str">
        <x:v>雷冠龙</x:v>
      </x:c>
      <x:c r="C66" s="30" t="str">
        <x:v>风</x:v>
      </x:c>
      <x:c r="D66" s="30" t="str">
        <x:v>雷、龙</x:v>
      </x:c>
      <x:c r="E66" s="30" t="str">
        <x:v>白银</x:v>
      </x:c>
      <x:c r="F66" s="30" t="str">
        <x:v>中型</x:v>
      </x:c>
      <x:c r="G66" s="30" t="str">
        <x:v>控制</x:v>
      </x:c>
      <x:c r="H66" s="49" t="n">
        <x:f>IF(E66="青铜",IF(F66="小型",50,IF(F66="中型",80,128)),IF(E66="白银",IF(F66="小型",100,IF(F66="中型",160,256)),IF(E66="黄金",IF(F66="小型",160,IF(F66="中型",256,410)),IF(E66="钻石",IF(F66="小型",240,IF(F66="中型",384,614)),""))))</x:f>
        <x:v>160</x:v>
      </x:c>
      <x:c r="I66" s="49" t="n">
        <x:f>K66+L66</x:f>
        <x:v>160</x:v>
      </x:c>
      <x:c r="J66" s="49" t="n">
        <x:f>I66-H66</x:f>
        <x:v>0</x:v>
      </x:c>
      <x:c r="K66" s="49" t="n">
        <x:f>M66+N66*3+O66*3+P66*5+Q66*5</x:f>
        <x:v>136</x:v>
      </x:c>
      <x:c r="L66" s="49" t="n">
        <x:v>24</x:v>
      </x:c>
      <x:c r="M66" s="31" t="n">
        <x:v>35</x:v>
      </x:c>
      <x:c r="N66" s="31" t="n">
        <x:v>27</x:v>
      </x:c>
      <x:c r="O66" s="31" t="n">
        <x:v>0</x:v>
      </x:c>
      <x:c r="P66" s="31" t="n">
        <x:v>0</x:v>
      </x:c>
      <x:c r="Q66" s="31" t="n">
        <x:v>4</x:v>
      </x:c>
      <x:c r="R66" s="30" t="str">
        <x:v>补刀控场</x:v>
      </x:c>
      <x:c r="S66" s="30" t="str">
        <x:v>T2 长柄T</x:v>
      </x:c>
      <x:c r="T66" s="30" t="str">
        <x:v>T形/5格</x:v>
      </x:c>
      <x:c r="U66" s="30" t="str">
        <x:v>牵制</x:v>
      </x:c>
      <x:c r="V66" s="30" t="str">
        <x:v>advHitBonus</x:v>
      </x:c>
      <x:c r="W66" s="30" t="str">
        <x:v>风、牵制、范围、机动</x:v>
      </x:c>
      <x:c r="X66" s="30" t="str">
        <x:v>—</x:v>
      </x:c>
      <x:c r="Y66" s="51" t="str">
        <x:v>旧定位=牵制；控制补预算</x:v>
      </x:c>
      <x:c r="Z66" s="32" t="str">
        <x:v>pal_065</x:v>
      </x:c>
    </x:row>
    <x:row r="67">
      <x:c r="A67" s="29" t="str">
        <x:v>No.065</x:v>
      </x:c>
      <x:c r="B67" s="30" t="str">
        <x:v>滑水蛇</x:v>
      </x:c>
      <x:c r="C67" s="30" t="str">
        <x:v>水</x:v>
      </x:c>
      <x:c r="D67" s="30"/>
      <x:c r="E67" s="30" t="str">
        <x:v>白银</x:v>
      </x:c>
      <x:c r="F67" s="30" t="str">
        <x:v>小型</x:v>
      </x:c>
      <x:c r="G67" s="30" t="str">
        <x:v>治疗</x:v>
      </x:c>
      <x:c r="H67" s="49" t="n">
        <x:f>IF(E67="青铜",IF(F67="小型",50,IF(F67="中型",80,128)),IF(E67="白银",IF(F67="小型",100,IF(F67="中型",160,256)),IF(E67="黄金",IF(F67="小型",160,IF(F67="中型",256,410)),IF(E67="钻石",IF(F67="小型",240,IF(F67="中型",384,614)),""))))</x:f>
        <x:v>100</x:v>
      </x:c>
      <x:c r="I67" s="49" t="n">
        <x:f>K67+L67</x:f>
        <x:v>100</x:v>
      </x:c>
      <x:c r="J67" s="49" t="n">
        <x:f>I67-H67</x:f>
        <x:v>0</x:v>
      </x:c>
      <x:c r="K67" s="49" t="n">
        <x:f>M67+N67*3+O67*3+P67*5+Q67*5</x:f>
        <x:v>76</x:v>
      </x:c>
      <x:c r="L67" s="49" t="n">
        <x:v>24</x:v>
      </x:c>
      <x:c r="M67" s="31" t="n">
        <x:v>25</x:v>
      </x:c>
      <x:c r="N67" s="31" t="n">
        <x:v>12</x:v>
      </x:c>
      <x:c r="O67" s="31" t="n">
        <x:v>0</x:v>
      </x:c>
      <x:c r="P67" s="31" t="n">
        <x:v>0</x:v>
      </x:c>
      <x:c r="Q67" s="31" t="n">
        <x:v>3</x:v>
      </x:c>
      <x:c r="R67" s="30" t="str">
        <x:v>治疗续航</x:v>
      </x:c>
      <x:c r="S67" s="30" t="str">
        <x:v>T1 标准前置T</x:v>
      </x:c>
      <x:c r="T67" s="30" t="str">
        <x:v>T形/4格</x:v>
      </x:c>
      <x:c r="U67" s="30" t="str">
        <x:v>场地</x:v>
      </x:c>
      <x:c r="V67" s="30" t="str">
        <x:v>healAmpBonus</x:v>
      </x:c>
      <x:c r="W67" s="30" t="str">
        <x:v>水、治疗、后排、增益</x:v>
      </x:c>
      <x:c r="X67" s="30" t="str">
        <x:v>—</x:v>
      </x:c>
      <x:c r="Y67" s="51" t="str">
        <x:v>治疗补预算</x:v>
      </x:c>
      <x:c r="Z67" s="32" t="str">
        <x:v>pal_066</x:v>
      </x:c>
    </x:row>
    <x:row r="68">
      <x:c r="A68" s="29" t="str">
        <x:v>No.065B</x:v>
      </x:c>
      <x:c r="B68" s="30" t="str">
        <x:v>流沙蛇</x:v>
      </x:c>
      <x:c r="C68" s="30" t="str">
        <x:v>土</x:v>
      </x:c>
      <x:c r="D68" s="30" t="str">
        <x:v>地</x:v>
      </x:c>
      <x:c r="E68" s="30" t="str">
        <x:v>白银</x:v>
      </x:c>
      <x:c r="F68" s="30" t="str">
        <x:v>中型</x:v>
      </x:c>
      <x:c r="G68" s="30" t="str">
        <x:v>坦克</x:v>
      </x:c>
      <x:c r="H68" s="49" t="n">
        <x:f>IF(E68="青铜",IF(F68="小型",50,IF(F68="中型",80,128)),IF(E68="白银",IF(F68="小型",100,IF(F68="中型",160,256)),IF(E68="黄金",IF(F68="小型",160,IF(F68="中型",256,410)),IF(E68="钻石",IF(F68="小型",240,IF(F68="中型",384,614)),""))))</x:f>
        <x:v>160</x:v>
      </x:c>
      <x:c r="I68" s="49" t="n">
        <x:f>K68+L68</x:f>
        <x:v>160</x:v>
      </x:c>
      <x:c r="J68" s="49" t="n">
        <x:f>I68-H68</x:f>
        <x:v>0</x:v>
      </x:c>
      <x:c r="K68" s="49" t="n">
        <x:f>M68+N68*3+O68*3+P68*5+Q68*5</x:f>
        <x:v>144</x:v>
      </x:c>
      <x:c r="L68" s="49" t="n">
        <x:v>16</x:v>
      </x:c>
      <x:c r="M68" s="31" t="n">
        <x:v>25</x:v>
      </x:c>
      <x:c r="N68" s="31" t="n">
        <x:v>18</x:v>
      </x:c>
      <x:c r="O68" s="31" t="n">
        <x:v>0</x:v>
      </x:c>
      <x:c r="P68" s="31" t="n">
        <x:v>10</x:v>
      </x:c>
      <x:c r="Q68" s="31" t="n">
        <x:v>3</x:v>
      </x:c>
      <x:c r="R68" s="30" t="str">
        <x:v>前排减压</x:v>
      </x:c>
      <x:c r="S68" s="30" t="str">
        <x:v>B1 横扫三格</x:v>
      </x:c>
      <x:c r="T68" s="30" t="str">
        <x:v>扫击/3格</x:v>
      </x:c>
      <x:c r="U68" s="30" t="str">
        <x:v>阻挡</x:v>
      </x:c>
      <x:c r="V68" s="30" t="str">
        <x:v>castleReduce</x:v>
      </x:c>
      <x:c r="W68" s="30" t="str">
        <x:v>土、防御、前排、阻挡</x:v>
      </x:c>
      <x:c r="X68" s="30" t="str">
        <x:v>—</x:v>
      </x:c>
      <x:c r="Y68" s="51" t="str">
        <x:v>旧定位=防御</x:v>
      </x:c>
      <x:c r="Z68" s="32" t="str">
        <x:v>pal_067</x:v>
      </x:c>
    </x:row>
    <x:row r="69">
      <x:c r="A69" s="29" t="str">
        <x:v>No.066</x:v>
      </x:c>
      <x:c r="B69" s="30" t="str">
        <x:v>噬魂兽</x:v>
      </x:c>
      <x:c r="C69" s="30" t="str">
        <x:v>土</x:v>
      </x:c>
      <x:c r="D69" s="30" t="str">
        <x:v>暗</x:v>
      </x:c>
      <x:c r="E69" s="30" t="str">
        <x:v>白银</x:v>
      </x:c>
      <x:c r="F69" s="30" t="str">
        <x:v>中型</x:v>
      </x:c>
      <x:c r="G69" s="30" t="str">
        <x:v>坦克</x:v>
      </x:c>
      <x:c r="H69" s="49" t="n">
        <x:f>IF(E69="青铜",IF(F69="小型",50,IF(F69="中型",80,128)),IF(E69="白银",IF(F69="小型",100,IF(F69="中型",160,256)),IF(E69="黄金",IF(F69="小型",160,IF(F69="中型",256,410)),IF(E69="钻石",IF(F69="小型",240,IF(F69="中型",384,614)),""))))</x:f>
        <x:v>160</x:v>
      </x:c>
      <x:c r="I69" s="49" t="n">
        <x:f>K69+L69</x:f>
        <x:v>160</x:v>
      </x:c>
      <x:c r="J69" s="49" t="n">
        <x:f>I69-H69</x:f>
        <x:v>0</x:v>
      </x:c>
      <x:c r="K69" s="49" t="n">
        <x:f>M69+N69*3+O69*3+P69*5+Q69*5</x:f>
        <x:v>144</x:v>
      </x:c>
      <x:c r="L69" s="49" t="n">
        <x:v>16</x:v>
      </x:c>
      <x:c r="M69" s="31" t="n">
        <x:v>25</x:v>
      </x:c>
      <x:c r="N69" s="31" t="n">
        <x:v>18</x:v>
      </x:c>
      <x:c r="O69" s="31" t="n">
        <x:v>0</x:v>
      </x:c>
      <x:c r="P69" s="31" t="n">
        <x:v>10</x:v>
      </x:c>
      <x:c r="Q69" s="31" t="n">
        <x:v>3</x:v>
      </x:c>
      <x:c r="R69" s="30" t="str">
        <x:v>前排减压</x:v>
      </x:c>
      <x:c r="S69" s="30" t="str">
        <x:v>B1 横扫三格</x:v>
      </x:c>
      <x:c r="T69" s="30" t="str">
        <x:v>扫击/3格</x:v>
      </x:c>
      <x:c r="U69" s="30" t="str">
        <x:v>阻挡</x:v>
      </x:c>
      <x:c r="V69" s="30" t="str">
        <x:v>castleReduce</x:v>
      </x:c>
      <x:c r="W69" s="30" t="str">
        <x:v>土、防御、前排、阻挡</x:v>
      </x:c>
      <x:c r="X69" s="30" t="str">
        <x:v>—</x:v>
      </x:c>
      <x:c r="Y69" s="51" t="str">
        <x:v>旧定位=防御</x:v>
      </x:c>
      <x:c r="Z69" s="32" t="str">
        <x:v>pal_068</x:v>
      </x:c>
    </x:row>
    <x:row r="70">
      <x:c r="A70" s="29" t="str">
        <x:v>No.067</x:v>
      </x:c>
      <x:c r="B70" s="30" t="str">
        <x:v>碎岩龟</x:v>
      </x:c>
      <x:c r="C70" s="30" t="str">
        <x:v>土</x:v>
      </x:c>
      <x:c r="D70" s="30" t="str">
        <x:v>地</x:v>
      </x:c>
      <x:c r="E70" s="30" t="str">
        <x:v>白银</x:v>
      </x:c>
      <x:c r="F70" s="30" t="str">
        <x:v>中型</x:v>
      </x:c>
      <x:c r="G70" s="30" t="str">
        <x:v>坦克</x:v>
      </x:c>
      <x:c r="H70" s="49" t="n">
        <x:f>IF(E70="青铜",IF(F70="小型",50,IF(F70="中型",80,128)),IF(E70="白银",IF(F70="小型",100,IF(F70="中型",160,256)),IF(E70="黄金",IF(F70="小型",160,IF(F70="中型",256,410)),IF(E70="钻石",IF(F70="小型",240,IF(F70="中型",384,614)),""))))</x:f>
        <x:v>160</x:v>
      </x:c>
      <x:c r="I70" s="49" t="n">
        <x:f>K70+L70</x:f>
        <x:v>160</x:v>
      </x:c>
      <x:c r="J70" s="49" t="n">
        <x:f>I70-H70</x:f>
        <x:v>0</x:v>
      </x:c>
      <x:c r="K70" s="49" t="n">
        <x:f>M70+N70*3+O70*3+P70*5+Q70*5</x:f>
        <x:v>144</x:v>
      </x:c>
      <x:c r="L70" s="49" t="n">
        <x:v>16</x:v>
      </x:c>
      <x:c r="M70" s="31" t="n">
        <x:v>25</x:v>
      </x:c>
      <x:c r="N70" s="31" t="n">
        <x:v>18</x:v>
      </x:c>
      <x:c r="O70" s="31" t="n">
        <x:v>0</x:v>
      </x:c>
      <x:c r="P70" s="31" t="n">
        <x:v>10</x:v>
      </x:c>
      <x:c r="Q70" s="31" t="n">
        <x:v>3</x:v>
      </x:c>
      <x:c r="R70" s="30" t="str">
        <x:v>前排减压</x:v>
      </x:c>
      <x:c r="S70" s="30" t="str">
        <x:v>B1 横扫三格</x:v>
      </x:c>
      <x:c r="T70" s="30" t="str">
        <x:v>扫击/3格</x:v>
      </x:c>
      <x:c r="U70" s="30" t="str">
        <x:v>阻挡</x:v>
      </x:c>
      <x:c r="V70" s="30" t="str">
        <x:v>castleReduce</x:v>
      </x:c>
      <x:c r="W70" s="30" t="str">
        <x:v>土、防御、前排、阻挡</x:v>
      </x:c>
      <x:c r="X70" s="30" t="str">
        <x:v>—</x:v>
      </x:c>
      <x:c r="Y70" s="51" t="str">
        <x:v>旧定位=防御</x:v>
      </x:c>
      <x:c r="Z70" s="32" t="str">
        <x:v>pal_069</x:v>
      </x:c>
    </x:row>
    <x:row r="71">
      <x:c r="A71" s="29" t="str">
        <x:v>No.068</x:v>
      </x:c>
      <x:c r="B71" s="30" t="str">
        <x:v>猫蝠怪</x:v>
      </x:c>
      <x:c r="C71" s="30" t="str">
        <x:v>土</x:v>
      </x:c>
      <x:c r="D71" s="30" t="str">
        <x:v>暗</x:v>
      </x:c>
      <x:c r="E71" s="30" t="str">
        <x:v>白银</x:v>
      </x:c>
      <x:c r="F71" s="30" t="str">
        <x:v>中型</x:v>
      </x:c>
      <x:c r="G71" s="30" t="str">
        <x:v>坦克</x:v>
      </x:c>
      <x:c r="H71" s="49" t="n">
        <x:f>IF(E71="青铜",IF(F71="小型",50,IF(F71="中型",80,128)),IF(E71="白银",IF(F71="小型",100,IF(F71="中型",160,256)),IF(E71="黄金",IF(F71="小型",160,IF(F71="中型",256,410)),IF(E71="钻石",IF(F71="小型",240,IF(F71="中型",384,614)),""))))</x:f>
        <x:v>160</x:v>
      </x:c>
      <x:c r="I71" s="49" t="n">
        <x:f>K71+L71</x:f>
        <x:v>160</x:v>
      </x:c>
      <x:c r="J71" s="49" t="n">
        <x:f>I71-H71</x:f>
        <x:v>0</x:v>
      </x:c>
      <x:c r="K71" s="49" t="n">
        <x:f>M71+N71*3+O71*3+P71*5+Q71*5</x:f>
        <x:v>144</x:v>
      </x:c>
      <x:c r="L71" s="49" t="n">
        <x:v>16</x:v>
      </x:c>
      <x:c r="M71" s="31" t="n">
        <x:v>25</x:v>
      </x:c>
      <x:c r="N71" s="31" t="n">
        <x:v>18</x:v>
      </x:c>
      <x:c r="O71" s="31" t="n">
        <x:v>0</x:v>
      </x:c>
      <x:c r="P71" s="31" t="n">
        <x:v>10</x:v>
      </x:c>
      <x:c r="Q71" s="31" t="n">
        <x:v>3</x:v>
      </x:c>
      <x:c r="R71" s="30" t="str">
        <x:v>前排减压</x:v>
      </x:c>
      <x:c r="S71" s="30" t="str">
        <x:v>B1 横扫三格</x:v>
      </x:c>
      <x:c r="T71" s="30" t="str">
        <x:v>扫击/3格</x:v>
      </x:c>
      <x:c r="U71" s="30" t="str">
        <x:v>阻挡</x:v>
      </x:c>
      <x:c r="V71" s="30" t="str">
        <x:v>castleReduce</x:v>
      </x:c>
      <x:c r="W71" s="30" t="str">
        <x:v>土、防御、前排、阻挡</x:v>
      </x:c>
      <x:c r="X71" s="30" t="str">
        <x:v>—</x:v>
      </x:c>
      <x:c r="Y71" s="51" t="str">
        <x:v>旧定位=防御</x:v>
      </x:c>
      <x:c r="Z71" s="32" t="str">
        <x:v>pal_070</x:v>
      </x:c>
    </x:row>
    <x:row r="72">
      <x:c r="A72" s="29" t="str">
        <x:v>No.069</x:v>
      </x:c>
      <x:c r="B72" s="30" t="str">
        <x:v>博爱蜥</x:v>
      </x:c>
      <x:c r="C72" s="30" t="str">
        <x:v>风</x:v>
      </x:c>
      <x:c r="D72" s="30"/>
      <x:c r="E72" s="30" t="str">
        <x:v>白银</x:v>
      </x:c>
      <x:c r="F72" s="30" t="str">
        <x:v>小型</x:v>
      </x:c>
      <x:c r="G72" s="30" t="str">
        <x:v>治疗</x:v>
      </x:c>
      <x:c r="H72" s="49" t="n">
        <x:f>IF(E72="青铜",IF(F72="小型",50,IF(F72="中型",80,128)),IF(E72="白银",IF(F72="小型",100,IF(F72="中型",160,256)),IF(E72="黄金",IF(F72="小型",160,IF(F72="中型",256,410)),IF(E72="钻石",IF(F72="小型",240,IF(F72="中型",384,614)),""))))</x:f>
        <x:v>100</x:v>
      </x:c>
      <x:c r="I72" s="49" t="n">
        <x:f>K72+L72</x:f>
        <x:v>100</x:v>
      </x:c>
      <x:c r="J72" s="49" t="n">
        <x:f>I72-H72</x:f>
        <x:v>0</x:v>
      </x:c>
      <x:c r="K72" s="49" t="n">
        <x:f>M72+N72*3+O72*3+P72*5+Q72*5</x:f>
        <x:v>76</x:v>
      </x:c>
      <x:c r="L72" s="49" t="n">
        <x:v>24</x:v>
      </x:c>
      <x:c r="M72" s="31" t="n">
        <x:v>25</x:v>
      </x:c>
      <x:c r="N72" s="31" t="n">
        <x:v>12</x:v>
      </x:c>
      <x:c r="O72" s="31" t="n">
        <x:v>0</x:v>
      </x:c>
      <x:c r="P72" s="31" t="n">
        <x:v>0</x:v>
      </x:c>
      <x:c r="Q72" s="31" t="n">
        <x:v>3</x:v>
      </x:c>
      <x:c r="R72" s="30" t="str">
        <x:v>治疗续航</x:v>
      </x:c>
      <x:c r="S72" s="30" t="str">
        <x:v>T1 标准前置T</x:v>
      </x:c>
      <x:c r="T72" s="30" t="str">
        <x:v>T形/4格</x:v>
      </x:c>
      <x:c r="U72" s="30" t="str">
        <x:v>场地</x:v>
      </x:c>
      <x:c r="V72" s="30" t="str">
        <x:v>healAmpBonus</x:v>
      </x:c>
      <x:c r="W72" s="30" t="str">
        <x:v>风、治疗、后排、增益</x:v>
      </x:c>
      <x:c r="X72" s="30" t="str">
        <x:v>—</x:v>
      </x:c>
      <x:c r="Y72" s="51" t="str">
        <x:v>治疗补预算</x:v>
      </x:c>
      <x:c r="Z72" s="32" t="str">
        <x:v>pal_071</x:v>
      </x:c>
    </x:row>
    <x:row r="73">
      <x:c r="A73" s="29" t="str">
        <x:v>No.070</x:v>
      </x:c>
      <x:c r="B73" s="30" t="str">
        <x:v>融焰娘</x:v>
      </x:c>
      <x:c r="C73" s="30" t="str">
        <x:v>火</x:v>
      </x:c>
      <x:c r="D73" s="30"/>
      <x:c r="E73" s="30" t="str">
        <x:v>白银</x:v>
      </x:c>
      <x:c r="F73" s="30" t="str">
        <x:v>小型</x:v>
      </x:c>
      <x:c r="G73" s="30" t="str">
        <x:v>召唤</x:v>
      </x:c>
      <x:c r="H73" s="49" t="n">
        <x:f>IF(E73="青铜",IF(F73="小型",50,IF(F73="中型",80,128)),IF(E73="白银",IF(F73="小型",100,IF(F73="中型",160,256)),IF(E73="黄金",IF(F73="小型",160,IF(F73="中型",256,410)),IF(E73="钻石",IF(F73="小型",240,IF(F73="中型",384,614)),""))))</x:f>
        <x:v>100</x:v>
      </x:c>
      <x:c r="I73" s="49" t="n">
        <x:f>K73+L73</x:f>
        <x:v>100</x:v>
      </x:c>
      <x:c r="J73" s="49" t="n">
        <x:f>I73-H73</x:f>
        <x:v>0</x:v>
      </x:c>
      <x:c r="K73" s="49" t="n">
        <x:f>M73+N73*3+O73*3+P73*5+Q73*5</x:f>
        <x:v>68</x:v>
      </x:c>
      <x:c r="L73" s="49" t="n">
        <x:v>32</x:v>
      </x:c>
      <x:c r="M73" s="31" t="n">
        <x:v>20</x:v>
      </x:c>
      <x:c r="N73" s="31" t="n">
        <x:v>11</x:v>
      </x:c>
      <x:c r="O73" s="31" t="n">
        <x:v>0</x:v>
      </x:c>
      <x:c r="P73" s="31" t="n">
        <x:v>0</x:v>
      </x:c>
      <x:c r="Q73" s="31" t="n">
        <x:v>3</x:v>
      </x:c>
      <x:c r="R73" s="30" t="str">
        <x:v>落子召唤</x:v>
      </x:c>
      <x:c r="S73" s="30" t="str">
        <x:v>A1 单点刺</x:v>
      </x:c>
      <x:c r="T73" s="30" t="str">
        <x:v>直线/1格</x:v>
      </x:c>
      <x:c r="U73" s="30" t="str">
        <x:v>召唤</x:v>
      </x:c>
      <x:c r="V73" s="30" t="str">
        <x:v>summonFromCell</x:v>
      </x:c>
      <x:c r="W73" s="30" t="str">
        <x:v>火、召唤、成长、核心</x:v>
      </x:c>
      <x:c r="X73" s="30" t="str">
        <x:v>是</x:v>
      </x:c>
      <x:c r="Y73" s="51" t="str">
        <x:v>召唤补预算</x:v>
      </x:c>
      <x:c r="Z73" s="32" t="str">
        <x:v>pal_072</x:v>
      </x:c>
    </x:row>
    <x:row r="74">
      <x:c r="A74" s="29" t="str">
        <x:v>No.071</x:v>
      </x:c>
      <x:c r="B74" s="30" t="str">
        <x:v>烽歌龙</x:v>
      </x:c>
      <x:c r="C74" s="30" t="str">
        <x:v>火</x:v>
      </x:c>
      <x:c r="D74" s="30" t="str">
        <x:v>火、暗</x:v>
      </x:c>
      <x:c r="E74" s="30" t="str">
        <x:v>白银</x:v>
      </x:c>
      <x:c r="F74" s="30" t="str">
        <x:v>中型</x:v>
      </x:c>
      <x:c r="G74" s="30" t="str">
        <x:v>机动</x:v>
      </x:c>
      <x:c r="H74" s="49" t="n">
        <x:f>IF(E74="青铜",IF(F74="小型",50,IF(F74="中型",80,128)),IF(E74="白银",IF(F74="小型",100,IF(F74="中型",160,256)),IF(E74="黄金",IF(F74="小型",160,IF(F74="中型",256,410)),IF(E74="钻石",IF(F74="小型",240,IF(F74="中型",384,614)),""))))</x:f>
        <x:v>160</x:v>
      </x:c>
      <x:c r="I74" s="49" t="n">
        <x:f>K74+L74</x:f>
        <x:v>160</x:v>
      </x:c>
      <x:c r="J74" s="49" t="n">
        <x:f>I74-H74</x:f>
        <x:v>0</x:v>
      </x:c>
      <x:c r="K74" s="49" t="n">
        <x:f>M74+N74*3+O74*3+P74*5+Q74*5</x:f>
        <x:v>136</x:v>
      </x:c>
      <x:c r="L74" s="49" t="n">
        <x:v>24</x:v>
      </x:c>
      <x:c r="M74" s="31" t="n">
        <x:v>35</x:v>
      </x:c>
      <x:c r="N74" s="31" t="n">
        <x:v>27</x:v>
      </x:c>
      <x:c r="O74" s="31" t="n">
        <x:v>0</x:v>
      </x:c>
      <x:c r="P74" s="31" t="n">
        <x:v>0</x:v>
      </x:c>
      <x:c r="Q74" s="31" t="n">
        <x:v>4</x:v>
      </x:c>
      <x:c r="R74" s="30" t="str">
        <x:v>补刀控场</x:v>
      </x:c>
      <x:c r="S74" s="30" t="str">
        <x:v>T2 长柄T</x:v>
      </x:c>
      <x:c r="T74" s="30" t="str">
        <x:v>T形/5格</x:v>
      </x:c>
      <x:c r="U74" s="30" t="str">
        <x:v>牵制</x:v>
      </x:c>
      <x:c r="V74" s="30" t="str">
        <x:v>advHitBonus</x:v>
      </x:c>
      <x:c r="W74" s="30" t="str">
        <x:v>火、机动、灵活、泛用</x:v>
      </x:c>
      <x:c r="X74" s="30" t="str">
        <x:v>—</x:v>
      </x:c>
      <x:c r="Y74" s="51"/>
      <x:c r="Z74" s="32" t="str">
        <x:v>pal_073</x:v>
      </x:c>
    </x:row>
    <x:row r="75">
      <x:c r="A75" s="29" t="str">
        <x:v>No.071B</x:v>
      </x:c>
      <x:c r="B75" s="30" t="str">
        <x:v>霜歌龙</x:v>
      </x:c>
      <x:c r="C75" s="30" t="str">
        <x:v>水</x:v>
      </x:c>
      <x:c r="D75" s="30" t="str">
        <x:v>冰、暗</x:v>
      </x:c>
      <x:c r="E75" s="30" t="str">
        <x:v>白银</x:v>
      </x:c>
      <x:c r="F75" s="30" t="str">
        <x:v>中型</x:v>
      </x:c>
      <x:c r="G75" s="30" t="str">
        <x:v>控制</x:v>
      </x:c>
      <x:c r="H75" s="49" t="n">
        <x:f>IF(E75="青铜",IF(F75="小型",50,IF(F75="中型",80,128)),IF(E75="白银",IF(F75="小型",100,IF(F75="中型",160,256)),IF(E75="黄金",IF(F75="小型",160,IF(F75="中型",256,410)),IF(E75="钻石",IF(F75="小型",240,IF(F75="中型",384,614)),""))))</x:f>
        <x:v>160</x:v>
      </x:c>
      <x:c r="I75" s="49" t="n">
        <x:f>K75+L75</x:f>
        <x:v>160</x:v>
      </x:c>
      <x:c r="J75" s="49" t="n">
        <x:f>I75-H75</x:f>
        <x:v>0</x:v>
      </x:c>
      <x:c r="K75" s="49" t="n">
        <x:f>M75+N75*3+O75*3+P75*5+Q75*5</x:f>
        <x:v>136</x:v>
      </x:c>
      <x:c r="L75" s="49" t="n">
        <x:v>24</x:v>
      </x:c>
      <x:c r="M75" s="31" t="n">
        <x:v>35</x:v>
      </x:c>
      <x:c r="N75" s="31" t="n">
        <x:v>27</x:v>
      </x:c>
      <x:c r="O75" s="31" t="n">
        <x:v>0</x:v>
      </x:c>
      <x:c r="P75" s="31" t="n">
        <x:v>0</x:v>
      </x:c>
      <x:c r="Q75" s="31" t="n">
        <x:v>4</x:v>
      </x:c>
      <x:c r="R75" s="30" t="str">
        <x:v>治疗续航</x:v>
      </x:c>
      <x:c r="S75" s="30" t="str">
        <x:v>T1 标准前置T</x:v>
      </x:c>
      <x:c r="T75" s="30" t="str">
        <x:v>T形/4格</x:v>
      </x:c>
      <x:c r="U75" s="30" t="str">
        <x:v>牵制</x:v>
      </x:c>
      <x:c r="V75" s="30" t="str">
        <x:v>healAmpBonus</x:v>
      </x:c>
      <x:c r="W75" s="30" t="str">
        <x:v>水、牵制、范围、机动</x:v>
      </x:c>
      <x:c r="X75" s="30" t="str">
        <x:v>—</x:v>
      </x:c>
      <x:c r="Y75" s="51" t="str">
        <x:v>旧定位=牵制；控制补预算</x:v>
      </x:c>
      <x:c r="Z75" s="32" t="str">
        <x:v>pal_074</x:v>
      </x:c>
    </x:row>
    <x:row r="76">
      <x:c r="A76" s="29" t="str">
        <x:v>No.072</x:v>
      </x:c>
      <x:c r="B76" s="30" t="str">
        <x:v>浪刃武士</x:v>
      </x:c>
      <x:c r="C76" s="30" t="str">
        <x:v>火</x:v>
      </x:c>
      <x:c r="D76" s="30"/>
      <x:c r="E76" s="30" t="str">
        <x:v>白银</x:v>
      </x:c>
      <x:c r="F76" s="30" t="str">
        <x:v>小型</x:v>
      </x:c>
      <x:c r="G76" s="30" t="str">
        <x:v>输出</x:v>
      </x:c>
      <x:c r="H76" s="49" t="n">
        <x:f>IF(E76="青铜",IF(F76="小型",50,IF(F76="中型",80,128)),IF(E76="白银",IF(F76="小型",100,IF(F76="中型",160,256)),IF(E76="黄金",IF(F76="小型",160,IF(F76="中型",256,410)),IF(E76="钻石",IF(F76="小型",240,IF(F76="中型",384,614)),""))))</x:f>
        <x:v>100</x:v>
      </x:c>
      <x:c r="I76" s="49" t="n">
        <x:f>K76+L76</x:f>
        <x:v>100</x:v>
      </x:c>
      <x:c r="J76" s="49" t="n">
        <x:f>I76-H76</x:f>
        <x:v>0</x:v>
      </x:c>
      <x:c r="K76" s="49" t="n">
        <x:f>M76+N76*3+O76*3+P76*5+Q76*5</x:f>
        <x:v>84</x:v>
      </x:c>
      <x:c r="L76" s="49" t="n">
        <x:v>16</x:v>
      </x:c>
      <x:c r="M76" s="31" t="n">
        <x:v>30</x:v>
      </x:c>
      <x:c r="N76" s="31" t="n">
        <x:v>13</x:v>
      </x:c>
      <x:c r="O76" s="31" t="n">
        <x:v>0</x:v>
      </x:c>
      <x:c r="P76" s="31" t="n">
        <x:v>0</x:v>
      </x:c>
      <x:c r="Q76" s="31" t="n">
        <x:v>3</x:v>
      </x:c>
      <x:c r="R76" s="30" t="str">
        <x:v>前排减压</x:v>
      </x:c>
      <x:c r="S76" s="30" t="str">
        <x:v>B1 横扫三格</x:v>
      </x:c>
      <x:c r="T76" s="30" t="str">
        <x:v>扫击/3格</x:v>
      </x:c>
      <x:c r="U76" s="30" t="str">
        <x:v>输出</x:v>
      </x:c>
      <x:c r="V76" s="30" t="str">
        <x:v>castleReduce</x:v>
      </x:c>
      <x:c r="W76" s="30" t="str">
        <x:v>火、输出、爆发、前排</x:v>
      </x:c>
      <x:c r="X76" s="30" t="str">
        <x:v>—</x:v>
      </x:c>
      <x:c r="Y76" s="51"/>
      <x:c r="Z76" s="32" t="str">
        <x:v>pal_075</x:v>
      </x:c>
    </x:row>
    <x:row r="77">
      <x:c r="A77" s="29" t="str">
        <x:v>No.073</x:v>
      </x:c>
      <x:c r="B77" s="30" t="str">
        <x:v>迅雷鸟</x:v>
      </x:c>
      <x:c r="C77" s="30" t="str">
        <x:v>风</x:v>
      </x:c>
      <x:c r="D77" s="30" t="str">
        <x:v>雷</x:v>
      </x:c>
      <x:c r="E77" s="30" t="str">
        <x:v>白银</x:v>
      </x:c>
      <x:c r="F77" s="30" t="str">
        <x:v>大型</x:v>
      </x:c>
      <x:c r="G77" s="30" t="str">
        <x:v>控制</x:v>
      </x:c>
      <x:c r="H77" s="49" t="n">
        <x:f>IF(E77="青铜",IF(F77="小型",50,IF(F77="中型",80,128)),IF(E77="白银",IF(F77="小型",100,IF(F77="中型",160,256)),IF(E77="黄金",IF(F77="小型",160,IF(F77="中型",256,410)),IF(E77="钻石",IF(F77="小型",240,IF(F77="中型",384,614)),""))))</x:f>
        <x:v>256</x:v>
      </x:c>
      <x:c r="I77" s="49" t="n">
        <x:f>K77+L77</x:f>
        <x:v>256</x:v>
      </x:c>
      <x:c r="J77" s="49" t="n">
        <x:f>I77-H77</x:f>
        <x:v>0</x:v>
      </x:c>
      <x:c r="K77" s="49" t="n">
        <x:f>M77+N77*3+O77*3+P77*5+Q77*5</x:f>
        <x:v>232</x:v>
      </x:c>
      <x:c r="L77" s="49" t="n">
        <x:v>24</x:v>
      </x:c>
      <x:c r="M77" s="31" t="n">
        <x:v>70</x:v>
      </x:c>
      <x:c r="N77" s="31" t="n">
        <x:v>49</x:v>
      </x:c>
      <x:c r="O77" s="31" t="n">
        <x:v>0</x:v>
      </x:c>
      <x:c r="P77" s="31" t="n">
        <x:v>0</x:v>
      </x:c>
      <x:c r="Q77" s="31" t="n">
        <x:v>3</x:v>
      </x:c>
      <x:c r="R77" s="30" t="str">
        <x:v>补刀控场</x:v>
      </x:c>
      <x:c r="S77" s="30" t="str">
        <x:v>T2 长柄T</x:v>
      </x:c>
      <x:c r="T77" s="30" t="str">
        <x:v>T形/5格</x:v>
      </x:c>
      <x:c r="U77" s="30" t="str">
        <x:v>牵制</x:v>
      </x:c>
      <x:c r="V77" s="30" t="str">
        <x:v>advHitBonus</x:v>
      </x:c>
      <x:c r="W77" s="30" t="str">
        <x:v>风、牵制、范围、机动</x:v>
      </x:c>
      <x:c r="X77" s="30" t="str">
        <x:v>—</x:v>
      </x:c>
      <x:c r="Y77" s="51" t="str">
        <x:v>旧定位=牵制；控制补预算</x:v>
      </x:c>
      <x:c r="Z77" s="32" t="str">
        <x:v>pal_076</x:v>
      </x:c>
    </x:row>
    <x:row r="78">
      <x:c r="A78" s="29" t="str">
        <x:v>No.074</x:v>
      </x:c>
      <x:c r="B78" s="30" t="str">
        <x:v>燧火鸟</x:v>
      </x:c>
      <x:c r="C78" s="30" t="str">
        <x:v>火</x:v>
      </x:c>
      <x:c r="D78" s="30"/>
      <x:c r="E78" s="30" t="str">
        <x:v>白银</x:v>
      </x:c>
      <x:c r="F78" s="30" t="str">
        <x:v>中型</x:v>
      </x:c>
      <x:c r="G78" s="30" t="str">
        <x:v>机动</x:v>
      </x:c>
      <x:c r="H78" s="49" t="n">
        <x:f>IF(E78="青铜",IF(F78="小型",50,IF(F78="中型",80,128)),IF(E78="白银",IF(F78="小型",100,IF(F78="中型",160,256)),IF(E78="黄金",IF(F78="小型",160,IF(F78="中型",256,410)),IF(E78="钻石",IF(F78="小型",240,IF(F78="中型",384,614)),""))))</x:f>
        <x:v>160</x:v>
      </x:c>
      <x:c r="I78" s="49" t="n">
        <x:f>K78+L78</x:f>
        <x:v>160</x:v>
      </x:c>
      <x:c r="J78" s="49" t="n">
        <x:f>I78-H78</x:f>
        <x:v>0</x:v>
      </x:c>
      <x:c r="K78" s="49" t="n">
        <x:f>M78+N78*3+O78*3+P78*5+Q78*5</x:f>
        <x:v>136</x:v>
      </x:c>
      <x:c r="L78" s="49" t="n">
        <x:v>24</x:v>
      </x:c>
      <x:c r="M78" s="31" t="n">
        <x:v>35</x:v>
      </x:c>
      <x:c r="N78" s="31" t="n">
        <x:v>27</x:v>
      </x:c>
      <x:c r="O78" s="31" t="n">
        <x:v>0</x:v>
      </x:c>
      <x:c r="P78" s="31" t="n">
        <x:v>0</x:v>
      </x:c>
      <x:c r="Q78" s="31" t="n">
        <x:v>4</x:v>
      </x:c>
      <x:c r="R78" s="30" t="str">
        <x:v>补刀控场</x:v>
      </x:c>
      <x:c r="S78" s="30" t="str">
        <x:v>T2 长柄T</x:v>
      </x:c>
      <x:c r="T78" s="30" t="str">
        <x:v>T形/5格</x:v>
      </x:c>
      <x:c r="U78" s="30" t="str">
        <x:v>牵制</x:v>
      </x:c>
      <x:c r="V78" s="30" t="str">
        <x:v>advHitBonus</x:v>
      </x:c>
      <x:c r="W78" s="30" t="str">
        <x:v>火、机动、灵活、泛用</x:v>
      </x:c>
      <x:c r="X78" s="30" t="str">
        <x:v>—</x:v>
      </x:c>
      <x:c r="Y78" s="51"/>
      <x:c r="Z78" s="32" t="str">
        <x:v>pal_077</x:v>
      </x:c>
    </x:row>
    <x:row r="79">
      <x:c r="A79" s="29" t="str">
        <x:v>No.075</x:v>
      </x:c>
      <x:c r="B79" s="30" t="str">
        <x:v>暗巫猫</x:v>
      </x:c>
      <x:c r="C79" s="30" t="str">
        <x:v>土</x:v>
      </x:c>
      <x:c r="D79" s="30" t="str">
        <x:v>暗</x:v>
      </x:c>
      <x:c r="E79" s="30" t="str">
        <x:v>白银</x:v>
      </x:c>
      <x:c r="F79" s="30" t="str">
        <x:v>小型</x:v>
      </x:c>
      <x:c r="G79" s="30" t="str">
        <x:v>治疗</x:v>
      </x:c>
      <x:c r="H79" s="49" t="n">
        <x:f>IF(E79="青铜",IF(F79="小型",50,IF(F79="中型",80,128)),IF(E79="白银",IF(F79="小型",100,IF(F79="中型",160,256)),IF(E79="黄金",IF(F79="小型",160,IF(F79="中型",256,410)),IF(E79="钻石",IF(F79="小型",240,IF(F79="中型",384,614)),""))))</x:f>
        <x:v>100</x:v>
      </x:c>
      <x:c r="I79" s="49" t="n">
        <x:f>K79+L79</x:f>
        <x:v>100</x:v>
      </x:c>
      <x:c r="J79" s="49" t="n">
        <x:f>I79-H79</x:f>
        <x:v>0</x:v>
      </x:c>
      <x:c r="K79" s="49" t="n">
        <x:f>M79+N79*3+O79*3+P79*5+Q79*5</x:f>
        <x:v>76</x:v>
      </x:c>
      <x:c r="L79" s="49" t="n">
        <x:v>24</x:v>
      </x:c>
      <x:c r="M79" s="31" t="n">
        <x:v>25</x:v>
      </x:c>
      <x:c r="N79" s="31" t="n">
        <x:v>12</x:v>
      </x:c>
      <x:c r="O79" s="31" t="n">
        <x:v>0</x:v>
      </x:c>
      <x:c r="P79" s="31" t="n">
        <x:v>0</x:v>
      </x:c>
      <x:c r="Q79" s="31" t="n">
        <x:v>3</x:v>
      </x:c>
      <x:c r="R79" s="30" t="str">
        <x:v>治疗续航</x:v>
      </x:c>
      <x:c r="S79" s="30" t="str">
        <x:v>T1 标准前置T</x:v>
      </x:c>
      <x:c r="T79" s="30" t="str">
        <x:v>T形/4格</x:v>
      </x:c>
      <x:c r="U79" s="30" t="str">
        <x:v>场地</x:v>
      </x:c>
      <x:c r="V79" s="30" t="str">
        <x:v>healAmpBonus</x:v>
      </x:c>
      <x:c r="W79" s="30" t="str">
        <x:v>土、治疗、后排、增益</x:v>
      </x:c>
      <x:c r="X79" s="30" t="str">
        <x:v>—</x:v>
      </x:c>
      <x:c r="Y79" s="51" t="str">
        <x:v>治疗补预算</x:v>
      </x:c>
      <x:c r="Z79" s="32" t="str">
        <x:v>pal_078</x:v>
      </x:c>
    </x:row>
    <x:row r="80">
      <x:c r="A80" s="29" t="str">
        <x:v>No.076</x:v>
      </x:c>
      <x:c r="B80" s="30" t="str">
        <x:v>焰巫狐</x:v>
      </x:c>
      <x:c r="C80" s="30" t="str">
        <x:v>火</x:v>
      </x:c>
      <x:c r="D80" s="30"/>
      <x:c r="E80" s="30" t="str">
        <x:v>白银</x:v>
      </x:c>
      <x:c r="F80" s="30" t="str">
        <x:v>中型</x:v>
      </x:c>
      <x:c r="G80" s="30" t="str">
        <x:v>输出</x:v>
      </x:c>
      <x:c r="H80" s="49" t="n">
        <x:f>IF(E80="青铜",IF(F80="小型",50,IF(F80="中型",80,128)),IF(E80="白银",IF(F80="小型",100,IF(F80="中型",160,256)),IF(E80="黄金",IF(F80="小型",160,IF(F80="中型",256,410)),IF(E80="钻石",IF(F80="小型",240,IF(F80="中型",384,614)),""))))</x:f>
        <x:v>160</x:v>
      </x:c>
      <x:c r="I80" s="49" t="n">
        <x:f>K80+L80</x:f>
        <x:v>160</x:v>
      </x:c>
      <x:c r="J80" s="49" t="n">
        <x:f>I80-H80</x:f>
        <x:v>0</x:v>
      </x:c>
      <x:c r="K80" s="49" t="n">
        <x:f>M80+N80*3+O80*3+P80*5+Q80*5</x:f>
        <x:v>144</x:v>
      </x:c>
      <x:c r="L80" s="49" t="n">
        <x:v>16</x:v>
      </x:c>
      <x:c r="M80" s="31" t="n">
        <x:v>60</x:v>
      </x:c>
      <x:c r="N80" s="31" t="n">
        <x:v>23</x:v>
      </x:c>
      <x:c r="O80" s="31" t="n">
        <x:v>0</x:v>
      </x:c>
      <x:c r="P80" s="31" t="n">
        <x:v>0</x:v>
      </x:c>
      <x:c r="Q80" s="31" t="n">
        <x:v>3</x:v>
      </x:c>
      <x:c r="R80" s="30" t="str">
        <x:v>前排减压</x:v>
      </x:c>
      <x:c r="S80" s="30" t="str">
        <x:v>B1 横扫三格</x:v>
      </x:c>
      <x:c r="T80" s="30" t="str">
        <x:v>扫击/3格</x:v>
      </x:c>
      <x:c r="U80" s="30" t="str">
        <x:v>输出</x:v>
      </x:c>
      <x:c r="V80" s="30" t="str">
        <x:v>castleReduce</x:v>
      </x:c>
      <x:c r="W80" s="30" t="str">
        <x:v>火、输出、爆发、前排</x:v>
      </x:c>
      <x:c r="X80" s="30" t="str">
        <x:v>—</x:v>
      </x:c>
      <x:c r="Y80" s="51"/>
      <x:c r="Z80" s="32" t="str">
        <x:v>pal_079</x:v>
      </x:c>
    </x:row>
    <x:row r="81">
      <x:c r="A81" s="29" t="str">
        <x:v>No.077</x:v>
      </x:c>
      <x:c r="B81" s="30" t="str">
        <x:v>踏春兔</x:v>
      </x:c>
      <x:c r="C81" s="30" t="str">
        <x:v>风</x:v>
      </x:c>
      <x:c r="D81" s="30" t="str">
        <x:v>草</x:v>
      </x:c>
      <x:c r="E81" s="30" t="str">
        <x:v>白银</x:v>
      </x:c>
      <x:c r="F81" s="30" t="str">
        <x:v>小型</x:v>
      </x:c>
      <x:c r="G81" s="30" t="str">
        <x:v>治疗</x:v>
      </x:c>
      <x:c r="H81" s="49" t="n">
        <x:f>IF(E81="青铜",IF(F81="小型",50,IF(F81="中型",80,128)),IF(E81="白银",IF(F81="小型",100,IF(F81="中型",160,256)),IF(E81="黄金",IF(F81="小型",160,IF(F81="中型",256,410)),IF(E81="钻石",IF(F81="小型",240,IF(F81="中型",384,614)),""))))</x:f>
        <x:v>100</x:v>
      </x:c>
      <x:c r="I81" s="49" t="n">
        <x:f>K81+L81</x:f>
        <x:v>100</x:v>
      </x:c>
      <x:c r="J81" s="49" t="n">
        <x:f>I81-H81</x:f>
        <x:v>0</x:v>
      </x:c>
      <x:c r="K81" s="49" t="n">
        <x:f>M81+N81*3+O81*3+P81*5+Q81*5</x:f>
        <x:v>76</x:v>
      </x:c>
      <x:c r="L81" s="49" t="n">
        <x:v>24</x:v>
      </x:c>
      <x:c r="M81" s="31" t="n">
        <x:v>25</x:v>
      </x:c>
      <x:c r="N81" s="31" t="n">
        <x:v>12</x:v>
      </x:c>
      <x:c r="O81" s="31" t="n">
        <x:v>0</x:v>
      </x:c>
      <x:c r="P81" s="31" t="n">
        <x:v>0</x:v>
      </x:c>
      <x:c r="Q81" s="31" t="n">
        <x:v>3</x:v>
      </x:c>
      <x:c r="R81" s="30" t="str">
        <x:v>治疗续航</x:v>
      </x:c>
      <x:c r="S81" s="30" t="str">
        <x:v>T1 标准前置T</x:v>
      </x:c>
      <x:c r="T81" s="30" t="str">
        <x:v>T形/4格</x:v>
      </x:c>
      <x:c r="U81" s="30" t="str">
        <x:v>场地</x:v>
      </x:c>
      <x:c r="V81" s="30" t="str">
        <x:v>healAmpBonus</x:v>
      </x:c>
      <x:c r="W81" s="30" t="str">
        <x:v>风、治疗、后排、增益</x:v>
      </x:c>
      <x:c r="X81" s="30" t="str">
        <x:v>—</x:v>
      </x:c>
      <x:c r="Y81" s="51" t="str">
        <x:v>治疗补预算</x:v>
      </x:c>
      <x:c r="Z81" s="32" t="str">
        <x:v>pal_080</x:v>
      </x:c>
    </x:row>
    <x:row r="82">
      <x:c r="A82" s="29" t="str">
        <x:v>No.078</x:v>
      </x:c>
      <x:c r="B82" s="30" t="str">
        <x:v>薇莉塔</x:v>
      </x:c>
      <x:c r="C82" s="30" t="str">
        <x:v>风</x:v>
      </x:c>
      <x:c r="D82" s="30" t="str">
        <x:v>草</x:v>
      </x:c>
      <x:c r="E82" s="30" t="str">
        <x:v>白银</x:v>
      </x:c>
      <x:c r="F82" s="30" t="str">
        <x:v>小型</x:v>
      </x:c>
      <x:c r="G82" s="30" t="str">
        <x:v>治疗</x:v>
      </x:c>
      <x:c r="H82" s="49" t="n">
        <x:f>IF(E82="青铜",IF(F82="小型",50,IF(F82="中型",80,128)),IF(E82="白银",IF(F82="小型",100,IF(F82="中型",160,256)),IF(E82="黄金",IF(F82="小型",160,IF(F82="中型",256,410)),IF(E82="钻石",IF(F82="小型",240,IF(F82="中型",384,614)),""))))</x:f>
        <x:v>100</x:v>
      </x:c>
      <x:c r="I82" s="49" t="n">
        <x:f>K82+L82</x:f>
        <x:v>100</x:v>
      </x:c>
      <x:c r="J82" s="49" t="n">
        <x:f>I82-H82</x:f>
        <x:v>0</x:v>
      </x:c>
      <x:c r="K82" s="49" t="n">
        <x:f>M82+N82*3+O82*3+P82*5+Q82*5</x:f>
        <x:v>76</x:v>
      </x:c>
      <x:c r="L82" s="49" t="n">
        <x:v>24</x:v>
      </x:c>
      <x:c r="M82" s="31" t="n">
        <x:v>25</x:v>
      </x:c>
      <x:c r="N82" s="31" t="n">
        <x:v>12</x:v>
      </x:c>
      <x:c r="O82" s="31" t="n">
        <x:v>0</x:v>
      </x:c>
      <x:c r="P82" s="31" t="n">
        <x:v>0</x:v>
      </x:c>
      <x:c r="Q82" s="31" t="n">
        <x:v>3</x:v>
      </x:c>
      <x:c r="R82" s="30" t="str">
        <x:v>治疗续航</x:v>
      </x:c>
      <x:c r="S82" s="30" t="str">
        <x:v>T1 标准前置T</x:v>
      </x:c>
      <x:c r="T82" s="30" t="str">
        <x:v>T形/4格</x:v>
      </x:c>
      <x:c r="U82" s="30" t="str">
        <x:v>场地</x:v>
      </x:c>
      <x:c r="V82" s="30" t="str">
        <x:v>healAmpBonus</x:v>
      </x:c>
      <x:c r="W82" s="30" t="str">
        <x:v>风、治疗、后排、增益</x:v>
      </x:c>
      <x:c r="X82" s="30" t="str">
        <x:v>—</x:v>
      </x:c>
      <x:c r="Y82" s="51" t="str">
        <x:v>治疗补预算</x:v>
      </x:c>
      <x:c r="Z82" s="32" t="str">
        <x:v>pal_081</x:v>
      </x:c>
    </x:row>
    <x:row r="83">
      <x:c r="A83" s="29" t="str">
        <x:v>No.079</x:v>
      </x:c>
      <x:c r="B83" s="30" t="str">
        <x:v>绸笠蛾</x:v>
      </x:c>
      <x:c r="C83" s="30" t="str">
        <x:v>水</x:v>
      </x:c>
      <x:c r="D83" s="30" t="str">
        <x:v>冰</x:v>
      </x:c>
      <x:c r="E83" s="30" t="str">
        <x:v>白银</x:v>
      </x:c>
      <x:c r="F83" s="30" t="str">
        <x:v>小型</x:v>
      </x:c>
      <x:c r="G83" s="30" t="str">
        <x:v>治疗</x:v>
      </x:c>
      <x:c r="H83" s="49" t="n">
        <x:f>IF(E83="青铜",IF(F83="小型",50,IF(F83="中型",80,128)),IF(E83="白银",IF(F83="小型",100,IF(F83="中型",160,256)),IF(E83="黄金",IF(F83="小型",160,IF(F83="中型",256,410)),IF(E83="钻石",IF(F83="小型",240,IF(F83="中型",384,614)),""))))</x:f>
        <x:v>100</x:v>
      </x:c>
      <x:c r="I83" s="49" t="n">
        <x:f>K83+L83</x:f>
        <x:v>100</x:v>
      </x:c>
      <x:c r="J83" s="49" t="n">
        <x:f>I83-H83</x:f>
        <x:v>0</x:v>
      </x:c>
      <x:c r="K83" s="49" t="n">
        <x:f>M83+N83*3+O83*3+P83*5+Q83*5</x:f>
        <x:v>76</x:v>
      </x:c>
      <x:c r="L83" s="49" t="n">
        <x:v>24</x:v>
      </x:c>
      <x:c r="M83" s="31" t="n">
        <x:v>25</x:v>
      </x:c>
      <x:c r="N83" s="31" t="n">
        <x:v>12</x:v>
      </x:c>
      <x:c r="O83" s="31" t="n">
        <x:v>0</x:v>
      </x:c>
      <x:c r="P83" s="31" t="n">
        <x:v>0</x:v>
      </x:c>
      <x:c r="Q83" s="31" t="n">
        <x:v>3</x:v>
      </x:c>
      <x:c r="R83" s="30" t="str">
        <x:v>治疗续航</x:v>
      </x:c>
      <x:c r="S83" s="30" t="str">
        <x:v>T1 标准前置T</x:v>
      </x:c>
      <x:c r="T83" s="30" t="str">
        <x:v>T形/4格</x:v>
      </x:c>
      <x:c r="U83" s="30" t="str">
        <x:v>场地</x:v>
      </x:c>
      <x:c r="V83" s="30" t="str">
        <x:v>healAmpBonus</x:v>
      </x:c>
      <x:c r="W83" s="30" t="str">
        <x:v>水、治疗、后排、增益</x:v>
      </x:c>
      <x:c r="X83" s="30" t="str">
        <x:v>—</x:v>
      </x:c>
      <x:c r="Y83" s="51" t="str">
        <x:v>治疗补预算</x:v>
      </x:c>
      <x:c r="Z83" s="32" t="str">
        <x:v>pal_082</x:v>
      </x:c>
    </x:row>
    <x:row r="84">
      <x:c r="A84" s="29" t="str">
        <x:v>No.080</x:v>
      </x:c>
      <x:c r="B84" s="30" t="str">
        <x:v>精灵龙</x:v>
      </x:c>
      <x:c r="C84" s="30" t="str">
        <x:v>风</x:v>
      </x:c>
      <x:c r="D84" s="30" t="str">
        <x:v>龙</x:v>
      </x:c>
      <x:c r="E84" s="30" t="str">
        <x:v>白银</x:v>
      </x:c>
      <x:c r="F84" s="30" t="str">
        <x:v>中型</x:v>
      </x:c>
      <x:c r="G84" s="30" t="str">
        <x:v>召唤</x:v>
      </x:c>
      <x:c r="H84" s="49" t="n">
        <x:f>IF(E84="青铜",IF(F84="小型",50,IF(F84="中型",80,128)),IF(E84="白银",IF(F84="小型",100,IF(F84="中型",160,256)),IF(E84="黄金",IF(F84="小型",160,IF(F84="中型",256,410)),IF(E84="钻石",IF(F84="小型",240,IF(F84="中型",384,614)),""))))</x:f>
        <x:v>160</x:v>
      </x:c>
      <x:c r="I84" s="49" t="n">
        <x:f>K84+L84</x:f>
        <x:v>160</x:v>
      </x:c>
      <x:c r="J84" s="49" t="n">
        <x:f>I84-H84</x:f>
        <x:v>0</x:v>
      </x:c>
      <x:c r="K84" s="49" t="n">
        <x:f>M84+N84*3+O84*3+P84*5+Q84*5</x:f>
        <x:v>128</x:v>
      </x:c>
      <x:c r="L84" s="49" t="n">
        <x:v>32</x:v>
      </x:c>
      <x:c r="M84" s="31" t="n">
        <x:v>35</x:v>
      </x:c>
      <x:c r="N84" s="31" t="n">
        <x:v>26</x:v>
      </x:c>
      <x:c r="O84" s="31" t="n">
        <x:v>0</x:v>
      </x:c>
      <x:c r="P84" s="31" t="n">
        <x:v>0</x:v>
      </x:c>
      <x:c r="Q84" s="31" t="n">
        <x:v>3</x:v>
      </x:c>
      <x:c r="R84" s="30" t="str">
        <x:v>落子召唤</x:v>
      </x:c>
      <x:c r="S84" s="30" t="str">
        <x:v>A1 单点刺</x:v>
      </x:c>
      <x:c r="T84" s="30" t="str">
        <x:v>直线/1格</x:v>
      </x:c>
      <x:c r="U84" s="30" t="str">
        <x:v>召唤</x:v>
      </x:c>
      <x:c r="V84" s="30" t="str">
        <x:v>summonFromCell</x:v>
      </x:c>
      <x:c r="W84" s="30" t="str">
        <x:v>风、召唤、成长、核心</x:v>
      </x:c>
      <x:c r="X84" s="30" t="str">
        <x:v>是</x:v>
      </x:c>
      <x:c r="Y84" s="51" t="str">
        <x:v>召唤补预算</x:v>
      </x:c>
      <x:c r="Z84" s="32" t="str">
        <x:v>pal_083</x:v>
      </x:c>
    </x:row>
    <x:row r="85">
      <x:c r="A85" s="29" t="str">
        <x:v>No.080B</x:v>
      </x:c>
      <x:c r="B85" s="30" t="str">
        <x:v>水灵龙</x:v>
      </x:c>
      <x:c r="C85" s="30" t="str">
        <x:v>水</x:v>
      </x:c>
      <x:c r="D85" s="30" t="str">
        <x:v>龙、水</x:v>
      </x:c>
      <x:c r="E85" s="30" t="str">
        <x:v>白银</x:v>
      </x:c>
      <x:c r="F85" s="30" t="str">
        <x:v>中型</x:v>
      </x:c>
      <x:c r="G85" s="30" t="str">
        <x:v>治疗</x:v>
      </x:c>
      <x:c r="H85" s="49" t="n">
        <x:f>IF(E85="青铜",IF(F85="小型",50,IF(F85="中型",80,128)),IF(E85="白银",IF(F85="小型",100,IF(F85="中型",160,256)),IF(E85="黄金",IF(F85="小型",160,IF(F85="中型",256,410)),IF(E85="钻石",IF(F85="小型",240,IF(F85="中型",384,614)),""))))</x:f>
        <x:v>160</x:v>
      </x:c>
      <x:c r="I85" s="49" t="n">
        <x:f>K85+L85</x:f>
        <x:v>160</x:v>
      </x:c>
      <x:c r="J85" s="49" t="n">
        <x:f>I85-H85</x:f>
        <x:v>0</x:v>
      </x:c>
      <x:c r="K85" s="49" t="n">
        <x:f>M85+N85*3+O85*3+P85*5+Q85*5</x:f>
        <x:v>136</x:v>
      </x:c>
      <x:c r="L85" s="49" t="n">
        <x:v>24</x:v>
      </x:c>
      <x:c r="M85" s="31" t="n">
        <x:v>40</x:v>
      </x:c>
      <x:c r="N85" s="31" t="n">
        <x:v>27</x:v>
      </x:c>
      <x:c r="O85" s="31" t="n">
        <x:v>0</x:v>
      </x:c>
      <x:c r="P85" s="31" t="n">
        <x:v>0</x:v>
      </x:c>
      <x:c r="Q85" s="31" t="n">
        <x:v>3</x:v>
      </x:c>
      <x:c r="R85" s="30" t="str">
        <x:v>治疗续航</x:v>
      </x:c>
      <x:c r="S85" s="30" t="str">
        <x:v>T1 标准前置T</x:v>
      </x:c>
      <x:c r="T85" s="30" t="str">
        <x:v>T形/4格</x:v>
      </x:c>
      <x:c r="U85" s="30" t="str">
        <x:v>场地</x:v>
      </x:c>
      <x:c r="V85" s="30" t="str">
        <x:v>healAmpBonus</x:v>
      </x:c>
      <x:c r="W85" s="30" t="str">
        <x:v>水、治疗、后排、增益</x:v>
      </x:c>
      <x:c r="X85" s="30" t="str">
        <x:v>—</x:v>
      </x:c>
      <x:c r="Y85" s="51" t="str">
        <x:v>治疗补预算</x:v>
      </x:c>
      <x:c r="Z85" s="32" t="str">
        <x:v>pal_084</x:v>
      </x:c>
    </x:row>
    <x:row r="86">
      <x:c r="A86" s="29" t="str">
        <x:v>No.081</x:v>
      </x:c>
      <x:c r="B86" s="30" t="str">
        <x:v>水灵儿</x:v>
      </x:c>
      <x:c r="C86" s="30" t="str">
        <x:v>水</x:v>
      </x:c>
      <x:c r="D86" s="30"/>
      <x:c r="E86" s="30" t="str">
        <x:v>白银</x:v>
      </x:c>
      <x:c r="F86" s="30" t="str">
        <x:v>小型</x:v>
      </x:c>
      <x:c r="G86" s="30" t="str">
        <x:v>治疗</x:v>
      </x:c>
      <x:c r="H86" s="49" t="n">
        <x:f>IF(E86="青铜",IF(F86="小型",50,IF(F86="中型",80,128)),IF(E86="白银",IF(F86="小型",100,IF(F86="中型",160,256)),IF(E86="黄金",IF(F86="小型",160,IF(F86="中型",256,410)),IF(E86="钻石",IF(F86="小型",240,IF(F86="中型",384,614)),""))))</x:f>
        <x:v>100</x:v>
      </x:c>
      <x:c r="I86" s="49" t="n">
        <x:f>K86+L86</x:f>
        <x:v>100</x:v>
      </x:c>
      <x:c r="J86" s="49" t="n">
        <x:f>I86-H86</x:f>
        <x:v>0</x:v>
      </x:c>
      <x:c r="K86" s="49" t="n">
        <x:f>M86+N86*3+O86*3+P86*5+Q86*5</x:f>
        <x:v>76</x:v>
      </x:c>
      <x:c r="L86" s="49" t="n">
        <x:v>24</x:v>
      </x:c>
      <x:c r="M86" s="31" t="n">
        <x:v>25</x:v>
      </x:c>
      <x:c r="N86" s="31" t="n">
        <x:v>12</x:v>
      </x:c>
      <x:c r="O86" s="31" t="n">
        <x:v>0</x:v>
      </x:c>
      <x:c r="P86" s="31" t="n">
        <x:v>0</x:v>
      </x:c>
      <x:c r="Q86" s="31" t="n">
        <x:v>3</x:v>
      </x:c>
      <x:c r="R86" s="30" t="str">
        <x:v>治疗续航</x:v>
      </x:c>
      <x:c r="S86" s="30" t="str">
        <x:v>T1 标准前置T</x:v>
      </x:c>
      <x:c r="T86" s="30" t="str">
        <x:v>T形/4格</x:v>
      </x:c>
      <x:c r="U86" s="30" t="str">
        <x:v>场地</x:v>
      </x:c>
      <x:c r="V86" s="30" t="str">
        <x:v>healAmpBonus</x:v>
      </x:c>
      <x:c r="W86" s="30" t="str">
        <x:v>水、治疗、后排、增益</x:v>
      </x:c>
      <x:c r="X86" s="30" t="str">
        <x:v>—</x:v>
      </x:c>
      <x:c r="Y86" s="51" t="str">
        <x:v>治疗补预算</x:v>
      </x:c>
      <x:c r="Z86" s="32" t="str">
        <x:v>pal_085</x:v>
      </x:c>
    </x:row>
    <x:row r="87">
      <x:c r="A87" s="29" t="str">
        <x:v>No.081B</x:v>
      </x:c>
      <x:c r="B87" s="30" t="str">
        <x:v>火灵儿</x:v>
      </x:c>
      <x:c r="C87" s="30" t="str">
        <x:v>火</x:v>
      </x:c>
      <x:c r="D87" s="30"/>
      <x:c r="E87" s="30" t="str">
        <x:v>白银</x:v>
      </x:c>
      <x:c r="F87" s="30" t="str">
        <x:v>小型</x:v>
      </x:c>
      <x:c r="G87" s="30" t="str">
        <x:v>输出</x:v>
      </x:c>
      <x:c r="H87" s="49" t="n">
        <x:f>IF(E87="青铜",IF(F87="小型",50,IF(F87="中型",80,128)),IF(E87="白银",IF(F87="小型",100,IF(F87="中型",160,256)),IF(E87="黄金",IF(F87="小型",160,IF(F87="中型",256,410)),IF(E87="钻石",IF(F87="小型",240,IF(F87="中型",384,614)),""))))</x:f>
        <x:v>100</x:v>
      </x:c>
      <x:c r="I87" s="49" t="n">
        <x:f>K87+L87</x:f>
        <x:v>100</x:v>
      </x:c>
      <x:c r="J87" s="49" t="n">
        <x:f>I87-H87</x:f>
        <x:v>0</x:v>
      </x:c>
      <x:c r="K87" s="49" t="n">
        <x:f>M87+N87*3+O87*3+P87*5+Q87*5</x:f>
        <x:v>84</x:v>
      </x:c>
      <x:c r="L87" s="49" t="n">
        <x:v>16</x:v>
      </x:c>
      <x:c r="M87" s="31" t="n">
        <x:v>30</x:v>
      </x:c>
      <x:c r="N87" s="31" t="n">
        <x:v>13</x:v>
      </x:c>
      <x:c r="O87" s="31" t="n">
        <x:v>0</x:v>
      </x:c>
      <x:c r="P87" s="31" t="n">
        <x:v>0</x:v>
      </x:c>
      <x:c r="Q87" s="31" t="n">
        <x:v>3</x:v>
      </x:c>
      <x:c r="R87" s="30" t="str">
        <x:v>前排减压</x:v>
      </x:c>
      <x:c r="S87" s="30" t="str">
        <x:v>B1 横扫三格</x:v>
      </x:c>
      <x:c r="T87" s="30" t="str">
        <x:v>扫击/3格</x:v>
      </x:c>
      <x:c r="U87" s="30" t="str">
        <x:v>输出</x:v>
      </x:c>
      <x:c r="V87" s="30" t="str">
        <x:v>castleReduce</x:v>
      </x:c>
      <x:c r="W87" s="30" t="str">
        <x:v>火、输出、爆发、前排</x:v>
      </x:c>
      <x:c r="X87" s="30" t="str">
        <x:v>—</x:v>
      </x:c>
      <x:c r="Y87" s="51"/>
      <x:c r="Z87" s="32" t="str">
        <x:v>pal_086</x:v>
      </x:c>
    </x:row>
    <x:row r="88">
      <x:c r="A88" s="29" t="str">
        <x:v>No.082</x:v>
      </x:c>
      <x:c r="B88" s="30" t="str">
        <x:v>碧海龙</x:v>
      </x:c>
      <x:c r="C88" s="30" t="str">
        <x:v>水</x:v>
      </x:c>
      <x:c r="D88" s="30" t="str">
        <x:v>水、龙</x:v>
      </x:c>
      <x:c r="E88" s="30" t="str">
        <x:v>白银</x:v>
      </x:c>
      <x:c r="F88" s="30" t="str">
        <x:v>中型</x:v>
      </x:c>
      <x:c r="G88" s="30" t="str">
        <x:v>治疗</x:v>
      </x:c>
      <x:c r="H88" s="49" t="n">
        <x:f>IF(E88="青铜",IF(F88="小型",50,IF(F88="中型",80,128)),IF(E88="白银",IF(F88="小型",100,IF(F88="中型",160,256)),IF(E88="黄金",IF(F88="小型",160,IF(F88="中型",256,410)),IF(E88="钻石",IF(F88="小型",240,IF(F88="中型",384,614)),""))))</x:f>
        <x:v>160</x:v>
      </x:c>
      <x:c r="I88" s="49" t="n">
        <x:f>K88+L88</x:f>
        <x:v>160</x:v>
      </x:c>
      <x:c r="J88" s="49" t="n">
        <x:f>I88-H88</x:f>
        <x:v>0</x:v>
      </x:c>
      <x:c r="K88" s="49" t="n">
        <x:f>M88+N88*3+O88*3+P88*5+Q88*5</x:f>
        <x:v>136</x:v>
      </x:c>
      <x:c r="L88" s="49" t="n">
        <x:v>24</x:v>
      </x:c>
      <x:c r="M88" s="31" t="n">
        <x:v>40</x:v>
      </x:c>
      <x:c r="N88" s="31" t="n">
        <x:v>27</x:v>
      </x:c>
      <x:c r="O88" s="31" t="n">
        <x:v>0</x:v>
      </x:c>
      <x:c r="P88" s="31" t="n">
        <x:v>0</x:v>
      </x:c>
      <x:c r="Q88" s="31" t="n">
        <x:v>3</x:v>
      </x:c>
      <x:c r="R88" s="30" t="str">
        <x:v>治疗续航</x:v>
      </x:c>
      <x:c r="S88" s="30" t="str">
        <x:v>T1 标准前置T</x:v>
      </x:c>
      <x:c r="T88" s="30" t="str">
        <x:v>T形/4格</x:v>
      </x:c>
      <x:c r="U88" s="30" t="str">
        <x:v>场地</x:v>
      </x:c>
      <x:c r="V88" s="30" t="str">
        <x:v>healAmpBonus</x:v>
      </x:c>
      <x:c r="W88" s="30" t="str">
        <x:v>水、治疗、后排、增益</x:v>
      </x:c>
      <x:c r="X88" s="30" t="str">
        <x:v>—</x:v>
      </x:c>
      <x:c r="Y88" s="51" t="str">
        <x:v>治疗补预算</x:v>
      </x:c>
      <x:c r="Z88" s="32" t="str">
        <x:v>pal_087</x:v>
      </x:c>
    </x:row>
    <x:row r="89">
      <x:c r="A89" s="29" t="str">
        <x:v>No.083</x:v>
      </x:c>
      <x:c r="B89" s="30" t="str">
        <x:v>冰棘兽</x:v>
      </x:c>
      <x:c r="C89" s="30" t="str">
        <x:v>水</x:v>
      </x:c>
      <x:c r="D89" s="30" t="str">
        <x:v>冰</x:v>
      </x:c>
      <x:c r="E89" s="30" t="str">
        <x:v>白银</x:v>
      </x:c>
      <x:c r="F89" s="30" t="str">
        <x:v>中型</x:v>
      </x:c>
      <x:c r="G89" s="30" t="str">
        <x:v>坦克</x:v>
      </x:c>
      <x:c r="H89" s="49" t="n">
        <x:f>IF(E89="青铜",IF(F89="小型",50,IF(F89="中型",80,128)),IF(E89="白银",IF(F89="小型",100,IF(F89="中型",160,256)),IF(E89="黄金",IF(F89="小型",160,IF(F89="中型",256,410)),IF(E89="钻石",IF(F89="小型",240,IF(F89="中型",384,614)),""))))</x:f>
        <x:v>160</x:v>
      </x:c>
      <x:c r="I89" s="49" t="n">
        <x:f>K89+L89</x:f>
        <x:v>160</x:v>
      </x:c>
      <x:c r="J89" s="49" t="n">
        <x:f>I89-H89</x:f>
        <x:v>0</x:v>
      </x:c>
      <x:c r="K89" s="49" t="n">
        <x:f>M89+N89*3+O89*3+P89*5+Q89*5</x:f>
        <x:v>144</x:v>
      </x:c>
      <x:c r="L89" s="49" t="n">
        <x:v>16</x:v>
      </x:c>
      <x:c r="M89" s="31" t="n">
        <x:v>25</x:v>
      </x:c>
      <x:c r="N89" s="31" t="n">
        <x:v>18</x:v>
      </x:c>
      <x:c r="O89" s="31" t="n">
        <x:v>0</x:v>
      </x:c>
      <x:c r="P89" s="31" t="n">
        <x:v>10</x:v>
      </x:c>
      <x:c r="Q89" s="31" t="n">
        <x:v>3</x:v>
      </x:c>
      <x:c r="R89" s="30" t="str">
        <x:v>前排减压</x:v>
      </x:c>
      <x:c r="S89" s="30" t="str">
        <x:v>B1 横扫三格</x:v>
      </x:c>
      <x:c r="T89" s="30" t="str">
        <x:v>扫击/3格</x:v>
      </x:c>
      <x:c r="U89" s="30" t="str">
        <x:v>阻挡</x:v>
      </x:c>
      <x:c r="V89" s="30" t="str">
        <x:v>castleReduce</x:v>
      </x:c>
      <x:c r="W89" s="30" t="str">
        <x:v>水、防御、前排、阻挡</x:v>
      </x:c>
      <x:c r="X89" s="30" t="str">
        <x:v>—</x:v>
      </x:c>
      <x:c r="Y89" s="51" t="str">
        <x:v>旧定位=防御</x:v>
      </x:c>
      <x:c r="Z89" s="32" t="str">
        <x:v>pal_088</x:v>
      </x:c>
    </x:row>
    <x:row r="90">
      <x:c r="A90" s="29" t="str">
        <x:v>No.084</x:v>
      </x:c>
      <x:c r="B90" s="30" t="str">
        <x:v>狱焰王</x:v>
      </x:c>
      <x:c r="C90" s="30" t="str">
        <x:v>火</x:v>
      </x:c>
      <x:c r="D90" s="30"/>
      <x:c r="E90" s="30" t="str">
        <x:v>白银</x:v>
      </x:c>
      <x:c r="F90" s="30" t="str">
        <x:v>大型</x:v>
      </x:c>
      <x:c r="G90" s="30" t="str">
        <x:v>输出</x:v>
      </x:c>
      <x:c r="H90" s="49" t="n">
        <x:f>IF(E90="青铜",IF(F90="小型",50,IF(F90="中型",80,128)),IF(E90="白银",IF(F90="小型",100,IF(F90="中型",160,256)),IF(E90="黄金",IF(F90="小型",160,IF(F90="中型",256,410)),IF(E90="钻石",IF(F90="小型",240,IF(F90="中型",384,614)),""))))</x:f>
        <x:v>256</x:v>
      </x:c>
      <x:c r="I90" s="49" t="n">
        <x:f>K90+L90</x:f>
        <x:v>256</x:v>
      </x:c>
      <x:c r="J90" s="49" t="n">
        <x:f>I90-H90</x:f>
        <x:v>0</x:v>
      </x:c>
      <x:c r="K90" s="49" t="n">
        <x:f>M90+N90*3+O90*3+P90*5+Q90*5</x:f>
        <x:v>240</x:v>
      </x:c>
      <x:c r="L90" s="49" t="n">
        <x:v>16</x:v>
      </x:c>
      <x:c r="M90" s="31" t="n">
        <x:v>60</x:v>
      </x:c>
      <x:c r="N90" s="31" t="n">
        <x:v>55</x:v>
      </x:c>
      <x:c r="O90" s="31" t="n">
        <x:v>0</x:v>
      </x:c>
      <x:c r="P90" s="31" t="n">
        <x:v>0</x:v>
      </x:c>
      <x:c r="Q90" s="31" t="n">
        <x:v>3</x:v>
      </x:c>
      <x:c r="R90" s="30" t="str">
        <x:v>前排减压</x:v>
      </x:c>
      <x:c r="S90" s="30" t="str">
        <x:v>B1 横扫三格</x:v>
      </x:c>
      <x:c r="T90" s="30" t="str">
        <x:v>扫击/3格</x:v>
      </x:c>
      <x:c r="U90" s="30" t="str">
        <x:v>输出</x:v>
      </x:c>
      <x:c r="V90" s="30" t="str">
        <x:v>castleReduce</x:v>
      </x:c>
      <x:c r="W90" s="30" t="str">
        <x:v>火、输出、爆发、前排</x:v>
      </x:c>
      <x:c r="X90" s="30" t="str">
        <x:v>—</x:v>
      </x:c>
      <x:c r="Y90" s="51"/>
      <x:c r="Z90" s="32" t="str">
        <x:v>pal_089</x:v>
      </x:c>
    </x:row>
    <x:row r="91">
      <x:c r="A91" s="29" t="str">
        <x:v>No.084B</x:v>
      </x:c>
      <x:c r="B91" s="30" t="str">
        <x:v>狱阎王</x:v>
      </x:c>
      <x:c r="C91" s="30" t="str">
        <x:v>火</x:v>
      </x:c>
      <x:c r="D91" s="30" t="str">
        <x:v>火、暗</x:v>
      </x:c>
      <x:c r="E91" s="30" t="str">
        <x:v>白银</x:v>
      </x:c>
      <x:c r="F91" s="30" t="str">
        <x:v>大型</x:v>
      </x:c>
      <x:c r="G91" s="30" t="str">
        <x:v>输出</x:v>
      </x:c>
      <x:c r="H91" s="49" t="n">
        <x:f>IF(E91="青铜",IF(F91="小型",50,IF(F91="中型",80,128)),IF(E91="白银",IF(F91="小型",100,IF(F91="中型",160,256)),IF(E91="黄金",IF(F91="小型",160,IF(F91="中型",256,410)),IF(E91="钻石",IF(F91="小型",240,IF(F91="中型",384,614)),""))))</x:f>
        <x:v>256</x:v>
      </x:c>
      <x:c r="I91" s="49" t="n">
        <x:f>K91+L91</x:f>
        <x:v>256</x:v>
      </x:c>
      <x:c r="J91" s="49" t="n">
        <x:f>I91-H91</x:f>
        <x:v>0</x:v>
      </x:c>
      <x:c r="K91" s="49" t="n">
        <x:f>M91+N91*3+O91*3+P91*5+Q91*5</x:f>
        <x:v>240</x:v>
      </x:c>
      <x:c r="L91" s="49" t="n">
        <x:v>16</x:v>
      </x:c>
      <x:c r="M91" s="31" t="n">
        <x:v>60</x:v>
      </x:c>
      <x:c r="N91" s="31" t="n">
        <x:v>55</x:v>
      </x:c>
      <x:c r="O91" s="31" t="n">
        <x:v>0</x:v>
      </x:c>
      <x:c r="P91" s="31" t="n">
        <x:v>0</x:v>
      </x:c>
      <x:c r="Q91" s="31" t="n">
        <x:v>3</x:v>
      </x:c>
      <x:c r="R91" s="30" t="str">
        <x:v>前排减压</x:v>
      </x:c>
      <x:c r="S91" s="30" t="str">
        <x:v>B1 横扫三格</x:v>
      </x:c>
      <x:c r="T91" s="30" t="str">
        <x:v>扫击/3格</x:v>
      </x:c>
      <x:c r="U91" s="30" t="str">
        <x:v>输出</x:v>
      </x:c>
      <x:c r="V91" s="30" t="str">
        <x:v>castleReduce</x:v>
      </x:c>
      <x:c r="W91" s="30" t="str">
        <x:v>火、输出、爆发、前排</x:v>
      </x:c>
      <x:c r="X91" s="30" t="str">
        <x:v>—</x:v>
      </x:c>
      <x:c r="Y91" s="51"/>
      <x:c r="Z91" s="32" t="str">
        <x:v>pal_090</x:v>
      </x:c>
    </x:row>
    <x:row r="92">
      <x:c r="A92" s="29" t="str">
        <x:v>No.085</x:v>
      </x:c>
      <x:c r="B92" s="30" t="str">
        <x:v>佩克龙</x:v>
      </x:c>
      <x:c r="C92" s="30" t="str">
        <x:v>水</x:v>
      </x:c>
      <x:c r="D92" s="30" t="str">
        <x:v>龙、水</x:v>
      </x:c>
      <x:c r="E92" s="30" t="str">
        <x:v>白银</x:v>
      </x:c>
      <x:c r="F92" s="30" t="str">
        <x:v>大型</x:v>
      </x:c>
      <x:c r="G92" s="30" t="str">
        <x:v>坦克</x:v>
      </x:c>
      <x:c r="H92" s="49" t="n">
        <x:f>IF(E92="青铜",IF(F92="小型",50,IF(F92="中型",80,128)),IF(E92="白银",IF(F92="小型",100,IF(F92="中型",160,256)),IF(E92="黄金",IF(F92="小型",160,IF(F92="中型",256,410)),IF(E92="钻石",IF(F92="小型",240,IF(F92="中型",384,614)),""))))</x:f>
        <x:v>256</x:v>
      </x:c>
      <x:c r="I92" s="49" t="n">
        <x:f>K92+L92</x:f>
        <x:v>256</x:v>
      </x:c>
      <x:c r="J92" s="49" t="n">
        <x:f>I92-H92</x:f>
        <x:v>0</x:v>
      </x:c>
      <x:c r="K92" s="49" t="n">
        <x:f>M92+N92*3+O92*3+P92*5+Q92*5</x:f>
        <x:v>240</x:v>
      </x:c>
      <x:c r="L92" s="49" t="n">
        <x:v>16</x:v>
      </x:c>
      <x:c r="M92" s="31" t="n">
        <x:v>50</x:v>
      </x:c>
      <x:c r="N92" s="31" t="n">
        <x:v>35</x:v>
      </x:c>
      <x:c r="O92" s="31" t="n">
        <x:v>0</x:v>
      </x:c>
      <x:c r="P92" s="31" t="n">
        <x:v>15</x:v>
      </x:c>
      <x:c r="Q92" s="31" t="n">
        <x:v>2</x:v>
      </x:c>
      <x:c r="R92" s="30" t="str">
        <x:v>前排减压</x:v>
      </x:c>
      <x:c r="S92" s="30" t="str">
        <x:v>B1 横扫三格</x:v>
      </x:c>
      <x:c r="T92" s="30" t="str">
        <x:v>扫击/3格</x:v>
      </x:c>
      <x:c r="U92" s="30" t="str">
        <x:v>阻挡</x:v>
      </x:c>
      <x:c r="V92" s="30" t="str">
        <x:v>castleReduce</x:v>
      </x:c>
      <x:c r="W92" s="30" t="str">
        <x:v>水、防御、前排、阻挡</x:v>
      </x:c>
      <x:c r="X92" s="30" t="str">
        <x:v>—</x:v>
      </x:c>
      <x:c r="Y92" s="51" t="str">
        <x:v>旧定位=防御</x:v>
      </x:c>
      <x:c r="Z92" s="32" t="str">
        <x:v>pal_091</x:v>
      </x:c>
    </x:row>
    <x:row r="93">
      <x:c r="A93" s="29" t="str">
        <x:v>No.085B</x:v>
      </x:c>
      <x:c r="B93" s="30" t="str">
        <x:v>派克龙</x:v>
      </x:c>
      <x:c r="C93" s="30" t="str">
        <x:v>风</x:v>
      </x:c>
      <x:c r="D93" s="30" t="str">
        <x:v>龙、雷</x:v>
      </x:c>
      <x:c r="E93" s="30" t="str">
        <x:v>白银</x:v>
      </x:c>
      <x:c r="F93" s="30" t="str">
        <x:v>中型</x:v>
      </x:c>
      <x:c r="G93" s="30" t="str">
        <x:v>控制</x:v>
      </x:c>
      <x:c r="H93" s="49" t="n">
        <x:f>IF(E93="青铜",IF(F93="小型",50,IF(F93="中型",80,128)),IF(E93="白银",IF(F93="小型",100,IF(F93="中型",160,256)),IF(E93="黄金",IF(F93="小型",160,IF(F93="中型",256,410)),IF(E93="钻石",IF(F93="小型",240,IF(F93="中型",384,614)),""))))</x:f>
        <x:v>160</x:v>
      </x:c>
      <x:c r="I93" s="49" t="n">
        <x:f>K93+L93</x:f>
        <x:v>160</x:v>
      </x:c>
      <x:c r="J93" s="49" t="n">
        <x:f>I93-H93</x:f>
        <x:v>0</x:v>
      </x:c>
      <x:c r="K93" s="49" t="n">
        <x:f>M93+N93*3+O93*3+P93*5+Q93*5</x:f>
        <x:v>136</x:v>
      </x:c>
      <x:c r="L93" s="49" t="n">
        <x:v>24</x:v>
      </x:c>
      <x:c r="M93" s="31" t="n">
        <x:v>35</x:v>
      </x:c>
      <x:c r="N93" s="31" t="n">
        <x:v>27</x:v>
      </x:c>
      <x:c r="O93" s="31" t="n">
        <x:v>0</x:v>
      </x:c>
      <x:c r="P93" s="31" t="n">
        <x:v>0</x:v>
      </x:c>
      <x:c r="Q93" s="31" t="n">
        <x:v>4</x:v>
      </x:c>
      <x:c r="R93" s="30" t="str">
        <x:v>补刀控场</x:v>
      </x:c>
      <x:c r="S93" s="30" t="str">
        <x:v>T2 长柄T</x:v>
      </x:c>
      <x:c r="T93" s="30" t="str">
        <x:v>T形/5格</x:v>
      </x:c>
      <x:c r="U93" s="30" t="str">
        <x:v>牵制</x:v>
      </x:c>
      <x:c r="V93" s="30" t="str">
        <x:v>advHitBonus</x:v>
      </x:c>
      <x:c r="W93" s="30" t="str">
        <x:v>风、牵制、范围、机动</x:v>
      </x:c>
      <x:c r="X93" s="30" t="str">
        <x:v>—</x:v>
      </x:c>
      <x:c r="Y93" s="51" t="str">
        <x:v>旧定位=牵制；控制补预算</x:v>
      </x:c>
      <x:c r="Z93" s="32" t="str">
        <x:v>pal_092</x:v>
      </x:c>
    </x:row>
    <x:row r="94">
      <x:c r="A94" s="29" t="str">
        <x:v>No.086</x:v>
      </x:c>
      <x:c r="B94" s="30" t="str">
        <x:v>连理龙</x:v>
      </x:c>
      <x:c r="C94" s="30" t="str">
        <x:v>风</x:v>
      </x:c>
      <x:c r="D94" s="30" t="str">
        <x:v>草</x:v>
      </x:c>
      <x:c r="E94" s="30" t="str">
        <x:v>白银</x:v>
      </x:c>
      <x:c r="F94" s="30" t="str">
        <x:v>中型</x:v>
      </x:c>
      <x:c r="G94" s="30" t="str">
        <x:v>召唤</x:v>
      </x:c>
      <x:c r="H94" s="49" t="n">
        <x:f>IF(E94="青铜",IF(F94="小型",50,IF(F94="中型",80,128)),IF(E94="白银",IF(F94="小型",100,IF(F94="中型",160,256)),IF(E94="黄金",IF(F94="小型",160,IF(F94="中型",256,410)),IF(E94="钻石",IF(F94="小型",240,IF(F94="中型",384,614)),""))))</x:f>
        <x:v>160</x:v>
      </x:c>
      <x:c r="I94" s="49" t="n">
        <x:f>K94+L94</x:f>
        <x:v>160</x:v>
      </x:c>
      <x:c r="J94" s="49" t="n">
        <x:f>I94-H94</x:f>
        <x:v>0</x:v>
      </x:c>
      <x:c r="K94" s="49" t="n">
        <x:f>M94+N94*3+O94*3+P94*5+Q94*5</x:f>
        <x:v>128</x:v>
      </x:c>
      <x:c r="L94" s="49" t="n">
        <x:v>32</x:v>
      </x:c>
      <x:c r="M94" s="31" t="n">
        <x:v>35</x:v>
      </x:c>
      <x:c r="N94" s="31" t="n">
        <x:v>26</x:v>
      </x:c>
      <x:c r="O94" s="31" t="n">
        <x:v>0</x:v>
      </x:c>
      <x:c r="P94" s="31" t="n">
        <x:v>0</x:v>
      </x:c>
      <x:c r="Q94" s="31" t="n">
        <x:v>3</x:v>
      </x:c>
      <x:c r="R94" s="30" t="str">
        <x:v>落子召唤</x:v>
      </x:c>
      <x:c r="S94" s="30" t="str">
        <x:v>A1 单点刺</x:v>
      </x:c>
      <x:c r="T94" s="30" t="str">
        <x:v>直线/1格</x:v>
      </x:c>
      <x:c r="U94" s="30" t="str">
        <x:v>召唤</x:v>
      </x:c>
      <x:c r="V94" s="30" t="str">
        <x:v>summonFromCell</x:v>
      </x:c>
      <x:c r="W94" s="30" t="str">
        <x:v>风、召唤、成长、核心</x:v>
      </x:c>
      <x:c r="X94" s="30" t="str">
        <x:v>是</x:v>
      </x:c>
      <x:c r="Y94" s="51" t="str">
        <x:v>召唤补预算</x:v>
      </x:c>
      <x:c r="Z94" s="32" t="str">
        <x:v>pal_093</x:v>
      </x:c>
    </x:row>
    <x:row r="95">
      <x:c r="A95" s="29" t="str">
        <x:v>No.086B</x:v>
      </x:c>
      <x:c r="B95" s="30" t="str">
        <x:v>海誓龙</x:v>
      </x:c>
      <x:c r="C95" s="30" t="str">
        <x:v>水</x:v>
      </x:c>
      <x:c r="D95" s="30" t="str">
        <x:v>草、水</x:v>
      </x:c>
      <x:c r="E95" s="30" t="str">
        <x:v>白银</x:v>
      </x:c>
      <x:c r="F95" s="30" t="str">
        <x:v>中型</x:v>
      </x:c>
      <x:c r="G95" s="30" t="str">
        <x:v>治疗</x:v>
      </x:c>
      <x:c r="H95" s="49" t="n">
        <x:f>IF(E95="青铜",IF(F95="小型",50,IF(F95="中型",80,128)),IF(E95="白银",IF(F95="小型",100,IF(F95="中型",160,256)),IF(E95="黄金",IF(F95="小型",160,IF(F95="中型",256,410)),IF(E95="钻石",IF(F95="小型",240,IF(F95="中型",384,614)),""))))</x:f>
        <x:v>160</x:v>
      </x:c>
      <x:c r="I95" s="49" t="n">
        <x:f>K95+L95</x:f>
        <x:v>160</x:v>
      </x:c>
      <x:c r="J95" s="49" t="n">
        <x:f>I95-H95</x:f>
        <x:v>0</x:v>
      </x:c>
      <x:c r="K95" s="49" t="n">
        <x:f>M95+N95*3+O95*3+P95*5+Q95*5</x:f>
        <x:v>136</x:v>
      </x:c>
      <x:c r="L95" s="49" t="n">
        <x:v>24</x:v>
      </x:c>
      <x:c r="M95" s="31" t="n">
        <x:v>40</x:v>
      </x:c>
      <x:c r="N95" s="31" t="n">
        <x:v>27</x:v>
      </x:c>
      <x:c r="O95" s="31" t="n">
        <x:v>0</x:v>
      </x:c>
      <x:c r="P95" s="31" t="n">
        <x:v>0</x:v>
      </x:c>
      <x:c r="Q95" s="31" t="n">
        <x:v>3</x:v>
      </x:c>
      <x:c r="R95" s="30" t="str">
        <x:v>治疗续航</x:v>
      </x:c>
      <x:c r="S95" s="30" t="str">
        <x:v>T1 标准前置T</x:v>
      </x:c>
      <x:c r="T95" s="30" t="str">
        <x:v>T形/4格</x:v>
      </x:c>
      <x:c r="U95" s="30" t="str">
        <x:v>场地</x:v>
      </x:c>
      <x:c r="V95" s="30" t="str">
        <x:v>healAmpBonus</x:v>
      </x:c>
      <x:c r="W95" s="30" t="str">
        <x:v>水、治疗、后排、增益</x:v>
      </x:c>
      <x:c r="X95" s="30" t="str">
        <x:v>—</x:v>
      </x:c>
      <x:c r="Y95" s="51" t="str">
        <x:v>治疗补预算</x:v>
      </x:c>
      <x:c r="Z95" s="32" t="str">
        <x:v>pal_094</x:v>
      </x:c>
    </x:row>
    <x:row r="96">
      <x:c r="A96" s="29" t="str">
        <x:v>No.087</x:v>
      </x:c>
      <x:c r="B96" s="30" t="str">
        <x:v>花丽娜</x:v>
      </x:c>
      <x:c r="C96" s="30" t="str">
        <x:v>风</x:v>
      </x:c>
      <x:c r="D96" s="30" t="str">
        <x:v>草</x:v>
      </x:c>
      <x:c r="E96" s="30" t="str">
        <x:v>白银</x:v>
      </x:c>
      <x:c r="F96" s="30" t="str">
        <x:v>小型</x:v>
      </x:c>
      <x:c r="G96" s="30" t="str">
        <x:v>治疗</x:v>
      </x:c>
      <x:c r="H96" s="49" t="n">
        <x:f>IF(E96="青铜",IF(F96="小型",50,IF(F96="中型",80,128)),IF(E96="白银",IF(F96="小型",100,IF(F96="中型",160,256)),IF(E96="黄金",IF(F96="小型",160,IF(F96="中型",256,410)),IF(E96="钻石",IF(F96="小型",240,IF(F96="中型",384,614)),""))))</x:f>
        <x:v>100</x:v>
      </x:c>
      <x:c r="I96" s="49" t="n">
        <x:f>K96+L96</x:f>
        <x:v>100</x:v>
      </x:c>
      <x:c r="J96" s="49" t="n">
        <x:f>I96-H96</x:f>
        <x:v>0</x:v>
      </x:c>
      <x:c r="K96" s="49" t="n">
        <x:f>M96+N96*3+O96*3+P96*5+Q96*5</x:f>
        <x:v>76</x:v>
      </x:c>
      <x:c r="L96" s="49" t="n">
        <x:v>24</x:v>
      </x:c>
      <x:c r="M96" s="31" t="n">
        <x:v>25</x:v>
      </x:c>
      <x:c r="N96" s="31" t="n">
        <x:v>12</x:v>
      </x:c>
      <x:c r="O96" s="31" t="n">
        <x:v>0</x:v>
      </x:c>
      <x:c r="P96" s="31" t="n">
        <x:v>0</x:v>
      </x:c>
      <x:c r="Q96" s="31" t="n">
        <x:v>3</x:v>
      </x:c>
      <x:c r="R96" s="30" t="str">
        <x:v>治疗续航</x:v>
      </x:c>
      <x:c r="S96" s="30" t="str">
        <x:v>T1 标准前置T</x:v>
      </x:c>
      <x:c r="T96" s="30" t="str">
        <x:v>T形/4格</x:v>
      </x:c>
      <x:c r="U96" s="30" t="str">
        <x:v>场地</x:v>
      </x:c>
      <x:c r="V96" s="30" t="str">
        <x:v>healAmpBonus</x:v>
      </x:c>
      <x:c r="W96" s="30" t="str">
        <x:v>风、治疗、后排、增益</x:v>
      </x:c>
      <x:c r="X96" s="30" t="str">
        <x:v>—</x:v>
      </x:c>
      <x:c r="Y96" s="51" t="str">
        <x:v>治疗补预算</x:v>
      </x:c>
      <x:c r="Z96" s="32" t="str">
        <x:v>pal_095</x:v>
      </x:c>
    </x:row>
    <x:row r="97">
      <x:c r="A97" s="29" t="str">
        <x:v>No.088</x:v>
      </x:c>
      <x:c r="B97" s="30" t="str">
        <x:v>熔岩兽</x:v>
      </x:c>
      <x:c r="C97" s="30" t="str">
        <x:v>火</x:v>
      </x:c>
      <x:c r="D97" s="30" t="str">
        <x:v>火、地</x:v>
      </x:c>
      <x:c r="E97" s="30" t="str">
        <x:v>白银</x:v>
      </x:c>
      <x:c r="F97" s="30" t="str">
        <x:v>大型</x:v>
      </x:c>
      <x:c r="G97" s="30" t="str">
        <x:v>坦克</x:v>
      </x:c>
      <x:c r="H97" s="49" t="n">
        <x:f>IF(E97="青铜",IF(F97="小型",50,IF(F97="中型",80,128)),IF(E97="白银",IF(F97="小型",100,IF(F97="中型",160,256)),IF(E97="黄金",IF(F97="小型",160,IF(F97="中型",256,410)),IF(E97="钻石",IF(F97="小型",240,IF(F97="中型",384,614)),""))))</x:f>
        <x:v>256</x:v>
      </x:c>
      <x:c r="I97" s="49" t="n">
        <x:f>K97+L97</x:f>
        <x:v>256</x:v>
      </x:c>
      <x:c r="J97" s="49" t="n">
        <x:f>I97-H97</x:f>
        <x:v>0</x:v>
      </x:c>
      <x:c r="K97" s="49" t="n">
        <x:f>M97+N97*3+O97*3+P97*5+Q97*5</x:f>
        <x:v>240</x:v>
      </x:c>
      <x:c r="L97" s="49" t="n">
        <x:v>16</x:v>
      </x:c>
      <x:c r="M97" s="31" t="n">
        <x:v>50</x:v>
      </x:c>
      <x:c r="N97" s="31" t="n">
        <x:v>35</x:v>
      </x:c>
      <x:c r="O97" s="31" t="n">
        <x:v>0</x:v>
      </x:c>
      <x:c r="P97" s="31" t="n">
        <x:v>15</x:v>
      </x:c>
      <x:c r="Q97" s="31" t="n">
        <x:v>2</x:v>
      </x:c>
      <x:c r="R97" s="30" t="str">
        <x:v>前排减压</x:v>
      </x:c>
      <x:c r="S97" s="30" t="str">
        <x:v>B1 横扫三格</x:v>
      </x:c>
      <x:c r="T97" s="30" t="str">
        <x:v>扫击/3格</x:v>
      </x:c>
      <x:c r="U97" s="30" t="str">
        <x:v>阻挡</x:v>
      </x:c>
      <x:c r="V97" s="30" t="str">
        <x:v>castleReduce</x:v>
      </x:c>
      <x:c r="W97" s="30" t="str">
        <x:v>火、防御、前排、阻挡</x:v>
      </x:c>
      <x:c r="X97" s="30" t="str">
        <x:v>—</x:v>
      </x:c>
      <x:c r="Y97" s="51" t="str">
        <x:v>旧定位=防御</x:v>
      </x:c>
      <x:c r="Z97" s="32" t="str">
        <x:v>pal_096</x:v>
      </x:c>
    </x:row>
    <x:row r="98">
      <x:c r="A98" s="29" t="str">
        <x:v>No.088B</x:v>
      </x:c>
      <x:c r="B98" s="30" t="str">
        <x:v>寒霜兽</x:v>
      </x:c>
      <x:c r="C98" s="30" t="str">
        <x:v>水</x:v>
      </x:c>
      <x:c r="D98" s="30" t="str">
        <x:v>冰、地</x:v>
      </x:c>
      <x:c r="E98" s="30" t="str">
        <x:v>白银</x:v>
      </x:c>
      <x:c r="F98" s="30" t="str">
        <x:v>大型</x:v>
      </x:c>
      <x:c r="G98" s="30" t="str">
        <x:v>坦克</x:v>
      </x:c>
      <x:c r="H98" s="49" t="n">
        <x:f>IF(E98="青铜",IF(F98="小型",50,IF(F98="中型",80,128)),IF(E98="白银",IF(F98="小型",100,IF(F98="中型",160,256)),IF(E98="黄金",IF(F98="小型",160,IF(F98="中型",256,410)),IF(E98="钻石",IF(F98="小型",240,IF(F98="中型",384,614)),""))))</x:f>
        <x:v>256</x:v>
      </x:c>
      <x:c r="I98" s="49" t="n">
        <x:f>K98+L98</x:f>
        <x:v>256</x:v>
      </x:c>
      <x:c r="J98" s="49" t="n">
        <x:f>I98-H98</x:f>
        <x:v>0</x:v>
      </x:c>
      <x:c r="K98" s="49" t="n">
        <x:f>M98+N98*3+O98*3+P98*5+Q98*5</x:f>
        <x:v>240</x:v>
      </x:c>
      <x:c r="L98" s="49" t="n">
        <x:v>16</x:v>
      </x:c>
      <x:c r="M98" s="31" t="n">
        <x:v>50</x:v>
      </x:c>
      <x:c r="N98" s="31" t="n">
        <x:v>35</x:v>
      </x:c>
      <x:c r="O98" s="31" t="n">
        <x:v>0</x:v>
      </x:c>
      <x:c r="P98" s="31" t="n">
        <x:v>15</x:v>
      </x:c>
      <x:c r="Q98" s="31" t="n">
        <x:v>2</x:v>
      </x:c>
      <x:c r="R98" s="30" t="str">
        <x:v>前排减压</x:v>
      </x:c>
      <x:c r="S98" s="30" t="str">
        <x:v>B1 横扫三格</x:v>
      </x:c>
      <x:c r="T98" s="30" t="str">
        <x:v>扫击/3格</x:v>
      </x:c>
      <x:c r="U98" s="30" t="str">
        <x:v>阻挡</x:v>
      </x:c>
      <x:c r="V98" s="30" t="str">
        <x:v>castleReduce</x:v>
      </x:c>
      <x:c r="W98" s="30" t="str">
        <x:v>水、防御、前排、阻挡</x:v>
      </x:c>
      <x:c r="X98" s="30" t="str">
        <x:v>—</x:v>
      </x:c>
      <x:c r="Y98" s="51" t="str">
        <x:v>旧定位=防御</x:v>
      </x:c>
      <x:c r="Z98" s="32" t="str">
        <x:v>pal_097</x:v>
      </x:c>
    </x:row>
    <x:row r="99">
      <x:c r="A99" s="29" t="str">
        <x:v>No.089</x:v>
      </x:c>
      <x:c r="B99" s="30" t="str">
        <x:v>君王美露帕</x:v>
      </x:c>
      <x:c r="C99" s="30" t="str">
        <x:v>风</x:v>
      </x:c>
      <x:c r="D99" s="30"/>
      <x:c r="E99" s="30" t="str">
        <x:v>白银</x:v>
      </x:c>
      <x:c r="F99" s="30" t="str">
        <x:v>中型</x:v>
      </x:c>
      <x:c r="G99" s="30" t="str">
        <x:v>经济</x:v>
      </x:c>
      <x:c r="H99" s="49" t="n">
        <x:f>IF(E99="青铜",IF(F99="小型",50,IF(F99="中型",80,128)),IF(E99="白银",IF(F99="小型",100,IF(F99="中型",160,256)),IF(E99="黄金",IF(F99="小型",160,IF(F99="中型",256,410)),IF(E99="钻石",IF(F99="小型",240,IF(F99="中型",384,614)),""))))</x:f>
        <x:v>160</x:v>
      </x:c>
      <x:c r="I99" s="49" t="n">
        <x:f>K99+L99</x:f>
        <x:v>160</x:v>
      </x:c>
      <x:c r="J99" s="49" t="n">
        <x:f>I99-H99</x:f>
        <x:v>0</x:v>
      </x:c>
      <x:c r="K99" s="49" t="n">
        <x:f>M99+N99*3+O99*3+P99*5+Q99*5</x:f>
        <x:v>128</x:v>
      </x:c>
      <x:c r="L99" s="49" t="n">
        <x:v>32</x:v>
      </x:c>
      <x:c r="M99" s="31" t="n">
        <x:v>35</x:v>
      </x:c>
      <x:c r="N99" s="31" t="n">
        <x:v>26</x:v>
      </x:c>
      <x:c r="O99" s="31" t="n">
        <x:v>0</x:v>
      </x:c>
      <x:c r="P99" s="31" t="n">
        <x:v>0</x:v>
      </x:c>
      <x:c r="Q99" s="31" t="n">
        <x:v>3</x:v>
      </x:c>
      <x:c r="R99" s="30" t="str">
        <x:v>友召增益</x:v>
      </x:c>
      <x:c r="S99" s="30" t="str">
        <x:v>A1 单点刺</x:v>
      </x:c>
      <x:c r="T99" s="30" t="str">
        <x:v>直线/1格</x:v>
      </x:c>
      <x:c r="U99" s="30" t="str">
        <x:v>召唤</x:v>
      </x:c>
      <x:c r="V99" s="30" t="str">
        <x:v>buffAllSummons</x:v>
      </x:c>
      <x:c r="W99" s="30" t="str">
        <x:v>风、经济、召唤、发育</x:v>
      </x:c>
      <x:c r="X99" s="30" t="str">
        <x:v>是</x:v>
      </x:c>
      <x:c r="Y99" s="51" t="str">
        <x:v>经济补预算</x:v>
      </x:c>
      <x:c r="Z99" s="32" t="str">
        <x:v>pal_098</x:v>
      </x:c>
    </x:row>
    <x:row r="100">
      <x:c r="A100" s="29" t="str">
        <x:v>No.089B</x:v>
      </x:c>
      <x:c r="B100" s="30" t="str">
        <x:v>冰帝美露帕</x:v>
      </x:c>
      <x:c r="C100" s="30" t="str">
        <x:v>水</x:v>
      </x:c>
      <x:c r="D100" s="30" t="str">
        <x:v>冰</x:v>
      </x:c>
      <x:c r="E100" s="30" t="str">
        <x:v>白银</x:v>
      </x:c>
      <x:c r="F100" s="30" t="str">
        <x:v>小型</x:v>
      </x:c>
      <x:c r="G100" s="30" t="str">
        <x:v>坦克</x:v>
      </x:c>
      <x:c r="H100" s="49" t="n">
        <x:f>IF(E100="青铜",IF(F100="小型",50,IF(F100="中型",80,128)),IF(E100="白银",IF(F100="小型",100,IF(F100="中型",160,256)),IF(E100="黄金",IF(F100="小型",160,IF(F100="中型",256,410)),IF(E100="钻石",IF(F100="小型",240,IF(F100="中型",384,614)),""))))</x:f>
        <x:v>100</x:v>
      </x:c>
      <x:c r="I100" s="49" t="n">
        <x:f>K100+L100</x:f>
        <x:v>100</x:v>
      </x:c>
      <x:c r="J100" s="49" t="n">
        <x:f>I100-H100</x:f>
        <x:v>0</x:v>
      </x:c>
      <x:c r="K100" s="49" t="n">
        <x:f>M100+N100*3+O100*3+P100*5+Q100*5</x:f>
        <x:v>84</x:v>
      </x:c>
      <x:c r="L100" s="49" t="n">
        <x:v>16</x:v>
      </x:c>
      <x:c r="M100" s="31" t="n">
        <x:v>15</x:v>
      </x:c>
      <x:c r="N100" s="31" t="n">
        <x:v>8</x:v>
      </x:c>
      <x:c r="O100" s="31" t="n">
        <x:v>0</x:v>
      </x:c>
      <x:c r="P100" s="31" t="n">
        <x:v>6</x:v>
      </x:c>
      <x:c r="Q100" s="31" t="n">
        <x:v>3</x:v>
      </x:c>
      <x:c r="R100" s="30" t="str">
        <x:v>前排减压</x:v>
      </x:c>
      <x:c r="S100" s="30" t="str">
        <x:v>B1 横扫三格</x:v>
      </x:c>
      <x:c r="T100" s="30" t="str">
        <x:v>扫击/3格</x:v>
      </x:c>
      <x:c r="U100" s="30" t="str">
        <x:v>阻挡</x:v>
      </x:c>
      <x:c r="V100" s="30" t="str">
        <x:v>castleReduce</x:v>
      </x:c>
      <x:c r="W100" s="30" t="str">
        <x:v>水、防御、前排、阻挡</x:v>
      </x:c>
      <x:c r="X100" s="30" t="str">
        <x:v>—</x:v>
      </x:c>
      <x:c r="Y100" s="51" t="str">
        <x:v>旧定位=防御</x:v>
      </x:c>
      <x:c r="Z100" s="32" t="str">
        <x:v>pal_099</x:v>
      </x:c>
    </x:row>
    <x:row r="101">
      <x:c r="A101" s="29" t="str">
        <x:v>No.090</x:v>
      </x:c>
      <x:c r="B101" s="30" t="str">
        <x:v>森猛犸</x:v>
      </x:c>
      <x:c r="C101" s="30" t="str">
        <x:v>风</x:v>
      </x:c>
      <x:c r="D101" s="30" t="str">
        <x:v>草</x:v>
      </x:c>
      <x:c r="E101" s="30" t="str">
        <x:v>白银</x:v>
      </x:c>
      <x:c r="F101" s="30" t="str">
        <x:v>大型</x:v>
      </x:c>
      <x:c r="G101" s="30" t="str">
        <x:v>坦克</x:v>
      </x:c>
      <x:c r="H101" s="49" t="n">
        <x:f>IF(E101="青铜",IF(F101="小型",50,IF(F101="中型",80,128)),IF(E101="白银",IF(F101="小型",100,IF(F101="中型",160,256)),IF(E101="黄金",IF(F101="小型",160,IF(F101="中型",256,410)),IF(E101="钻石",IF(F101="小型",240,IF(F101="中型",384,614)),""))))</x:f>
        <x:v>256</x:v>
      </x:c>
      <x:c r="I101" s="49" t="n">
        <x:f>K101+L101</x:f>
        <x:v>256</x:v>
      </x:c>
      <x:c r="J101" s="49" t="n">
        <x:f>I101-H101</x:f>
        <x:v>0</x:v>
      </x:c>
      <x:c r="K101" s="49" t="n">
        <x:f>M101+N101*3+O101*3+P101*5+Q101*5</x:f>
        <x:v>240</x:v>
      </x:c>
      <x:c r="L101" s="49" t="n">
        <x:v>16</x:v>
      </x:c>
      <x:c r="M101" s="31" t="n">
        <x:v>50</x:v>
      </x:c>
      <x:c r="N101" s="31" t="n">
        <x:v>35</x:v>
      </x:c>
      <x:c r="O101" s="31" t="n">
        <x:v>0</x:v>
      </x:c>
      <x:c r="P101" s="31" t="n">
        <x:v>15</x:v>
      </x:c>
      <x:c r="Q101" s="31" t="n">
        <x:v>2</x:v>
      </x:c>
      <x:c r="R101" s="30" t="str">
        <x:v>前排减压</x:v>
      </x:c>
      <x:c r="S101" s="30" t="str">
        <x:v>B1 横扫三格</x:v>
      </x:c>
      <x:c r="T101" s="30" t="str">
        <x:v>扫击/3格</x:v>
      </x:c>
      <x:c r="U101" s="30" t="str">
        <x:v>阻挡</x:v>
      </x:c>
      <x:c r="V101" s="30" t="str">
        <x:v>castleReduce</x:v>
      </x:c>
      <x:c r="W101" s="30" t="str">
        <x:v>风、防御、前排、阻挡</x:v>
      </x:c>
      <x:c r="X101" s="30" t="str">
        <x:v>—</x:v>
      </x:c>
      <x:c r="Y101" s="51" t="str">
        <x:v>旧定位=防御</x:v>
      </x:c>
      <x:c r="Z101" s="32" t="str">
        <x:v>pal_100</x:v>
      </x:c>
    </x:row>
    <x:row r="102">
      <x:c r="A102" s="29" t="str">
        <x:v>No.090B</x:v>
      </x:c>
      <x:c r="B102" s="30" t="str">
        <x:v>雪猛犸</x:v>
      </x:c>
      <x:c r="C102" s="30" t="str">
        <x:v>水</x:v>
      </x:c>
      <x:c r="D102" s="30" t="str">
        <x:v>冰</x:v>
      </x:c>
      <x:c r="E102" s="30" t="str">
        <x:v>白银</x:v>
      </x:c>
      <x:c r="F102" s="30" t="str">
        <x:v>大型</x:v>
      </x:c>
      <x:c r="G102" s="30" t="str">
        <x:v>坦克</x:v>
      </x:c>
      <x:c r="H102" s="49" t="n">
        <x:f>IF(E102="青铜",IF(F102="小型",50,IF(F102="中型",80,128)),IF(E102="白银",IF(F102="小型",100,IF(F102="中型",160,256)),IF(E102="黄金",IF(F102="小型",160,IF(F102="中型",256,410)),IF(E102="钻石",IF(F102="小型",240,IF(F102="中型",384,614)),""))))</x:f>
        <x:v>256</x:v>
      </x:c>
      <x:c r="I102" s="49" t="n">
        <x:f>K102+L102</x:f>
        <x:v>256</x:v>
      </x:c>
      <x:c r="J102" s="49" t="n">
        <x:f>I102-H102</x:f>
        <x:v>0</x:v>
      </x:c>
      <x:c r="K102" s="49" t="n">
        <x:f>M102+N102*3+O102*3+P102*5+Q102*5</x:f>
        <x:v>240</x:v>
      </x:c>
      <x:c r="L102" s="49" t="n">
        <x:v>16</x:v>
      </x:c>
      <x:c r="M102" s="31" t="n">
        <x:v>50</x:v>
      </x:c>
      <x:c r="N102" s="31" t="n">
        <x:v>35</x:v>
      </x:c>
      <x:c r="O102" s="31" t="n">
        <x:v>0</x:v>
      </x:c>
      <x:c r="P102" s="31" t="n">
        <x:v>15</x:v>
      </x:c>
      <x:c r="Q102" s="31" t="n">
        <x:v>2</x:v>
      </x:c>
      <x:c r="R102" s="30" t="str">
        <x:v>前排减压</x:v>
      </x:c>
      <x:c r="S102" s="30" t="str">
        <x:v>B1 横扫三格</x:v>
      </x:c>
      <x:c r="T102" s="30" t="str">
        <x:v>扫击/3格</x:v>
      </x:c>
      <x:c r="U102" s="30" t="str">
        <x:v>阻挡</x:v>
      </x:c>
      <x:c r="V102" s="30" t="str">
        <x:v>castleReduce</x:v>
      </x:c>
      <x:c r="W102" s="30" t="str">
        <x:v>水、防御、前排、阻挡</x:v>
      </x:c>
      <x:c r="X102" s="30" t="str">
        <x:v>—</x:v>
      </x:c>
      <x:c r="Y102" s="51" t="str">
        <x:v>旧定位=防御</x:v>
      </x:c>
      <x:c r="Z102" s="32" t="str">
        <x:v>pal_101</x:v>
      </x:c>
    </x:row>
    <x:row r="103">
      <x:c r="A103" s="29" t="str">
        <x:v>No.091</x:v>
      </x:c>
      <x:c r="B103" s="30" t="str">
        <x:v>白绒雪怪</x:v>
      </x:c>
      <x:c r="C103" s="30" t="str">
        <x:v>水</x:v>
      </x:c>
      <x:c r="D103" s="30" t="str">
        <x:v>冰</x:v>
      </x:c>
      <x:c r="E103" s="30" t="str">
        <x:v>白银</x:v>
      </x:c>
      <x:c r="F103" s="30" t="str">
        <x:v>小型</x:v>
      </x:c>
      <x:c r="G103" s="30" t="str">
        <x:v>坦克</x:v>
      </x:c>
      <x:c r="H103" s="49" t="n">
        <x:f>IF(E103="青铜",IF(F103="小型",50,IF(F103="中型",80,128)),IF(E103="白银",IF(F103="小型",100,IF(F103="中型",160,256)),IF(E103="黄金",IF(F103="小型",160,IF(F103="中型",256,410)),IF(E103="钻石",IF(F103="小型",240,IF(F103="中型",384,614)),""))))</x:f>
        <x:v>100</x:v>
      </x:c>
      <x:c r="I103" s="49" t="n">
        <x:f>K103+L103</x:f>
        <x:v>100</x:v>
      </x:c>
      <x:c r="J103" s="49" t="n">
        <x:f>I103-H103</x:f>
        <x:v>0</x:v>
      </x:c>
      <x:c r="K103" s="49" t="n">
        <x:f>M103+N103*3+O103*3+P103*5+Q103*5</x:f>
        <x:v>84</x:v>
      </x:c>
      <x:c r="L103" s="49" t="n">
        <x:v>16</x:v>
      </x:c>
      <x:c r="M103" s="31" t="n">
        <x:v>15</x:v>
      </x:c>
      <x:c r="N103" s="31" t="n">
        <x:v>8</x:v>
      </x:c>
      <x:c r="O103" s="31" t="n">
        <x:v>0</x:v>
      </x:c>
      <x:c r="P103" s="31" t="n">
        <x:v>6</x:v>
      </x:c>
      <x:c r="Q103" s="31" t="n">
        <x:v>3</x:v>
      </x:c>
      <x:c r="R103" s="30" t="str">
        <x:v>前排减压</x:v>
      </x:c>
      <x:c r="S103" s="30" t="str">
        <x:v>B1 横扫三格</x:v>
      </x:c>
      <x:c r="T103" s="30" t="str">
        <x:v>扫击/3格</x:v>
      </x:c>
      <x:c r="U103" s="30" t="str">
        <x:v>阻挡</x:v>
      </x:c>
      <x:c r="V103" s="30" t="str">
        <x:v>castleReduce</x:v>
      </x:c>
      <x:c r="W103" s="30" t="str">
        <x:v>水、防御、前排、阻挡</x:v>
      </x:c>
      <x:c r="X103" s="30" t="str">
        <x:v>—</x:v>
      </x:c>
      <x:c r="Y103" s="51" t="str">
        <x:v>旧定位=防御</x:v>
      </x:c>
      <x:c r="Z103" s="32" t="str">
        <x:v>pal_102</x:v>
      </x:c>
    </x:row>
    <x:row r="104">
      <x:c r="A104" s="29" t="str">
        <x:v>No.091B</x:v>
      </x:c>
      <x:c r="B104" s="30" t="str">
        <x:v>绿苔绒怪</x:v>
      </x:c>
      <x:c r="C104" s="30" t="str">
        <x:v>风</x:v>
      </x:c>
      <x:c r="D104" s="30" t="str">
        <x:v>草</x:v>
      </x:c>
      <x:c r="E104" s="30" t="str">
        <x:v>白银</x:v>
      </x:c>
      <x:c r="F104" s="30" t="str">
        <x:v>小型</x:v>
      </x:c>
      <x:c r="G104" s="30" t="str">
        <x:v>坦克</x:v>
      </x:c>
      <x:c r="H104" s="49" t="n">
        <x:f>IF(E104="青铜",IF(F104="小型",50,IF(F104="中型",80,128)),IF(E104="白银",IF(F104="小型",100,IF(F104="中型",160,256)),IF(E104="黄金",IF(F104="小型",160,IF(F104="中型",256,410)),IF(E104="钻石",IF(F104="小型",240,IF(F104="中型",384,614)),""))))</x:f>
        <x:v>100</x:v>
      </x:c>
      <x:c r="I104" s="49" t="n">
        <x:f>K104+L104</x:f>
        <x:v>100</x:v>
      </x:c>
      <x:c r="J104" s="49" t="n">
        <x:f>I104-H104</x:f>
        <x:v>0</x:v>
      </x:c>
      <x:c r="K104" s="49" t="n">
        <x:f>M104+N104*3+O104*3+P104*5+Q104*5</x:f>
        <x:v>84</x:v>
      </x:c>
      <x:c r="L104" s="49" t="n">
        <x:v>16</x:v>
      </x:c>
      <x:c r="M104" s="31" t="n">
        <x:v>15</x:v>
      </x:c>
      <x:c r="N104" s="31" t="n">
        <x:v>8</x:v>
      </x:c>
      <x:c r="O104" s="31" t="n">
        <x:v>0</x:v>
      </x:c>
      <x:c r="P104" s="31" t="n">
        <x:v>6</x:v>
      </x:c>
      <x:c r="Q104" s="31" t="n">
        <x:v>3</x:v>
      </x:c>
      <x:c r="R104" s="30" t="str">
        <x:v>前排减压</x:v>
      </x:c>
      <x:c r="S104" s="30" t="str">
        <x:v>B1 横扫三格</x:v>
      </x:c>
      <x:c r="T104" s="30" t="str">
        <x:v>扫击/3格</x:v>
      </x:c>
      <x:c r="U104" s="30" t="str">
        <x:v>阻挡</x:v>
      </x:c>
      <x:c r="V104" s="30" t="str">
        <x:v>castleReduce</x:v>
      </x:c>
      <x:c r="W104" s="30" t="str">
        <x:v>风、防御、前排、阻挡</x:v>
      </x:c>
      <x:c r="X104" s="30" t="str">
        <x:v>—</x:v>
      </x:c>
      <x:c r="Y104" s="51" t="str">
        <x:v>旧定位=防御</x:v>
      </x:c>
      <x:c r="Z104" s="32" t="str">
        <x:v>pal_103</x:v>
      </x:c>
    </x:row>
    <x:row r="105">
      <x:c r="A105" s="29" t="str">
        <x:v>No.092</x:v>
      </x:c>
      <x:c r="B105" s="30" t="str">
        <x:v>铠格力斯</x:v>
      </x:c>
      <x:c r="C105" s="30" t="str">
        <x:v>土</x:v>
      </x:c>
      <x:c r="D105" s="30" t="str">
        <x:v>地、草</x:v>
      </x:c>
      <x:c r="E105" s="30" t="str">
        <x:v>白银</x:v>
      </x:c>
      <x:c r="F105" s="30" t="str">
        <x:v>小型</x:v>
      </x:c>
      <x:c r="G105" s="30" t="str">
        <x:v>坦克</x:v>
      </x:c>
      <x:c r="H105" s="49" t="n">
        <x:f>IF(E105="青铜",IF(F105="小型",50,IF(F105="中型",80,128)),IF(E105="白银",IF(F105="小型",100,IF(F105="中型",160,256)),IF(E105="黄金",IF(F105="小型",160,IF(F105="中型",256,410)),IF(E105="钻石",IF(F105="小型",240,IF(F105="中型",384,614)),""))))</x:f>
        <x:v>100</x:v>
      </x:c>
      <x:c r="I105" s="49" t="n">
        <x:f>K105+L105</x:f>
        <x:v>100</x:v>
      </x:c>
      <x:c r="J105" s="49" t="n">
        <x:f>I105-H105</x:f>
        <x:v>0</x:v>
      </x:c>
      <x:c r="K105" s="49" t="n">
        <x:f>M105+N105*3+O105*3+P105*5+Q105*5</x:f>
        <x:v>84</x:v>
      </x:c>
      <x:c r="L105" s="49" t="n">
        <x:v>16</x:v>
      </x:c>
      <x:c r="M105" s="31" t="n">
        <x:v>15</x:v>
      </x:c>
      <x:c r="N105" s="31" t="n">
        <x:v>8</x:v>
      </x:c>
      <x:c r="O105" s="31" t="n">
        <x:v>0</x:v>
      </x:c>
      <x:c r="P105" s="31" t="n">
        <x:v>6</x:v>
      </x:c>
      <x:c r="Q105" s="31" t="n">
        <x:v>3</x:v>
      </x:c>
      <x:c r="R105" s="30" t="str">
        <x:v>前排减压</x:v>
      </x:c>
      <x:c r="S105" s="30" t="str">
        <x:v>B1 横扫三格</x:v>
      </x:c>
      <x:c r="T105" s="30" t="str">
        <x:v>扫击/3格</x:v>
      </x:c>
      <x:c r="U105" s="30" t="str">
        <x:v>阻挡</x:v>
      </x:c>
      <x:c r="V105" s="30" t="str">
        <x:v>castleReduce</x:v>
      </x:c>
      <x:c r="W105" s="30" t="str">
        <x:v>土、防御、前排、阻挡</x:v>
      </x:c>
      <x:c r="X105" s="30" t="str">
        <x:v>—</x:v>
      </x:c>
      <x:c r="Y105" s="51" t="str">
        <x:v>旧定位=防御</x:v>
      </x:c>
      <x:c r="Z105" s="32" t="str">
        <x:v>pal_104</x:v>
      </x:c>
    </x:row>
    <x:row r="106">
      <x:c r="A106" s="29" t="str">
        <x:v>No.093</x:v>
      </x:c>
      <x:c r="B106" s="30" t="str">
        <x:v>云海鹿</x:v>
      </x:c>
      <x:c r="C106" s="30" t="str">
        <x:v>风</x:v>
      </x:c>
      <x:c r="D106" s="30"/>
      <x:c r="E106" s="30" t="str">
        <x:v>白银</x:v>
      </x:c>
      <x:c r="F106" s="30" t="str">
        <x:v>小型</x:v>
      </x:c>
      <x:c r="G106" s="30" t="str">
        <x:v>机动</x:v>
      </x:c>
      <x:c r="H106" s="49" t="n">
        <x:f>IF(E106="青铜",IF(F106="小型",50,IF(F106="中型",80,128)),IF(E106="白银",IF(F106="小型",100,IF(F106="中型",160,256)),IF(E106="黄金",IF(F106="小型",160,IF(F106="中型",256,410)),IF(E106="钻石",IF(F106="小型",240,IF(F106="中型",384,614)),""))))</x:f>
        <x:v>100</x:v>
      </x:c>
      <x:c r="I106" s="49" t="n">
        <x:f>K106+L106</x:f>
        <x:v>100</x:v>
      </x:c>
      <x:c r="J106" s="49" t="n">
        <x:f>I106-H106</x:f>
        <x:v>0</x:v>
      </x:c>
      <x:c r="K106" s="49" t="n">
        <x:f>M106+N106*3+O106*3+P106*5+Q106*5</x:f>
        <x:v>76</x:v>
      </x:c>
      <x:c r="L106" s="49" t="n">
        <x:v>24</x:v>
      </x:c>
      <x:c r="M106" s="31" t="n">
        <x:v>10</x:v>
      </x:c>
      <x:c r="N106" s="31" t="n">
        <x:v>17</x:v>
      </x:c>
      <x:c r="O106" s="31" t="n">
        <x:v>0</x:v>
      </x:c>
      <x:c r="P106" s="31" t="n">
        <x:v>0</x:v>
      </x:c>
      <x:c r="Q106" s="31" t="n">
        <x:v>3</x:v>
      </x:c>
      <x:c r="R106" s="30" t="str">
        <x:v>补刀控场</x:v>
      </x:c>
      <x:c r="S106" s="30" t="str">
        <x:v>T2 长柄T</x:v>
      </x:c>
      <x:c r="T106" s="30" t="str">
        <x:v>T形/5格</x:v>
      </x:c>
      <x:c r="U106" s="30" t="str">
        <x:v>牵制</x:v>
      </x:c>
      <x:c r="V106" s="30" t="str">
        <x:v>advHitBonus</x:v>
      </x:c>
      <x:c r="W106" s="30" t="str">
        <x:v>风、机动、灵活、泛用</x:v>
      </x:c>
      <x:c r="X106" s="30" t="str">
        <x:v>—</x:v>
      </x:c>
      <x:c r="Y106" s="51"/>
      <x:c r="Z106" s="32" t="str">
        <x:v>pal_105</x:v>
      </x:c>
    </x:row>
    <x:row r="107">
      <x:c r="A107" s="29" t="str">
        <x:v>No.094</x:v>
      </x:c>
      <x:c r="B107" s="30" t="str">
        <x:v>夜幕魔蝠</x:v>
      </x:c>
      <x:c r="C107" s="30" t="str">
        <x:v>土</x:v>
      </x:c>
      <x:c r="D107" s="30" t="str">
        <x:v>暗</x:v>
      </x:c>
      <x:c r="E107" s="30" t="str">
        <x:v>白银</x:v>
      </x:c>
      <x:c r="F107" s="30" t="str">
        <x:v>大型</x:v>
      </x:c>
      <x:c r="G107" s="30" t="str">
        <x:v>坦克</x:v>
      </x:c>
      <x:c r="H107" s="49" t="n">
        <x:f>IF(E107="青铜",IF(F107="小型",50,IF(F107="中型",80,128)),IF(E107="白银",IF(F107="小型",100,IF(F107="中型",160,256)),IF(E107="黄金",IF(F107="小型",160,IF(F107="中型",256,410)),IF(E107="钻石",IF(F107="小型",240,IF(F107="中型",384,614)),""))))</x:f>
        <x:v>256</x:v>
      </x:c>
      <x:c r="I107" s="49" t="n">
        <x:f>K107+L107</x:f>
        <x:v>256</x:v>
      </x:c>
      <x:c r="J107" s="49" t="n">
        <x:f>I107-H107</x:f>
        <x:v>0</x:v>
      </x:c>
      <x:c r="K107" s="49" t="n">
        <x:f>M107+N107*3+O107*3+P107*5+Q107*5</x:f>
        <x:v>240</x:v>
      </x:c>
      <x:c r="L107" s="49" t="n">
        <x:v>16</x:v>
      </x:c>
      <x:c r="M107" s="31" t="n">
        <x:v>50</x:v>
      </x:c>
      <x:c r="N107" s="31" t="n">
        <x:v>35</x:v>
      </x:c>
      <x:c r="O107" s="31" t="n">
        <x:v>0</x:v>
      </x:c>
      <x:c r="P107" s="31" t="n">
        <x:v>15</x:v>
      </x:c>
      <x:c r="Q107" s="31" t="n">
        <x:v>2</x:v>
      </x:c>
      <x:c r="R107" s="30" t="str">
        <x:v>前排减压</x:v>
      </x:c>
      <x:c r="S107" s="30" t="str">
        <x:v>B1 横扫三格</x:v>
      </x:c>
      <x:c r="T107" s="30" t="str">
        <x:v>扫击/3格</x:v>
      </x:c>
      <x:c r="U107" s="30" t="str">
        <x:v>阻挡</x:v>
      </x:c>
      <x:c r="V107" s="30" t="str">
        <x:v>castleReduce</x:v>
      </x:c>
      <x:c r="W107" s="30" t="str">
        <x:v>土、防御、前排、阻挡</x:v>
      </x:c>
      <x:c r="X107" s="30" t="str">
        <x:v>—</x:v>
      </x:c>
      <x:c r="Y107" s="51" t="str">
        <x:v>旧定位=防御</x:v>
      </x:c>
      <x:c r="Z107" s="32" t="str">
        <x:v>pal_106</x:v>
      </x:c>
    </x:row>
    <x:row r="108">
      <x:c r="A108" s="29" t="str">
        <x:v>No.095</x:v>
      </x:c>
      <x:c r="B108" s="30" t="str">
        <x:v>天羽龙</x:v>
      </x:c>
      <x:c r="C108" s="30" t="str">
        <x:v>风</x:v>
      </x:c>
      <x:c r="D108" s="30" t="str">
        <x:v>龙</x:v>
      </x:c>
      <x:c r="E108" s="30" t="str">
        <x:v>白银</x:v>
      </x:c>
      <x:c r="F108" s="30" t="str">
        <x:v>大型</x:v>
      </x:c>
      <x:c r="G108" s="30" t="str">
        <x:v>机动</x:v>
      </x:c>
      <x:c r="H108" s="49" t="n">
        <x:f>IF(E108="青铜",IF(F108="小型",50,IF(F108="中型",80,128)),IF(E108="白银",IF(F108="小型",100,IF(F108="中型",160,256)),IF(E108="黄金",IF(F108="小型",160,IF(F108="中型",256,410)),IF(E108="钻石",IF(F108="小型",240,IF(F108="中型",384,614)),""))))</x:f>
        <x:v>256</x:v>
      </x:c>
      <x:c r="I108" s="49" t="n">
        <x:f>K108+L108</x:f>
        <x:v>256</x:v>
      </x:c>
      <x:c r="J108" s="49" t="n">
        <x:f>I108-H108</x:f>
        <x:v>0</x:v>
      </x:c>
      <x:c r="K108" s="49" t="n">
        <x:f>M108+N108*3+O108*3+P108*5+Q108*5</x:f>
        <x:v>232</x:v>
      </x:c>
      <x:c r="L108" s="49" t="n">
        <x:v>24</x:v>
      </x:c>
      <x:c r="M108" s="31" t="n">
        <x:v>70</x:v>
      </x:c>
      <x:c r="N108" s="31" t="n">
        <x:v>49</x:v>
      </x:c>
      <x:c r="O108" s="31" t="n">
        <x:v>0</x:v>
      </x:c>
      <x:c r="P108" s="31" t="n">
        <x:v>0</x:v>
      </x:c>
      <x:c r="Q108" s="31" t="n">
        <x:v>3</x:v>
      </x:c>
      <x:c r="R108" s="30" t="str">
        <x:v>补刀控场</x:v>
      </x:c>
      <x:c r="S108" s="30" t="str">
        <x:v>T2 长柄T</x:v>
      </x:c>
      <x:c r="T108" s="30" t="str">
        <x:v>T形/5格</x:v>
      </x:c>
      <x:c r="U108" s="30" t="str">
        <x:v>牵制</x:v>
      </x:c>
      <x:c r="V108" s="30" t="str">
        <x:v>advHitBonus</x:v>
      </x:c>
      <x:c r="W108" s="30" t="str">
        <x:v>风、机动、灵活、泛用</x:v>
      </x:c>
      <x:c r="X108" s="30" t="str">
        <x:v>—</x:v>
      </x:c>
      <x:c r="Y108" s="51"/>
      <x:c r="Z108" s="32" t="str">
        <x:v>pal_107</x:v>
      </x:c>
    </x:row>
    <x:row r="109">
      <x:c r="A109" s="29" t="str">
        <x:v>No.096</x:v>
      </x:c>
      <x:c r="B109" s="30" t="str">
        <x:v>焰煌</x:v>
      </x:c>
      <x:c r="C109" s="30" t="str">
        <x:v>火</x:v>
      </x:c>
      <x:c r="D109" s="30"/>
      <x:c r="E109" s="30" t="str">
        <x:v>白银</x:v>
      </x:c>
      <x:c r="F109" s="30" t="str">
        <x:v>大型</x:v>
      </x:c>
      <x:c r="G109" s="30" t="str">
        <x:v>输出</x:v>
      </x:c>
      <x:c r="H109" s="49" t="n">
        <x:f>IF(E109="青铜",IF(F109="小型",50,IF(F109="中型",80,128)),IF(E109="白银",IF(F109="小型",100,IF(F109="中型",160,256)),IF(E109="黄金",IF(F109="小型",160,IF(F109="中型",256,410)),IF(E109="钻石",IF(F109="小型",240,IF(F109="中型",384,614)),""))))</x:f>
        <x:v>256</x:v>
      </x:c>
      <x:c r="I109" s="49" t="n">
        <x:f>K109+L109</x:f>
        <x:v>256</x:v>
      </x:c>
      <x:c r="J109" s="49" t="n">
        <x:f>I109-H109</x:f>
        <x:v>0</x:v>
      </x:c>
      <x:c r="K109" s="49" t="n">
        <x:f>M109+N109*3+O109*3+P109*5+Q109*5</x:f>
        <x:v>240</x:v>
      </x:c>
      <x:c r="L109" s="49" t="n">
        <x:v>16</x:v>
      </x:c>
      <x:c r="M109" s="31" t="n">
        <x:v>60</x:v>
      </x:c>
      <x:c r="N109" s="31" t="n">
        <x:v>55</x:v>
      </x:c>
      <x:c r="O109" s="31" t="n">
        <x:v>0</x:v>
      </x:c>
      <x:c r="P109" s="31" t="n">
        <x:v>0</x:v>
      </x:c>
      <x:c r="Q109" s="31" t="n">
        <x:v>3</x:v>
      </x:c>
      <x:c r="R109" s="30" t="str">
        <x:v>前排减压</x:v>
      </x:c>
      <x:c r="S109" s="30" t="str">
        <x:v>B1 横扫三格</x:v>
      </x:c>
      <x:c r="T109" s="30" t="str">
        <x:v>扫击/3格</x:v>
      </x:c>
      <x:c r="U109" s="30" t="str">
        <x:v>输出</x:v>
      </x:c>
      <x:c r="V109" s="30" t="str">
        <x:v>castleReduce</x:v>
      </x:c>
      <x:c r="W109" s="30" t="str">
        <x:v>火、输出、爆发、前排</x:v>
      </x:c>
      <x:c r="X109" s="30" t="str">
        <x:v>—</x:v>
      </x:c>
      <x:c r="Y109" s="51"/>
      <x:c r="Z109" s="32" t="str">
        <x:v>pal_108</x:v>
      </x:c>
    </x:row>
    <x:row r="110">
      <x:c r="A110" s="29" t="str">
        <x:v>No.097</x:v>
      </x:c>
      <x:c r="B110" s="30" t="str">
        <x:v>雷冥鸟</x:v>
      </x:c>
      <x:c r="C110" s="30" t="str">
        <x:v>土</x:v>
      </x:c>
      <x:c r="D110" s="30" t="str">
        <x:v>暗</x:v>
      </x:c>
      <x:c r="E110" s="30" t="str">
        <x:v>白银</x:v>
      </x:c>
      <x:c r="F110" s="30" t="str">
        <x:v>小型</x:v>
      </x:c>
      <x:c r="G110" s="30" t="str">
        <x:v>机动</x:v>
      </x:c>
      <x:c r="H110" s="49" t="n">
        <x:f>IF(E110="青铜",IF(F110="小型",50,IF(F110="中型",80,128)),IF(E110="白银",IF(F110="小型",100,IF(F110="中型",160,256)),IF(E110="黄金",IF(F110="小型",160,IF(F110="中型",256,410)),IF(E110="钻石",IF(F110="小型",240,IF(F110="中型",384,614)),""))))</x:f>
        <x:v>100</x:v>
      </x:c>
      <x:c r="I110" s="49" t="n">
        <x:f>K110+L110</x:f>
        <x:v>100</x:v>
      </x:c>
      <x:c r="J110" s="49" t="n">
        <x:f>I110-H110</x:f>
        <x:v>0</x:v>
      </x:c>
      <x:c r="K110" s="49" t="n">
        <x:f>M110+N110*3+O110*3+P110*5+Q110*5</x:f>
        <x:v>76</x:v>
      </x:c>
      <x:c r="L110" s="49" t="n">
        <x:v>24</x:v>
      </x:c>
      <x:c r="M110" s="31" t="n">
        <x:v>10</x:v>
      </x:c>
      <x:c r="N110" s="31" t="n">
        <x:v>17</x:v>
      </x:c>
      <x:c r="O110" s="31" t="n">
        <x:v>0</x:v>
      </x:c>
      <x:c r="P110" s="31" t="n">
        <x:v>0</x:v>
      </x:c>
      <x:c r="Q110" s="31" t="n">
        <x:v>3</x:v>
      </x:c>
      <x:c r="R110" s="30" t="str">
        <x:v>补刀控场</x:v>
      </x:c>
      <x:c r="S110" s="30" t="str">
        <x:v>T2 长柄T</x:v>
      </x:c>
      <x:c r="T110" s="30" t="str">
        <x:v>T形/5格</x:v>
      </x:c>
      <x:c r="U110" s="30" t="str">
        <x:v>牵制</x:v>
      </x:c>
      <x:c r="V110" s="30" t="str">
        <x:v>advHitBonus</x:v>
      </x:c>
      <x:c r="W110" s="30" t="str">
        <x:v>土、机动、灵活、泛用</x:v>
      </x:c>
      <x:c r="X110" s="30" t="str">
        <x:v>—</x:v>
      </x:c>
      <x:c r="Y110" s="51"/>
      <x:c r="Z110" s="32" t="str">
        <x:v>pal_109</x:v>
      </x:c>
    </x:row>
    <x:row r="111">
      <x:c r="A111" s="29" t="str">
        <x:v>No.098</x:v>
      </x:c>
      <x:c r="B111" s="30" t="str">
        <x:v>魔渊龙</x:v>
      </x:c>
      <x:c r="C111" s="30" t="str">
        <x:v>土</x:v>
      </x:c>
      <x:c r="D111" s="30" t="str">
        <x:v>龙、暗</x:v>
      </x:c>
      <x:c r="E111" s="30" t="str">
        <x:v>白银</x:v>
      </x:c>
      <x:c r="F111" s="30" t="str">
        <x:v>大型</x:v>
      </x:c>
      <x:c r="G111" s="30" t="str">
        <x:v>坦克</x:v>
      </x:c>
      <x:c r="H111" s="49" t="n">
        <x:f>IF(E111="青铜",IF(F111="小型",50,IF(F111="中型",80,128)),IF(E111="白银",IF(F111="小型",100,IF(F111="中型",160,256)),IF(E111="黄金",IF(F111="小型",160,IF(F111="中型",256,410)),IF(E111="钻石",IF(F111="小型",240,IF(F111="中型",384,614)),""))))</x:f>
        <x:v>256</x:v>
      </x:c>
      <x:c r="I111" s="49" t="n">
        <x:f>K111+L111</x:f>
        <x:v>256</x:v>
      </x:c>
      <x:c r="J111" s="49" t="n">
        <x:f>I111-H111</x:f>
        <x:v>0</x:v>
      </x:c>
      <x:c r="K111" s="49" t="n">
        <x:f>M111+N111*3+O111*3+P111*5+Q111*5</x:f>
        <x:v>240</x:v>
      </x:c>
      <x:c r="L111" s="49" t="n">
        <x:v>16</x:v>
      </x:c>
      <x:c r="M111" s="31" t="n">
        <x:v>50</x:v>
      </x:c>
      <x:c r="N111" s="31" t="n">
        <x:v>35</x:v>
      </x:c>
      <x:c r="O111" s="31" t="n">
        <x:v>0</x:v>
      </x:c>
      <x:c r="P111" s="31" t="n">
        <x:v>15</x:v>
      </x:c>
      <x:c r="Q111" s="31" t="n">
        <x:v>2</x:v>
      </x:c>
      <x:c r="R111" s="30" t="str">
        <x:v>前排减压</x:v>
      </x:c>
      <x:c r="S111" s="30" t="str">
        <x:v>B1 横扫三格</x:v>
      </x:c>
      <x:c r="T111" s="30" t="str">
        <x:v>扫击/3格</x:v>
      </x:c>
      <x:c r="U111" s="30" t="str">
        <x:v>阻挡</x:v>
      </x:c>
      <x:c r="V111" s="30" t="str">
        <x:v>castleReduce</x:v>
      </x:c>
      <x:c r="W111" s="30" t="str">
        <x:v>土、防御、前排、阻挡</x:v>
      </x:c>
      <x:c r="X111" s="30" t="str">
        <x:v>—</x:v>
      </x:c>
      <x:c r="Y111" s="51" t="str">
        <x:v>旧定位=防御</x:v>
      </x:c>
      <x:c r="Z111" s="32" t="str">
        <x:v>pal_110</x:v>
      </x:c>
    </x:row>
    <x:row r="112">
      <x:c r="A112" s="29" t="str">
        <x:v>No.099</x:v>
      </x:c>
      <x:c r="B112" s="30" t="str">
        <x:v>冥铠蝎</x:v>
      </x:c>
      <x:c r="C112" s="30" t="str">
        <x:v>土</x:v>
      </x:c>
      <x:c r="D112" s="30" t="str">
        <x:v>暗、地</x:v>
      </x:c>
      <x:c r="E112" s="30" t="str">
        <x:v>黄金</x:v>
      </x:c>
      <x:c r="F112" s="30" t="str">
        <x:v>小型</x:v>
      </x:c>
      <x:c r="G112" s="30" t="str">
        <x:v>坦克</x:v>
      </x:c>
      <x:c r="H112" s="49" t="n">
        <x:f>IF(E112="青铜",IF(F112="小型",50,IF(F112="中型",80,128)),IF(E112="白银",IF(F112="小型",100,IF(F112="中型",160,256)),IF(E112="黄金",IF(F112="小型",160,IF(F112="中型",256,410)),IF(E112="钻石",IF(F112="小型",240,IF(F112="中型",384,614)),""))))</x:f>
        <x:v>160</x:v>
      </x:c>
      <x:c r="I112" s="49" t="n">
        <x:f>K112+L112</x:f>
        <x:v>160</x:v>
      </x:c>
      <x:c r="J112" s="49" t="n">
        <x:f>I112-H112</x:f>
        <x:v>0</x:v>
      </x:c>
      <x:c r="K112" s="49" t="n">
        <x:f>M112+N112*3+O112*3+P112*5+Q112*5</x:f>
        <x:v>136</x:v>
      </x:c>
      <x:c r="L112" s="49" t="n">
        <x:v>24</x:v>
      </x:c>
      <x:c r="M112" s="31" t="n">
        <x:v>20</x:v>
      </x:c>
      <x:c r="N112" s="31" t="n">
        <x:v>17</x:v>
      </x:c>
      <x:c r="O112" s="31" t="n">
        <x:v>0</x:v>
      </x:c>
      <x:c r="P112" s="31" t="n">
        <x:v>10</x:v>
      </x:c>
      <x:c r="Q112" s="31" t="n">
        <x:v>3</x:v>
      </x:c>
      <x:c r="R112" s="30" t="str">
        <x:v>前排减压</x:v>
      </x:c>
      <x:c r="S112" s="30" t="str">
        <x:v>T1 标准前置T</x:v>
      </x:c>
      <x:c r="T112" s="30" t="str">
        <x:v>T形/4格</x:v>
      </x:c>
      <x:c r="U112" s="30" t="str">
        <x:v>阻挡</x:v>
      </x:c>
      <x:c r="V112" s="30" t="str">
        <x:v>castleReduce</x:v>
      </x:c>
      <x:c r="W112" s="30" t="str">
        <x:v>土、防御、前排、阻挡</x:v>
      </x:c>
      <x:c r="X112" s="30" t="str">
        <x:v>—</x:v>
      </x:c>
      <x:c r="Y112" s="51" t="str">
        <x:v>旧定位=防御</x:v>
      </x:c>
      <x:c r="Z112" s="32" t="str">
        <x:v>pal_111</x:v>
      </x:c>
    </x:row>
    <x:row r="113">
      <x:c r="A113" s="29" t="str">
        <x:v>No.100</x:v>
      </x:c>
      <x:c r="B113" s="30" t="str">
        <x:v>阿努比斯</x:v>
      </x:c>
      <x:c r="C113" s="30" t="str">
        <x:v>土</x:v>
      </x:c>
      <x:c r="D113" s="30" t="str">
        <x:v>地</x:v>
      </x:c>
      <x:c r="E113" s="30" t="str">
        <x:v>黄金</x:v>
      </x:c>
      <x:c r="F113" s="30" t="str">
        <x:v>小型</x:v>
      </x:c>
      <x:c r="G113" s="30" t="str">
        <x:v>输出</x:v>
      </x:c>
      <x:c r="H113" s="49" t="n">
        <x:f>IF(E113="青铜",IF(F113="小型",50,IF(F113="中型",80,128)),IF(E113="白银",IF(F113="小型",100,IF(F113="中型",160,256)),IF(E113="黄金",IF(F113="小型",160,IF(F113="中型",256,410)),IF(E113="钻石",IF(F113="小型",240,IF(F113="中型",384,614)),""))))</x:f>
        <x:v>160</x:v>
      </x:c>
      <x:c r="I113" s="49" t="n">
        <x:f>K113+L113</x:f>
        <x:v>160</x:v>
      </x:c>
      <x:c r="J113" s="49" t="n">
        <x:f>I113-H113</x:f>
        <x:v>0</x:v>
      </x:c>
      <x:c r="K113" s="49" t="n">
        <x:f>M113+N113*3+O113*3+P113*5+Q113*5</x:f>
        <x:v>128</x:v>
      </x:c>
      <x:c r="L113" s="49" t="n">
        <x:v>32</x:v>
      </x:c>
      <x:c r="M113" s="31" t="n">
        <x:v>50</x:v>
      </x:c>
      <x:c r="N113" s="31" t="n">
        <x:v>21</x:v>
      </x:c>
      <x:c r="O113" s="31" t="n">
        <x:v>0</x:v>
      </x:c>
      <x:c r="P113" s="31" t="n">
        <x:v>0</x:v>
      </x:c>
      <x:c r="Q113" s="31" t="n">
        <x:v>3</x:v>
      </x:c>
      <x:c r="R113" s="30" t="str">
        <x:v>爆格增伤</x:v>
      </x:c>
      <x:c r="S113" s="30" t="str">
        <x:v>B3 前二横扫</x:v>
      </x:c>
      <x:c r="T113" s="30" t="str">
        <x:v>扫击/3格</x:v>
      </x:c>
      <x:c r="U113" s="30" t="str">
        <x:v>输出</x:v>
      </x:c>
      <x:c r="V113" s="30" t="str">
        <x:v>spaceExplosionBonus</x:v>
      </x:c>
      <x:c r="W113" s="30" t="str">
        <x:v>土、输出、爆发、前排</x:v>
      </x:c>
      <x:c r="X113" s="30" t="str">
        <x:v>—</x:v>
      </x:c>
      <x:c r="Y113" s="51"/>
      <x:c r="Z113" s="32" t="str">
        <x:v>pal_112</x:v>
      </x:c>
    </x:row>
    <x:row r="114">
      <x:c r="A114" s="29" t="str">
        <x:v>No.101</x:v>
      </x:c>
      <x:c r="B114" s="30" t="str">
        <x:v>覆海龙</x:v>
      </x:c>
      <x:c r="C114" s="30" t="str">
        <x:v>水</x:v>
      </x:c>
      <x:c r="D114" s="30" t="str">
        <x:v>龙、水</x:v>
      </x:c>
      <x:c r="E114" s="30" t="str">
        <x:v>黄金</x:v>
      </x:c>
      <x:c r="F114" s="30" t="str">
        <x:v>中型</x:v>
      </x:c>
      <x:c r="G114" s="30" t="str">
        <x:v>治疗</x:v>
      </x:c>
      <x:c r="H114" s="49" t="n">
        <x:f>IF(E114="青铜",IF(F114="小型",50,IF(F114="中型",80,128)),IF(E114="白银",IF(F114="小型",100,IF(F114="中型",160,256)),IF(E114="黄金",IF(F114="小型",160,IF(F114="中型",256,410)),IF(E114="钻石",IF(F114="小型",240,IF(F114="中型",384,614)),""))))</x:f>
        <x:v>256</x:v>
      </x:c>
      <x:c r="I114" s="49" t="n">
        <x:f>K114+L114</x:f>
        <x:v>256</x:v>
      </x:c>
      <x:c r="J114" s="49" t="n">
        <x:f>I114-H114</x:f>
        <x:v>0</x:v>
      </x:c>
      <x:c r="K114" s="49" t="n">
        <x:f>M114+N114*3+O114*3+P114*5+Q114*5</x:f>
        <x:v>224</x:v>
      </x:c>
      <x:c r="L114" s="49" t="n">
        <x:v>32</x:v>
      </x:c>
      <x:c r="M114" s="31" t="n">
        <x:v>50</x:v>
      </x:c>
      <x:c r="N114" s="31" t="n">
        <x:v>53</x:v>
      </x:c>
      <x:c r="O114" s="31" t="n">
        <x:v>0</x:v>
      </x:c>
      <x:c r="P114" s="31" t="n">
        <x:v>0</x:v>
      </x:c>
      <x:c r="Q114" s="31" t="n">
        <x:v>3</x:v>
      </x:c>
      <x:c r="R114" s="30" t="str">
        <x:v>治疗续航</x:v>
      </x:c>
      <x:c r="S114" s="30" t="str">
        <x:v>T1 标准前置T</x:v>
      </x:c>
      <x:c r="T114" s="30" t="str">
        <x:v>T形/4格</x:v>
      </x:c>
      <x:c r="U114" s="30" t="str">
        <x:v>场地</x:v>
      </x:c>
      <x:c r="V114" s="30" t="str">
        <x:v>healAmpBonus</x:v>
      </x:c>
      <x:c r="W114" s="30" t="str">
        <x:v>水、治疗、后排、增益</x:v>
      </x:c>
      <x:c r="X114" s="30" t="str">
        <x:v>—</x:v>
      </x:c>
      <x:c r="Y114" s="51" t="str">
        <x:v>治疗补预算</x:v>
      </x:c>
      <x:c r="Z114" s="32" t="str">
        <x:v>pal_113</x:v>
      </x:c>
    </x:row>
    <x:row r="115">
      <x:c r="A115" s="29" t="str">
        <x:v>No.101B</x:v>
      </x:c>
      <x:c r="B115" s="30" t="str">
        <x:v>腾炎龙</x:v>
      </x:c>
      <x:c r="C115" s="30" t="str">
        <x:v>火</x:v>
      </x:c>
      <x:c r="D115" s="30" t="str">
        <x:v>龙、火</x:v>
      </x:c>
      <x:c r="E115" s="30" t="str">
        <x:v>黄金</x:v>
      </x:c>
      <x:c r="F115" s="30" t="str">
        <x:v>大型</x:v>
      </x:c>
      <x:c r="G115" s="30" t="str">
        <x:v>输出</x:v>
      </x:c>
      <x:c r="H115" s="49" t="n">
        <x:f>IF(E115="青铜",IF(F115="小型",50,IF(F115="中型",80,128)),IF(E115="白银",IF(F115="小型",100,IF(F115="中型",160,256)),IF(E115="黄金",IF(F115="小型",160,IF(F115="中型",256,410)),IF(E115="钻石",IF(F115="小型",240,IF(F115="中型",384,614)),""))))</x:f>
        <x:v>410</x:v>
      </x:c>
      <x:c r="I115" s="49" t="n">
        <x:f>K115+L115</x:f>
        <x:v>410</x:v>
      </x:c>
      <x:c r="J115" s="49" t="n">
        <x:f>I115-H115</x:f>
        <x:v>0</x:v>
      </x:c>
      <x:c r="K115" s="49" t="n">
        <x:f>M115+N115*3+O115*3+P115*5+Q115*5</x:f>
        <x:v>378</x:v>
      </x:c>
      <x:c r="L115" s="49" t="n">
        <x:v>32</x:v>
      </x:c>
      <x:c r="M115" s="31" t="n">
        <x:v>60</x:v>
      </x:c>
      <x:c r="N115" s="31" t="n">
        <x:v>101</x:v>
      </x:c>
      <x:c r="O115" s="31" t="n">
        <x:v>0</x:v>
      </x:c>
      <x:c r="P115" s="31" t="n">
        <x:v>0</x:v>
      </x:c>
      <x:c r="Q115" s="31" t="n">
        <x:v>3</x:v>
      </x:c>
      <x:c r="R115" s="30" t="str">
        <x:v>爆格增伤</x:v>
      </x:c>
      <x:c r="S115" s="30" t="str">
        <x:v>B3 前二横扫</x:v>
      </x:c>
      <x:c r="T115" s="30" t="str">
        <x:v>扫击/3格</x:v>
      </x:c>
      <x:c r="U115" s="30" t="str">
        <x:v>输出</x:v>
      </x:c>
      <x:c r="V115" s="30" t="str">
        <x:v>spaceExplosionBonus</x:v>
      </x:c>
      <x:c r="W115" s="30" t="str">
        <x:v>火、输出、爆发、前排</x:v>
      </x:c>
      <x:c r="X115" s="30" t="str">
        <x:v>—</x:v>
      </x:c>
      <x:c r="Y115" s="51"/>
      <x:c r="Z115" s="32" t="str">
        <x:v>pal_114</x:v>
      </x:c>
    </x:row>
    <x:row r="116">
      <x:c r="A116" s="29" t="str">
        <x:v>No.102</x:v>
      </x:c>
      <x:c r="B116" s="30" t="str">
        <x:v>朱雀</x:v>
      </x:c>
      <x:c r="C116" s="30" t="str">
        <x:v>火</x:v>
      </x:c>
      <x:c r="D116" s="30"/>
      <x:c r="E116" s="30" t="str">
        <x:v>黄金</x:v>
      </x:c>
      <x:c r="F116" s="30" t="str">
        <x:v>小型</x:v>
      </x:c>
      <x:c r="G116" s="30" t="str">
        <x:v>机动</x:v>
      </x:c>
      <x:c r="H116" s="49" t="n">
        <x:f>IF(E116="青铜",IF(F116="小型",50,IF(F116="中型",80,128)),IF(E116="白银",IF(F116="小型",100,IF(F116="中型",160,256)),IF(E116="黄金",IF(F116="小型",160,IF(F116="中型",256,410)),IF(E116="钻石",IF(F116="小型",240,IF(F116="中型",384,614)),""))))</x:f>
        <x:v>160</x:v>
      </x:c>
      <x:c r="I116" s="49" t="n">
        <x:f>K116+L116</x:f>
        <x:v>160</x:v>
      </x:c>
      <x:c r="J116" s="49" t="n">
        <x:f>I116-H116</x:f>
        <x:v>0</x:v>
      </x:c>
      <x:c r="K116" s="49" t="n">
        <x:f>M116+N116*3+O116*3+P116*5+Q116*5</x:f>
        <x:v>128</x:v>
      </x:c>
      <x:c r="L116" s="49" t="n">
        <x:v>32</x:v>
      </x:c>
      <x:c r="M116" s="31" t="n">
        <x:v>25</x:v>
      </x:c>
      <x:c r="N116" s="31" t="n">
        <x:v>26</x:v>
      </x:c>
      <x:c r="O116" s="31" t="n">
        <x:v>0</x:v>
      </x:c>
      <x:c r="P116" s="31" t="n">
        <x:v>0</x:v>
      </x:c>
      <x:c r="Q116" s="31" t="n">
        <x:v>5</x:v>
      </x:c>
      <x:c r="R116" s="30" t="str">
        <x:v>补刀控场</x:v>
      </x:c>
      <x:c r="S116" s="30" t="str">
        <x:v>C1 前方2×2</x:v>
      </x:c>
      <x:c r="T116" s="30" t="str">
        <x:v>方形/4格</x:v>
      </x:c>
      <x:c r="U116" s="30" t="str">
        <x:v>牵制</x:v>
      </x:c>
      <x:c r="V116" s="30" t="str">
        <x:v>advHitBonus</x:v>
      </x:c>
      <x:c r="W116" s="30" t="str">
        <x:v>火、机动、灵活、泛用</x:v>
      </x:c>
      <x:c r="X116" s="30" t="str">
        <x:v>—</x:v>
      </x:c>
      <x:c r="Y116" s="51"/>
      <x:c r="Z116" s="32" t="str">
        <x:v>pal_115</x:v>
      </x:c>
    </x:row>
    <x:row r="117">
      <x:c r="A117" s="29" t="str">
        <x:v>No.102B</x:v>
      </x:c>
      <x:c r="B117" s="30" t="str">
        <x:v>清雀</x:v>
      </x:c>
      <x:c r="C117" s="30" t="str">
        <x:v>水</x:v>
      </x:c>
      <x:c r="D117" s="30"/>
      <x:c r="E117" s="30" t="str">
        <x:v>黄金</x:v>
      </x:c>
      <x:c r="F117" s="30" t="str">
        <x:v>小型</x:v>
      </x:c>
      <x:c r="G117" s="30" t="str">
        <x:v>治疗</x:v>
      </x:c>
      <x:c r="H117" s="49" t="n">
        <x:f>IF(E117="青铜",IF(F117="小型",50,IF(F117="中型",80,128)),IF(E117="白银",IF(F117="小型",100,IF(F117="中型",160,256)),IF(E117="黄金",IF(F117="小型",160,IF(F117="中型",256,410)),IF(E117="钻石",IF(F117="小型",240,IF(F117="中型",384,614)),""))))</x:f>
        <x:v>160</x:v>
      </x:c>
      <x:c r="I117" s="49" t="n">
        <x:f>K117+L117</x:f>
        <x:v>160</x:v>
      </x:c>
      <x:c r="J117" s="49" t="n">
        <x:f>I117-H117</x:f>
        <x:v>0</x:v>
      </x:c>
      <x:c r="K117" s="49" t="n">
        <x:f>M117+N117*3+O117*3+P117*5+Q117*5</x:f>
        <x:v>128</x:v>
      </x:c>
      <x:c r="L117" s="49" t="n">
        <x:v>32</x:v>
      </x:c>
      <x:c r="M117" s="31" t="n">
        <x:v>50</x:v>
      </x:c>
      <x:c r="N117" s="31" t="n">
        <x:v>21</x:v>
      </x:c>
      <x:c r="O117" s="31" t="n">
        <x:v>0</x:v>
      </x:c>
      <x:c r="P117" s="31" t="n">
        <x:v>0</x:v>
      </x:c>
      <x:c r="Q117" s="31" t="n">
        <x:v>3</x:v>
      </x:c>
      <x:c r="R117" s="30" t="str">
        <x:v>治疗续航</x:v>
      </x:c>
      <x:c r="S117" s="30" t="str">
        <x:v>T1 标准前置T</x:v>
      </x:c>
      <x:c r="T117" s="30" t="str">
        <x:v>T形/4格</x:v>
      </x:c>
      <x:c r="U117" s="30" t="str">
        <x:v>场地</x:v>
      </x:c>
      <x:c r="V117" s="30" t="str">
        <x:v>healAmpBonus</x:v>
      </x:c>
      <x:c r="W117" s="30" t="str">
        <x:v>水、治疗、后排、增益</x:v>
      </x:c>
      <x:c r="X117" s="30" t="str">
        <x:v>—</x:v>
      </x:c>
      <x:c r="Y117" s="51" t="str">
        <x:v>治疗补预算</x:v>
      </x:c>
      <x:c r="Z117" s="32" t="str">
        <x:v>pal_116</x:v>
      </x:c>
    </x:row>
    <x:row r="118">
      <x:c r="A118" s="29" t="str">
        <x:v>No.103</x:v>
      </x:c>
      <x:c r="B118" s="30" t="str">
        <x:v>暴电熊</x:v>
      </x:c>
      <x:c r="C118" s="30" t="str">
        <x:v>风</x:v>
      </x:c>
      <x:c r="D118" s="30" t="str">
        <x:v>雷</x:v>
      </x:c>
      <x:c r="E118" s="30" t="str">
        <x:v>黄金</x:v>
      </x:c>
      <x:c r="F118" s="30" t="str">
        <x:v>小型</x:v>
      </x:c>
      <x:c r="G118" s="30" t="str">
        <x:v>控制</x:v>
      </x:c>
      <x:c r="H118" s="49" t="n">
        <x:f>IF(E118="青铜",IF(F118="小型",50,IF(F118="中型",80,128)),IF(E118="白银",IF(F118="小型",100,IF(F118="中型",160,256)),IF(E118="黄金",IF(F118="小型",160,IF(F118="中型",256,410)),IF(E118="钻石",IF(F118="小型",240,IF(F118="中型",384,614)),""))))</x:f>
        <x:v>160</x:v>
      </x:c>
      <x:c r="I118" s="49" t="n">
        <x:f>K118+L118</x:f>
        <x:v>160</x:v>
      </x:c>
      <x:c r="J118" s="49" t="n">
        <x:f>I118-H118</x:f>
        <x:v>0</x:v>
      </x:c>
      <x:c r="K118" s="49" t="n">
        <x:f>M118+N118*3+O118*3+P118*5+Q118*5</x:f>
        <x:v>128</x:v>
      </x:c>
      <x:c r="L118" s="49" t="n">
        <x:v>32</x:v>
      </x:c>
      <x:c r="M118" s="31" t="n">
        <x:v>30</x:v>
      </x:c>
      <x:c r="N118" s="31" t="n">
        <x:v>26</x:v>
      </x:c>
      <x:c r="O118" s="31" t="n">
        <x:v>0</x:v>
      </x:c>
      <x:c r="P118" s="31" t="n">
        <x:v>0</x:v>
      </x:c>
      <x:c r="Q118" s="31" t="n">
        <x:v>4</x:v>
      </x:c>
      <x:c r="R118" s="30" t="str">
        <x:v>补刀控场</x:v>
      </x:c>
      <x:c r="S118" s="30" t="str">
        <x:v>C1 前方2×2</x:v>
      </x:c>
      <x:c r="T118" s="30" t="str">
        <x:v>方形/4格</x:v>
      </x:c>
      <x:c r="U118" s="30" t="str">
        <x:v>牵制</x:v>
      </x:c>
      <x:c r="V118" s="30" t="str">
        <x:v>advHitBonus</x:v>
      </x:c>
      <x:c r="W118" s="30" t="str">
        <x:v>风、牵制、范围、机动</x:v>
      </x:c>
      <x:c r="X118" s="30" t="str">
        <x:v>—</x:v>
      </x:c>
      <x:c r="Y118" s="51" t="str">
        <x:v>旧定位=牵制；控制补预算</x:v>
      </x:c>
      <x:c r="Z118" s="32" t="str">
        <x:v>pal_117</x:v>
      </x:c>
    </x:row>
    <x:row r="119">
      <x:c r="A119" s="29" t="str">
        <x:v>No.104</x:v>
      </x:c>
      <x:c r="B119" s="30" t="str">
        <x:v>百合女王</x:v>
      </x:c>
      <x:c r="C119" s="30" t="str">
        <x:v>风</x:v>
      </x:c>
      <x:c r="D119" s="30" t="str">
        <x:v>草</x:v>
      </x:c>
      <x:c r="E119" s="30" t="str">
        <x:v>黄金</x:v>
      </x:c>
      <x:c r="F119" s="30" t="str">
        <x:v>小型</x:v>
      </x:c>
      <x:c r="G119" s="30" t="str">
        <x:v>治疗</x:v>
      </x:c>
      <x:c r="H119" s="49" t="n">
        <x:f>IF(E119="青铜",IF(F119="小型",50,IF(F119="中型",80,128)),IF(E119="白银",IF(F119="小型",100,IF(F119="中型",160,256)),IF(E119="黄金",IF(F119="小型",160,IF(F119="中型",256,410)),IF(E119="钻石",IF(F119="小型",240,IF(F119="中型",384,614)),""))))</x:f>
        <x:v>160</x:v>
      </x:c>
      <x:c r="I119" s="49" t="n">
        <x:f>K119+L119</x:f>
        <x:v>160</x:v>
      </x:c>
      <x:c r="J119" s="49" t="n">
        <x:f>I119-H119</x:f>
        <x:v>0</x:v>
      </x:c>
      <x:c r="K119" s="49" t="n">
        <x:f>M119+N119*3+O119*3+P119*5+Q119*5</x:f>
        <x:v>128</x:v>
      </x:c>
      <x:c r="L119" s="49" t="n">
        <x:v>32</x:v>
      </x:c>
      <x:c r="M119" s="31" t="n">
        <x:v>50</x:v>
      </x:c>
      <x:c r="N119" s="31" t="n">
        <x:v>21</x:v>
      </x:c>
      <x:c r="O119" s="31" t="n">
        <x:v>0</x:v>
      </x:c>
      <x:c r="P119" s="31" t="n">
        <x:v>0</x:v>
      </x:c>
      <x:c r="Q119" s="31" t="n">
        <x:v>3</x:v>
      </x:c>
      <x:c r="R119" s="30" t="str">
        <x:v>治疗续航</x:v>
      </x:c>
      <x:c r="S119" s="30" t="str">
        <x:v>T1 标准前置T</x:v>
      </x:c>
      <x:c r="T119" s="30" t="str">
        <x:v>T形/4格</x:v>
      </x:c>
      <x:c r="U119" s="30" t="str">
        <x:v>场地</x:v>
      </x:c>
      <x:c r="V119" s="30" t="str">
        <x:v>healAmpBonus</x:v>
      </x:c>
      <x:c r="W119" s="30" t="str">
        <x:v>风、治疗、后排、增益</x:v>
      </x:c>
      <x:c r="X119" s="30" t="str">
        <x:v>—</x:v>
      </x:c>
      <x:c r="Y119" s="51" t="str">
        <x:v>治疗补预算</x:v>
      </x:c>
      <x:c r="Z119" s="32" t="str">
        <x:v>pal_118</x:v>
      </x:c>
    </x:row>
    <x:row r="120">
      <x:c r="A120" s="29" t="str">
        <x:v>No.104B</x:v>
      </x:c>
      <x:c r="B120" s="30" t="str">
        <x:v>黑月女王</x:v>
      </x:c>
      <x:c r="C120" s="30" t="str">
        <x:v>土</x:v>
      </x:c>
      <x:c r="D120" s="30" t="str">
        <x:v>暗</x:v>
      </x:c>
      <x:c r="E120" s="30" t="str">
        <x:v>黄金</x:v>
      </x:c>
      <x:c r="F120" s="30" t="str">
        <x:v>小型</x:v>
      </x:c>
      <x:c r="G120" s="30" t="str">
        <x:v>治疗</x:v>
      </x:c>
      <x:c r="H120" s="49" t="n">
        <x:f>IF(E120="青铜",IF(F120="小型",50,IF(F120="中型",80,128)),IF(E120="白银",IF(F120="小型",100,IF(F120="中型",160,256)),IF(E120="黄金",IF(F120="小型",160,IF(F120="中型",256,410)),IF(E120="钻石",IF(F120="小型",240,IF(F120="中型",384,614)),""))))</x:f>
        <x:v>160</x:v>
      </x:c>
      <x:c r="I120" s="49" t="n">
        <x:f>K120+L120</x:f>
        <x:v>160</x:v>
      </x:c>
      <x:c r="J120" s="49" t="n">
        <x:f>I120-H120</x:f>
        <x:v>0</x:v>
      </x:c>
      <x:c r="K120" s="49" t="n">
        <x:f>M120+N120*3+O120*3+P120*5+Q120*5</x:f>
        <x:v>128</x:v>
      </x:c>
      <x:c r="L120" s="49" t="n">
        <x:v>32</x:v>
      </x:c>
      <x:c r="M120" s="31" t="n">
        <x:v>50</x:v>
      </x:c>
      <x:c r="N120" s="31" t="n">
        <x:v>21</x:v>
      </x:c>
      <x:c r="O120" s="31" t="n">
        <x:v>0</x:v>
      </x:c>
      <x:c r="P120" s="31" t="n">
        <x:v>0</x:v>
      </x:c>
      <x:c r="Q120" s="31" t="n">
        <x:v>3</x:v>
      </x:c>
      <x:c r="R120" s="30" t="str">
        <x:v>治疗续航</x:v>
      </x:c>
      <x:c r="S120" s="30" t="str">
        <x:v>T1 标准前置T</x:v>
      </x:c>
      <x:c r="T120" s="30" t="str">
        <x:v>T形/4格</x:v>
      </x:c>
      <x:c r="U120" s="30" t="str">
        <x:v>场地</x:v>
      </x:c>
      <x:c r="V120" s="30" t="str">
        <x:v>healAmpBonus</x:v>
      </x:c>
      <x:c r="W120" s="30" t="str">
        <x:v>土、治疗、后排、增益</x:v>
      </x:c>
      <x:c r="X120" s="30" t="str">
        <x:v>—</x:v>
      </x:c>
      <x:c r="Y120" s="51" t="str">
        <x:v>治疗补预算</x:v>
      </x:c>
      <x:c r="Z120" s="32" t="str">
        <x:v>pal_119</x:v>
      </x:c>
    </x:row>
    <x:row r="121">
      <x:c r="A121" s="29" t="str">
        <x:v>No.105</x:v>
      </x:c>
      <x:c r="B121" s="30" t="str">
        <x:v>荷鲁斯</x:v>
      </x:c>
      <x:c r="C121" s="30" t="str">
        <x:v>火</x:v>
      </x:c>
      <x:c r="D121" s="30"/>
      <x:c r="E121" s="30" t="str">
        <x:v>黄金</x:v>
      </x:c>
      <x:c r="F121" s="30" t="str">
        <x:v>小型</x:v>
      </x:c>
      <x:c r="G121" s="30" t="str">
        <x:v>机动</x:v>
      </x:c>
      <x:c r="H121" s="49" t="n">
        <x:f>IF(E121="青铜",IF(F121="小型",50,IF(F121="中型",80,128)),IF(E121="白银",IF(F121="小型",100,IF(F121="中型",160,256)),IF(E121="黄金",IF(F121="小型",160,IF(F121="中型",256,410)),IF(E121="钻石",IF(F121="小型",240,IF(F121="中型",384,614)),""))))</x:f>
        <x:v>160</x:v>
      </x:c>
      <x:c r="I121" s="49" t="n">
        <x:f>K121+L121</x:f>
        <x:v>160</x:v>
      </x:c>
      <x:c r="J121" s="49" t="n">
        <x:f>I121-H121</x:f>
        <x:v>0</x:v>
      </x:c>
      <x:c r="K121" s="49" t="n">
        <x:f>M121+N121*3+O121*3+P121*5+Q121*5</x:f>
        <x:v>128</x:v>
      </x:c>
      <x:c r="L121" s="49" t="n">
        <x:v>32</x:v>
      </x:c>
      <x:c r="M121" s="31" t="n">
        <x:v>25</x:v>
      </x:c>
      <x:c r="N121" s="31" t="n">
        <x:v>26</x:v>
      </x:c>
      <x:c r="O121" s="31" t="n">
        <x:v>0</x:v>
      </x:c>
      <x:c r="P121" s="31" t="n">
        <x:v>0</x:v>
      </x:c>
      <x:c r="Q121" s="31" t="n">
        <x:v>5</x:v>
      </x:c>
      <x:c r="R121" s="30" t="str">
        <x:v>补刀控场</x:v>
      </x:c>
      <x:c r="S121" s="30" t="str">
        <x:v>C1 前方2×2</x:v>
      </x:c>
      <x:c r="T121" s="30" t="str">
        <x:v>方形/4格</x:v>
      </x:c>
      <x:c r="U121" s="30" t="str">
        <x:v>牵制</x:v>
      </x:c>
      <x:c r="V121" s="30" t="str">
        <x:v>advHitBonus</x:v>
      </x:c>
      <x:c r="W121" s="30" t="str">
        <x:v>火、机动、灵活、泛用</x:v>
      </x:c>
      <x:c r="X121" s="30" t="str">
        <x:v>—</x:v>
      </x:c>
      <x:c r="Y121" s="51"/>
      <x:c r="Z121" s="32" t="str">
        <x:v>pal_120</x:v>
      </x:c>
    </x:row>
    <x:row r="122">
      <x:c r="A122" s="29" t="str">
        <x:v>No.106</x:v>
      </x:c>
      <x:c r="B122" s="30" t="str">
        <x:v>波鲁杰克斯</x:v>
      </x:c>
      <x:c r="C122" s="30" t="str">
        <x:v>风</x:v>
      </x:c>
      <x:c r="D122" s="30" t="str">
        <x:v>龙、雷</x:v>
      </x:c>
      <x:c r="E122" s="30" t="str">
        <x:v>黄金</x:v>
      </x:c>
      <x:c r="F122" s="30" t="str">
        <x:v>中型</x:v>
      </x:c>
      <x:c r="G122" s="30" t="str">
        <x:v>控制</x:v>
      </x:c>
      <x:c r="H122" s="49" t="n">
        <x:f>IF(E122="青铜",IF(F122="小型",50,IF(F122="中型",80,128)),IF(E122="白银",IF(F122="小型",100,IF(F122="中型",160,256)),IF(E122="黄金",IF(F122="小型",160,IF(F122="中型",256,410)),IF(E122="钻石",IF(F122="小型",240,IF(F122="中型",384,614)),""))))</x:f>
        <x:v>256</x:v>
      </x:c>
      <x:c r="I122" s="49" t="n">
        <x:f>K122+L122</x:f>
        <x:v>256</x:v>
      </x:c>
      <x:c r="J122" s="49" t="n">
        <x:f>I122-H122</x:f>
        <x:v>0</x:v>
      </x:c>
      <x:c r="K122" s="49" t="n">
        <x:f>M122+N122*3+O122*3+P122*5+Q122*5</x:f>
        <x:v>224</x:v>
      </x:c>
      <x:c r="L122" s="49" t="n">
        <x:v>32</x:v>
      </x:c>
      <x:c r="M122" s="31" t="n">
        <x:v>60</x:v>
      </x:c>
      <x:c r="N122" s="31" t="n">
        <x:v>48</x:v>
      </x:c>
      <x:c r="O122" s="31" t="n">
        <x:v>0</x:v>
      </x:c>
      <x:c r="P122" s="31" t="n">
        <x:v>0</x:v>
      </x:c>
      <x:c r="Q122" s="31" t="n">
        <x:v>4</x:v>
      </x:c>
      <x:c r="R122" s="30" t="str">
        <x:v>补刀控场</x:v>
      </x:c>
      <x:c r="S122" s="30" t="str">
        <x:v>C1 前方2×2</x:v>
      </x:c>
      <x:c r="T122" s="30" t="str">
        <x:v>方形/4格</x:v>
      </x:c>
      <x:c r="U122" s="30" t="str">
        <x:v>牵制</x:v>
      </x:c>
      <x:c r="V122" s="30" t="str">
        <x:v>advHitBonus</x:v>
      </x:c>
      <x:c r="W122" s="30" t="str">
        <x:v>风、牵制、范围、机动</x:v>
      </x:c>
      <x:c r="X122" s="30" t="str">
        <x:v>—</x:v>
      </x:c>
      <x:c r="Y122" s="51" t="str">
        <x:v>旧定位=牵制；控制补预算</x:v>
      </x:c>
      <x:c r="Z122" s="32" t="str">
        <x:v>pal_121</x:v>
      </x:c>
    </x:row>
    <x:row r="123">
      <x:c r="A123" s="29" t="str">
        <x:v>No.107</x:v>
      </x:c>
      <x:c r="B123" s="30" t="str">
        <x:v>异构格里芬</x:v>
      </x:c>
      <x:c r="C123" s="30" t="str">
        <x:v>土</x:v>
      </x:c>
      <x:c r="D123" s="30" t="str">
        <x:v>暗</x:v>
      </x:c>
      <x:c r="E123" s="30" t="str">
        <x:v>黄金</x:v>
      </x:c>
      <x:c r="F123" s="30" t="str">
        <x:v>小型</x:v>
      </x:c>
      <x:c r="G123" s="30" t="str">
        <x:v>机动</x:v>
      </x:c>
      <x:c r="H123" s="49" t="n">
        <x:f>IF(E123="青铜",IF(F123="小型",50,IF(F123="中型",80,128)),IF(E123="白银",IF(F123="小型",100,IF(F123="中型",160,256)),IF(E123="黄金",IF(F123="小型",160,IF(F123="中型",256,410)),IF(E123="钻石",IF(F123="小型",240,IF(F123="中型",384,614)),""))))</x:f>
        <x:v>160</x:v>
      </x:c>
      <x:c r="I123" s="49" t="n">
        <x:f>K123+L123</x:f>
        <x:v>160</x:v>
      </x:c>
      <x:c r="J123" s="49" t="n">
        <x:f>I123-H123</x:f>
        <x:v>0</x:v>
      </x:c>
      <x:c r="K123" s="49" t="n">
        <x:f>M123+N123*3+O123*3+P123*5+Q123*5</x:f>
        <x:v>128</x:v>
      </x:c>
      <x:c r="L123" s="49" t="n">
        <x:v>32</x:v>
      </x:c>
      <x:c r="M123" s="31" t="n">
        <x:v>25</x:v>
      </x:c>
      <x:c r="N123" s="31" t="n">
        <x:v>26</x:v>
      </x:c>
      <x:c r="O123" s="31" t="n">
        <x:v>0</x:v>
      </x:c>
      <x:c r="P123" s="31" t="n">
        <x:v>0</x:v>
      </x:c>
      <x:c r="Q123" s="31" t="n">
        <x:v>5</x:v>
      </x:c>
      <x:c r="R123" s="30" t="str">
        <x:v>补刀控场</x:v>
      </x:c>
      <x:c r="S123" s="30" t="str">
        <x:v>C1 前方2×2</x:v>
      </x:c>
      <x:c r="T123" s="30" t="str">
        <x:v>方形/4格</x:v>
      </x:c>
      <x:c r="U123" s="30" t="str">
        <x:v>牵制</x:v>
      </x:c>
      <x:c r="V123" s="30" t="str">
        <x:v>advHitBonus</x:v>
      </x:c>
      <x:c r="W123" s="30" t="str">
        <x:v>土、机动、灵活、泛用</x:v>
      </x:c>
      <x:c r="X123" s="30" t="str">
        <x:v>—</x:v>
      </x:c>
      <x:c r="Y123" s="51"/>
      <x:c r="Z123" s="32" t="str">
        <x:v>pal_122</x:v>
      </x:c>
    </x:row>
    <x:row r="124">
      <x:c r="A124" s="29" t="str">
        <x:v>No.108</x:v>
      </x:c>
      <x:c r="B124" s="30" t="str">
        <x:v>圣光骑士</x:v>
      </x:c>
      <x:c r="C124" s="30" t="str">
        <x:v>风</x:v>
      </x:c>
      <x:c r="D124" s="30"/>
      <x:c r="E124" s="30" t="str">
        <x:v>黄金</x:v>
      </x:c>
      <x:c r="F124" s="30" t="str">
        <x:v>大型</x:v>
      </x:c>
      <x:c r="G124" s="30" t="str">
        <x:v>坦克</x:v>
      </x:c>
      <x:c r="H124" s="49" t="n">
        <x:f>IF(E124="青铜",IF(F124="小型",50,IF(F124="中型",80,128)),IF(E124="白银",IF(F124="小型",100,IF(F124="中型",160,256)),IF(E124="黄金",IF(F124="小型",160,IF(F124="中型",256,410)),IF(E124="钻石",IF(F124="小型",240,IF(F124="中型",384,614)),""))))</x:f>
        <x:v>410</x:v>
      </x:c>
      <x:c r="I124" s="49" t="n">
        <x:f>K124+L124</x:f>
        <x:v>410</x:v>
      </x:c>
      <x:c r="J124" s="49" t="n">
        <x:f>I124-H124</x:f>
        <x:v>0</x:v>
      </x:c>
      <x:c r="K124" s="49" t="n">
        <x:f>M124+N124*3+O124*3+P124*5+Q124*5</x:f>
        <x:v>386</x:v>
      </x:c>
      <x:c r="L124" s="49" t="n">
        <x:v>24</x:v>
      </x:c>
      <x:c r="M124" s="31" t="n">
        <x:v>70</x:v>
      </x:c>
      <x:c r="N124" s="31" t="n">
        <x:v>67</x:v>
      </x:c>
      <x:c r="O124" s="31" t="n">
        <x:v>0</x:v>
      </x:c>
      <x:c r="P124" s="31" t="n">
        <x:v>20</x:v>
      </x:c>
      <x:c r="Q124" s="31" t="n">
        <x:v>3</x:v>
      </x:c>
      <x:c r="R124" s="30" t="str">
        <x:v>前排减压</x:v>
      </x:c>
      <x:c r="S124" s="30" t="str">
        <x:v>T1 标准前置T</x:v>
      </x:c>
      <x:c r="T124" s="30" t="str">
        <x:v>T形/4格</x:v>
      </x:c>
      <x:c r="U124" s="30" t="str">
        <x:v>阻挡</x:v>
      </x:c>
      <x:c r="V124" s="30" t="str">
        <x:v>castleReduce</x:v>
      </x:c>
      <x:c r="W124" s="30" t="str">
        <x:v>风、防御、前排、阻挡</x:v>
      </x:c>
      <x:c r="X124" s="30" t="str">
        <x:v>—</x:v>
      </x:c>
      <x:c r="Y124" s="51" t="str">
        <x:v>旧定位=防御</x:v>
      </x:c>
      <x:c r="Z124" s="32" t="str">
        <x:v>pal_123</x:v>
      </x:c>
    </x:row>
    <x:row r="125">
      <x:c r="A125" s="29" t="str">
        <x:v>No.109</x:v>
      </x:c>
      <x:c r="B125" s="30" t="str">
        <x:v>混沌骑士</x:v>
      </x:c>
      <x:c r="C125" s="30" t="str">
        <x:v>土</x:v>
      </x:c>
      <x:c r="D125" s="30" t="str">
        <x:v>暗</x:v>
      </x:c>
      <x:c r="E125" s="30" t="str">
        <x:v>黄金</x:v>
      </x:c>
      <x:c r="F125" s="30" t="str">
        <x:v>大型</x:v>
      </x:c>
      <x:c r="G125" s="30" t="str">
        <x:v>坦克</x:v>
      </x:c>
      <x:c r="H125" s="49" t="n">
        <x:f>IF(E125="青铜",IF(F125="小型",50,IF(F125="中型",80,128)),IF(E125="白银",IF(F125="小型",100,IF(F125="中型",160,256)),IF(E125="黄金",IF(F125="小型",160,IF(F125="中型",256,410)),IF(E125="钻石",IF(F125="小型",240,IF(F125="中型",384,614)),""))))</x:f>
        <x:v>410</x:v>
      </x:c>
      <x:c r="I125" s="49" t="n">
        <x:f>K125+L125</x:f>
        <x:v>410</x:v>
      </x:c>
      <x:c r="J125" s="49" t="n">
        <x:f>I125-H125</x:f>
        <x:v>0</x:v>
      </x:c>
      <x:c r="K125" s="49" t="n">
        <x:f>M125+N125*3+O125*3+P125*5+Q125*5</x:f>
        <x:v>386</x:v>
      </x:c>
      <x:c r="L125" s="49" t="n">
        <x:v>24</x:v>
      </x:c>
      <x:c r="M125" s="31" t="n">
        <x:v>70</x:v>
      </x:c>
      <x:c r="N125" s="31" t="n">
        <x:v>67</x:v>
      </x:c>
      <x:c r="O125" s="31" t="n">
        <x:v>0</x:v>
      </x:c>
      <x:c r="P125" s="31" t="n">
        <x:v>20</x:v>
      </x:c>
      <x:c r="Q125" s="31" t="n">
        <x:v>3</x:v>
      </x:c>
      <x:c r="R125" s="30" t="str">
        <x:v>前排减压</x:v>
      </x:c>
      <x:c r="S125" s="30" t="str">
        <x:v>T1 标准前置T</x:v>
      </x:c>
      <x:c r="T125" s="30" t="str">
        <x:v>T形/4格</x:v>
      </x:c>
      <x:c r="U125" s="30" t="str">
        <x:v>阻挡</x:v>
      </x:c>
      <x:c r="V125" s="30" t="str">
        <x:v>castleReduce</x:v>
      </x:c>
      <x:c r="W125" s="30" t="str">
        <x:v>土、防御、前排、阻挡</x:v>
      </x:c>
      <x:c r="X125" s="30" t="str">
        <x:v>—</x:v>
      </x:c>
      <x:c r="Y125" s="51" t="str">
        <x:v>旧定位=防御</x:v>
      </x:c>
      <x:c r="Z125" s="32" t="str">
        <x:v>pal_124</x:v>
      </x:c>
    </x:row>
    <x:row r="126">
      <x:c r="A126" s="29" t="str">
        <x:v>No.110</x:v>
      </x:c>
      <x:c r="B126" s="30" t="str">
        <x:v>唤冬兽</x:v>
      </x:c>
      <x:c r="C126" s="30" t="str">
        <x:v>水</x:v>
      </x:c>
      <x:c r="D126" s="30" t="str">
        <x:v>冰</x:v>
      </x:c>
      <x:c r="E126" s="30" t="str">
        <x:v>黄金</x:v>
      </x:c>
      <x:c r="F126" s="30" t="str">
        <x:v>中型</x:v>
      </x:c>
      <x:c r="G126" s="30" t="str">
        <x:v>控制</x:v>
      </x:c>
      <x:c r="H126" s="49" t="n">
        <x:f>IF(E126="青铜",IF(F126="小型",50,IF(F126="中型",80,128)),IF(E126="白银",IF(F126="小型",100,IF(F126="中型",160,256)),IF(E126="黄金",IF(F126="小型",160,IF(F126="中型",256,410)),IF(E126="钻石",IF(F126="小型",240,IF(F126="中型",384,614)),""))))</x:f>
        <x:v>256</x:v>
      </x:c>
      <x:c r="I126" s="49" t="n">
        <x:f>K126+L126</x:f>
        <x:v>256</x:v>
      </x:c>
      <x:c r="J126" s="49" t="n">
        <x:f>I126-H126</x:f>
        <x:v>0</x:v>
      </x:c>
      <x:c r="K126" s="49" t="n">
        <x:f>M126+N126*3+O126*3+P126*5+Q126*5</x:f>
        <x:v>224</x:v>
      </x:c>
      <x:c r="L126" s="49" t="n">
        <x:v>32</x:v>
      </x:c>
      <x:c r="M126" s="31" t="n">
        <x:v>60</x:v>
      </x:c>
      <x:c r="N126" s="31" t="n">
        <x:v>48</x:v>
      </x:c>
      <x:c r="O126" s="31" t="n">
        <x:v>0</x:v>
      </x:c>
      <x:c r="P126" s="31" t="n">
        <x:v>0</x:v>
      </x:c>
      <x:c r="Q126" s="31" t="n">
        <x:v>4</x:v>
      </x:c>
      <x:c r="R126" s="30" t="str">
        <x:v>补刀控场</x:v>
      </x:c>
      <x:c r="S126" s="30" t="str">
        <x:v>C1 前方2×2</x:v>
      </x:c>
      <x:c r="T126" s="30" t="str">
        <x:v>方形/4格</x:v>
      </x:c>
      <x:c r="U126" s="30" t="str">
        <x:v>牵制</x:v>
      </x:c>
      <x:c r="V126" s="30" t="str">
        <x:v>advHitBonus</x:v>
      </x:c>
      <x:c r="W126" s="30" t="str">
        <x:v>水、牵制、范围、机动</x:v>
      </x:c>
      <x:c r="X126" s="30" t="str">
        <x:v>—</x:v>
      </x:c>
      <x:c r="Y126" s="51" t="str">
        <x:v>旧定位=牵制；控制补预算</x:v>
      </x:c>
      <x:c r="Z126" s="32" t="str">
        <x:v>pal_125</x:v>
      </x:c>
    </x:row>
    <x:row r="127">
      <x:c r="A127" s="29" t="str">
        <x:v>No.110B</x:v>
      </x:c>
      <x:c r="B127" s="30" t="str">
        <x:v>唤夜兽</x:v>
      </x:c>
      <x:c r="C127" s="30" t="str">
        <x:v>土</x:v>
      </x:c>
      <x:c r="D127" s="30" t="str">
        <x:v>暗</x:v>
      </x:c>
      <x:c r="E127" s="30" t="str">
        <x:v>黄金</x:v>
      </x:c>
      <x:c r="F127" s="30" t="str">
        <x:v>中型</x:v>
      </x:c>
      <x:c r="G127" s="30" t="str">
        <x:v>控制</x:v>
      </x:c>
      <x:c r="H127" s="49" t="n">
        <x:f>IF(E127="青铜",IF(F127="小型",50,IF(F127="中型",80,128)),IF(E127="白银",IF(F127="小型",100,IF(F127="中型",160,256)),IF(E127="黄金",IF(F127="小型",160,IF(F127="中型",256,410)),IF(E127="钻石",IF(F127="小型",240,IF(F127="中型",384,614)),""))))</x:f>
        <x:v>256</x:v>
      </x:c>
      <x:c r="I127" s="49" t="n">
        <x:f>K127+L127</x:f>
        <x:v>256</x:v>
      </x:c>
      <x:c r="J127" s="49" t="n">
        <x:f>I127-H127</x:f>
        <x:v>0</x:v>
      </x:c>
      <x:c r="K127" s="49" t="n">
        <x:f>M127+N127*3+O127*3+P127*5+Q127*5</x:f>
        <x:v>224</x:v>
      </x:c>
      <x:c r="L127" s="49" t="n">
        <x:v>32</x:v>
      </x:c>
      <x:c r="M127" s="31" t="n">
        <x:v>60</x:v>
      </x:c>
      <x:c r="N127" s="31" t="n">
        <x:v>48</x:v>
      </x:c>
      <x:c r="O127" s="31" t="n">
        <x:v>0</x:v>
      </x:c>
      <x:c r="P127" s="31" t="n">
        <x:v>0</x:v>
      </x:c>
      <x:c r="Q127" s="31" t="n">
        <x:v>4</x:v>
      </x:c>
      <x:c r="R127" s="30" t="str">
        <x:v>治疗续航</x:v>
      </x:c>
      <x:c r="S127" s="30" t="str">
        <x:v>T1 标准前置T</x:v>
      </x:c>
      <x:c r="T127" s="30" t="str">
        <x:v>T形/4格</x:v>
      </x:c>
      <x:c r="U127" s="30" t="str">
        <x:v>牵制</x:v>
      </x:c>
      <x:c r="V127" s="30" t="str">
        <x:v>healAmpBonus</x:v>
      </x:c>
      <x:c r="W127" s="30" t="str">
        <x:v>土、牵制、范围、机动</x:v>
      </x:c>
      <x:c r="X127" s="30" t="str">
        <x:v>—</x:v>
      </x:c>
      <x:c r="Y127" s="51" t="str">
        <x:v>旧定位=牵制；控制补预算</x:v>
      </x:c>
      <x:c r="Z127" s="32" t="str">
        <x:v>pal_126</x:v>
      </x:c>
    </x:row>
    <x:row r="128">
      <x:c r="A128" s="33" t="str">
        <x:v>No.111</x:v>
      </x:c>
      <x:c r="B128" s="34" t="str">
        <x:v>空涡龙</x:v>
      </x:c>
      <x:c r="C128" s="34" t="str">
        <x:v>风</x:v>
      </x:c>
      <x:c r="D128" s="34" t="str">
        <x:v>龙</x:v>
      </x:c>
      <x:c r="E128" s="34" t="str">
        <x:v>黄金</x:v>
      </x:c>
      <x:c r="F128" s="34" t="str">
        <x:v>中型</x:v>
      </x:c>
      <x:c r="G128" s="34" t="str">
        <x:v>机动</x:v>
      </x:c>
      <x:c r="H128" s="50" t="n">
        <x:f>IF(E128="青铜",IF(F128="小型",50,IF(F128="中型",80,128)),IF(E128="白银",IF(F128="小型",100,IF(F128="中型",160,256)),IF(E128="黄金",IF(F128="小型",160,IF(F128="中型",256,410)),IF(E128="钻石",IF(F128="小型",240,IF(F128="中型",384,614)),""))))</x:f>
        <x:v>256</x:v>
      </x:c>
      <x:c r="I128" s="50" t="n">
        <x:f>K128+L128</x:f>
        <x:v>256</x:v>
      </x:c>
      <x:c r="J128" s="50" t="n">
        <x:f>I128-H128</x:f>
        <x:v>0</x:v>
      </x:c>
      <x:c r="K128" s="50" t="n">
        <x:f>M128+N128*3+O128*3+P128*5+Q128*5</x:f>
        <x:v>224</x:v>
      </x:c>
      <x:c r="L128" s="50" t="n">
        <x:v>32</x:v>
      </x:c>
      <x:c r="M128" s="35" t="n">
        <x:v>50</x:v>
      </x:c>
      <x:c r="N128" s="35" t="n">
        <x:v>53</x:v>
      </x:c>
      <x:c r="O128" s="35" t="n">
        <x:v>0</x:v>
      </x:c>
      <x:c r="P128" s="35" t="n">
        <x:v>0</x:v>
      </x:c>
      <x:c r="Q128" s="35" t="n">
        <x:v>3</x:v>
      </x:c>
      <x:c r="R128" s="34" t="str">
        <x:v>补刀控场</x:v>
      </x:c>
      <x:c r="S128" s="34" t="str">
        <x:v>C1 前方2×2</x:v>
      </x:c>
      <x:c r="T128" s="34" t="str">
        <x:v>方形/4格</x:v>
      </x:c>
      <x:c r="U128" s="34" t="str">
        <x:v>牵制</x:v>
      </x:c>
      <x:c r="V128" s="34" t="str">
        <x:v>advHitBonus</x:v>
      </x:c>
      <x:c r="W128" s="34" t="str">
        <x:v>风、机动、灵活、泛用</x:v>
      </x:c>
      <x:c r="X128" s="34" t="str">
        <x:v>—</x:v>
      </x:c>
      <x:c r="Y128" s="52"/>
      <x:c r="Z128" s="36" t="str">
        <x:v>pal_127</x:v>
      </x:c>
    </x:row>
  </x:sheetData>
  <x:pageMargins left="0.7" right="0.7" top="0.75" bottom="0.75" header="0.3" footer="0.3"/>
</x:worksheet>
</file>