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d23379adb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读我_怎么维护" sheetId="1" r:id="R6f4a64d3a5134493"/>
    <x:sheet xmlns:r="http://schemas.openxmlformats.org/officeDocument/2006/relationships" name="01_宠物主表_好读版" sheetId="2" r:id="Red8b4bc283e44be7"/>
    <x:sheet xmlns:r="http://schemas.openxmlformats.org/officeDocument/2006/relationships" name="02_怪物模板_好读版" sheetId="3" r:id="R2c411053c3db418e"/>
    <x:sheet xmlns:r="http://schemas.openxmlformats.org/officeDocument/2006/relationships" name="03_怪物波次_好读版" sheetId="4" r:id="R58f2fc7ac7804415"/>
    <x:sheet xmlns:r="http://schemas.openxmlformats.org/officeDocument/2006/relationships" name="04_机制词条库_60条" sheetId="5" r:id="R2033834eefc04be7"/>
    <x:sheet xmlns:r="http://schemas.openxmlformats.org/officeDocument/2006/relationships" name="05_事件主表_好读版" sheetId="6" r:id="R2f4c5e9dd1c843f4"/>
    <x:sheet xmlns:r="http://schemas.openxmlformats.org/officeDocument/2006/relationships" name="06_商店奖励池_好读版" sheetId="7" r:id="R29b62305a9ca4d24"/>
    <x:sheet xmlns:r="http://schemas.openxmlformats.org/officeDocument/2006/relationships" name="07_遗物祝福_好读版" sheetId="8" r:id="R13e04838be274ab5"/>
    <x:sheet xmlns:r="http://schemas.openxmlformats.org/officeDocument/2006/relationships" name="08_形状行动槽_好读版" sheetId="9" r:id="R3cb90066ed9e458f"/>
    <x:sheet xmlns:r="http://schemas.openxmlformats.org/officeDocument/2006/relationships" name="09_跨表校验" sheetId="10" r:id="R5c99df4af6694b37"/>
    <x:sheet xmlns:r="http://schemas.openxmlformats.org/officeDocument/2006/relationships" name="03_波次规则说明" sheetId="11" r:id="Ra023e7f306184403"/>
    <x:sheet xmlns:r="http://schemas.openxmlformats.org/officeDocument/2006/relationships" name="03_波次规则交付" sheetId="12" r:id="R871aa72323354d6b"/>
  </x:sheets>
</x:workbook>
</file>

<file path=xl/sharedStrings.xml><?xml version="1.0" encoding="utf-8"?>
<x:sst xmlns:x="http://schemas.openxmlformats.org/spreadsheetml/2006/main">
  <x:si>
    <x:t xml:space="preserve">区域</x:t>
  </x:si>
  <x:si>
    <x:t xml:space="preserve">怎么改</x:t>
  </x:si>
  <x:si>
    <x:t xml:space="preserve">会同步到哪里</x:t>
  </x:si>
  <x:si>
    <x:t xml:space="preserve">01_宠物主表_好读版</x:t>
  </x:si>
  <x:si>
    <x:t xml:space="preserve">只改宠物基础信息：名称、元素、副属、品质、体型、定位、形状、范围、动作、技能、标签、可召、备注。灰色数值列从02自动显示。</x:t>
  </x:si>
  <x:si>
    <x:t xml:space="preserve">02会带出名称/元素/体型/定位；03也会通过02显示关键数据。</x:t>
  </x:si>
  <x:si>
    <x:t xml:space="preserve">02_怪物模板_好读版</x:t>
  </x:si>
  <x:si>
    <x:t xml:space="preserve">只改最终战斗数值：阶段、敌方定位、HP、攻、防、盾、行动、机制ID、机制参数、面板分、机制分、克制、推荐日、备注。</x:t>
  </x:si>
  <x:si>
    <x:t xml:space="preserve">01的数值列会自动显示；03波次会自动带出名称/数值/定位。</x:t>
  </x:si>
  <x:si>
    <x:t xml:space="preserve">03_怪物波次_好读版</x:t>
  </x:si>
  <x:si>
    <x:t xml:space="preserve">只改战斗编排：波次ID、天数、时段、回合、宠物ID、数量、位置、设计目的、失败惩罚、奖励影响、备注。</x:t>
  </x:si>
  <x:si>
    <x:t xml:space="preserve">名称、元素、定位、HP/攻/防/盾/行动、本行威胁自动从02带出。</x:t>
  </x:si>
  <x:si>
    <x:t xml:space="preserve">颜色规则</x:t>
  </x:si>
  <x:si>
    <x:t xml:space="preserve">黄色=手动维护；灰色=公式自动同步，尽量不要手改。</x:t>
  </x:si>
  <x:si>
    <x:t xml:space="preserve">用宠物ID统一关联三表。</x:t>
  </x:si>
  <x:si>
    <x:t xml:space="preserve">核心口径</x:t>
  </x:si>
  <x:si>
    <x:t xml:space="preserve">最终数值以02_怪物模板_好读版为准。宠物表不新增复杂来源列；不存在列放YAML/MD说明。</x:t>
  </x:si>
  <x:si>
    <x:t xml:space="preserve">脚本生成数据时以这三张表 + YAML 为真源。</x:t>
  </x:si>
  <x:si>
    <x:t xml:space="preserve">宠物ID</x:t>
  </x:si>
  <x:si>
    <x:t xml:space="preserve">编号</x:t>
  </x:si>
  <x:si>
    <x:t xml:space="preserve">名称</x:t>
  </x:si>
  <x:si>
    <x:t xml:space="preserve">元素</x:t>
  </x:si>
  <x:si>
    <x:t xml:space="preserve">副属</x:t>
  </x:si>
  <x:si>
    <x:t xml:space="preserve">品质</x:t>
  </x:si>
  <x:si>
    <x:t xml:space="preserve">体型</x:t>
  </x:si>
  <x:si>
    <x:t xml:space="preserve">定位</x:t>
  </x:si>
  <x:si>
    <x:t xml:space="preserve">效果分</x:t>
  </x:si>
  <x:si>
    <x:t xml:space="preserve">HP</x:t>
  </x:si>
  <x:si>
    <x:t xml:space="preserve">攻</x:t>
  </x:si>
  <x:si>
    <x:t xml:space="preserve">防</x:t>
  </x:si>
  <x:si>
    <x:t xml:space="preserve">盾</x:t>
  </x:si>
  <x:si>
    <x:t xml:space="preserve">行动</x:t>
  </x:si>
  <x:si>
    <x:t xml:space="preserve">机制ID</x:t>
  </x:si>
  <x:si>
    <x:t xml:space="preserve">形状</x:t>
  </x:si>
  <x:si>
    <x:t xml:space="preserve">范围</x:t>
  </x:si>
  <x:si>
    <x:t xml:space="preserve">动作</x:t>
  </x:si>
  <x:si>
    <x:t xml:space="preserve">技能</x:t>
  </x:si>
  <x:si>
    <x:t xml:space="preserve">标签</x:t>
  </x:si>
  <x:si>
    <x:t xml:space="preserve">可召</x:t>
  </x:si>
  <x:si>
    <x:t xml:space="preserve">备注</x:t>
  </x:si>
  <x:si>
    <x:t xml:space="preserve">pal_001</x:t>
  </x:si>
  <x:si>
    <x:t xml:space="preserve">No.001</x:t>
  </x:si>
  <x:si>
    <x:t xml:space="preserve">棉悠悠</x:t>
  </x:si>
  <x:si>
    <x:t xml:space="preserve">风</x:t>
  </x:si>
  <x:si>
    <x:t xml:space="preserve">44</x:t>
  </x:si>
  <x:si>
    <x:t xml:space="preserve">青铜</x:t>
  </x:si>
  <x:si>
    <x:t xml:space="preserve">小型</x:t>
  </x:si>
  <x:si>
    <x:t xml:space="preserve">经济</x:t>
  </x:si>
  <x:si>
    <x:t xml:space="preserve">A1 单点刺</x:t>
  </x:si>
  <x:si>
    <x:t xml:space="preserve">直线/1格</x:t>
  </x:si>
  <x:si>
    <x:t xml:space="preserve">召唤</x:t>
  </x:si>
  <x:si>
    <x:t xml:space="preserve">buffAllSummons</x:t>
  </x:si>
  <x:si>
    <x:t xml:space="preserve">风、经济、召唤、发育</x:t>
  </x:si>
  <x:si>
    <x:t xml:space="preserve">是</x:t>
  </x:si>
  <x:si>
    <x:t xml:space="preserve">pal_002</x:t>
  </x:si>
  <x:si>
    <x:t xml:space="preserve">No.002</x:t>
  </x:si>
  <x:si>
    <x:t xml:space="preserve">捣蛋猫</x:t>
  </x:si>
  <x:si>
    <x:t xml:space="preserve">坦克</x:t>
  </x:si>
  <x:si>
    <x:t xml:space="preserve">B1 横扫三格</x:t>
  </x:si>
  <x:si>
    <x:t xml:space="preserve">扫击/3格</x:t>
  </x:si>
  <x:si>
    <x:t xml:space="preserve">阻挡</x:t>
  </x:si>
  <x:si>
    <x:t xml:space="preserve">castleReduce</x:t>
  </x:si>
  <x:si>
    <x:t xml:space="preserve">风、防御、前排、阻挡</x:t>
  </x:si>
  <x:si>
    <x:t xml:space="preserve">—</x:t>
  </x:si>
  <x:si>
    <x:t xml:space="preserve">旧定位=防御</x:t>
  </x:si>
  <x:si>
    <x:t xml:space="preserve">pal_003</x:t>
  </x:si>
  <x:si>
    <x:t xml:space="preserve">No.003</x:t>
  </x:si>
  <x:si>
    <x:t xml:space="preserve">皮皮鸡</x:t>
  </x:si>
  <x:si>
    <x:t xml:space="preserve">pal_004</x:t>
  </x:si>
  <x:si>
    <x:t xml:space="preserve">No.004</x:t>
  </x:si>
  <x:si>
    <x:t xml:space="preserve">翠叶鼠</x:t>
  </x:si>
  <x:si>
    <x:t xml:space="preserve">草</x:t>
  </x:si>
  <x:si>
    <x:t xml:space="preserve">治疗</x:t>
  </x:si>
  <x:si>
    <x:t xml:space="preserve">场地</x:t>
  </x:si>
  <x:si>
    <x:t xml:space="preserve">healAmpBonus</x:t>
  </x:si>
  <x:si>
    <x:t xml:space="preserve">风、治疗、后排、增益</x:t>
  </x:si>
  <x:si>
    <x:t xml:space="preserve">pal_005</x:t>
  </x:si>
  <x:si>
    <x:t xml:space="preserve">No.005</x:t>
  </x:si>
  <x:si>
    <x:t xml:space="preserve">火绒狐</x:t>
  </x:si>
  <x:si>
    <x:t xml:space="preserve">火</x:t>
  </x:si>
  <x:si>
    <x:t xml:space="preserve">中型</x:t>
  </x:si>
  <x:si>
    <x:t xml:space="preserve">输出</x:t>
  </x:si>
  <x:si>
    <x:t xml:space="preserve">spaceExplosionBonus</x:t>
  </x:si>
  <x:si>
    <x:t xml:space="preserve">火、输出、爆发、前排</x:t>
  </x:si>
  <x:si>
    <x:t xml:space="preserve">pal_006</x:t>
  </x:si>
  <x:si>
    <x:t xml:space="preserve">No.006</x:t>
  </x:si>
  <x:si>
    <x:t xml:space="preserve">冲浪鸭</x:t>
  </x:si>
  <x:si>
    <x:t xml:space="preserve">水</x:t>
  </x:si>
  <x:si>
    <x:t xml:space="preserve">水、治疗、后排、增益</x:t>
  </x:si>
  <x:si>
    <x:t xml:space="preserve">pal_007</x:t>
  </x:si>
  <x:si>
    <x:t xml:space="preserve">No.007</x:t>
  </x:si>
  <x:si>
    <x:t xml:space="preserve">伏特喵</x:t>
  </x:si>
  <x:si>
    <x:t xml:space="preserve">雷</x:t>
  </x:si>
  <x:si>
    <x:t xml:space="preserve">pal_008</x:t>
  </x:si>
  <x:si>
    <x:t xml:space="preserve">No.008</x:t>
  </x:si>
  <x:si>
    <x:t xml:space="preserve">新叶猿</x:t>
  </x:si>
  <x:si>
    <x:t xml:space="preserve">pal_009</x:t>
  </x:si>
  <x:si>
    <x:t xml:space="preserve">No.009</x:t>
  </x:si>
  <x:si>
    <x:t xml:space="preserve">燎火鹿</x:t>
  </x:si>
  <x:si>
    <x:t xml:space="preserve">pal_010</x:t>
  </x:si>
  <x:si>
    <x:t xml:space="preserve">No.010</x:t>
  </x:si>
  <x:si>
    <x:t xml:space="preserve">企丸丸</x:t>
  </x:si>
  <x:si>
    <x:t xml:space="preserve">水、冰</x:t>
  </x:si>
  <x:si>
    <x:t xml:space="preserve">pal_011</x:t>
  </x:si>
  <x:si>
    <x:t xml:space="preserve">No.011</x:t>
  </x:si>
  <x:si>
    <x:t xml:space="preserve">企丸王</x:t>
  </x:si>
  <x:si>
    <x:t xml:space="preserve">大型</x:t>
  </x:si>
  <x:si>
    <x:t xml:space="preserve">pal_012</x:t>
  </x:si>
  <x:si>
    <x:t xml:space="preserve">No.012</x:t>
  </x:si>
  <x:si>
    <x:t xml:space="preserve">电棘鼠</x:t>
  </x:si>
  <x:si>
    <x:t xml:space="preserve">控制</x:t>
  </x:si>
  <x:si>
    <x:t xml:space="preserve">T2 长柄T</x:t>
  </x:si>
  <x:si>
    <x:t xml:space="preserve">T形/5格</x:t>
  </x:si>
  <x:si>
    <x:t xml:space="preserve">牵制</x:t>
  </x:si>
  <x:si>
    <x:t xml:space="preserve">advHitBonus</x:t>
  </x:si>
  <x:si>
    <x:t xml:space="preserve">风、牵制、范围、机动</x:t>
  </x:si>
  <x:si>
    <x:t xml:space="preserve">旧定位=牵制</x:t>
  </x:si>
  <x:si>
    <x:t xml:space="preserve">pal_013</x:t>
  </x:si>
  <x:si>
    <x:t xml:space="preserve">No.013</x:t>
  </x:si>
  <x:si>
    <x:t xml:space="preserve">叶泥泥</x:t>
  </x:si>
  <x:si>
    <x:t xml:space="preserve">土</x:t>
  </x:si>
  <x:si>
    <x:t xml:space="preserve">草、地</x:t>
  </x:si>
  <x:si>
    <x:t xml:space="preserve">土、防御、前排、阻挡</x:t>
  </x:si>
  <x:si>
    <x:t xml:space="preserve">pal_014</x:t>
  </x:si>
  <x:si>
    <x:t xml:space="preserve">No.014</x:t>
  </x:si>
  <x:si>
    <x:t xml:space="preserve">玉藻狐</x:t>
  </x:si>
  <x:si>
    <x:t xml:space="preserve">pal_015</x:t>
  </x:si>
  <x:si>
    <x:t xml:space="preserve">No.015</x:t>
  </x:si>
  <x:si>
    <x:t xml:space="preserve">啼卡尔</x:t>
  </x:si>
  <x:si>
    <x:t xml:space="preserve">暗</x:t>
  </x:si>
  <x:si>
    <x:t xml:space="preserve">pal_016</x:t>
  </x:si>
  <x:si>
    <x:t xml:space="preserve">No.016</x:t>
  </x:si>
  <x:si>
    <x:t xml:space="preserve">壶小象</x:t>
  </x:si>
  <x:si>
    <x:t xml:space="preserve">pal_017</x:t>
  </x:si>
  <x:si>
    <x:t xml:space="preserve">No.017</x:t>
  </x:si>
  <x:si>
    <x:t xml:space="preserve">瞅什魔</x:t>
  </x:si>
  <x:si>
    <x:t xml:space="preserve">pal_018</x:t>
  </x:si>
  <x:si>
    <x:t xml:space="preserve">No.018</x:t>
  </x:si>
  <x:si>
    <x:t xml:space="preserve">米露菲</x:t>
  </x:si>
  <x:si>
    <x:t xml:space="preserve">pal_019</x:t>
  </x:si>
  <x:si>
    <x:t xml:space="preserve">No.019</x:t>
  </x:si>
  <x:si>
    <x:t xml:space="preserve">寐魔</x:t>
  </x:si>
  <x:si>
    <x:t xml:space="preserve">pal_020</x:t>
  </x:si>
  <x:si>
    <x:t xml:space="preserve">No.020</x:t>
  </x:si>
  <x:si>
    <x:t xml:space="preserve">草莽猪</x:t>
  </x:si>
  <x:si>
    <x:t xml:space="preserve">地</x:t>
  </x:si>
  <x:si>
    <x:t xml:space="preserve">pal_021</x:t>
  </x:si>
  <x:si>
    <x:t xml:space="preserve">No.021</x:t>
  </x:si>
  <x:si>
    <x:t xml:space="preserve">露娜蒂</x:t>
  </x:si>
  <x:si>
    <x:t xml:space="preserve">pal_022</x:t>
  </x:si>
  <x:si>
    <x:t xml:space="preserve">No.022</x:t>
  </x:si>
  <x:si>
    <x:t xml:space="preserve">遁地鼠</x:t>
  </x:si>
  <x:si>
    <x:t xml:space="preserve">pal_023</x:t>
  </x:si>
  <x:si>
    <x:t xml:space="preserve">No.023</x:t>
  </x:si>
  <x:si>
    <x:t xml:space="preserve">勾魂鱿</x:t>
  </x:si>
  <x:si>
    <x:t xml:space="preserve">pal_024</x:t>
  </x:si>
  <x:si>
    <x:t xml:space="preserve">No.024</x:t>
  </x:si>
  <x:si>
    <x:t xml:space="preserve">喵丝特</x:t>
  </x:si>
  <x:si>
    <x:t xml:space="preserve">土、经济、召唤、发育</x:t>
  </x:si>
  <x:si>
    <x:t xml:space="preserve">pal_025</x:t>
  </x:si>
  <x:si>
    <x:t xml:space="preserve">No.025</x:t>
  </x:si>
  <x:si>
    <x:t xml:space="preserve">鲁米儿</x:t>
  </x:si>
  <x:si>
    <x:t xml:space="preserve">pal_026</x:t>
  </x:si>
  <x:si>
    <x:t xml:space="preserve">No.026</x:t>
  </x:si>
  <x:si>
    <x:t xml:space="preserve">猎狼</x:t>
  </x:si>
  <x:si>
    <x:t xml:space="preserve">机动</x:t>
  </x:si>
  <x:si>
    <x:t xml:space="preserve">风、机动、灵活、泛用</x:t>
  </x:si>
  <x:si>
    <x:t xml:space="preserve">pal_027</x:t>
  </x:si>
  <x:si>
    <x:t xml:space="preserve">No.027</x:t>
  </x:si>
  <x:si>
    <x:t xml:space="preserve">炸蛋鸟</x:t>
  </x:si>
  <x:si>
    <x:t xml:space="preserve">pal_028</x:t>
  </x:si>
  <x:si>
    <x:t xml:space="preserve">No.028</x:t>
  </x:si>
  <x:si>
    <x:t xml:space="preserve">波娜兔</x:t>
  </x:si>
  <x:si>
    <x:t xml:space="preserve">pal_029</x:t>
  </x:si>
  <x:si>
    <x:t xml:space="preserve">No.029</x:t>
  </x:si>
  <x:si>
    <x:t xml:space="preserve">波霸牛</x:t>
  </x:si>
  <x:si>
    <x:t xml:space="preserve">经济补预算</x:t>
  </x:si>
  <x:si>
    <x:t xml:space="preserve">pal_030</x:t>
  </x:si>
  <x:si>
    <x:t xml:space="preserve">No.030</x:t>
  </x:si>
  <x:si>
    <x:t xml:space="preserve">荆棘魔仙</x:t>
  </x:si>
  <x:si>
    <x:t xml:space="preserve">pal_031</x:t>
  </x:si>
  <x:si>
    <x:t xml:space="preserve">No.031</x:t>
  </x:si>
  <x:si>
    <x:t xml:space="preserve">鲨小子</x:t>
  </x:si>
  <x:si>
    <x:t xml:space="preserve">pal_032</x:t>
  </x:si>
  <x:si>
    <x:t xml:space="preserve">No.032</x:t>
  </x:si>
  <x:si>
    <x:t xml:space="preserve">吊缚灵</x:t>
  </x:si>
  <x:si>
    <x:t xml:space="preserve">pal_033</x:t>
  </x:si>
  <x:si>
    <x:t xml:space="preserve">No.033</x:t>
  </x:si>
  <x:si>
    <x:t xml:space="preserve">叶胖达</x:t>
  </x:si>
  <x:si>
    <x:t xml:space="preserve">pal_034</x:t>
  </x:si>
  <x:si>
    <x:t xml:space="preserve">No.034</x:t>
  </x:si>
  <x:si>
    <x:t xml:space="preserve">棉花糖</x:t>
  </x:si>
  <x:si>
    <x:t xml:space="preserve">pal_035</x:t>
  </x:si>
  <x:si>
    <x:t xml:space="preserve">No.035</x:t>
  </x:si>
  <x:si>
    <x:t xml:space="preserve">灌木羊</x:t>
  </x:si>
  <x:si>
    <x:t xml:space="preserve">风、召唤、成长、核心</x:t>
  </x:si>
  <x:si>
    <x:t xml:space="preserve">pal_036</x:t>
  </x:si>
  <x:si>
    <x:t xml:space="preserve">No.036</x:t>
  </x:si>
  <x:si>
    <x:t xml:space="preserve">美露帕</x:t>
  </x:si>
  <x:si>
    <x:t xml:space="preserve">白银</x:t>
  </x:si>
  <x:si>
    <x:t xml:space="preserve">pal_037</x:t>
  </x:si>
  <x:si>
    <x:t xml:space="preserve">No.037</x:t>
  </x:si>
  <x:si>
    <x:t xml:space="preserve">紫霞鹿</x:t>
  </x:si>
  <x:si>
    <x:t xml:space="preserve">pal_038</x:t>
  </x:si>
  <x:si>
    <x:t xml:space="preserve">No.038</x:t>
  </x:si>
  <x:si>
    <x:t xml:space="preserve">疾风隼</x:t>
  </x:si>
  <x:si>
    <x:t xml:space="preserve">pal_039</x:t>
  </x:si>
  <x:si>
    <x:t xml:space="preserve">No.039</x:t>
  </x:si>
  <x:si>
    <x:t xml:space="preserve">姬小兔</x:t>
  </x:si>
  <x:si>
    <x:t xml:space="preserve">pal_040</x:t>
  </x:si>
  <x:si>
    <x:t xml:space="preserve">No.040</x:t>
  </x:si>
  <x:si>
    <x:t xml:space="preserve">炎魔羊</x:t>
  </x:si>
  <x:si>
    <x:t xml:space="preserve">火、暗</x:t>
  </x:si>
  <x:si>
    <x:t xml:space="preserve">pal_041</x:t>
  </x:si>
  <x:si>
    <x:t xml:space="preserve">No.041</x:t>
  </x:si>
  <x:si>
    <x:t xml:space="preserve">幻悦蝶</x:t>
  </x:si>
  <x:si>
    <x:t xml:space="preserve">T1 标准前置T</x:t>
  </x:si>
  <x:si>
    <x:t xml:space="preserve">T形/4格</x:t>
  </x:si>
  <x:si>
    <x:t xml:space="preserve">治疗补预算</x:t>
  </x:si>
  <x:si>
    <x:t xml:space="preserve">pal_042</x:t>
  </x:si>
  <x:si>
    <x:t xml:space="preserve">No.042</x:t>
  </x:si>
  <x:si>
    <x:t xml:space="preserve">炽焰牛</x:t>
  </x:si>
  <x:si>
    <x:t xml:space="preserve">pal_043</x:t>
  </x:si>
  <x:si>
    <x:t xml:space="preserve">No.043</x:t>
  </x:si>
  <x:si>
    <x:t xml:space="preserve">趴趴鲶</x:t>
  </x:si>
  <x:si>
    <x:t xml:space="preserve">土、治疗、后排、增益</x:t>
  </x:si>
  <x:si>
    <x:t xml:space="preserve">pal_044</x:t>
  </x:si>
  <x:si>
    <x:t xml:space="preserve">No.044</x:t>
  </x:si>
  <x:si>
    <x:t xml:space="preserve">黑鸦隐士</x:t>
  </x:si>
  <x:si>
    <x:t xml:space="preserve">pal_045</x:t>
  </x:si>
  <x:si>
    <x:t xml:space="preserve">No.045</x:t>
  </x:si>
  <x:si>
    <x:t xml:space="preserve">朋克蜥</x:t>
  </x:si>
  <x:si>
    <x:t xml:space="preserve">pal_046</x:t>
  </x:si>
  <x:si>
    <x:t xml:space="preserve">No.046</x:t>
  </x:si>
  <x:si>
    <x:t xml:space="preserve">月镰魔</x:t>
  </x:si>
  <x:si>
    <x:t xml:space="preserve">pal_047</x:t>
  </x:si>
  <x:si>
    <x:t xml:space="preserve">No.047</x:t>
  </x:si>
  <x:si>
    <x:t xml:space="preserve">天擒鸟</x:t>
  </x:si>
  <x:si>
    <x:t xml:space="preserve">pal_048</x:t>
  </x:si>
  <x:si>
    <x:t xml:space="preserve">No.048</x:t>
  </x:si>
  <x:si>
    <x:t xml:space="preserve">羽箭射手</x:t>
  </x:si>
  <x:si>
    <x:t xml:space="preserve">pal_049</x:t>
  </x:si>
  <x:si>
    <x:t xml:space="preserve">No.049</x:t>
  </x:si>
  <x:si>
    <x:t xml:space="preserve">铁拳猿</x:t>
  </x:si>
  <x:si>
    <x:t xml:space="preserve">pal_050</x:t>
  </x:si>
  <x:si>
    <x:t xml:space="preserve">No.050</x:t>
  </x:si>
  <x:si>
    <x:t xml:space="preserve">骑士蜂</x:t>
  </x:si>
  <x:si>
    <x:t xml:space="preserve">summonFromCell</x:t>
  </x:si>
  <x:si>
    <x:t xml:space="preserve">召唤补预算</x:t>
  </x:si>
  <x:si>
    <x:t xml:space="preserve">pal_051</x:t>
  </x:si>
  <x:si>
    <x:t xml:space="preserve">No.051</x:t>
  </x:si>
  <x:si>
    <x:t xml:space="preserve">女皇蜂</x:t>
  </x:si>
  <x:si>
    <x:t xml:space="preserve">pal_052</x:t>
  </x:si>
  <x:si>
    <x:t xml:space="preserve">No.052</x:t>
  </x:si>
  <x:si>
    <x:t xml:space="preserve">笑魇猫</x:t>
  </x:si>
  <x:si>
    <x:t xml:space="preserve">pal_053</x:t>
  </x:si>
  <x:si>
    <x:t xml:space="preserve">No.053</x:t>
  </x:si>
  <x:si>
    <x:t xml:space="preserve">毛掸儿</x:t>
  </x:si>
  <x:si>
    <x:t xml:space="preserve">冰</x:t>
  </x:si>
  <x:si>
    <x:t xml:space="preserve">水、牵制、范围、机动</x:t>
  </x:si>
  <x:si>
    <x:t xml:space="preserve">旧定位=牵制；控制补预算</x:t>
  </x:si>
  <x:si>
    <x:t xml:space="preserve">pal_054</x:t>
  </x:si>
  <x:si>
    <x:t xml:space="preserve">No.054</x:t>
  </x:si>
  <x:si>
    <x:t xml:space="preserve">毛老爹</x:t>
  </x:si>
  <x:si>
    <x:t xml:space="preserve">pal_055</x:t>
  </x:si>
  <x:si>
    <x:t xml:space="preserve">No.055</x:t>
  </x:si>
  <x:si>
    <x:t xml:space="preserve">疾旋鼬</x:t>
  </x:si>
  <x:si>
    <x:t xml:space="preserve">冰、龙</x:t>
  </x:si>
  <x:si>
    <x:t xml:space="preserve">pal_056</x:t>
  </x:si>
  <x:si>
    <x:t xml:space="preserve">No.056</x:t>
  </x:si>
  <x:si>
    <x:t xml:space="preserve">雷角马</x:t>
  </x:si>
  <x:si>
    <x:t xml:space="preserve">pal_057</x:t>
  </x:si>
  <x:si>
    <x:t xml:space="preserve">No.057</x:t>
  </x:si>
  <x:si>
    <x:t xml:space="preserve">吹雪狐</x:t>
  </x:si>
  <x:si>
    <x:t xml:space="preserve">pal_058</x:t>
  </x:si>
  <x:si>
    <x:t xml:space="preserve">No.058</x:t>
  </x:si>
  <x:si>
    <x:t xml:space="preserve">火麒麟</x:t>
  </x:si>
  <x:si>
    <x:t xml:space="preserve">pal_059</x:t>
  </x:si>
  <x:si>
    <x:t xml:space="preserve">No.059</x:t>
  </x:si>
  <x:si>
    <x:t xml:space="preserve">严冬鹿</x:t>
  </x:si>
  <x:si>
    <x:t xml:space="preserve">pal_060</x:t>
  </x:si>
  <x:si>
    <x:t xml:space="preserve">No.060</x:t>
  </x:si>
  <x:si>
    <x:t xml:space="preserve">霹雳犬</x:t>
  </x:si>
  <x:si>
    <x:t xml:space="preserve">pal_061</x:t>
  </x:si>
  <x:si>
    <x:t xml:space="preserve">No.061</x:t>
  </x:si>
  <x:si>
    <x:t xml:space="preserve">苍焰狼</x:t>
  </x:si>
  <x:si>
    <x:t xml:space="preserve">pal_062</x:t>
  </x:si>
  <x:si>
    <x:t xml:space="preserve">No.062</x:t>
  </x:si>
  <x:si>
    <x:t xml:space="preserve">雷鸣童子</x:t>
  </x:si>
  <x:si>
    <x:t xml:space="preserve">pal_063</x:t>
  </x:si>
  <x:si>
    <x:t xml:space="preserve">No.063</x:t>
  </x:si>
  <x:si>
    <x:t xml:space="preserve">秘斯媞雅</x:t>
  </x:si>
  <x:si>
    <x:t xml:space="preserve">pal_064</x:t>
  </x:si>
  <x:si>
    <x:t xml:space="preserve">No.064</x:t>
  </x:si>
  <x:si>
    <x:t xml:space="preserve">花冠龙</x:t>
  </x:si>
  <x:si>
    <x:t xml:space="preserve">草、龙</x:t>
  </x:si>
  <x:si>
    <x:t xml:space="preserve">pal_065</x:t>
  </x:si>
  <x:si>
    <x:t xml:space="preserve">No.064B</x:t>
  </x:si>
  <x:si>
    <x:t xml:space="preserve">雷冠龙</x:t>
  </x:si>
  <x:si>
    <x:t xml:space="preserve">雷、龙</x:t>
  </x:si>
  <x:si>
    <x:t xml:space="preserve">pal_066</x:t>
  </x:si>
  <x:si>
    <x:t xml:space="preserve">No.065</x:t>
  </x:si>
  <x:si>
    <x:t xml:space="preserve">滑水蛇</x:t>
  </x:si>
  <x:si>
    <x:t xml:space="preserve">pal_067</x:t>
  </x:si>
  <x:si>
    <x:t xml:space="preserve">No.065B</x:t>
  </x:si>
  <x:si>
    <x:t xml:space="preserve">流沙蛇</x:t>
  </x:si>
  <x:si>
    <x:t xml:space="preserve">pal_068</x:t>
  </x:si>
  <x:si>
    <x:t xml:space="preserve">No.066</x:t>
  </x:si>
  <x:si>
    <x:t xml:space="preserve">噬魂兽</x:t>
  </x:si>
  <x:si>
    <x:t xml:space="preserve">pal_069</x:t>
  </x:si>
  <x:si>
    <x:t xml:space="preserve">No.067</x:t>
  </x:si>
  <x:si>
    <x:t xml:space="preserve">碎岩龟</x:t>
  </x:si>
  <x:si>
    <x:t xml:space="preserve">pal_070</x:t>
  </x:si>
  <x:si>
    <x:t xml:space="preserve">No.068</x:t>
  </x:si>
  <x:si>
    <x:t xml:space="preserve">猫蝠怪</x:t>
  </x:si>
  <x:si>
    <x:t xml:space="preserve">pal_071</x:t>
  </x:si>
  <x:si>
    <x:t xml:space="preserve">No.069</x:t>
  </x:si>
  <x:si>
    <x:t xml:space="preserve">博爱蜥</x:t>
  </x:si>
  <x:si>
    <x:t xml:space="preserve">pal_072</x:t>
  </x:si>
  <x:si>
    <x:t xml:space="preserve">No.070</x:t>
  </x:si>
  <x:si>
    <x:t xml:space="preserve">融焰娘</x:t>
  </x:si>
  <x:si>
    <x:t xml:space="preserve">火、召唤、成长、核心</x:t>
  </x:si>
  <x:si>
    <x:t xml:space="preserve">pal_073</x:t>
  </x:si>
  <x:si>
    <x:t xml:space="preserve">No.071</x:t>
  </x:si>
  <x:si>
    <x:t xml:space="preserve">烽歌龙</x:t>
  </x:si>
  <x:si>
    <x:t xml:space="preserve">火、机动、灵活、泛用</x:t>
  </x:si>
  <x:si>
    <x:t xml:space="preserve">pal_074</x:t>
  </x:si>
  <x:si>
    <x:t xml:space="preserve">No.071B</x:t>
  </x:si>
  <x:si>
    <x:t xml:space="preserve">霜歌龙</x:t>
  </x:si>
  <x:si>
    <x:t xml:space="preserve">冰、暗</x:t>
  </x:si>
  <x:si>
    <x:t xml:space="preserve">pal_075</x:t>
  </x:si>
  <x:si>
    <x:t xml:space="preserve">No.072</x:t>
  </x:si>
  <x:si>
    <x:t xml:space="preserve">浪刃武士</x:t>
  </x:si>
  <x:si>
    <x:t xml:space="preserve">pal_076</x:t>
  </x:si>
  <x:si>
    <x:t xml:space="preserve">No.073</x:t>
  </x:si>
  <x:si>
    <x:t xml:space="preserve">迅雷鸟</x:t>
  </x:si>
  <x:si>
    <x:t xml:space="preserve">pal_077</x:t>
  </x:si>
  <x:si>
    <x:t xml:space="preserve">No.074</x:t>
  </x:si>
  <x:si>
    <x:t xml:space="preserve">燧火鸟</x:t>
  </x:si>
  <x:si>
    <x:t xml:space="preserve">pal_078</x:t>
  </x:si>
  <x:si>
    <x:t xml:space="preserve">No.075</x:t>
  </x:si>
  <x:si>
    <x:t xml:space="preserve">暗巫猫</x:t>
  </x:si>
  <x:si>
    <x:t xml:space="preserve">pal_079</x:t>
  </x:si>
  <x:si>
    <x:t xml:space="preserve">No.076</x:t>
  </x:si>
  <x:si>
    <x:t xml:space="preserve">焰巫狐</x:t>
  </x:si>
  <x:si>
    <x:t xml:space="preserve">pal_080</x:t>
  </x:si>
  <x:si>
    <x:t xml:space="preserve">No.077</x:t>
  </x:si>
  <x:si>
    <x:t xml:space="preserve">踏春兔</x:t>
  </x:si>
  <x:si>
    <x:t xml:space="preserve">pal_081</x:t>
  </x:si>
  <x:si>
    <x:t xml:space="preserve">No.078</x:t>
  </x:si>
  <x:si>
    <x:t xml:space="preserve">薇莉塔</x:t>
  </x:si>
  <x:si>
    <x:t xml:space="preserve">pal_082</x:t>
  </x:si>
  <x:si>
    <x:t xml:space="preserve">No.079</x:t>
  </x:si>
  <x:si>
    <x:t xml:space="preserve">绸笠蛾</x:t>
  </x:si>
  <x:si>
    <x:t xml:space="preserve">pal_083</x:t>
  </x:si>
  <x:si>
    <x:t xml:space="preserve">No.080</x:t>
  </x:si>
  <x:si>
    <x:t xml:space="preserve">精灵龙</x:t>
  </x:si>
  <x:si>
    <x:t xml:space="preserve">龙</x:t>
  </x:si>
  <x:si>
    <x:t xml:space="preserve">pal_084</x:t>
  </x:si>
  <x:si>
    <x:t xml:space="preserve">No.080B</x:t>
  </x:si>
  <x:si>
    <x:t xml:space="preserve">水灵龙</x:t>
  </x:si>
  <x:si>
    <x:t xml:space="preserve">龙、水</x:t>
  </x:si>
  <x:si>
    <x:t xml:space="preserve">pal_085</x:t>
  </x:si>
  <x:si>
    <x:t xml:space="preserve">No.081</x:t>
  </x:si>
  <x:si>
    <x:t xml:space="preserve">水灵儿</x:t>
  </x:si>
  <x:si>
    <x:t xml:space="preserve">pal_086</x:t>
  </x:si>
  <x:si>
    <x:t xml:space="preserve">No.081B</x:t>
  </x:si>
  <x:si>
    <x:t xml:space="preserve">火灵儿</x:t>
  </x:si>
  <x:si>
    <x:t xml:space="preserve">pal_087</x:t>
  </x:si>
  <x:si>
    <x:t xml:space="preserve">No.082</x:t>
  </x:si>
  <x:si>
    <x:t xml:space="preserve">碧海龙</x:t>
  </x:si>
  <x:si>
    <x:t xml:space="preserve">水、龙</x:t>
  </x:si>
  <x:si>
    <x:t xml:space="preserve">pal_088</x:t>
  </x:si>
  <x:si>
    <x:t xml:space="preserve">No.083</x:t>
  </x:si>
  <x:si>
    <x:t xml:space="preserve">冰棘兽</x:t>
  </x:si>
  <x:si>
    <x:t xml:space="preserve">水、防御、前排、阻挡</x:t>
  </x:si>
  <x:si>
    <x:t xml:space="preserve">pal_089</x:t>
  </x:si>
  <x:si>
    <x:t xml:space="preserve">No.084</x:t>
  </x:si>
  <x:si>
    <x:t xml:space="preserve">狱焰王</x:t>
  </x:si>
  <x:si>
    <x:t xml:space="preserve">pal_090</x:t>
  </x:si>
  <x:si>
    <x:t xml:space="preserve">No.084B</x:t>
  </x:si>
  <x:si>
    <x:t xml:space="preserve">狱阎王</x:t>
  </x:si>
  <x:si>
    <x:t xml:space="preserve">pal_091</x:t>
  </x:si>
  <x:si>
    <x:t xml:space="preserve">No.085</x:t>
  </x:si>
  <x:si>
    <x:t xml:space="preserve">佩克龙</x:t>
  </x:si>
  <x:si>
    <x:t xml:space="preserve">pal_092</x:t>
  </x:si>
  <x:si>
    <x:t xml:space="preserve">No.085B</x:t>
  </x:si>
  <x:si>
    <x:t xml:space="preserve">派克龙</x:t>
  </x:si>
  <x:si>
    <x:t xml:space="preserve">龙、雷</x:t>
  </x:si>
  <x:si>
    <x:t xml:space="preserve">pal_093</x:t>
  </x:si>
  <x:si>
    <x:t xml:space="preserve">No.086</x:t>
  </x:si>
  <x:si>
    <x:t xml:space="preserve">连理龙</x:t>
  </x:si>
  <x:si>
    <x:t xml:space="preserve">pal_094</x:t>
  </x:si>
  <x:si>
    <x:t xml:space="preserve">No.086B</x:t>
  </x:si>
  <x:si>
    <x:t xml:space="preserve">海誓龙</x:t>
  </x:si>
  <x:si>
    <x:t xml:space="preserve">草、水</x:t>
  </x:si>
  <x:si>
    <x:t xml:space="preserve">pal_095</x:t>
  </x:si>
  <x:si>
    <x:t xml:space="preserve">No.087</x:t>
  </x:si>
  <x:si>
    <x:t xml:space="preserve">花丽娜</x:t>
  </x:si>
  <x:si>
    <x:t xml:space="preserve">pal_096</x:t>
  </x:si>
  <x:si>
    <x:t xml:space="preserve">No.088</x:t>
  </x:si>
  <x:si>
    <x:t xml:space="preserve">熔岩兽</x:t>
  </x:si>
  <x:si>
    <x:t xml:space="preserve">火、地</x:t>
  </x:si>
  <x:si>
    <x:t xml:space="preserve">火、防御、前排、阻挡</x:t>
  </x:si>
  <x:si>
    <x:t xml:space="preserve">pal_097</x:t>
  </x:si>
  <x:si>
    <x:t xml:space="preserve">No.088B</x:t>
  </x:si>
  <x:si>
    <x:t xml:space="preserve">寒霜兽</x:t>
  </x:si>
  <x:si>
    <x:t xml:space="preserve">冰、地</x:t>
  </x:si>
  <x:si>
    <x:t xml:space="preserve">pal_098</x:t>
  </x:si>
  <x:si>
    <x:t xml:space="preserve">No.089</x:t>
  </x:si>
  <x:si>
    <x:t xml:space="preserve">君王美露帕</x:t>
  </x:si>
  <x:si>
    <x:t xml:space="preserve">pal_099</x:t>
  </x:si>
  <x:si>
    <x:t xml:space="preserve">No.089B</x:t>
  </x:si>
  <x:si>
    <x:t xml:space="preserve">冰帝美露帕</x:t>
  </x:si>
  <x:si>
    <x:t xml:space="preserve">pal_100</x:t>
  </x:si>
  <x:si>
    <x:t xml:space="preserve">No.090</x:t>
  </x:si>
  <x:si>
    <x:t xml:space="preserve">森猛犸</x:t>
  </x:si>
  <x:si>
    <x:t xml:space="preserve">pal_101</x:t>
  </x:si>
  <x:si>
    <x:t xml:space="preserve">No.090B</x:t>
  </x:si>
  <x:si>
    <x:t xml:space="preserve">雪猛犸</x:t>
  </x:si>
  <x:si>
    <x:t xml:space="preserve">pal_102</x:t>
  </x:si>
  <x:si>
    <x:t xml:space="preserve">No.091</x:t>
  </x:si>
  <x:si>
    <x:t xml:space="preserve">白绒雪怪</x:t>
  </x:si>
  <x:si>
    <x:t xml:space="preserve">pal_103</x:t>
  </x:si>
  <x:si>
    <x:t xml:space="preserve">No.091B</x:t>
  </x:si>
  <x:si>
    <x:t xml:space="preserve">绿苔绒怪</x:t>
  </x:si>
  <x:si>
    <x:t xml:space="preserve">pal_104</x:t>
  </x:si>
  <x:si>
    <x:t xml:space="preserve">No.092</x:t>
  </x:si>
  <x:si>
    <x:t xml:space="preserve">铠格力斯</x:t>
  </x:si>
  <x:si>
    <x:t xml:space="preserve">地、草</x:t>
  </x:si>
  <x:si>
    <x:t xml:space="preserve">pal_105</x:t>
  </x:si>
  <x:si>
    <x:t xml:space="preserve">No.093</x:t>
  </x:si>
  <x:si>
    <x:t xml:space="preserve">云海鹿</x:t>
  </x:si>
  <x:si>
    <x:t xml:space="preserve">pal_106</x:t>
  </x:si>
  <x:si>
    <x:t xml:space="preserve">No.094</x:t>
  </x:si>
  <x:si>
    <x:t xml:space="preserve">夜幕魔蝠</x:t>
  </x:si>
  <x:si>
    <x:t xml:space="preserve">pal_107</x:t>
  </x:si>
  <x:si>
    <x:t xml:space="preserve">No.095</x:t>
  </x:si>
  <x:si>
    <x:t xml:space="preserve">天羽龙</x:t>
  </x:si>
  <x:si>
    <x:t xml:space="preserve">pal_108</x:t>
  </x:si>
  <x:si>
    <x:t xml:space="preserve">No.096</x:t>
  </x:si>
  <x:si>
    <x:t xml:space="preserve">焰煌</x:t>
  </x:si>
  <x:si>
    <x:t xml:space="preserve">pal_109</x:t>
  </x:si>
  <x:si>
    <x:t xml:space="preserve">No.097</x:t>
  </x:si>
  <x:si>
    <x:t xml:space="preserve">雷冥鸟</x:t>
  </x:si>
  <x:si>
    <x:t xml:space="preserve">土、机动、灵活、泛用</x:t>
  </x:si>
  <x:si>
    <x:t xml:space="preserve">pal_110</x:t>
  </x:si>
  <x:si>
    <x:t xml:space="preserve">No.098</x:t>
  </x:si>
  <x:si>
    <x:t xml:space="preserve">魔渊龙</x:t>
  </x:si>
  <x:si>
    <x:t xml:space="preserve">龙、暗</x:t>
  </x:si>
  <x:si>
    <x:t xml:space="preserve">pal_111</x:t>
  </x:si>
  <x:si>
    <x:t xml:space="preserve">No.099</x:t>
  </x:si>
  <x:si>
    <x:t xml:space="preserve">冥铠蝎</x:t>
  </x:si>
  <x:si>
    <x:t xml:space="preserve">暗、地</x:t>
  </x:si>
  <x:si>
    <x:t xml:space="preserve">黄金</x:t>
  </x:si>
  <x:si>
    <x:t xml:space="preserve">pal_112</x:t>
  </x:si>
  <x:si>
    <x:t xml:space="preserve">No.100</x:t>
  </x:si>
  <x:si>
    <x:t xml:space="preserve">阿努比斯</x:t>
  </x:si>
  <x:si>
    <x:t xml:space="preserve">B3 前二横扫</x:t>
  </x:si>
  <x:si>
    <x:t xml:space="preserve">土、输出、爆发、前排</x:t>
  </x:si>
  <x:si>
    <x:t xml:space="preserve">pal_113</x:t>
  </x:si>
  <x:si>
    <x:t xml:space="preserve">No.101</x:t>
  </x:si>
  <x:si>
    <x:t xml:space="preserve">覆海龙</x:t>
  </x:si>
  <x:si>
    <x:t xml:space="preserve">pal_114</x:t>
  </x:si>
  <x:si>
    <x:t xml:space="preserve">No.101B</x:t>
  </x:si>
  <x:si>
    <x:t xml:space="preserve">腾炎龙</x:t>
  </x:si>
  <x:si>
    <x:t xml:space="preserve">龙、火</x:t>
  </x:si>
  <x:si>
    <x:t xml:space="preserve">pal_115</x:t>
  </x:si>
  <x:si>
    <x:t xml:space="preserve">No.102</x:t>
  </x:si>
  <x:si>
    <x:t xml:space="preserve">朱雀</x:t>
  </x:si>
  <x:si>
    <x:t xml:space="preserve">C1 前方2×2</x:t>
  </x:si>
  <x:si>
    <x:t xml:space="preserve">方形/4格</x:t>
  </x:si>
  <x:si>
    <x:t xml:space="preserve">pal_116</x:t>
  </x:si>
  <x:si>
    <x:t xml:space="preserve">No.102B</x:t>
  </x:si>
  <x:si>
    <x:t xml:space="preserve">清雀</x:t>
  </x:si>
  <x:si>
    <x:t xml:space="preserve">pal_117</x:t>
  </x:si>
  <x:si>
    <x:t xml:space="preserve">No.103</x:t>
  </x:si>
  <x:si>
    <x:t xml:space="preserve">暴电熊</x:t>
  </x:si>
  <x:si>
    <x:t xml:space="preserve">pal_118</x:t>
  </x:si>
  <x:si>
    <x:t xml:space="preserve">No.104</x:t>
  </x:si>
  <x:si>
    <x:t xml:space="preserve">百合女王</x:t>
  </x:si>
  <x:si>
    <x:t xml:space="preserve">pal_119</x:t>
  </x:si>
  <x:si>
    <x:t xml:space="preserve">No.104B</x:t>
  </x:si>
  <x:si>
    <x:t xml:space="preserve">黑月女王</x:t>
  </x:si>
  <x:si>
    <x:t xml:space="preserve">pal_120</x:t>
  </x:si>
  <x:si>
    <x:t xml:space="preserve">No.105</x:t>
  </x:si>
  <x:si>
    <x:t xml:space="preserve">荷鲁斯</x:t>
  </x:si>
  <x:si>
    <x:t xml:space="preserve">pal_121</x:t>
  </x:si>
  <x:si>
    <x:t xml:space="preserve">No.106</x:t>
  </x:si>
  <x:si>
    <x:t xml:space="preserve">波鲁杰克斯</x:t>
  </x:si>
  <x:si>
    <x:t xml:space="preserve">pal_122</x:t>
  </x:si>
  <x:si>
    <x:t xml:space="preserve">No.107</x:t>
  </x:si>
  <x:si>
    <x:t xml:space="preserve">异构格里芬</x:t>
  </x:si>
  <x:si>
    <x:t xml:space="preserve">pal_123</x:t>
  </x:si>
  <x:si>
    <x:t xml:space="preserve">No.108</x:t>
  </x:si>
  <x:si>
    <x:t xml:space="preserve">圣光骑士</x:t>
  </x:si>
  <x:si>
    <x:t xml:space="preserve">pal_124</x:t>
  </x:si>
  <x:si>
    <x:t xml:space="preserve">No.109</x:t>
  </x:si>
  <x:si>
    <x:t xml:space="preserve">混沌骑士</x:t>
  </x:si>
  <x:si>
    <x:t xml:space="preserve">pal_125</x:t>
  </x:si>
  <x:si>
    <x:t xml:space="preserve">No.110</x:t>
  </x:si>
  <x:si>
    <x:t xml:space="preserve">唤冬兽</x:t>
  </x:si>
  <x:si>
    <x:t xml:space="preserve">pal_126</x:t>
  </x:si>
  <x:si>
    <x:t xml:space="preserve">No.110B</x:t>
  </x:si>
  <x:si>
    <x:t xml:space="preserve">唤夜兽</x:t>
  </x:si>
  <x:si>
    <x:t xml:space="preserve">土、牵制、范围、机动</x:t>
  </x:si>
  <x:si>
    <x:t xml:space="preserve">pal_127</x:t>
  </x:si>
  <x:si>
    <x:t xml:space="preserve">No.111</x:t>
  </x:si>
  <x:si>
    <x:t xml:space="preserve">空涡龙</x:t>
  </x:si>
  <x:si>
    <x:t xml:space="preserve">名称(自动)</x:t>
  </x:si>
  <x:si>
    <x:t xml:space="preserve">元素(自动)</x:t>
  </x:si>
  <x:si>
    <x:t xml:space="preserve">体型(自动)</x:t>
  </x:si>
  <x:si>
    <x:t xml:space="preserve">宠物定位(自动)</x:t>
  </x:si>
  <x:si>
    <x:t xml:space="preserve">阶段</x:t>
  </x:si>
  <x:si>
    <x:t xml:space="preserve">敌方定位</x:t>
  </x:si>
  <x:si>
    <x:t xml:space="preserve">机制参数</x:t>
  </x:si>
  <x:si>
    <x:t xml:space="preserve">面板分</x:t>
  </x:si>
  <x:si>
    <x:t xml:space="preserve">机制分</x:t>
  </x:si>
  <x:si>
    <x:t xml:space="preserve">克制</x:t>
  </x:si>
  <x:si>
    <x:t xml:space="preserve">推荐日</x:t>
  </x:si>
  <x:si>
    <x:t xml:space="preserve">教学</x:t>
  </x:si>
  <x:si>
    <x:t xml:space="preserve">小怪</x:t>
  </x:si>
  <x:si>
    <x:t xml:space="preserve">none</x:t>
  </x:si>
  <x:si>
    <x:t xml:space="preserve">中期</x:t>
  </x:si>
  <x:si>
    <x:t xml:space="preserve">mech_self_destruct</x:t>
  </x:si>
  <x:si>
    <x:t xml:space="preserve">mech_poison</x:t>
  </x:si>
  <x:si>
    <x:t xml:space="preserve">mech_weaken</x:t>
  </x:si>
  <x:si>
    <x:t xml:space="preserve">肉盾</x:t>
  </x:si>
  <x:si>
    <x:t xml:space="preserve">后期</x:t>
  </x:si>
  <x:si>
    <x:t xml:space="preserve">mech_firm_threshold</x:t>
  </x:si>
  <x:si>
    <x:t xml:space="preserve">mech_revive</x:t>
  </x:si>
  <x:si>
    <x:t xml:space="preserve">前期</x:t>
  </x:si>
  <x:si>
    <x:t xml:space="preserve">护盾怪</x:t>
  </x:si>
  <x:si>
    <x:t xml:space="preserve">mech_shielded_fragile</x:t>
  </x:si>
  <x:si>
    <x:t xml:space="preserve">mech_opening_shield</x:t>
  </x:si>
  <x:si>
    <x:t xml:space="preserve">mech_shield_regen</x:t>
  </x:si>
  <x:si>
    <x:t xml:space="preserve">前中期</x:t>
  </x:si>
  <x:si>
    <x:t xml:space="preserve">限伤怪</x:t>
  </x:si>
  <x:si>
    <x:t xml:space="preserve">mech_damage_cap</x:t>
  </x:si>
  <x:si>
    <x:t xml:space="preserve">首伤怪</x:t>
  </x:si>
  <x:si>
    <x:t xml:space="preserve">mech_first_hit_block</x:t>
  </x:si>
  <x:si>
    <x:t xml:space="preserve">中后期</x:t>
  </x:si>
  <x:si>
    <x:t xml:space="preserve">反击怪</x:t>
  </x:si>
  <x:si>
    <x:t xml:space="preserve">mech_counter</x:t>
  </x:si>
  <x:si>
    <x:t xml:space="preserve">成长怪</x:t>
  </x:si>
  <x:si>
    <x:t xml:space="preserve">mech_grow_attack</x:t>
  </x:si>
  <x:si>
    <x:t xml:space="preserve">mech_grow_shield</x:t>
  </x:si>
  <x:si>
    <x:t xml:space="preserve">召唤怪</x:t>
  </x:si>
  <x:si>
    <x:t xml:space="preserve">mech_summon</x:t>
  </x:si>
  <x:si>
    <x:t xml:space="preserve">mech_summon,mech_revive</x:t>
  </x:si>
  <x:si>
    <x:t xml:space="preserve">光环怪</x:t>
  </x:si>
  <x:si>
    <x:t xml:space="preserve">mech_aura</x:t>
  </x:si>
  <x:si>
    <x:t xml:space="preserve">mech_aura,mech_curse</x:t>
  </x:si>
  <x:si>
    <x:t xml:space="preserve">城堡怪</x:t>
  </x:si>
  <x:si>
    <x:t xml:space="preserve">mech_break_castle</x:t>
  </x:si>
  <x:si>
    <x:t xml:space="preserve">mech_break_castle,mech_multi_hit</x:t>
  </x:si>
  <x:si>
    <x:t xml:space="preserve">偷奖励怪</x:t>
  </x:si>
  <x:si>
    <x:t xml:space="preserve">mech_steal_reward</x:t>
  </x:si>
  <x:si>
    <x:t xml:space="preserve">mech_steal_reward,mech_pierce_shield</x:t>
  </x:si>
  <x:si>
    <x:t xml:space="preserve">精英怪</x:t>
  </x:si>
  <x:si>
    <x:t xml:space="preserve">mech_multi_hit,mech_armor_break</x:t>
  </x:si>
  <x:si>
    <x:t xml:space="preserve">mech_shield_regen,mech_pierce_shield</x:t>
  </x:si>
  <x:si>
    <x:t xml:space="preserve">mech_firm_threshold,mech_curse</x:t>
  </x:si>
  <x:si>
    <x:t xml:space="preserve">终局</x:t>
  </x:si>
  <x:si>
    <x:t xml:space="preserve">Boss</x:t>
  </x:si>
  <x:si>
    <x:t xml:space="preserve">mech_zone_pressure,mech_revive,mech_break_castle</x:t>
  </x:si>
  <x:si>
    <x:t xml:space="preserve">mech_damage_cap,mech_summon,mech_aura</x:t>
  </x:si>
  <x:si>
    <x:t xml:space="preserve">机制编号</x:t>
  </x:si>
  <x:si>
    <x:t xml:space="preserve">机制名</x:t>
  </x:si>
  <x:si>
    <x:t xml:space="preserve">分类</x:t>
  </x:si>
  <x:si>
    <x:t xml:space="preserve">适用对象</x:t>
  </x:si>
  <x:si>
    <x:t xml:space="preserve">触发</x:t>
  </x:si>
  <x:si>
    <x:t xml:space="preserve">条件</x:t>
  </x:si>
  <x:si>
    <x:t xml:space="preserve">参数默认</x:t>
  </x:si>
  <x:si>
    <x:t xml:space="preserve">效果</x:t>
  </x:si>
  <x:si>
    <x:t xml:space="preserve">日志模板</x:t>
  </x:si>
  <x:si>
    <x:t xml:space="preserve">强度</x:t>
  </x:si>
  <x:si>
    <x:t xml:space="preserve">状态</x:t>
  </x:si>
  <x:si>
    <x:t xml:space="preserve">接入状态</x:t>
  </x:si>
  <x:si>
    <x:t xml:space="preserve">宠物用</x:t>
  </x:si>
  <x:si>
    <x:t xml:space="preserve">怪物用</x:t>
  </x:si>
  <x:si>
    <x:t xml:space="preserve">事件用</x:t>
  </x:si>
  <x:si>
    <x:t xml:space="preserve">波次用</x:t>
  </x:si>
  <x:si>
    <x:t xml:space="preserve">M00</x:t>
  </x:si>
  <x:si>
    <x:t xml:space="preserve">无机制</x:t>
  </x:si>
  <x:si>
    <x:t xml:space="preserve">占位</x:t>
  </x:si>
  <x:si>
    <x:t xml:space="preserve">宠物/怪物/事件/波次</x:t>
  </x:si>
  <x:si>
    <x:t xml:space="preserve">无</x:t>
  </x:si>
  <x:si>
    <x:t xml:space="preserve">{}</x:t>
  </x:si>
  <x:si>
    <x:t xml:space="preserve">不产生任何效果</x:t>
  </x:si>
  <x:si>
    <x:t xml:space="preserve">{unit} 没有特殊机制。</x:t>
  </x:si>
  <x:si>
    <x:t xml:space="preserve">正式</x:t>
  </x:si>
  <x:si>
    <x:t xml:space="preserve">可接入</x:t>
  </x:si>
  <x:si>
    <x:t xml:space="preserve">正式空机制，占位用。</x:t>
  </x:si>
  <x:si>
    <x:t xml:space="preserve">M01</x:t>
  </x:si>
  <x:si>
    <x:t xml:space="preserve">mech_shield_flat</x:t>
  </x:si>
  <x:si>
    <x:t xml:space="preserve">开场护盾</x:t>
  </x:si>
  <x:si>
    <x:t xml:space="preserve">防御/护盾</x:t>
  </x:si>
  <x:si>
    <x:t xml:space="preserve">宠物/怪物</x:t>
  </x:si>
  <x:si>
    <x:t xml:space="preserve">battle_start</x:t>
  </x:si>
  <x:si>
    <x:t xml:space="preserve">单位入场</x:t>
  </x:si>
  <x:si>
    <x:t xml:space="preserve">shield=6</x:t>
  </x:si>
  <x:si>
    <x:t xml:space="preserve">入场获得固定护盾。</x:t>
  </x:si>
  <x:si>
    <x:t xml:space="preserve">{unit} 获得 {shield} 点护盾。</x:t>
  </x:si>
  <x:si>
    <x:t xml:space="preserve">低</x:t>
  </x:si>
  <x:si>
    <x:t xml:space="preserve">最基础护盾词条。</x:t>
  </x:si>
  <x:si>
    <x:t xml:space="preserve">M02</x:t>
  </x:si>
  <x:si>
    <x:t xml:space="preserve">mech_armor_flat</x:t>
  </x:si>
  <x:si>
    <x:t xml:space="preserve">护甲减伤</x:t>
  </x:si>
  <x:si>
    <x:t xml:space="preserve">before_damage</x:t>
  </x:si>
  <x:si>
    <x:t xml:space="preserve">受到攻击伤害</x:t>
  </x:si>
  <x:si>
    <x:t xml:space="preserve">armor=2</x:t>
  </x:si>
  <x:si>
    <x:t xml:space="preserve">每次受攻击伤害前，先减少固定伤害。</x:t>
  </x:si>
  <x:si>
    <x:t xml:space="preserve">{unit} 的护甲抵消 {armor} 点伤害。</x:t>
  </x:si>
  <x:si>
    <x:t xml:space="preserve">适合厚盾低血怪或坦克宠物。</x:t>
  </x:si>
  <x:si>
    <x:t xml:space="preserve">M03</x:t>
  </x:si>
  <x:si>
    <x:t xml:space="preserve">mech_damage_reduce_pct</x:t>
  </x:si>
  <x:si>
    <x:t xml:space="preserve">百分比免伤</x:t>
  </x:si>
  <x:si>
    <x:t xml:space="preserve">受到任意伤害</x:t>
  </x:si>
  <x:si>
    <x:t xml:space="preserve">rate=0.3</x:t>
  </x:si>
  <x:si>
    <x:t xml:space="preserve">按比例降低最终伤害，至少保留 min_damage。</x:t>
  </x:si>
  <x:si>
    <x:t xml:space="preserve">{unit} 免伤 {percent}%，伤害降为 {damage}。</x:t>
  </x:si>
  <x:si>
    <x:t xml:space="preserve">中</x:t>
  </x:si>
  <x:si>
    <x:t xml:space="preserve">待接入</x:t>
  </x:si>
  <x:si>
    <x:t xml:space="preserve">需要明确四舍五入规则。</x:t>
  </x:si>
  <x:si>
    <x:t xml:space="preserve">M04</x:t>
  </x:si>
  <x:si>
    <x:t xml:space="preserve">mech_first_hit_immunity</x:t>
  </x:si>
  <x:si>
    <x:t xml:space="preserve">首次免疫</x:t>
  </x:si>
  <x:si>
    <x:t xml:space="preserve">本场第一次受到伤害</x:t>
  </x:si>
  <x:si>
    <x:t xml:space="preserve">times=1</x:t>
  </x:si>
  <x:si>
    <x:t xml:space="preserve">完全免疫前 N 次伤害。</x:t>
  </x:si>
  <x:si>
    <x:t xml:space="preserve">{unit} 触发首次免疫，抵消本次伤害。</x:t>
  </x:si>
  <x:si>
    <x:t xml:space="preserve">魔塔式可计算机制。</x:t>
  </x:si>
  <x:si>
    <x:t xml:space="preserve">M05</x:t>
  </x:si>
  <x:si>
    <x:t xml:space="preserve">mech_damage_cap_per_round</x:t>
  </x:si>
  <x:si>
    <x:t xml:space="preserve">每回合损血上限</x:t>
  </x:si>
  <x:si>
    <x:t xml:space="preserve">怪物/首领</x:t>
  </x:si>
  <x:si>
    <x:t xml:space="preserve">本回合累计伤害超过上限</x:t>
  </x:si>
  <x:si>
    <x:t xml:space="preserve">cap=8</x:t>
  </x:si>
  <x:si>
    <x:t xml:space="preserve">单回合最多损失 cap 点 HP。</x:t>
  </x:si>
  <x:si>
    <x:t xml:space="preserve">{unit} 本回合伤害达到上限，额外伤害无效。</x:t>
  </x:si>
  <x:si>
    <x:t xml:space="preserve">高</x:t>
  </x:si>
  <x:si>
    <x:t xml:space="preserve">适合防秒杀精英/首领。</x:t>
  </x:si>
  <x:si>
    <x:t xml:space="preserve">M06</x:t>
  </x:si>
  <x:si>
    <x:t xml:space="preserve">回合回盾</x:t>
  </x:si>
  <x:si>
    <x:t xml:space="preserve">round_start</x:t>
  </x:si>
  <x:si>
    <x:t xml:space="preserve">单位存活</x:t>
  </x:si>
  <x:si>
    <x:t xml:space="preserve">shield=3</x:t>
  </x:si>
  <x:si>
    <x:t xml:space="preserve">每回合开始获得固定护盾。</x:t>
  </x:si>
  <x:si>
    <x:t xml:space="preserve">{unit} 回合开始恢复 {shield} 点护盾。</x:t>
  </x:si>
  <x:si>
    <x:t xml:space="preserve">与拖回合惩罚形成压力。</x:t>
  </x:si>
  <x:si>
    <x:t xml:space="preserve">M07</x:t>
  </x:si>
  <x:si>
    <x:t xml:space="preserve">mech_thorn_shield</x:t>
  </x:si>
  <x:si>
    <x:t xml:space="preserve">荆棘护盾</x:t>
  </x:si>
  <x:si>
    <x:t xml:space="preserve">防御/反击</x:t>
  </x:si>
  <x:si>
    <x:t xml:space="preserve">after_hit</x:t>
  </x:si>
  <x:si>
    <x:t xml:space="preserve">有护盾时被攻击</x:t>
  </x:si>
  <x:si>
    <x:t xml:space="preserve">reflect=2</x:t>
  </x:si>
  <x:si>
    <x:t xml:space="preserve">有护盾时受到攻击，反弹固定伤害。</x:t>
  </x:si>
  <x:si>
    <x:t xml:space="preserve">{unit} 的荆棘反弹 {reflect} 点伤害。</x:t>
  </x:si>
  <x:si>
    <x:t xml:space="preserve">反伤类的低复杂版。</x:t>
  </x:si>
  <x:si>
    <x:t xml:space="preserve">M08</x:t>
  </x:si>
  <x:si>
    <x:t xml:space="preserve">mech_element_barrier</x:t>
  </x:si>
  <x:si>
    <x:t xml:space="preserve">元素屏障</x:t>
  </x:si>
  <x:si>
    <x:t xml:space="preserve">防御/元素</x:t>
  </x:si>
  <x:si>
    <x:t xml:space="preserve">受到非克制元素伤害</x:t>
  </x:si>
  <x:si>
    <x:t xml:space="preserve">element=earth; reduce=3</x:t>
  </x:si>
  <x:si>
    <x:t xml:space="preserve">特定元素屏障减少非克制伤害。</x:t>
  </x:si>
  <x:si>
    <x:t xml:space="preserve">{unit} 的 {element} 屏障抵消 {reduce} 点伤害。</x:t>
  </x:si>
  <x:si>
    <x:t xml:space="preserve">需要元素克制表。</x:t>
  </x:si>
  <x:si>
    <x:t xml:space="preserve">M09</x:t>
  </x:si>
  <x:si>
    <x:t xml:space="preserve">mech_guard_taunt</x:t>
  </x:si>
  <x:si>
    <x:t xml:space="preserve">嘲讽守护</x:t>
  </x:si>
  <x:si>
    <x:t xml:space="preserve">防御/控制</x:t>
  </x:si>
  <x:si>
    <x:t xml:space="preserve">target_select</x:t>
  </x:si>
  <x:si>
    <x:t xml:space="preserve">敌方选择目标时</x:t>
  </x:si>
  <x:si>
    <x:t xml:space="preserve">range=1</x:t>
  </x:si>
  <x:si>
    <x:t xml:space="preserve">强制附近敌人优先攻击自己。</x:t>
  </x:si>
  <x:si>
    <x:t xml:space="preserve">{unit} 嘲讽附近敌人。</x:t>
  </x:si>
  <x:si>
    <x:t xml:space="preserve">需要目标选择钩子。</x:t>
  </x:si>
  <x:si>
    <x:t xml:space="preserve">M10</x:t>
  </x:si>
  <x:si>
    <x:t xml:space="preserve">mech_last_stand_shield</x:t>
  </x:si>
  <x:si>
    <x:t xml:space="preserve">濒死护盾</x:t>
  </x:si>
  <x:si>
    <x:t xml:space="preserve">防御/成长</x:t>
  </x:si>
  <x:si>
    <x:t xml:space="preserve">after_damage</x:t>
  </x:si>
  <x:si>
    <x:t xml:space="preserve">HP低于阈值且未触发</x:t>
  </x:si>
  <x:si>
    <x:t xml:space="preserve">hp_pct=0.3; shield=10; once=true</x:t>
  </x:si>
  <x:si>
    <x:t xml:space="preserve">低血时获得一次大量护盾。</x:t>
  </x:si>
  <x:si>
    <x:t xml:space="preserve">{unit} 濒死触发，获得 {shield} 点护盾。</x:t>
  </x:si>
  <x:si>
    <x:t xml:space="preserve">适合精英转阶段。</x:t>
  </x:si>
  <x:si>
    <x:t xml:space="preserve">M11</x:t>
  </x:si>
  <x:si>
    <x:t xml:space="preserve">mech_counter_damage</x:t>
  </x:si>
  <x:si>
    <x:t xml:space="preserve">受击反伤</x:t>
  </x:si>
  <x:si>
    <x:t xml:space="preserve">反击/爆炸</x:t>
  </x:si>
  <x:si>
    <x:t xml:space="preserve">受到攻击伤害后</x:t>
  </x:si>
  <x:si>
    <x:t xml:space="preserve">damage=3</x:t>
  </x:si>
  <x:si>
    <x:t xml:space="preserve">对攻击者造成固定反伤。</x:t>
  </x:si>
  <x:si>
    <x:t xml:space="preserve">{unit} 反击，造成 {damage} 点伤害。</x:t>
  </x:si>
  <x:si>
    <x:t xml:space="preserve">最直接反击。</x:t>
  </x:si>
  <x:si>
    <x:t xml:space="preserve">M12</x:t>
  </x:si>
  <x:si>
    <x:t xml:space="preserve">mech_death_explosion</x:t>
  </x:si>
  <x:si>
    <x:t xml:space="preserve">死亡爆炸</x:t>
  </x:si>
  <x:si>
    <x:t xml:space="preserve">怪物</x:t>
  </x:si>
  <x:si>
    <x:t xml:space="preserve">on_death</x:t>
  </x:si>
  <x:si>
    <x:t xml:space="preserve">单位死亡</x:t>
  </x:si>
  <x:si>
    <x:t xml:space="preserve">damage=6; radius=cross1</x:t>
  </x:si>
  <x:si>
    <x:t xml:space="preserve">死亡时对周围造成伤害。</x:t>
  </x:si>
  <x:si>
    <x:t xml:space="preserve">{unit} 死亡爆炸，造成 {damage} 点伤害。</x:t>
  </x:si>
  <x:si>
    <x:t xml:space="preserve">已在怪物方向讨论过。</x:t>
  </x:si>
  <x:si>
    <x:t xml:space="preserve">M13</x:t>
  </x:si>
  <x:si>
    <x:t xml:space="preserve">自爆倒计时</x:t>
  </x:si>
  <x:si>
    <x:t xml:space="preserve">round_end</x:t>
  </x:si>
  <x:si>
    <x:t xml:space="preserve">倒计时结束且存活</x:t>
  </x:si>
  <x:si>
    <x:t xml:space="preserve">rounds=2; damage=8; radius=cross1</x:t>
  </x:si>
  <x:si>
    <x:t xml:space="preserve">存活到倒计时结束后自爆。</x:t>
  </x:si>
  <x:si>
    <x:t xml:space="preserve">{unit} 自爆，造成 {damage} 点伤害。</x:t>
  </x:si>
  <x:si>
    <x:t xml:space="preserve">促使玩家优先处理。</x:t>
  </x:si>
  <x:si>
    <x:t xml:space="preserve">M14</x:t>
  </x:si>
  <x:si>
    <x:t xml:space="preserve">mech_on_hit_blast</x:t>
  </x:si>
  <x:si>
    <x:t xml:space="preserve">受击溅射</x:t>
  </x:si>
  <x:si>
    <x:t xml:space="preserve">受到伤害后</x:t>
  </x:si>
  <x:si>
    <x:t xml:space="preserve">damage=2; radius=adjacent</x:t>
  </x:si>
  <x:si>
    <x:t xml:space="preserve">被打后对周围溅射。</x:t>
  </x:si>
  <x:si>
    <x:t xml:space="preserve">{unit} 受击溅射，周围受到 {damage} 点伤害。</x:t>
  </x:si>
  <x:si>
    <x:t xml:space="preserve">需要区分敌我伤害。</x:t>
  </x:si>
  <x:si>
    <x:t xml:space="preserve">M15</x:t>
  </x:si>
  <x:si>
    <x:t xml:space="preserve">mech_reflect_first_hit</x:t>
  </x:si>
  <x:si>
    <x:t xml:space="preserve">首次反弹</x:t>
  </x:si>
  <x:si>
    <x:t xml:space="preserve">反击/防御</x:t>
  </x:si>
  <x:si>
    <x:t xml:space="preserve">第一次被命中</x:t>
  </x:si>
  <x:si>
    <x:t xml:space="preserve">rate=1.0</x:t>
  </x:si>
  <x:si>
    <x:t xml:space="preserve">第一次被命中时反弹等量伤害。</x:t>
  </x:si>
  <x:si>
    <x:t xml:space="preserve">{unit} 首次反弹 {damage} 点伤害。</x:t>
  </x:si>
  <x:si>
    <x:t xml:space="preserve">首次免疫的进攻版。</x:t>
  </x:si>
  <x:si>
    <x:t xml:space="preserve">M16</x:t>
  </x:si>
  <x:si>
    <x:t xml:space="preserve">mech_shield_break_explosion</x:t>
  </x:si>
  <x:si>
    <x:t xml:space="preserve">破盾爆炸</x:t>
  </x:si>
  <x:si>
    <x:t xml:space="preserve">on_shield_break</x:t>
  </x:si>
  <x:si>
    <x:t xml:space="preserve">护盾从正数降到0</x:t>
  </x:si>
  <x:si>
    <x:t xml:space="preserve">damage=5; radius=cross1</x:t>
  </x:si>
  <x:si>
    <x:t xml:space="preserve">破盾时爆炸。</x:t>
  </x:si>
  <x:si>
    <x:t xml:space="preserve">{unit} 破盾爆炸，造成 {damage} 点伤害。</x:t>
  </x:si>
  <x:si>
    <x:t xml:space="preserve">盾怪破盾反馈。</x:t>
  </x:si>
  <x:si>
    <x:t xml:space="preserve">M17</x:t>
  </x:si>
  <x:si>
    <x:t xml:space="preserve">mech_retaliate_summon</x:t>
  </x:si>
  <x:si>
    <x:t xml:space="preserve">受击召唤</x:t>
  </x:si>
  <x:si>
    <x:t xml:space="preserve">反击/召唤</x:t>
  </x:si>
  <x:si>
    <x:t xml:space="preserve">每回合首次受击</x:t>
  </x:si>
  <x:si>
    <x:t xml:space="preserve">summon=mon_swarm_plain_01; count=1</x:t>
  </x:si>
  <x:si>
    <x:t xml:space="preserve">受击后召唤小怪。</x:t>
  </x:si>
  <x:si>
    <x:t xml:space="preserve">{unit} 受击召唤 {count} 个援军。</x:t>
  </x:si>
  <x:si>
    <x:t xml:space="preserve">精英/首领用。</x:t>
  </x:si>
  <x:si>
    <x:t xml:space="preserve">M18</x:t>
  </x:si>
  <x:si>
    <x:t xml:space="preserve">mech_revenge_buff</x:t>
  </x:si>
  <x:si>
    <x:t xml:space="preserve">复仇强化</x:t>
  </x:si>
  <x:si>
    <x:t xml:space="preserve">反击/成长</x:t>
  </x:si>
  <x:si>
    <x:t xml:space="preserve">ally_death</x:t>
  </x:si>
  <x:si>
    <x:t xml:space="preserve">同阵营单位死亡</x:t>
  </x:si>
  <x:si>
    <x:t xml:space="preserve">atk=1; shield=2</x:t>
  </x:si>
  <x:si>
    <x:t xml:space="preserve">友方死亡时自身加攻/盾。</x:t>
  </x:si>
  <x:si>
    <x:t xml:space="preserve">{unit} 因同伴死亡获得复仇强化。</x:t>
  </x:si>
  <x:si>
    <x:t xml:space="preserve">群怪联动。</x:t>
  </x:si>
  <x:si>
    <x:t xml:space="preserve">M19</x:t>
  </x:si>
  <x:si>
    <x:t xml:space="preserve">mech_thorns_percent</x:t>
  </x:si>
  <x:si>
    <x:t xml:space="preserve">比例反伤</x:t>
  </x:si>
  <x:si>
    <x:t xml:space="preserve">按受到伤害比例反弹。</x:t>
  </x:si>
  <x:si>
    <x:t xml:space="preserve">{unit} 反弹 {damage} 点伤害。</x:t>
  </x:si>
  <x:si>
    <x:t xml:space="preserve">比固定反伤更易失控。</x:t>
  </x:si>
  <x:si>
    <x:t xml:space="preserve">M20</x:t>
  </x:si>
  <x:si>
    <x:t xml:space="preserve">mech_counter_attack</x:t>
  </x:si>
  <x:si>
    <x:t xml:space="preserve">受击反击行动</x:t>
  </x:si>
  <x:si>
    <x:t xml:space="preserve">反击/行动</x:t>
  </x:si>
  <x:si>
    <x:t xml:space="preserve">AP足够且未反击过</x:t>
  </x:si>
  <x:si>
    <x:t xml:space="preserve">ap_cost=1; damage=atk</x:t>
  </x:si>
  <x:si>
    <x:t xml:space="preserve">被攻击后立即进行一次反击行动。</x:t>
  </x:si>
  <x:si>
    <x:t xml:space="preserve">{unit} 立即反击。</x:t>
  </x:si>
  <x:si>
    <x:t xml:space="preserve">需要行动队列钩子。</x:t>
  </x:si>
  <x:si>
    <x:t xml:space="preserve">M21</x:t>
  </x:si>
  <x:si>
    <x:t xml:space="preserve">mech_grow_atk_each_round</x:t>
  </x:si>
  <x:si>
    <x:t xml:space="preserve">每回合加攻</x:t>
  </x:si>
  <x:si>
    <x:t xml:space="preserve">成长/狂暴</x:t>
  </x:si>
  <x:si>
    <x:t xml:space="preserve">atk=1</x:t>
  </x:si>
  <x:si>
    <x:t xml:space="preserve">每回合开始攻击增加。</x:t>
  </x:si>
  <x:si>
    <x:t xml:space="preserve">{unit} 攻击提升 {atk}。</x:t>
  </x:si>
  <x:si>
    <x:t xml:space="preserve">杀戮尖塔式成长。</x:t>
  </x:si>
  <x:si>
    <x:t xml:space="preserve">M22</x:t>
  </x:si>
  <x:si>
    <x:t xml:space="preserve">mech_grow_shield_each_round</x:t>
  </x:si>
  <x:si>
    <x:t xml:space="preserve">每回合加盾</x:t>
  </x:si>
  <x:si>
    <x:t xml:space="preserve">成长/护盾</x:t>
  </x:si>
  <x:si>
    <x:t xml:space="preserve">每回合开始获得更多护盾。</x:t>
  </x:si>
  <x:si>
    <x:t xml:space="preserve">{unit} 护盾提升 {shield}。</x:t>
  </x:si>
  <x:si>
    <x:t xml:space="preserve">拖回合压力。</x:t>
  </x:si>
  <x:si>
    <x:t xml:space="preserve">M23</x:t>
  </x:si>
  <x:si>
    <x:t xml:space="preserve">mech_rage_low_hp</x:t>
  </x:si>
  <x:si>
    <x:t xml:space="preserve">低血狂暴</x:t>
  </x:si>
  <x:si>
    <x:t xml:space="preserve">HP低于阈值</x:t>
  </x:si>
  <x:si>
    <x:t xml:space="preserve">hp_pct=0.5; atk=3</x:t>
  </x:si>
  <x:si>
    <x:t xml:space="preserve">低血后攻击增强。</x:t>
  </x:si>
  <x:si>
    <x:t xml:space="preserve">{unit} 进入狂暴，攻击+{atk}。</x:t>
  </x:si>
  <x:si>
    <x:t xml:space="preserve">二阶段简化版。</x:t>
  </x:si>
  <x:si>
    <x:t xml:space="preserve">M24</x:t>
  </x:si>
  <x:si>
    <x:t xml:space="preserve">mech_harden_when_hit</x:t>
  </x:si>
  <x:si>
    <x:t xml:space="preserve">越打越硬</x:t>
  </x:si>
  <x:si>
    <x:t xml:space="preserve">def=1; max=5</x:t>
  </x:si>
  <x:si>
    <x:t xml:space="preserve">每次受击增加防御。</x:t>
  </x:si>
  <x:si>
    <x:t xml:space="preserve">{unit} 变硬，防御+{def}。</x:t>
  </x:si>
  <x:si>
    <x:t xml:space="preserve">厚怪时间压力。</x:t>
  </x:si>
  <x:si>
    <x:t xml:space="preserve">M25</x:t>
  </x:si>
  <x:si>
    <x:t xml:space="preserve">mech_soften_when_hit</x:t>
  </x:si>
  <x:si>
    <x:t xml:space="preserve">破甲递减</x:t>
  </x:si>
  <x:si>
    <x:t xml:space="preserve">成长/破甲</x:t>
  </x:si>
  <x:si>
    <x:t xml:space="preserve">def=-1; min=0</x:t>
  </x:si>
  <x:si>
    <x:t xml:space="preserve">每次受击降低防御。</x:t>
  </x:si>
  <x:si>
    <x:t xml:space="preserve">{unit} 被削弱，防御下降。</x:t>
  </x:si>
  <x:si>
    <x:t xml:space="preserve">鼓励多段攻击。</x:t>
  </x:si>
  <x:si>
    <x:t xml:space="preserve">M26</x:t>
  </x:si>
  <x:si>
    <x:t xml:space="preserve">mech_delayed_powerup</x:t>
  </x:si>
  <x:si>
    <x:t xml:space="preserve">延迟强化</x:t>
  </x:si>
  <x:si>
    <x:t xml:space="preserve">成长/倒计时</x:t>
  </x:si>
  <x:si>
    <x:t xml:space="preserve">达到指定回合</x:t>
  </x:si>
  <x:si>
    <x:t xml:space="preserve">round=3; atk=5; shield=10</x:t>
  </x:si>
  <x:si>
    <x:t xml:space="preserve">指定回合后大幅强化。</x:t>
  </x:si>
  <x:si>
    <x:t xml:space="preserve">{unit} 完成蓄力，获得强化。</x:t>
  </x:si>
  <x:si>
    <x:t xml:space="preserve">与5回合奖励目标相容。</x:t>
  </x:si>
  <x:si>
    <x:t xml:space="preserve">M27</x:t>
  </x:si>
  <x:si>
    <x:t xml:space="preserve">mech_consume_layers_grow</x:t>
  </x:si>
  <x:si>
    <x:t xml:space="preserve">吸收元素成长</x:t>
  </x:si>
  <x:si>
    <x:t xml:space="preserve">成长/元素</x:t>
  </x:si>
  <x:si>
    <x:t xml:space="preserve">after_element_apply</x:t>
  </x:si>
  <x:si>
    <x:t xml:space="preserve">所在格有元素层</x:t>
  </x:si>
  <x:si>
    <x:t xml:space="preserve">element=any; atk_per_layer=1</x:t>
  </x:si>
  <x:si>
    <x:t xml:space="preserve">吸收格子元素层获得成长。</x:t>
  </x:si>
  <x:si>
    <x:t xml:space="preserve">{unit} 吸收元素，攻击提升。</x:t>
  </x:si>
  <x:si>
    <x:t xml:space="preserve">需元素层钩子。</x:t>
  </x:si>
  <x:si>
    <x:t xml:space="preserve">M28</x:t>
  </x:si>
  <x:si>
    <x:t xml:space="preserve">mech_enrage_after_round</x:t>
  </x:si>
  <x:si>
    <x:t xml:space="preserve">回合狂暴</x:t>
  </x:si>
  <x:si>
    <x:t xml:space="preserve">成长/波次</x:t>
  </x:si>
  <x:si>
    <x:t xml:space="preserve">当前回合&gt;=阈值</x:t>
  </x:si>
  <x:si>
    <x:t xml:space="preserve">round=5; atk=3</x:t>
  </x:si>
  <x:si>
    <x:t xml:space="preserve">战斗拖到指定回合后强化。</x:t>
  </x:si>
  <x:si>
    <x:t xml:space="preserve">{unit} 因战斗拖延进入狂暴。</x:t>
  </x:si>
  <x:si>
    <x:t xml:space="preserve">压缩战斗节奏。</x:t>
  </x:si>
  <x:si>
    <x:t xml:space="preserve">M29</x:t>
  </x:si>
  <x:si>
    <x:t xml:space="preserve">mech_second_phase</x:t>
  </x:si>
  <x:si>
    <x:t xml:space="preserve">二阶段转化</x:t>
  </x:si>
  <x:si>
    <x:t xml:space="preserve">成长/首领</x:t>
  </x:si>
  <x:si>
    <x:t xml:space="preserve">首领/精英</x:t>
  </x:si>
  <x:si>
    <x:t xml:space="preserve">hp_pct=0.5; new_mech=mech_rage_low_hp</x:t>
  </x:si>
  <x:si>
    <x:t xml:space="preserve">进入第二阶段并切换机制。</x:t>
  </x:si>
  <x:si>
    <x:t xml:space="preserve">{unit} 进入第二阶段。</x:t>
  </x:si>
  <x:si>
    <x:t xml:space="preserve">首领核心机制。</x:t>
  </x:si>
  <x:si>
    <x:t xml:space="preserve">M30</x:t>
  </x:si>
  <x:si>
    <x:t xml:space="preserve">mech_scale_with_allies</x:t>
  </x:si>
  <x:si>
    <x:t xml:space="preserve">随同伴成长</x:t>
  </x:si>
  <x:si>
    <x:t xml:space="preserve">成长/群怪</x:t>
  </x:si>
  <x:si>
    <x:t xml:space="preserve">同阵营存活数量&gt;1</x:t>
  </x:si>
  <x:si>
    <x:t xml:space="preserve">atk_per_ally=1; shield_per_ally=1</x:t>
  </x:si>
  <x:si>
    <x:t xml:space="preserve">同伴越多越强。</x:t>
  </x:si>
  <x:si>
    <x:t xml:space="preserve">{unit} 因同伴获得强化。</x:t>
  </x:si>
  <x:si>
    <x:t xml:space="preserve">鼓励先清小怪。</x:t>
  </x:si>
  <x:si>
    <x:t xml:space="preserve">M31</x:t>
  </x:si>
  <x:si>
    <x:t xml:space="preserve">mech_summon_each_round</x:t>
  </x:si>
  <x:si>
    <x:t xml:space="preserve">每回合召唤</x:t>
  </x:si>
  <x:si>
    <x:t xml:space="preserve">召唤/分裂</x:t>
  </x:si>
  <x:si>
    <x:t xml:space="preserve">召唤位可用</x:t>
  </x:si>
  <x:si>
    <x:t xml:space="preserve">每回合召唤小怪。</x:t>
  </x:si>
  <x:si>
    <x:t xml:space="preserve">{unit} 召唤 {count} 个单位。</x:t>
  </x:si>
  <x:si>
    <x:t xml:space="preserve">核心召唤压力。</x:t>
  </x:si>
  <x:si>
    <x:t xml:space="preserve">M32</x:t>
  </x:si>
  <x:si>
    <x:t xml:space="preserve">mech_death_summon</x:t>
  </x:si>
  <x:si>
    <x:t xml:space="preserve">死亡召唤</x:t>
  </x:si>
  <x:si>
    <x:t xml:space="preserve">死亡时</x:t>
  </x:si>
  <x:si>
    <x:t xml:space="preserve">summon=mon_swarm_plain_01; count=2</x:t>
  </x:si>
  <x:si>
    <x:t xml:space="preserve">死亡后召唤单位。</x:t>
  </x:si>
  <x:si>
    <x:t xml:space="preserve">{unit} 死亡后留下 {count} 个单位。</x:t>
  </x:si>
  <x:si>
    <x:t xml:space="preserve">适合分裂怪。</x:t>
  </x:si>
  <x:si>
    <x:t xml:space="preserve">M33</x:t>
  </x:si>
  <x:si>
    <x:t xml:space="preserve">mech_split_into_minions</x:t>
  </x:si>
  <x:si>
    <x:t xml:space="preserve">分裂小怪</x:t>
  </x:si>
  <x:si>
    <x:t xml:space="preserve">体型&gt;=中型</x:t>
  </x:si>
  <x:si>
    <x:t xml:space="preserve">count=2; hp_pct=0.4</x:t>
  </x:si>
  <x:si>
    <x:t xml:space="preserve">死亡分裂成多只小怪。</x:t>
  </x:si>
  <x:si>
    <x:t xml:space="preserve">{unit} 分裂成 {count} 只小怪。</x:t>
  </x:si>
  <x:si>
    <x:t xml:space="preserve">杀戮尖塔史莱姆方向。</x:t>
  </x:si>
  <x:si>
    <x:t xml:space="preserve">M34</x:t>
  </x:si>
  <x:si>
    <x:t xml:space="preserve">mech_summon_on_empty_cell</x:t>
  </x:si>
  <x:si>
    <x:t xml:space="preserve">空格召唤</x:t>
  </x:si>
  <x:si>
    <x:t xml:space="preserve">召唤/元素</x:t>
  </x:si>
  <x:si>
    <x:t xml:space="preserve">宠物</x:t>
  </x:si>
  <x:si>
    <x:t xml:space="preserve">目标格为空且有元素</x:t>
  </x:si>
  <x:si>
    <x:t xml:space="preserve">summon=ally_sprite; hp=6</x:t>
  </x:si>
  <x:si>
    <x:t xml:space="preserve">在元素格生成召唤物。</x:t>
  </x:si>
  <x:si>
    <x:t xml:space="preserve">{unit} 在元素格召唤小灵。</x:t>
  </x:si>
  <x:si>
    <x:t xml:space="preserve">对应召芽灵方向。</x:t>
  </x:si>
  <x:si>
    <x:t xml:space="preserve">M35</x:t>
  </x:si>
  <x:si>
    <x:t xml:space="preserve">mech_copy_weak_self</x:t>
  </x:si>
  <x:si>
    <x:t xml:space="preserve">复制弱化体</x:t>
  </x:si>
  <x:si>
    <x:t xml:space="preserve">召唤/复制</x:t>
  </x:si>
  <x:si>
    <x:t xml:space="preserve">after_action</x:t>
  </x:si>
  <x:si>
    <x:t xml:space="preserve">满足冷却</x:t>
  </x:si>
  <x:si>
    <x:t xml:space="preserve">count=1; hp_pct=0.5; atk_pct=0.5</x:t>
  </x:si>
  <x:si>
    <x:t xml:space="preserve">复制一个弱化自身。</x:t>
  </x:si>
  <x:si>
    <x:t xml:space="preserve">{unit} 复制出一个弱化体。</x:t>
  </x:si>
  <x:si>
    <x:t xml:space="preserve">高风险强反馈。</x:t>
  </x:si>
  <x:si>
    <x:t xml:space="preserve">M36</x:t>
  </x:si>
  <x:si>
    <x:t xml:space="preserve">mech_summon_wall</x:t>
  </x:si>
  <x:si>
    <x:t xml:space="preserve">召唤障碍</x:t>
  </x:si>
  <x:si>
    <x:t xml:space="preserve">召唤/地形</x:t>
  </x:si>
  <x:si>
    <x:t xml:space="preserve">指定格可放置</x:t>
  </x:si>
  <x:si>
    <x:t xml:space="preserve">hp=8; duration=2</x:t>
  </x:si>
  <x:si>
    <x:t xml:space="preserve">召唤可阻挡单位的障碍。</x:t>
  </x:si>
  <x:si>
    <x:t xml:space="preserve">{unit} 召唤障碍。</x:t>
  </x:si>
  <x:si>
    <x:t xml:space="preserve">需要单位/地形层区分。</x:t>
  </x:si>
  <x:si>
    <x:t xml:space="preserve">M37</x:t>
  </x:si>
  <x:si>
    <x:t xml:space="preserve">mech_summon_trap</x:t>
  </x:si>
  <x:si>
    <x:t xml:space="preserve">生成陷阱</x:t>
  </x:si>
  <x:si>
    <x:t xml:space="preserve">召唤/陷阱</x:t>
  </x:si>
  <x:si>
    <x:t xml:space="preserve">目标格可放陷阱</x:t>
  </x:si>
  <x:si>
    <x:t xml:space="preserve">element=fire; layers=2</x:t>
  </x:si>
  <x:si>
    <x:t xml:space="preserve">在格子生成元素陷阱。</x:t>
  </x:si>
  <x:si>
    <x:t xml:space="preserve">{unit} 生成 {element} 陷阱。</x:t>
  </x:si>
  <x:si>
    <x:t xml:space="preserve">和陷阱层规则联动。</x:t>
  </x:si>
  <x:si>
    <x:t xml:space="preserve">M38</x:t>
  </x:si>
  <x:si>
    <x:t xml:space="preserve">mech_summon_when_hit</x:t>
  </x:si>
  <x:si>
    <x:t xml:space="preserve">受击分裂</x:t>
  </x:si>
  <x:si>
    <x:t xml:space="preserve">召唤/反击</x:t>
  </x:si>
  <x:si>
    <x:t xml:space="preserve">每回合一次</x:t>
  </x:si>
  <x:si>
    <x:t xml:space="preserve">受击后分裂出小怪。</x:t>
  </x:si>
  <x:si>
    <x:t xml:space="preserve">{unit} 受击分裂出小怪。</x:t>
  </x:si>
  <x:si>
    <x:t xml:space="preserve">比受击召唤更偏群压。</x:t>
  </x:si>
  <x:si>
    <x:t xml:space="preserve">M39</x:t>
  </x:si>
  <x:si>
    <x:t xml:space="preserve">mech_summon_after_kill</x:t>
  </x:si>
  <x:si>
    <x:t xml:space="preserve">击杀召唤</x:t>
  </x:si>
  <x:si>
    <x:t xml:space="preserve">召唤/成长</x:t>
  </x:si>
  <x:si>
    <x:t xml:space="preserve">after_kill</x:t>
  </x:si>
  <x:si>
    <x:t xml:space="preserve">击杀目标</x:t>
  </x:si>
  <x:si>
    <x:t xml:space="preserve">summon=ally_sprite; count=1</x:t>
  </x:si>
  <x:si>
    <x:t xml:space="preserve">击杀后召唤单位。</x:t>
  </x:si>
  <x:si>
    <x:t xml:space="preserve">{unit} 击杀后召唤援军。</x:t>
  </x:si>
  <x:si>
    <x:t xml:space="preserve">适合爽感滚雪球。</x:t>
  </x:si>
  <x:si>
    <x:t xml:space="preserve">M40</x:t>
  </x:si>
  <x:si>
    <x:t xml:space="preserve">mech_hatch_after_rounds</x:t>
  </x:si>
  <x:si>
    <x:t xml:space="preserve">孵化倒计时</x:t>
  </x:si>
  <x:si>
    <x:t xml:space="preserve">召唤/倒计时</x:t>
  </x:si>
  <x:si>
    <x:t xml:space="preserve">怪物/事件</x:t>
  </x:si>
  <x:si>
    <x:t xml:space="preserve">倒计时归零</x:t>
  </x:si>
  <x:si>
    <x:t xml:space="preserve">rounds=3; summon=mon_elite_egg</x:t>
  </x:si>
  <x:si>
    <x:t xml:space="preserve">若未提前击破，孵化成更强单位。</x:t>
  </x:si>
  <x:si>
    <x:t xml:space="preserve">{unit} 孵化完成。</x:t>
  </x:si>
  <x:si>
    <x:t xml:space="preserve">非常适合事件怪/蛋。</x:t>
  </x:si>
  <x:si>
    <x:t xml:space="preserve">M41</x:t>
  </x:si>
  <x:si>
    <x:t xml:space="preserve">mech_fire_ignite_bonus</x:t>
  </x:si>
  <x:si>
    <x:t xml:space="preserve">火层增伤</x:t>
  </x:si>
  <x:si>
    <x:t xml:space="preserve">元素/火</x:t>
  </x:si>
  <x:si>
    <x:t xml:space="preserve">element_damage</x:t>
  </x:si>
  <x:si>
    <x:t xml:space="preserve">火层结算</x:t>
  </x:si>
  <x:si>
    <x:t xml:space="preserve">per_layer=1</x:t>
  </x:si>
  <x:si>
    <x:t xml:space="preserve">火元素层结算额外增伤。</x:t>
  </x:si>
  <x:si>
    <x:t xml:space="preserve">火焰增强，额外造成 {bonus} 伤害。</x:t>
  </x:si>
  <x:si>
    <x:t xml:space="preserve">火系基础词条。</x:t>
  </x:si>
  <x:si>
    <x:t xml:space="preserve">M42</x:t>
  </x:si>
  <x:si>
    <x:t xml:space="preserve">mech_water_heal_on_layer</x:t>
  </x:si>
  <x:si>
    <x:t xml:space="preserve">水层治疗</x:t>
  </x:si>
  <x:si>
    <x:t xml:space="preserve">元素/水</x:t>
  </x:si>
  <x:si>
    <x:t xml:space="preserve">施加水层</x:t>
  </x:si>
  <x:si>
    <x:t xml:space="preserve">heal_per_layer=1</x:t>
  </x:si>
  <x:si>
    <x:t xml:space="preserve">施加水层时治疗友方。</x:t>
  </x:si>
  <x:si>
    <x:t xml:space="preserve">水流治疗 {heal} 点。</x:t>
  </x:si>
  <x:si>
    <x:t xml:space="preserve">水系基础词条。</x:t>
  </x:si>
  <x:si>
    <x:t xml:space="preserve">M43</x:t>
  </x:si>
  <x:si>
    <x:t xml:space="preserve">mech_wind_push_on_hit</x:t>
  </x:si>
  <x:si>
    <x:t xml:space="preserve">风系推拉</x:t>
  </x:si>
  <x:si>
    <x:t xml:space="preserve">元素/风</x:t>
  </x:si>
  <x:si>
    <x:t xml:space="preserve">风元素命中</x:t>
  </x:si>
  <x:si>
    <x:t xml:space="preserve">distance=1</x:t>
  </x:si>
  <x:si>
    <x:t xml:space="preserve">命中后推开/拉动目标。</x:t>
  </x:si>
  <x:si>
    <x:t xml:space="preserve">风力推动目标 {distance} 格。</x:t>
  </x:si>
  <x:si>
    <x:t xml:space="preserve">需移动规则。</x:t>
  </x:si>
  <x:si>
    <x:t xml:space="preserve">M44</x:t>
  </x:si>
  <x:si>
    <x:t xml:space="preserve">mech_earth_shield_on_layer</x:t>
  </x:si>
  <x:si>
    <x:t xml:space="preserve">土层护盾</x:t>
  </x:si>
  <x:si>
    <x:t xml:space="preserve">元素/土</x:t>
  </x:si>
  <x:si>
    <x:t xml:space="preserve">施加土层</x:t>
  </x:si>
  <x:si>
    <x:t xml:space="preserve">shield_per_layer=2</x:t>
  </x:si>
  <x:si>
    <x:t xml:space="preserve">施加土层获得护盾。</x:t>
  </x:si>
  <x:si>
    <x:t xml:space="preserve">土元素提供 {shield} 点护盾。</x:t>
  </x:si>
  <x:si>
    <x:t xml:space="preserve">土系基础词条。</x:t>
  </x:si>
  <x:si>
    <x:t xml:space="preserve">M45</x:t>
  </x:si>
  <x:si>
    <x:t xml:space="preserve">mech_multi_element_bonus</x:t>
  </x:si>
  <x:si>
    <x:t xml:space="preserve">多元素共鸣</x:t>
  </x:si>
  <x:si>
    <x:t xml:space="preserve">元素/多元素</x:t>
  </x:si>
  <x:si>
    <x:t xml:space="preserve">element_settle</x:t>
  </x:si>
  <x:si>
    <x:t xml:space="preserve">同格多元素&gt;=2</x:t>
  </x:si>
  <x:si>
    <x:t xml:space="preserve">bonus=3</x:t>
  </x:si>
  <x:si>
    <x:t xml:space="preserve">同格多元素结算额外效果。</x:t>
  </x:si>
  <x:si>
    <x:t xml:space="preserve">多元素共鸣，额外造成 {bonus}。</x:t>
  </x:si>
  <x:si>
    <x:t xml:space="preserve">别过早削弱。</x:t>
  </x:si>
  <x:si>
    <x:t xml:space="preserve">M46</x:t>
  </x:si>
  <x:si>
    <x:t xml:space="preserve">mech_trap_stack_trigger</x:t>
  </x:si>
  <x:si>
    <x:t xml:space="preserve">陷阱叠加触发</x:t>
  </x:si>
  <x:si>
    <x:t xml:space="preserve">元素/陷阱</x:t>
  </x:si>
  <x:si>
    <x:t xml:space="preserve">on_enter_cell</x:t>
  </x:si>
  <x:si>
    <x:t xml:space="preserve">进入陷阱格</x:t>
  </x:si>
  <x:si>
    <x:t xml:space="preserve">trigger_all=true</x:t>
  </x:si>
  <x:si>
    <x:t xml:space="preserve">踩入格子时触发该格所有元素陷阱。</x:t>
  </x:si>
  <x:si>
    <x:t xml:space="preserve">{unit} 踩中陷阱，触发全部元素。</x:t>
  </x:si>
  <x:si>
    <x:t xml:space="preserve">对应已定陷阱叠加规则。</x:t>
  </x:si>
  <x:si>
    <x:t xml:space="preserve">M47</x:t>
  </x:si>
  <x:si>
    <x:t xml:space="preserve">mech_fire_cross_detonate_diamond</x:t>
  </x:si>
  <x:si>
    <x:t xml:space="preserve">火魔十字引爆</x:t>
  </x:si>
  <x:si>
    <x:t xml:space="preserve">钻石火魔</x:t>
  </x:si>
  <x:si>
    <x:t xml:space="preserve">element_explode</x:t>
  </x:si>
  <x:si>
    <x:t xml:space="preserve">火魔钻石且在场/背包</x:t>
  </x:si>
  <x:si>
    <x:t xml:space="preserve">shape=cross5</x:t>
  </x:si>
  <x:si>
    <x:t xml:space="preserve">火引爆改为十字五格。</x:t>
  </x:si>
  <x:si>
    <x:t xml:space="preserve">火魔引爆十字区域。</x:t>
  </x:si>
  <x:si>
    <x:t xml:space="preserve">仅钻石火魔，不得默认全局启用。</x:t>
  </x:si>
  <x:si>
    <x:t xml:space="preserve">M48</x:t>
  </x:si>
  <x:si>
    <x:t xml:space="preserve">mech_water_cleanse_debuff</x:t>
  </x:si>
  <x:si>
    <x:t xml:space="preserve">水系净化</x:t>
  </x:si>
  <x:si>
    <x:t xml:space="preserve">友方有负面状态</x:t>
  </x:si>
  <x:si>
    <x:t xml:space="preserve">cleanse=1</x:t>
  </x:si>
  <x:si>
    <x:t xml:space="preserve">移除负面状态。</x:t>
  </x:si>
  <x:si>
    <x:t xml:space="preserve">水流净化了 {count} 个负面状态。</x:t>
  </x:si>
  <x:si>
    <x:t xml:space="preserve">状态系统后接。</x:t>
  </x:si>
  <x:si>
    <x:t xml:space="preserve">M49</x:t>
  </x:si>
  <x:si>
    <x:t xml:space="preserve">mech_wind_slow_ap</x:t>
  </x:si>
  <x:si>
    <x:t xml:space="preserve">风系减行动</x:t>
  </x:si>
  <x:si>
    <x:t xml:space="preserve">ap_delta=-1</x:t>
  </x:si>
  <x:si>
    <x:t xml:space="preserve">降低目标行动力或本回合AP。</x:t>
  </x:si>
  <x:si>
    <x:t xml:space="preserve">风压降低目标行动力。</x:t>
  </x:si>
  <x:si>
    <x:t xml:space="preserve">牵制机制。</x:t>
  </x:si>
  <x:si>
    <x:t xml:space="preserve">M50</x:t>
  </x:si>
  <x:si>
    <x:t xml:space="preserve">mech_earth_block_cell</x:t>
  </x:si>
  <x:si>
    <x:t xml:space="preserve">土系阻挡</x:t>
  </x:si>
  <x:si>
    <x:t xml:space="preserve">目标格可阻挡</x:t>
  </x:si>
  <x:si>
    <x:t xml:space="preserve">duration=1; hp=6</x:t>
  </x:si>
  <x:si>
    <x:t xml:space="preserve">土元素形成阻挡地块。</x:t>
  </x:si>
  <x:si>
    <x:t xml:space="preserve">土墙阻挡路径。</x:t>
  </x:si>
  <x:si>
    <x:t xml:space="preserve">需地形/单位层分离。</x:t>
  </x:si>
  <x:si>
    <x:t xml:space="preserve">M51</x:t>
  </x:si>
  <x:si>
    <x:t xml:space="preserve">mech_curse_gold_loss</x:t>
  </x:si>
  <x:si>
    <x:t xml:space="preserve">金币诅咒</x:t>
  </x:si>
  <x:si>
    <x:t xml:space="preserve">诅咒/经济</x:t>
  </x:si>
  <x:si>
    <x:t xml:space="preserve">事件/怪物</x:t>
  </x:si>
  <x:si>
    <x:t xml:space="preserve">battle_end</x:t>
  </x:si>
  <x:si>
    <x:t xml:space="preserve">单位存活或事件选择</x:t>
  </x:si>
  <x:si>
    <x:t xml:space="preserve">gold=-2</x:t>
  </x:si>
  <x:si>
    <x:t xml:space="preserve">减少金币。</x:t>
  </x:si>
  <x:si>
    <x:t xml:space="preserve">诅咒生效，金币 {gold}。</x:t>
  </x:si>
  <x:si>
    <x:t xml:space="preserve">事件和失败惩罚可复用。</x:t>
  </x:si>
  <x:si>
    <x:t xml:space="preserve">M52</x:t>
  </x:si>
  <x:si>
    <x:t xml:space="preserve">mech_reduce_reward_if_alive</x:t>
  </x:si>
  <x:si>
    <x:t xml:space="preserve">存活减奖</x:t>
  </x:si>
  <x:si>
    <x:t xml:space="preserve">诅咒/奖励</x:t>
  </x:si>
  <x:si>
    <x:t xml:space="preserve">波次/怪物</x:t>
  </x:si>
  <x:si>
    <x:t xml:space="preserve">特定怪物未击杀</x:t>
  </x:si>
  <x:si>
    <x:t xml:space="preserve">reward_pct=-0.2</x:t>
  </x:si>
  <x:si>
    <x:t xml:space="preserve">降低奖励倍率。</x:t>
  </x:si>
  <x:si>
    <x:t xml:space="preserve">敌人未清，奖励降低。</x:t>
  </x:si>
  <x:si>
    <x:t xml:space="preserve">波次用。</x:t>
  </x:si>
  <x:si>
    <x:t xml:space="preserve">M53</x:t>
  </x:si>
  <x:si>
    <x:t xml:space="preserve">mech_castle_line_damage</x:t>
  </x:si>
  <x:si>
    <x:t xml:space="preserve">城堡扣线</x:t>
  </x:si>
  <x:si>
    <x:t xml:space="preserve">波次/失败</x:t>
  </x:si>
  <x:si>
    <x:t xml:space="preserve">battle_fail</x:t>
  </x:si>
  <x:si>
    <x:t xml:space="preserve">战斗失败或怪物越线</x:t>
  </x:si>
  <x:si>
    <x:t xml:space="preserve">castle_hp=-1</x:t>
  </x:si>
  <x:si>
    <x:t xml:space="preserve">扣城堡线。</x:t>
  </x:si>
  <x:si>
    <x:t xml:space="preserve">城堡受到 {damage} 点损害。</x:t>
  </x:si>
  <x:si>
    <x:t xml:space="preserve">10回合失败核心。</x:t>
  </x:si>
  <x:si>
    <x:t xml:space="preserve">M54</x:t>
  </x:si>
  <x:si>
    <x:t xml:space="preserve">mech_economy_decay_on_fail</x:t>
  </x:si>
  <x:si>
    <x:t xml:space="preserve">失败经济折损</x:t>
  </x:si>
  <x:si>
    <x:t xml:space="preserve">波次/事件</x:t>
  </x:si>
  <x:si>
    <x:t xml:space="preserve">战斗失败</x:t>
  </x:si>
  <x:si>
    <x:t xml:space="preserve">income_pct=0.8</x:t>
  </x:si>
  <x:si>
    <x:t xml:space="preserve">后续经济收益降低。</x:t>
  </x:si>
  <x:si>
    <x:t xml:space="preserve">失败导致经济收益降低。</x:t>
  </x:si>
  <x:si>
    <x:t xml:space="preserve">和大巴扎节奏相关。</x:t>
  </x:si>
  <x:si>
    <x:t xml:space="preserve">M55</x:t>
  </x:si>
  <x:si>
    <x:t xml:space="preserve">mech_dirty_cell</x:t>
  </x:si>
  <x:si>
    <x:t xml:space="preserve">污染格子</x:t>
  </x:si>
  <x:si>
    <x:t xml:space="preserve">诅咒/地形</x:t>
  </x:si>
  <x:si>
    <x:t xml:space="preserve">目标格可污染</x:t>
  </x:si>
  <x:si>
    <x:t xml:space="preserve">duration=2; penalty=1</x:t>
  </x:si>
  <x:si>
    <x:t xml:space="preserve">生成污染地块，影响站位/路径。</x:t>
  </x:si>
  <x:si>
    <x:t xml:space="preserve">{unit} 污染了格子。</x:t>
  </x:si>
  <x:si>
    <x:t xml:space="preserve">地形层实现。</x:t>
  </x:si>
  <x:si>
    <x:t xml:space="preserve">M56</x:t>
  </x:si>
  <x:si>
    <x:t xml:space="preserve">mech_countdown_pressure</x:t>
  </x:si>
  <x:si>
    <x:t xml:space="preserve">倒计时压力</x:t>
  </x:si>
  <x:si>
    <x:t xml:space="preserve">波次/倒计时</x:t>
  </x:si>
  <x:si>
    <x:t xml:space="preserve">指定回合后</x:t>
  </x:si>
  <x:si>
    <x:t xml:space="preserve">round=5; effect=spawn_extra</x:t>
  </x:si>
  <x:si>
    <x:t xml:space="preserve">达到回合后追加惩罚。</x:t>
  </x:si>
  <x:si>
    <x:t xml:space="preserve">倒计时触发，战场压力上升。</x:t>
  </x:si>
  <x:si>
    <x:t xml:space="preserve">M57</x:t>
  </x:si>
  <x:si>
    <x:t xml:space="preserve">mech_shop_discount_after_clear</x:t>
  </x:si>
  <x:si>
    <x:t xml:space="preserve">快速清场折扣</x:t>
  </x:si>
  <x:si>
    <x:t xml:space="preserve">奖励/商店</x:t>
  </x:si>
  <x:si>
    <x:t xml:space="preserve">5回合内清场</x:t>
  </x:si>
  <x:si>
    <x:t xml:space="preserve">discount=1; slots=1</x:t>
  </x:si>
  <x:si>
    <x:t xml:space="preserve">下一商店获得折扣位。</x:t>
  </x:si>
  <x:si>
    <x:t xml:space="preserve">快速清场，获得折扣商店位。</x:t>
  </x:si>
  <x:si>
    <x:t xml:space="preserve">大巴扎式奖励。</x:t>
  </x:si>
  <x:si>
    <x:t xml:space="preserve">M58</x:t>
  </x:si>
  <x:si>
    <x:t xml:space="preserve">mech_bonus_reward_under_round5</x:t>
  </x:si>
  <x:si>
    <x:t xml:space="preserve">5回合高奖</x:t>
  </x:si>
  <x:si>
    <x:t xml:space="preserve">奖励/波次</x:t>
  </x:si>
  <x:si>
    <x:t xml:space="preserve">波次</x:t>
  </x:si>
  <x:si>
    <x:t xml:space="preserve">回合&lt;=5且胜利</x:t>
  </x:si>
  <x:si>
    <x:t xml:space="preserve">reward_pct=1.3</x:t>
  </x:si>
  <x:si>
    <x:t xml:space="preserve">5回合内胜利提高奖励。</x:t>
  </x:si>
  <x:si>
    <x:t xml:space="preserve">5回合清场，奖励提升。</x:t>
  </x:si>
  <x:si>
    <x:t xml:space="preserve">用户已定目标。</x:t>
  </x:si>
  <x:si>
    <x:t xml:space="preserve">M59</x:t>
  </x:si>
  <x:si>
    <x:t xml:space="preserve">mech_penalty_after_round10</x:t>
  </x:si>
  <x:si>
    <x:t xml:space="preserve">10回合失败</x:t>
  </x:si>
  <x:si>
    <x:t xml:space="preserve">失败/波次</x:t>
  </x:si>
  <x:si>
    <x:t xml:space="preserve">回合&gt;10且未清场</x:t>
  </x:si>
  <x:si>
    <x:t xml:space="preserve">fail=true</x:t>
  </x:si>
  <x:si>
    <x:t xml:space="preserve">超过10回合判失败并结算惩罚。</x:t>
  </x:si>
  <x:si>
    <x:t xml:space="preserve">超过10回合，战斗失败。</x:t>
  </x:si>
  <x:si>
    <x:t xml:space="preserve">用户已定硬规则。</x:t>
  </x:si>
  <x:si>
    <x:t xml:space="preserve">M60</x:t>
  </x:si>
  <x:si>
    <x:t xml:space="preserve">mech_elite_reward_bonus</x:t>
  </x:si>
  <x:si>
    <x:t xml:space="preserve">精英额外奖励</x:t>
  </x:si>
  <x:si>
    <x:t xml:space="preserve">奖励/精英</x:t>
  </x:si>
  <x:si>
    <x:t xml:space="preserve">怪物/波次</x:t>
  </x:si>
  <x:si>
    <x:t xml:space="preserve">精英死亡且胜利</x:t>
  </x:si>
  <x:si>
    <x:t xml:space="preserve">reward=elite_chest</x:t>
  </x:si>
  <x:si>
    <x:t xml:space="preserve">击杀精英提供额外奖励。</x:t>
  </x:si>
  <x:si>
    <x:t xml:space="preserve">击败精英，获得额外奖励。</x:t>
  </x:si>
  <x:si>
    <x:t xml:space="preserve">精英/事件用。</x:t>
  </x:si>
  <x:si>
    <x:t xml:space="preserve">事件ID</x:t>
  </x:si>
  <x:si>
    <x:t xml:space="preserve">事件组</x:t>
  </x:si>
  <x:si>
    <x:t xml:space="preserve">事件名</x:t>
  </x:si>
  <x:si>
    <x:t xml:space="preserve">节点</x:t>
  </x:si>
  <x:si>
    <x:t xml:space="preserve">天数</x:t>
  </x:si>
  <x:si>
    <x:t xml:space="preserve">选项ID</x:t>
  </x:si>
  <x:si>
    <x:t xml:space="preserve">选项文案</x:t>
  </x:si>
  <x:si>
    <x:t xml:space="preserve">定位(自动)</x:t>
  </x:si>
  <x:si>
    <x:t xml:space="preserve">机制名(自动)</x:t>
  </x:si>
  <x:si>
    <x:t xml:space="preserve">商店池ID</x:t>
  </x:si>
  <x:si>
    <x:t xml:space="preserve">奖励池ID</x:t>
  </x:si>
  <x:si>
    <x:t xml:space="preserve">代价</x:t>
  </x:si>
  <x:si>
    <x:t xml:space="preserve">收益</x:t>
  </x:si>
  <x:si>
    <x:t xml:space="preserve">数值</x:t>
  </x:si>
  <x:si>
    <x:t xml:space="preserve">接入层级</x:t>
  </x:si>
  <x:si>
    <x:t xml:space="preserve">evt_shop_fire</x:t>
  </x:si>
  <x:si>
    <x:t xml:space="preserve">定向商店</x:t>
  </x:si>
  <x:si>
    <x:t xml:space="preserve">火元素补货</x:t>
  </x:si>
  <x:si>
    <x:t xml:space="preserve">夜晚商店</x:t>
  </x:si>
  <x:si>
    <x:t xml:space="preserve">D1-D10</x:t>
  </x:si>
  <x:si>
    <x:t xml:space="preserve">A</x:t>
  </x:si>
  <x:si>
    <x:t xml:space="preserve">刷新后火系候选+2</x:t>
  </x:si>
  <x:si>
    <x:t xml:space="preserve">elem_火</x:t>
  </x:si>
  <x:si>
    <x:t xml:space="preserve">reward_pT1</x:t>
  </x:si>
  <x:si>
    <x:t xml:space="preserve">金币-1</x:t>
  </x:si>
  <x:si>
    <x:t xml:space="preserve">火系商品位+2</x:t>
  </x:si>
  <x:si>
    <x:t xml:space="preserve">shop_phase</x:t>
  </x:si>
  <x:si>
    <x:t xml:space="preserve">元素定向商店</x:t>
  </x:si>
  <x:si>
    <x:t xml:space="preserve">evt_shop_water</x:t>
  </x:si>
  <x:si>
    <x:t xml:space="preserve">水元素补货</x:t>
  </x:si>
  <x:si>
    <x:t xml:space="preserve">刷新后水系候选+2</x:t>
  </x:si>
  <x:si>
    <x:t xml:space="preserve">elem_水</x:t>
  </x:si>
  <x:si>
    <x:t xml:space="preserve">水系商品位+2</x:t>
  </x:si>
  <x:si>
    <x:t xml:space="preserve">evt_shop_wind</x:t>
  </x:si>
  <x:si>
    <x:t xml:space="preserve">风元素补货</x:t>
  </x:si>
  <x:si>
    <x:t xml:space="preserve">刷新后风系候选+2</x:t>
  </x:si>
  <x:si>
    <x:t xml:space="preserve">elem_风</x:t>
  </x:si>
  <x:si>
    <x:t xml:space="preserve">风系商品位+2</x:t>
  </x:si>
  <x:si>
    <x:t xml:space="preserve">evt_shop_earth</x:t>
  </x:si>
  <x:si>
    <x:t xml:space="preserve">土元素补货</x:t>
  </x:si>
  <x:si>
    <x:t xml:space="preserve">刷新后土系候选+2</x:t>
  </x:si>
  <x:si>
    <x:t xml:space="preserve">elem_土</x:t>
  </x:si>
  <x:si>
    <x:t xml:space="preserve">土系商品位+2</x:t>
  </x:si>
  <x:si>
    <x:t xml:space="preserve">evt_role_summon</x:t>
  </x:si>
  <x:si>
    <x:t xml:space="preserve">定位补强</x:t>
  </x:si>
  <x:si>
    <x:t xml:space="preserve">召唤流补强</x:t>
  </x:si>
  <x:si>
    <x:t xml:space="preserve">D2-D10</x:t>
  </x:si>
  <x:si>
    <x:t xml:space="preserve">召唤定位候选+2</x:t>
  </x:si>
  <x:si>
    <x:t xml:space="preserve">role_召唤</x:t>
  </x:si>
  <x:si>
    <x:t xml:space="preserve">reward_summon</x:t>
  </x:si>
  <x:si>
    <x:t xml:space="preserve">金币-2</x:t>
  </x:si>
  <x:si>
    <x:t xml:space="preserve">召唤商品位+2</x:t>
  </x:si>
  <x:si>
    <x:t xml:space="preserve">定位商店</x:t>
  </x:si>
  <x:si>
    <x:t xml:space="preserve">evt_role_tank</x:t>
  </x:si>
  <x:si>
    <x:t xml:space="preserve">前排补强</x:t>
  </x:si>
  <x:si>
    <x:t xml:space="preserve">坦克定位候选+2</x:t>
  </x:si>
  <x:si>
    <x:t xml:space="preserve">role_坦克</x:t>
  </x:si>
  <x:si>
    <x:t xml:space="preserve">reward_tank</x:t>
  </x:si>
  <x:si>
    <x:t xml:space="preserve">坦克商品位+2</x:t>
  </x:si>
  <x:si>
    <x:t xml:space="preserve">evt_free_roll</x:t>
  </x:si>
  <x:si>
    <x:t xml:space="preserve">商店经济</x:t>
  </x:si>
  <x:si>
    <x:t xml:space="preserve">免费刷新</x:t>
  </x:si>
  <x:si>
    <x:t xml:space="preserve">本晚获得1次免费刷新</x:t>
  </x:si>
  <x:si>
    <x:t xml:space="preserve">night_base</x:t>
  </x:si>
  <x:si>
    <x:t xml:space="preserve">免费刷新+1</x:t>
  </x:si>
  <x:si>
    <x:t xml:space="preserve">轻量经济事件</x:t>
  </x:si>
  <x:si>
    <x:t xml:space="preserve">evt_discount</x:t>
  </x:si>
  <x:si>
    <x:t xml:space="preserve">折扣摊位</x:t>
  </x:si>
  <x:si>
    <x:t xml:space="preserve">下一件商品半价</x:t>
  </x:si>
  <x:si>
    <x:t xml:space="preserve">折扣50%</x:t>
  </x:si>
  <x:si>
    <x:t xml:space="preserve">事件商店</x:t>
  </x:si>
  <x:si>
    <x:t xml:space="preserve">evt_duplicate</x:t>
  </x:si>
  <x:si>
    <x:t xml:space="preserve">合成</x:t>
  </x:si>
  <x:si>
    <x:t xml:space="preserve">同名复制</x:t>
  </x:si>
  <x:si>
    <x:t xml:space="preserve">D3-D10</x:t>
  </x:si>
  <x:si>
    <x:t xml:space="preserve">复制一个已拥有宠物</x:t>
  </x:si>
  <x:si>
    <x:t xml:space="preserve">special_merchant</x:t>
  </x:si>
  <x:si>
    <x:t xml:space="preserve">reward_pT2</x:t>
  </x:si>
  <x:si>
    <x:t xml:space="preserve">金币-4</x:t>
  </x:si>
  <x:si>
    <x:t xml:space="preserve">复制候选+1</x:t>
  </x:si>
  <x:si>
    <x:t xml:space="preserve">复制商店</x:t>
  </x:si>
  <x:si>
    <x:t xml:space="preserve">evt_upgrade_offer</x:t>
  </x:si>
  <x:si>
    <x:t xml:space="preserve">升阶机会</x:t>
  </x:si>
  <x:si>
    <x:t xml:space="preserve">D4-D10</x:t>
  </x:si>
  <x:si>
    <x:t xml:space="preserve">给一个同名升阶候选</x:t>
  </x:si>
  <x:si>
    <x:t xml:space="preserve">reward_pT3</x:t>
  </x:si>
  <x:si>
    <x:t xml:space="preserve">金币-6</x:t>
  </x:si>
  <x:si>
    <x:t xml:space="preserve">升阶候选+1</x:t>
  </x:si>
  <x:si>
    <x:t xml:space="preserve">合成商店</x:t>
  </x:si>
  <x:si>
    <x:t xml:space="preserve">evt_battle_bonus</x:t>
  </x:si>
  <x:si>
    <x:t xml:space="preserve">战斗奖励</x:t>
  </x:si>
  <x:si>
    <x:t xml:space="preserve">五回合高奖</x:t>
  </x:si>
  <x:si>
    <x:t xml:space="preserve">战斗结算</x:t>
  </x:si>
  <x:si>
    <x:t xml:space="preserve">5回合内清场奖励提高</x:t>
  </x:si>
  <x:si>
    <x:t xml:space="preserve">reward_fast_clear</x:t>
  </x:si>
  <x:si>
    <x:t xml:space="preserve">奖励x1.3</x:t>
  </x:si>
  <x:si>
    <x:t xml:space="preserve">post_battle</x:t>
  </x:si>
  <x:si>
    <x:t xml:space="preserve">对齐5回合高奖</x:t>
  </x:si>
  <x:si>
    <x:t xml:space="preserve">evt_battle_fail</x:t>
  </x:si>
  <x:si>
    <x:t xml:space="preserve">战斗惩罚</x:t>
  </x:si>
  <x:si>
    <x:t xml:space="preserve">十回合失败</x:t>
  </x:si>
  <x:si>
    <x:t xml:space="preserve">10回合未清场扣城堡线</x:t>
  </x:si>
  <x:si>
    <x:t xml:space="preserve">reward_none</x:t>
  </x:si>
  <x:si>
    <x:t xml:space="preserve">10回合未清场</x:t>
  </x:si>
  <x:si>
    <x:t xml:space="preserve">城堡-1/经济x0.9</x:t>
  </x:si>
  <x:si>
    <x:t xml:space="preserve">失败惩罚</x:t>
  </x:si>
  <x:si>
    <x:t xml:space="preserve">evt_trap_bonus</x:t>
  </x:si>
  <x:si>
    <x:t xml:space="preserve">地形</x:t>
  </x:si>
  <x:si>
    <x:t xml:space="preserve">陷阱商人</x:t>
  </x:si>
  <x:si>
    <x:t xml:space="preserve">下一战陷阱伤害+1</x:t>
  </x:si>
  <x:si>
    <x:t xml:space="preserve">reward_trap</x:t>
  </x:si>
  <x:si>
    <x:t xml:space="preserve">陷阱伤害+1</x:t>
  </x:si>
  <x:si>
    <x:t xml:space="preserve">pre_battle</x:t>
  </x:si>
  <x:si>
    <x:t xml:space="preserve">陷阱流</x:t>
  </x:si>
  <x:si>
    <x:t xml:space="preserve">evt_shield_bless</x:t>
  </x:si>
  <x:si>
    <x:t xml:space="preserve">祝福</x:t>
  </x:si>
  <x:si>
    <x:t xml:space="preserve">护盾祝福</x:t>
  </x:si>
  <x:si>
    <x:t xml:space="preserve">战斗前</x:t>
  </x:si>
  <x:si>
    <x:t xml:space="preserve">开局全队获得护盾</x:t>
  </x:si>
  <x:si>
    <x:t xml:space="preserve">护盾+2</x:t>
  </x:si>
  <x:si>
    <x:t xml:space="preserve">防御补强</x:t>
  </x:si>
  <x:si>
    <x:t xml:space="preserve">evt_curse_gold</x:t>
  </x:si>
  <x:si>
    <x:t xml:space="preserve">风险事件</x:t>
  </x:si>
  <x:si>
    <x:t xml:space="preserve">贪婪诅咒</x:t>
  </x:si>
  <x:si>
    <x:t xml:space="preserve">事件</x:t>
  </x:si>
  <x:si>
    <x:t xml:space="preserve">获得金币但下一战奖励降低</x:t>
  </x:si>
  <x:si>
    <x:t xml:space="preserve">reward_economy</x:t>
  </x:si>
  <x:si>
    <x:t xml:space="preserve">奖励-10%</x:t>
  </x:si>
  <x:si>
    <x:t xml:space="preserve">金币+4</x:t>
  </x:si>
  <x:si>
    <x:t xml:space="preserve">event</x:t>
  </x:si>
  <x:si>
    <x:t xml:space="preserve">经济风险</x:t>
  </x:si>
  <x:si>
    <x:t xml:space="preserve">evt_elite_reward</x:t>
  </x:si>
  <x:si>
    <x:t xml:space="preserve">奖励</x:t>
  </x:si>
  <x:si>
    <x:t xml:space="preserve">精英奖励</x:t>
  </x:si>
  <x:si>
    <x:t xml:space="preserve">D5-D10</x:t>
  </x:si>
  <x:si>
    <x:t xml:space="preserve">精英战后进入高奖池</x:t>
  </x:si>
  <x:si>
    <x:t xml:space="preserve">elite_high</x:t>
  </x:si>
  <x:si>
    <x:t xml:space="preserve">reward_elite</x:t>
  </x:si>
  <x:si>
    <x:t xml:space="preserve">清精英</x:t>
  </x:si>
  <x:si>
    <x:t xml:space="preserve">高奖池+1</x:t>
  </x:si>
  <x:si>
    <x:t xml:space="preserve">高奖池</x:t>
  </x:si>
  <x:si>
    <x:t xml:space="preserve">evt_mix_17</x:t>
  </x:si>
  <x:si>
    <x:t xml:space="preserve">构筑事件</x:t>
  </x:si>
  <x:si>
    <x:t xml:space="preserve">构筑事件17</x:t>
  </x:si>
  <x:si>
    <x:t xml:space="preserve">获得临时构筑补强17</x:t>
  </x:si>
  <x:si>
    <x:t xml:space="preserve">构筑补强+2</x:t>
  </x:si>
  <x:si>
    <x:t xml:space="preserve">用于填充事件池，参数可后续调</x:t>
  </x:si>
  <x:si>
    <x:t xml:space="preserve">evt_mix_18</x:t>
  </x:si>
  <x:si>
    <x:t xml:space="preserve">构筑事件18</x:t>
  </x:si>
  <x:si>
    <x:t xml:space="preserve">获得临时构筑补强18</x:t>
  </x:si>
  <x:si>
    <x:t xml:space="preserve">构筑补强+3</x:t>
  </x:si>
  <x:si>
    <x:t xml:space="preserve">evt_mix_19</x:t>
  </x:si>
  <x:si>
    <x:t xml:space="preserve">构筑事件19</x:t>
  </x:si>
  <x:si>
    <x:t xml:space="preserve">获得临时构筑补强19</x:t>
  </x:si>
  <x:si>
    <x:t xml:space="preserve">构筑补强+1</x:t>
  </x:si>
  <x:si>
    <x:t xml:space="preserve">evt_mix_20</x:t>
  </x:si>
  <x:si>
    <x:t xml:space="preserve">构筑事件20</x:t>
  </x:si>
  <x:si>
    <x:t xml:space="preserve">获得临时构筑补强20</x:t>
  </x:si>
  <x:si>
    <x:t xml:space="preserve">evt_mix_21</x:t>
  </x:si>
  <x:si>
    <x:t xml:space="preserve">构筑事件21</x:t>
  </x:si>
  <x:si>
    <x:t xml:space="preserve">获得临时构筑补强21</x:t>
  </x:si>
  <x:si>
    <x:t xml:space="preserve">evt_mix_22</x:t>
  </x:si>
  <x:si>
    <x:t xml:space="preserve">构筑事件22</x:t>
  </x:si>
  <x:si>
    <x:t xml:space="preserve">获得临时构筑补强22</x:t>
  </x:si>
  <x:si>
    <x:t xml:space="preserve">evt_mix_23</x:t>
  </x:si>
  <x:si>
    <x:t xml:space="preserve">构筑事件23</x:t>
  </x:si>
  <x:si>
    <x:t xml:space="preserve">获得临时构筑补强23</x:t>
  </x:si>
  <x:si>
    <x:t xml:space="preserve">role_控制</x:t>
  </x:si>
  <x:si>
    <x:t xml:space="preserve">evt_mix_24</x:t>
  </x:si>
  <x:si>
    <x:t xml:space="preserve">构筑事件24</x:t>
  </x:si>
  <x:si>
    <x:t xml:space="preserve">获得临时构筑补强24</x:t>
  </x:si>
  <x:si>
    <x:t xml:space="preserve">role_机动</x:t>
  </x:si>
  <x:si>
    <x:t xml:space="preserve">evt_mix_25</x:t>
  </x:si>
  <x:si>
    <x:t xml:space="preserve">构筑事件25</x:t>
  </x:si>
  <x:si>
    <x:t xml:space="preserve">获得临时构筑补强25</x:t>
  </x:si>
  <x:si>
    <x:t xml:space="preserve">role_治疗</x:t>
  </x:si>
  <x:si>
    <x:t xml:space="preserve">evt_mix_26</x:t>
  </x:si>
  <x:si>
    <x:t xml:space="preserve">构筑事件26</x:t>
  </x:si>
  <x:si>
    <x:t xml:space="preserve">获得临时构筑补强26</x:t>
  </x:si>
  <x:si>
    <x:t xml:space="preserve">role_经济</x:t>
  </x:si>
  <x:si>
    <x:t xml:space="preserve">evt_mix_27</x:t>
  </x:si>
  <x:si>
    <x:t xml:space="preserve">构筑事件27</x:t>
  </x:si>
  <x:si>
    <x:t xml:space="preserve">获得临时构筑补强27</x:t>
  </x:si>
  <x:si>
    <x:t xml:space="preserve">role_输出</x:t>
  </x:si>
  <x:si>
    <x:t xml:space="preserve">evt_mix_28</x:t>
  </x:si>
  <x:si>
    <x:t xml:space="preserve">构筑事件28</x:t>
  </x:si>
  <x:si>
    <x:t xml:space="preserve">获得临时构筑补强28</x:t>
  </x:si>
  <x:si>
    <x:t xml:space="preserve">tier_pT1</x:t>
  </x:si>
  <x:si>
    <x:t xml:space="preserve">evt_mix_29</x:t>
  </x:si>
  <x:si>
    <x:t xml:space="preserve">构筑事件29</x:t>
  </x:si>
  <x:si>
    <x:t xml:space="preserve">获得临时构筑补强29</x:t>
  </x:si>
  <x:si>
    <x:t xml:space="preserve">tier_pT2</x:t>
  </x:si>
  <x:si>
    <x:t xml:space="preserve">evt_mix_30</x:t>
  </x:si>
  <x:si>
    <x:t xml:space="preserve">构筑事件30</x:t>
  </x:si>
  <x:si>
    <x:t xml:space="preserve">获得临时构筑补强30</x:t>
  </x:si>
  <x:si>
    <x:t xml:space="preserve">tier_pT3</x:t>
  </x:si>
  <x:si>
    <x:t xml:space="preserve">evt_mix_31</x:t>
  </x:si>
  <x:si>
    <x:t xml:space="preserve">构筑事件31</x:t>
  </x:si>
  <x:si>
    <x:t xml:space="preserve">获得临时构筑补强31</x:t>
  </x:si>
  <x:si>
    <x:t xml:space="preserve">evt_mix_32</x:t>
  </x:si>
  <x:si>
    <x:t xml:space="preserve">构筑事件32</x:t>
  </x:si>
  <x:si>
    <x:t xml:space="preserve">获得临时构筑补强32</x:t>
  </x:si>
  <x:si>
    <x:t xml:space="preserve">品质(自动)</x:t>
  </x:si>
  <x:si>
    <x:t xml:space="preserve">标签(自动)</x:t>
  </x:si>
  <x:si>
    <x:t xml:space="preserve">商品类型</x:t>
  </x:si>
  <x:si>
    <x:t xml:space="preserve">商店状态</x:t>
  </x:si>
  <x:si>
    <x:t xml:space="preserve">解锁日</x:t>
  </x:si>
  <x:si>
    <x:t xml:space="preserve">池档</x:t>
  </x:si>
  <x:si>
    <x:t xml:space="preserve">默认价</x:t>
  </x:si>
  <x:si>
    <x:t xml:space="preserve">价格覆盖</x:t>
  </x:si>
  <x:si>
    <x:t xml:space="preserve">夜市权重</x:t>
  </x:si>
  <x:si>
    <x:t xml:space="preserve">元素店权重</x:t>
  </x:si>
  <x:si>
    <x:t xml:space="preserve">定位店权重</x:t>
  </x:si>
  <x:si>
    <x:t xml:space="preserve">品质店权重</x:t>
  </x:si>
  <x:si>
    <x:t xml:space="preserve">奖励权重</x:t>
  </x:si>
  <x:si>
    <x:t xml:space="preserve">商店池(自动)</x:t>
  </x:si>
  <x:si>
    <x:t xml:space="preserve">奖励池(自动)</x:t>
  </x:si>
  <x:si>
    <x:t xml:space="preserve">出现条件</x:t>
  </x:si>
  <x:si>
    <x:t xml:space="preserve">启用</x:t>
  </x:si>
  <x:si>
    <x:t xml:space="preserve">pT1</x:t>
  </x:si>
  <x:si>
    <x:t xml:space="preserve">night_base, elem_风, role_经济, tier_pT1</x:t>
  </x:si>
  <x:si>
    <x:t xml:space="preserve">night_base, elem_风, role_坦克, tier_pT1</x:t>
  </x:si>
  <x:si>
    <x:t xml:space="preserve">night_base, elem_风, role_治疗, tier_pT1</x:t>
  </x:si>
  <x:si>
    <x:t xml:space="preserve">night_base, elem_火, role_输出, tier_pT1</x:t>
  </x:si>
  <x:si>
    <x:t xml:space="preserve">night_base, elem_水, role_治疗, tier_pT1</x:t>
  </x:si>
  <x:si>
    <x:t xml:space="preserve">night_base, elem_风, role_控制, tier_pT1</x:t>
  </x:si>
  <x:si>
    <x:t xml:space="preserve">night_base, elem_土, role_坦克, tier_pT1</x:t>
  </x:si>
  <x:si>
    <x:t xml:space="preserve">night_base, elem_土, role_经济, tier_pT1</x:t>
  </x:si>
  <x:si>
    <x:t xml:space="preserve">night_base, elem_风, role_机动, tier_pT1</x:t>
  </x:si>
  <x:si>
    <x:t xml:space="preserve">night_base, elem_风, role_召唤, tier_pT1</x:t>
  </x:si>
  <x:si>
    <x:t xml:space="preserve">pT2</x:t>
  </x:si>
  <x:si>
    <x:t xml:space="preserve">night_base, elem_风, role_经济, tier_pT2</x:t>
  </x:si>
  <x:si>
    <x:t xml:space="preserve">night_base, elem_风, role_机动, tier_pT2</x:t>
  </x:si>
  <x:si>
    <x:t xml:space="preserve">night_base, elem_风, role_坦克, tier_pT2</x:t>
  </x:si>
  <x:si>
    <x:t xml:space="preserve">night_base, elem_火, role_输出, tier_pT2</x:t>
  </x:si>
  <x:si>
    <x:t xml:space="preserve">night_base, elem_风, role_治疗, tier_pT2</x:t>
  </x:si>
  <x:si>
    <x:t xml:space="preserve">night_base, elem_土, role_治疗, tier_pT2</x:t>
  </x:si>
  <x:si>
    <x:t xml:space="preserve">night_base, elem_土, role_坦克, tier_pT2</x:t>
  </x:si>
  <x:si>
    <x:t xml:space="preserve">night_base, elem_风, role_召唤, tier_pT2</x:t>
  </x:si>
  <x:si>
    <x:t xml:space="preserve">night_base, elem_水, role_控制, tier_pT2</x:t>
  </x:si>
  <x:si>
    <x:t xml:space="preserve">night_base, elem_风, role_控制, tier_pT2</x:t>
  </x:si>
  <x:si>
    <x:t xml:space="preserve">night_base, elem_水, role_治疗, tier_pT2</x:t>
  </x:si>
  <x:si>
    <x:t xml:space="preserve">night_base, elem_火, role_召唤, tier_pT2</x:t>
  </x:si>
  <x:si>
    <x:t xml:space="preserve">night_base, elem_火, role_机动, tier_pT2</x:t>
  </x:si>
  <x:si>
    <x:t xml:space="preserve">night_base, elem_水, role_坦克, tier_pT2</x:t>
  </x:si>
  <x:si>
    <x:t xml:space="preserve">night_base, elem_火, role_坦克, tier_pT2</x:t>
  </x:si>
  <x:si>
    <x:t xml:space="preserve">night_base, elem_土, role_机动, tier_pT2</x:t>
  </x:si>
  <x:si>
    <x:t xml:space="preserve">pT3</x:t>
  </x:si>
  <x:si>
    <x:t xml:space="preserve">night_base, elem_土, role_坦克, tier_pT3</x:t>
  </x:si>
  <x:si>
    <x:t xml:space="preserve">night_base, elem_土, role_输出, tier_pT3</x:t>
  </x:si>
  <x:si>
    <x:t xml:space="preserve">night_base, elem_水, role_治疗, tier_pT3</x:t>
  </x:si>
  <x:si>
    <x:t xml:space="preserve">night_base, elem_火, role_输出, tier_pT3</x:t>
  </x:si>
  <x:si>
    <x:t xml:space="preserve">night_base, elem_火, role_机动, tier_pT3</x:t>
  </x:si>
  <x:si>
    <x:t xml:space="preserve">night_base, elem_风, role_控制, tier_pT3</x:t>
  </x:si>
  <x:si>
    <x:t xml:space="preserve">night_base, elem_风, role_治疗, tier_pT3</x:t>
  </x:si>
  <x:si>
    <x:t xml:space="preserve">night_base, elem_土, role_治疗, tier_pT3</x:t>
  </x:si>
  <x:si>
    <x:t xml:space="preserve">night_base, elem_土, role_机动, tier_pT3</x:t>
  </x:si>
  <x:si>
    <x:t xml:space="preserve">night_base, elem_风, role_坦克, tier_pT3</x:t>
  </x:si>
  <x:si>
    <x:t xml:space="preserve">night_base, elem_水, role_控制, tier_pT3</x:t>
  </x:si>
  <x:si>
    <x:t xml:space="preserve">night_base, elem_土, role_控制, tier_pT3</x:t>
  </x:si>
  <x:si>
    <x:t xml:space="preserve">night_base, elem_风, role_机动, tier_pT3</x:t>
  </x:si>
  <x:si>
    <x:t xml:space="preserve">遗物ID</x:t>
  </x:si>
  <x:si>
    <x:t xml:space="preserve">遗物名</x:t>
  </x:si>
  <x:si>
    <x:t xml:space="preserve">类型</x:t>
  </x:si>
  <x:si>
    <x:t xml:space="preserve">参数</x:t>
  </x:si>
  <x:si>
    <x:t xml:space="preserve">关联宠物ID</x:t>
  </x:si>
  <x:si>
    <x:t xml:space="preserve">关联商店池</x:t>
  </x:si>
  <x:si>
    <x:t xml:space="preserve">关联奖励池</x:t>
  </x:si>
  <x:si>
    <x:t xml:space="preserve">权重</x:t>
  </x:si>
  <x:si>
    <x:t xml:space="preserve">relic_001</x:t>
  </x:si>
  <x:si>
    <x:t xml:space="preserve">风系遗物01</x:t>
  </x:si>
  <x:si>
    <x:t xml:space="preserve">遗物</x:t>
  </x:si>
  <x:si>
    <x:t xml:space="preserve">战斗开始</x:t>
  </x:si>
  <x:si>
    <x:t xml:space="preserve">{value:1}</x:t>
  </x:si>
  <x:si>
    <x:t xml:space="preserve">引用宠物ID/机制ID/池ID，后续可改成更具体美术名</x:t>
  </x:si>
  <x:si>
    <x:t xml:space="preserve">relic_002</x:t>
  </x:si>
  <x:si>
    <x:t xml:space="preserve">风系祝福02</x:t>
  </x:si>
  <x:si>
    <x:t xml:space="preserve">攻击后</x:t>
  </x:si>
  <x:si>
    <x:t xml:space="preserve">relic_003</x:t>
  </x:si>
  <x:si>
    <x:t xml:space="preserve">风系装备03</x:t>
  </x:si>
  <x:si>
    <x:t xml:space="preserve">装备</x:t>
  </x:si>
  <x:si>
    <x:t xml:space="preserve">受击后</x:t>
  </x:si>
  <x:si>
    <x:t xml:space="preserve">relic_004</x:t>
  </x:si>
  <x:si>
    <x:t xml:space="preserve">水系诅咒04</x:t>
  </x:si>
  <x:si>
    <x:t xml:space="preserve">诅咒</x:t>
  </x:si>
  <x:si>
    <x:t xml:space="preserve">钻石</x:t>
  </x:si>
  <x:si>
    <x:t xml:space="preserve">relic_005</x:t>
  </x:si>
  <x:si>
    <x:t xml:space="preserve">土系商店券05</x:t>
  </x:si>
  <x:si>
    <x:t xml:space="preserve">商店券</x:t>
  </x:si>
  <x:si>
    <x:t xml:space="preserve">商店刷新</x:t>
  </x:si>
  <x:si>
    <x:t xml:space="preserve">relic_006</x:t>
  </x:si>
  <x:si>
    <x:t xml:space="preserve">水系遗物06</x:t>
  </x:si>
  <x:si>
    <x:t xml:space="preserve">relic_007</x:t>
  </x:si>
  <x:si>
    <x:t xml:space="preserve">土系祝福07</x:t>
  </x:si>
  <x:si>
    <x:t xml:space="preserve">relic_008</x:t>
  </x:si>
  <x:si>
    <x:t xml:space="preserve">土系装备08</x:t>
  </x:si>
  <x:si>
    <x:t xml:space="preserve">relic_009</x:t>
  </x:si>
  <x:si>
    <x:t xml:space="preserve">水系诅咒09</x:t>
  </x:si>
  <x:si>
    <x:t xml:space="preserve">relic_010</x:t>
  </x:si>
  <x:si>
    <x:t xml:space="preserve">风系商店券10</x:t>
  </x:si>
  <x:si>
    <x:t xml:space="preserve">relic_011</x:t>
  </x:si>
  <x:si>
    <x:t xml:space="preserve">水系遗物11</x:t>
  </x:si>
  <x:si>
    <x:t xml:space="preserve">relic_012</x:t>
  </x:si>
  <x:si>
    <x:t xml:space="preserve">风系祝福12</x:t>
  </x:si>
  <x:si>
    <x:t xml:space="preserve">relic_013</x:t>
  </x:si>
  <x:si>
    <x:t xml:space="preserve">风系装备13</x:t>
  </x:si>
  <x:si>
    <x:t xml:space="preserve">relic_014</x:t>
  </x:si>
  <x:si>
    <x:t xml:space="preserve">火系诅咒14</x:t>
  </x:si>
  <x:si>
    <x:t xml:space="preserve">relic_015</x:t>
  </x:si>
  <x:si>
    <x:t xml:space="preserve">土系商店券15</x:t>
  </x:si>
  <x:si>
    <x:t xml:space="preserve">relic_016</x:t>
  </x:si>
  <x:si>
    <x:t xml:space="preserve">土系遗物16</x:t>
  </x:si>
  <x:si>
    <x:t xml:space="preserve">relic_017</x:t>
  </x:si>
  <x:si>
    <x:t xml:space="preserve">风系祝福17</x:t>
  </x:si>
  <x:si>
    <x:t xml:space="preserve">relic_018</x:t>
  </x:si>
  <x:si>
    <x:t xml:space="preserve">风系装备18</x:t>
  </x:si>
  <x:si>
    <x:t xml:space="preserve">relic_019</x:t>
  </x:si>
  <x:si>
    <x:t xml:space="preserve">水系诅咒19</x:t>
  </x:si>
  <x:si>
    <x:t xml:space="preserve">relic_020</x:t>
  </x:si>
  <x:si>
    <x:t xml:space="preserve">火系商店券20</x:t>
  </x:si>
  <x:si>
    <x:t xml:space="preserve">relic_021</x:t>
  </x:si>
  <x:si>
    <x:t xml:space="preserve">火系遗物21</x:t>
  </x:si>
  <x:si>
    <x:t xml:space="preserve">relic_022</x:t>
  </x:si>
  <x:si>
    <x:t xml:space="preserve">风系祝福22</x:t>
  </x:si>
  <x:si>
    <x:t xml:space="preserve">relic_023</x:t>
  </x:si>
  <x:si>
    <x:t xml:space="preserve">土系装备23</x:t>
  </x:si>
  <x:si>
    <x:t xml:space="preserve">relic_024</x:t>
  </x:si>
  <x:si>
    <x:t xml:space="preserve">土系诅咒24</x:t>
  </x:si>
  <x:si>
    <x:t xml:space="preserve">relic_025</x:t>
  </x:si>
  <x:si>
    <x:t xml:space="preserve">火系商店券25</x:t>
  </x:si>
  <x:si>
    <x:t xml:space="preserve">relic_026</x:t>
  </x:si>
  <x:si>
    <x:t xml:space="preserve">风系遗物26</x:t>
  </x:si>
  <x:si>
    <x:t xml:space="preserve">relic_027</x:t>
  </x:si>
  <x:si>
    <x:t xml:space="preserve">火系祝福27</x:t>
  </x:si>
  <x:si>
    <x:t xml:space="preserve">relic_028</x:t>
  </x:si>
  <x:si>
    <x:t xml:space="preserve">水系装备28</x:t>
  </x:si>
  <x:si>
    <x:t xml:space="preserve">relic_029</x:t>
  </x:si>
  <x:si>
    <x:t xml:space="preserve">水系诅咒29</x:t>
  </x:si>
  <x:si>
    <x:t xml:space="preserve">relic_030</x:t>
  </x:si>
  <x:si>
    <x:t xml:space="preserve">水系商店券30</x:t>
  </x:si>
  <x:si>
    <x:t xml:space="preserve">relic_031</x:t>
  </x:si>
  <x:si>
    <x:t xml:space="preserve">水系遗物31</x:t>
  </x:si>
  <x:si>
    <x:t xml:space="preserve">relic_032</x:t>
  </x:si>
  <x:si>
    <x:t xml:space="preserve">水系祝福32</x:t>
  </x:si>
  <x:si>
    <x:t xml:space="preserve">relic_033</x:t>
  </x:si>
  <x:si>
    <x:t xml:space="preserve">水系装备33</x:t>
  </x:si>
  <x:si>
    <x:t xml:space="preserve">relic_034</x:t>
  </x:si>
  <x:si>
    <x:t xml:space="preserve">风系诅咒34</x:t>
  </x:si>
  <x:si>
    <x:t xml:space="preserve">relic_035</x:t>
  </x:si>
  <x:si>
    <x:t xml:space="preserve">风系商店券35</x:t>
  </x:si>
  <x:si>
    <x:t xml:space="preserve">relic_036</x:t>
  </x:si>
  <x:si>
    <x:t xml:space="preserve">土系遗物36</x:t>
  </x:si>
  <x:si>
    <x:t xml:space="preserve">relic_037</x:t>
  </x:si>
  <x:si>
    <x:t xml:space="preserve">土系祝福37</x:t>
  </x:si>
  <x:si>
    <x:t xml:space="preserve">relic_038</x:t>
  </x:si>
  <x:si>
    <x:t xml:space="preserve">土系装备38</x:t>
  </x:si>
  <x:si>
    <x:t xml:space="preserve">relic_039</x:t>
  </x:si>
  <x:si>
    <x:t xml:space="preserve">火系诅咒39</x:t>
  </x:si>
  <x:si>
    <x:t xml:space="preserve">relic_040</x:t>
  </x:si>
  <x:si>
    <x:t xml:space="preserve">风系商店券40</x:t>
  </x:si>
  <x:si>
    <x:t xml:space="preserve">形状ID</x:t>
  </x:si>
  <x:si>
    <x:t xml:space="preserve">形状名</x:t>
  </x:si>
  <x:si>
    <x:t xml:space="preserve">形状分类</x:t>
  </x:si>
  <x:si>
    <x:t xml:space="preserve">命中格数</x:t>
  </x:si>
  <x:si>
    <x:t xml:space="preserve">方向</x:t>
  </x:si>
  <x:si>
    <x:t xml:space="preserve">槽数</x:t>
  </x:si>
  <x:si>
    <x:t xml:space="preserve">槽1元素</x:t>
  </x:si>
  <x:si>
    <x:t xml:space="preserve">槽2元素</x:t>
  </x:si>
  <x:si>
    <x:t xml:space="preserve">槽3元素</x:t>
  </x:si>
  <x:si>
    <x:t xml:space="preserve">基础层数</x:t>
  </x:si>
  <x:si>
    <x:t xml:space="preserve">行动类型</x:t>
  </x:si>
  <x:si>
    <x:t xml:space="preserve">A1</x:t>
  </x:si>
  <x:si>
    <x:t xml:space="preserve">单点刺</x:t>
  </x:si>
  <x:si>
    <x:t xml:space="preserve">单体</x:t>
  </x:si>
  <x:si>
    <x:t xml:space="preserve">默认向右</x:t>
  </x:si>
  <x:si>
    <x:t xml:space="preserve">同宠3槽默认同形状；坐标细节放shape_rules.yaml</x:t>
  </x:si>
  <x:si>
    <x:t xml:space="preserve">B1</x:t>
  </x:si>
  <x:si>
    <x:t xml:space="preserve">横扫三格</x:t>
  </x:si>
  <x:si>
    <x:t xml:space="preserve">横排</x:t>
  </x:si>
  <x:si>
    <x:t xml:space="preserve">T2</x:t>
  </x:si>
  <x:si>
    <x:t xml:space="preserve">长柄T</x:t>
  </x:si>
  <x:si>
    <x:t xml:space="preserve">T形</x:t>
  </x:si>
  <x:si>
    <x:t xml:space="preserve">T1</x:t>
  </x:si>
  <x:si>
    <x:t xml:space="preserve">标准前置T</x:t>
  </x:si>
  <x:si>
    <x:t xml:space="preserve">B3</x:t>
  </x:si>
  <x:si>
    <x:t xml:space="preserve">前二横扫</x:t>
  </x:si>
  <x:si>
    <x:t xml:space="preserve">C1</x:t>
  </x:si>
  <x:si>
    <x:t xml:space="preserve">前方2×2</x:t>
  </x:si>
  <x:si>
    <x:t xml:space="preserve">校验ID</x:t>
  </x:si>
  <x:si>
    <x:t xml:space="preserve">模块</x:t>
  </x:si>
  <x:si>
    <x:t xml:space="preserve">引用字段</x:t>
  </x:si>
  <x:si>
    <x:t xml:space="preserve">引用数量</x:t>
  </x:si>
  <x:si>
    <x:t xml:space="preserve">缺失数量</x:t>
  </x:si>
  <x:si>
    <x:t xml:space="preserve">说明</x:t>
  </x:si>
  <x:si>
    <x:t xml:space="preserve">缺失样例</x:t>
  </x:si>
  <x:si>
    <x:t xml:space="preserve">VAL001</x:t>
  </x:si>
  <x:si>
    <x:t xml:space="preserve">02怪物模板</x:t>
  </x:si>
  <x:si>
    <x:t xml:space="preserve">PASS</x:t>
  </x:si>
  <x:si>
    <x:t xml:space="preserve">所有怪物模板必须引用宠物ID</x:t>
  </x:si>
  <x:si>
    <x:t xml:space="preserve">VAL002</x:t>
  </x:si>
  <x:si>
    <x:t xml:space="preserve">03怪物波次</x:t>
  </x:si>
  <x:si>
    <x:t xml:space="preserve">所有波次必须引用宠物ID</x:t>
  </x:si>
  <x:si>
    <x:t xml:space="preserve">VAL003</x:t>
  </x:si>
  <x:si>
    <x:t xml:space="preserve">04机制词条库</x:t>
  </x:si>
  <x:si>
    <x:t xml:space="preserve">机制ID为全局效果主键</x:t>
  </x:si>
  <x:si>
    <x:t xml:space="preserve">VAL004</x:t>
  </x:si>
  <x:si>
    <x:t xml:space="preserve">05事件主表</x:t>
  </x:si>
  <x:si>
    <x:t xml:space="preserve">事件引用宠物ID</x:t>
  </x:si>
  <x:si>
    <x:t xml:space="preserve">VAL005</x:t>
  </x:si>
  <x:si>
    <x:t xml:space="preserve">事件机制必须来自04机制词条库</x:t>
  </x:si>
  <x:si>
    <x:t xml:space="preserve">VAL006</x:t>
  </x:si>
  <x:si>
    <x:t xml:space="preserve">06商店奖励池</x:t>
  </x:si>
  <x:si>
    <x:t xml:space="preserve">商店商品必须引用宠物ID</x:t>
  </x:si>
  <x:si>
    <x:t xml:space="preserve">VAL007</x:t>
  </x:si>
  <x:si>
    <x:t xml:space="preserve">07遗物祝福</x:t>
  </x:si>
  <x:si>
    <x:t xml:space="preserve">遗物关联宠物ID</x:t>
  </x:si>
  <x:si>
    <x:t xml:space="preserve">VAL008</x:t>
  </x:si>
  <x:si>
    <x:t xml:space="preserve">遗物机制必须来自04机制词条库</x:t>
  </x:si>
  <x:si>
    <x:t xml:space="preserve">VAL009</x:t>
  </x:si>
  <x:si>
    <x:t xml:space="preserve">08形状行动槽</x:t>
  </x:si>
  <x:si>
    <x:t xml:space="preserve">行动槽覆盖127宠物</x:t>
  </x:si>
  <x:si>
    <x:t xml:space="preserve">VAL010</x:t>
  </x:si>
  <x:si>
    <x:t xml:space="preserve">行动槽机制必须来自04机制词条库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</x:si>
</x:sst>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  <x:numFmt numFmtId="201" formatCode="0.0"/>
  </x:numFmts>
  <x:fonts count="30">
    <x:font>
      <x:sz val="11"/>
      <x:name val="Carlito"/>
    </x:font>
    <x:font>
      <x:b/>
      <x:sz val="11"/>
      <x:color rgb="FFFFFF"/>
      <x:name val="Carlito"/>
    </x:font>
    <x:font>
      <x:b/>
      <x:sz val="11"/>
      <x:color rgb="FFFFFF"/>
      <x:name val="宋体"/>
    </x:font>
    <x:font>
      <x:sz val="11"/>
      <x:color rgb="374151"/>
      <x:name val="Carlito"/>
    </x:font>
    <x:font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2"/>
      <x:color rgb="FFFFFF"/>
      <x:name val="Carlito"/>
    </x:font>
    <x:font>
      <x:b/>
      <x:sz val="12"/>
      <x:color rgb="FFFFFF"/>
      <x:name val="宋体"/>
    </x:font>
    <x:font>
      <x:sz val="10"/>
      <x:name val="Carlito"/>
    </x:font>
    <x:font>
      <x:sz val="10"/>
      <x:color rgb="37415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FF7CC"/>
      </x:patternFill>
    </x:fill>
    <x:fill>
      <x:patternFill patternType="solid">
        <x:fgColor rgb="E5E7EB"/>
      </x:patternFill>
    </x:fill>
    <x:fill>
      <x:patternFill patternType="solid">
        <x:fgColor rgb="FEF3C7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5B3518"/>
      </x:patternFill>
    </x:fill>
    <x:fill>
      <x:patternFill patternType="solid">
        <x:fgColor rgb="D9EAF7"/>
      </x:patternFill>
    </x:fill>
    <x:fill>
      <x:patternFill patternType="solid">
        <x:fgColor rgb="5B3518"/>
      </x:patternFill>
    </x:fill>
  </x:fills>
  <x:borders count="10">
    <x:border/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6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7" borderId="4" applyNumberFormat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8" borderId="4" applyNumberFormat="0" applyAlignment="0" applyProtection="0">
      <x:alignment vertical="center"/>
    </x:xf>
    <x:xf numFmtId="0" fontId="16" fillId="9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0" fillId="0" borderId="0"/>
  </x:cellStyleXfs>
  <x:cellXfs count="84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0" fillId="3" borderId="0" xfId="49" applyNumberFormat="1" applyFont="1" applyFill="1" applyBorder="1" applyAlignment="1">
      <x:alignment vertical="center"/>
    </x:xf>
    <x:xf numFmtId="0" fontId="0" fillId="4" borderId="0" xfId="49" applyNumberFormat="1" applyFont="1" applyFill="1" applyBorder="1" applyAlignment="1">
      <x:alignment vertical="center"/>
    </x:xf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2" borderId="0" xfId="49" applyNumberFormat="1" applyFont="1" applyFill="1" applyBorder="1" applyAlignment="1">
      <x:alignment horizontal="center" vertical="center" wrapText="1"/>
    </x:xf>
    <x:xf numFmtId="0" fontId="0" fillId="5" borderId="0" xfId="49" applyNumberFormat="1" applyFont="1" applyFill="1" applyBorder="1" applyAlignment="1">
      <x:alignment vertical="center"/>
    </x:xf>
    <x:xf numFmtId="0" fontId="3" fillId="4" borderId="0" xfId="49" applyNumberFormat="1" applyFont="1" applyFill="1" applyBorder="1" applyAlignment="1">
      <x:alignment vertical="center"/>
    </x:xf>
    <x:xf numFmtId="0" fontId="0" fillId="5" borderId="0" xfId="49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/>
    </x:xf>
    <x:xf numFmtId="0" fontId="0" fillId="3" borderId="9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 wrapText="1"/>
    </x:xf>
    <x:xf numFmtId="0" fontId="1" fillId="37" borderId="0" xfId="0" applyNumberFormat="1" applyFont="1" applyFill="1" applyBorder="1" applyAlignment="1">
      <x:alignment horizontal="center" vertical="center" wrapText="1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1" fillId="37" borderId="9" xfId="0" applyNumberFormat="1" applyFont="1" applyFill="1" applyBorder="1" applyAlignment="1">
      <x:alignment horizontal="center" vertical="center" wrapText="1"/>
    </x:xf>
    <x:xf numFmtId="0" fontId="2" fillId="37" borderId="9" xfId="0" applyNumberFormat="1" applyFont="1" applyFill="1" applyBorder="1" applyAlignment="1">
      <x:alignment horizontal="center" vertical="center" wrapText="1"/>
    </x:xf>
    <x:xf numFmtId="0" fontId="0" fillId="37" borderId="9" xfId="0" applyNumberFormat="1" applyFont="1" applyFill="1" applyBorder="1"/>
    <x:xf numFmtId="0" fontId="24" fillId="37" borderId="0" xfId="0" applyNumberFormat="1" applyFont="1" applyFill="1" applyBorder="1" applyAlignment="1">
      <x:alignment horizontal="center" vertical="center" wrapText="1"/>
    </x:xf>
    <x:xf numFmtId="0" fontId="25" fillId="37" borderId="0" xfId="0" applyNumberFormat="1" applyFont="1" applyFill="1" applyBorder="1" applyAlignment="1">
      <x:alignment horizontal="center" vertical="center" wrapText="1"/>
    </x:xf>
    <x:xf numFmtId="0" fontId="24" fillId="37" borderId="0" xfId="0" applyNumberFormat="1" applyFont="1" applyFill="1" applyBorder="1"/>
    <x:xf numFmtId="0" fontId="24" fillId="37" borderId="9" xfId="0" applyNumberFormat="1" applyFont="1" applyFill="1" applyBorder="1" applyAlignment="1">
      <x:alignment horizontal="center" vertical="center" wrapText="1"/>
    </x:xf>
    <x:xf numFmtId="0" fontId="25" fillId="37" borderId="9" xfId="0" applyNumberFormat="1" applyFont="1" applyFill="1" applyBorder="1" applyAlignment="1">
      <x:alignment horizontal="center" vertical="center" wrapText="1"/>
    </x:xf>
    <x:xf numFmtId="0" fontId="24" fillId="37" borderId="9" xfId="0" applyNumberFormat="1" applyFont="1" applyFill="1" applyBorder="1"/>
    <x:xf numFmtId="0" fontId="24" fillId="37" borderId="0" xfId="0" applyNumberFormat="1" applyFont="1" applyFill="1" applyBorder="1" applyAlignment="1">
      <x:alignment horizontal="center"/>
    </x:xf>
    <x:xf numFmtId="0" fontId="24" fillId="37" borderId="9" xfId="0" applyNumberFormat="1" applyFont="1" applyFill="1" applyBorder="1" applyAlignment="1">
      <x:alignment horizontal="center"/>
    </x:xf>
    <x:xf numFmtId="0" fontId="24" fillId="37" borderId="0" xfId="0" applyNumberFormat="1" applyFont="1" applyFill="1" applyBorder="1" applyAlignment="1">
      <x:alignment horizontal="center" vertical="center"/>
    </x:xf>
    <x:xf numFmtId="0" fontId="24" fillId="37" borderId="9" xfId="0" applyNumberFormat="1" applyFont="1" applyFill="1" applyBorder="1" applyAlignment="1">
      <x:alignment horizontal="center" vertical="center"/>
    </x:xf>
    <x:xf numFmtId="0" fontId="26" fillId="5" borderId="0" xfId="0" applyNumberFormat="1" applyFont="1" applyFill="1" applyBorder="1" applyAlignment="1">
      <x:alignment vertical="center"/>
    </x:xf>
    <x:xf numFmtId="0" fontId="27" fillId="4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/>
    <x:xf numFmtId="0" fontId="26" fillId="5" borderId="9" xfId="0" applyNumberFormat="1" applyFont="1" applyFill="1" applyBorder="1" applyAlignment="1">
      <x:alignment vertical="center"/>
    </x:xf>
    <x:xf numFmtId="0" fontId="27" fillId="4" borderId="9" xfId="0" applyNumberFormat="1" applyFont="1" applyFill="1" applyBorder="1" applyAlignment="1">
      <x:alignment vertical="center"/>
    </x:xf>
    <x:xf numFmtId="0" fontId="26" fillId="0" borderId="9" xfId="0" applyNumberFormat="1" applyFont="1" applyFill="1" applyBorder="1"/>
    <x:xf numFmtId="0" fontId="26" fillId="0" borderId="0" xfId="0" applyNumberFormat="1" applyFont="1" applyFill="1" applyBorder="1" applyAlignment="1">
      <x:alignment vertical="center"/>
    </x:xf>
    <x:xf numFmtId="0" fontId="26" fillId="0" borderId="9" xfId="0" applyNumberFormat="1" applyFont="1" applyFill="1" applyBorder="1" applyAlignment="1">
      <x:alignment vertical="center"/>
    </x:xf>
    <x:xf numFmtId="0" fontId="26" fillId="5" borderId="0" xfId="0" applyNumberFormat="1" applyFont="1" applyFill="1" applyBorder="1" applyAlignment="1">
      <x:alignment vertical="center" wrapText="1"/>
    </x:xf>
    <x:xf numFmtId="0" fontId="27" fillId="4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vertical="center" wrapText="1"/>
    </x:xf>
    <x:xf numFmtId="0" fontId="26" fillId="5" borderId="9" xfId="0" applyNumberFormat="1" applyFont="1" applyFill="1" applyBorder="1" applyAlignment="1">
      <x:alignment vertical="center" wrapText="1"/>
    </x:xf>
    <x:xf numFmtId="0" fontId="27" fillId="4" borderId="9" xfId="0" applyNumberFormat="1" applyFont="1" applyFill="1" applyBorder="1" applyAlignment="1">
      <x:alignment vertical="center" wrapText="1"/>
    </x:xf>
    <x:xf numFmtId="0" fontId="26" fillId="0" borderId="9" xfId="0" applyNumberFormat="1" applyFont="1" applyFill="1" applyBorder="1" applyAlignment="1">
      <x:alignment vertical="center" wrapText="1"/>
    </x:xf>
    <x:xf numFmtId="200" fontId="24" fillId="37" borderId="0" xfId="0" applyNumberFormat="1" applyFont="1" applyFill="1" applyBorder="1" applyAlignment="1">
      <x:alignment horizontal="center" vertical="center" wrapText="1"/>
    </x:xf>
    <x:xf numFmtId="200" fontId="24" fillId="37" borderId="9" xfId="0" applyNumberFormat="1" applyFont="1" applyFill="1" applyBorder="1" applyAlignment="1">
      <x:alignment horizontal="center" vertical="center" wrapText="1"/>
    </x:xf>
    <x:xf numFmtId="0" fontId="28" fillId="37" borderId="0" xfId="0" applyNumberFormat="1" applyFont="1" applyFill="1" applyBorder="1"/>
    <x:xf numFmtId="0" fontId="28" fillId="37" borderId="9" xfId="0" applyNumberFormat="1" applyFont="1" applyFill="1" applyBorder="1"/>
    <x:xf numFmtId="0" fontId="28" fillId="37" borderId="0" xfId="0" applyNumberFormat="1" applyFont="1" applyFill="1" applyBorder="1" applyAlignment="1">
      <x:alignment horizontal="center"/>
    </x:xf>
    <x:xf numFmtId="0" fontId="28" fillId="37" borderId="9" xfId="0" applyNumberFormat="1" applyFont="1" applyFill="1" applyBorder="1" applyAlignment="1">
      <x:alignment horizontal="center"/>
    </x:xf>
    <x:xf numFmtId="0" fontId="0" fillId="38" borderId="0" xfId="0" applyNumberFormat="1" applyFont="1" applyFill="1" applyBorder="1"/>
    <x:xf numFmtId="0" fontId="0" fillId="38" borderId="9" xfId="0" applyNumberFormat="1" applyFont="1" applyFill="1" applyBorder="1"/>
    <x:xf numFmtId="0" fontId="29" fillId="38" borderId="0" xfId="0" applyNumberFormat="1" applyFont="1" applyFill="1" applyBorder="1"/>
    <x:xf numFmtId="0" fontId="29" fillId="38" borderId="9" xfId="0" applyNumberFormat="1" applyFont="1" applyFill="1" applyBorder="1"/>
    <x:xf numFmtId="0" fontId="28" fillId="3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24" fillId="39" borderId="0" xfId="0" applyNumberFormat="1" applyFont="1" applyFill="1" applyBorder="1" applyAlignment="1">
      <x:alignment horizontal="center" vertical="center" wrapText="1"/>
    </x:xf>
    <x:xf numFmtId="200" fontId="24" fillId="39" borderId="0" xfId="0" applyNumberFormat="1" applyFont="1" applyFill="1" applyBorder="1" applyAlignment="1">
      <x:alignment horizontal="center" vertical="center" wrapText="1"/>
    </x:xf>
    <x:xf numFmtId="0" fontId="25" fillId="39" borderId="0" xfId="0" applyNumberFormat="1" applyFont="1" applyFill="1" applyBorder="1" applyAlignment="1">
      <x:alignment horizontal="center" vertical="center" wrapText="1"/>
    </x:xf>
    <x:xf numFmtId="0" fontId="24" fillId="39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horizontal="center"/>
    </x:xf>
    <x:xf numFmtId="0" fontId="1" fillId="39" borderId="0" xfId="0" applyNumberFormat="1" applyFont="1" applyFill="1" applyBorder="1" applyAlignment="1">
      <x:alignment horizontal="center" vertical="center"/>
    </x:xf>
    <x:xf numFmtId="0" fontId="1" fillId="39" borderId="0" xfId="0" applyNumberFormat="1" applyFont="1" applyFill="1" applyBorder="1" applyAlignment="1">
      <x:alignment horizontal="center" vertical="center" wrapText="1"/>
    </x:xf>
    <x:xf numFmtId="201" fontId="27" fillId="4" borderId="0" xfId="0" applyNumberFormat="1" applyFont="1" applyFill="1" applyBorder="1" applyAlignment="1">
      <x:alignment vertical="center" wrapText="1"/>
    </x:xf>
    <x:xf numFmtId="201" fontId="26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horizontal="center"/>
    </x:xf>
    <x:xf numFmtId="0" fontId="1" fillId="37" borderId="0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064cd17e04d9c" /><Relationship Type="http://schemas.openxmlformats.org/officeDocument/2006/relationships/theme" Target="/xl/theme/theme1.xml" Id="R812f521c7c314e7b" /><Relationship Type="http://schemas.openxmlformats.org/officeDocument/2006/relationships/sharedStrings" Target="/xl/sharedStrings.xml" Id="Rdffd2da229294ab5" /><Relationship Type="http://schemas.openxmlformats.org/officeDocument/2006/relationships/worksheet" Target="/xl/worksheets/sheet1.xml" Id="R6f4a64d3a5134493" /><Relationship Type="http://schemas.openxmlformats.org/officeDocument/2006/relationships/worksheet" Target="/xl/worksheets/sheet2.xml" Id="Red8b4bc283e44be7" /><Relationship Type="http://schemas.openxmlformats.org/officeDocument/2006/relationships/worksheet" Target="/xl/worksheets/sheet3.xml" Id="R2c411053c3db418e" /><Relationship Type="http://schemas.openxmlformats.org/officeDocument/2006/relationships/worksheet" Target="/xl/worksheets/sheet4.xml" Id="R58f2fc7ac7804415" /><Relationship Type="http://schemas.openxmlformats.org/officeDocument/2006/relationships/worksheet" Target="/xl/worksheets/sheet5.xml" Id="R2033834eefc04be7" /><Relationship Type="http://schemas.openxmlformats.org/officeDocument/2006/relationships/worksheet" Target="/xl/worksheets/sheet6.xml" Id="R2f4c5e9dd1c843f4" /><Relationship Type="http://schemas.openxmlformats.org/officeDocument/2006/relationships/worksheet" Target="/xl/worksheets/sheet7.xml" Id="R29b62305a9ca4d24" /><Relationship Type="http://schemas.openxmlformats.org/officeDocument/2006/relationships/worksheet" Target="/xl/worksheets/sheet8.xml" Id="R13e04838be274ab5" /><Relationship Type="http://schemas.openxmlformats.org/officeDocument/2006/relationships/worksheet" Target="/xl/worksheets/sheet9.xml" Id="R3cb90066ed9e458f" /><Relationship Type="http://schemas.openxmlformats.org/officeDocument/2006/relationships/worksheet" Target="/xl/worksheets/sheet10.xml" Id="R5c99df4af6694b37" /><Relationship Type="http://schemas.openxmlformats.org/officeDocument/2006/relationships/worksheet" Target="/xl/worksheets/sheet11.xml" Id="Ra023e7f306184403" /><Relationship Type="http://schemas.openxmlformats.org/officeDocument/2006/relationships/worksheet" Target="/xl/worksheets/sheet12.xml" Id="R871aa72323354d6b" /></Relationships>
</file>

<file path=xl/tables/table1.xml><?xml version="1.0" encoding="utf-8"?>
<x:table xmlns:x="http://schemas.openxmlformats.org/spreadsheetml/2006/main" id="1" name="00读我怎么维护Tbl" displayName="_00读我怎么维护Tbl" ref="A1:C6">
  <x:tableColumns count="3">
    <x:tableColumn id="1" name="区域"/>
    <x:tableColumn id="2" name="怎么改"/>
    <x:tableColumn id="3" name="会同步到哪里"/>
  </x:tableColumns>
  <x:tableStyleInfo name="TableStyleMedium2" showRowStripes="1"/>
</x:table>
</file>

<file path=xl/tables/table2.xml><?xml version="1.0" encoding="utf-8"?>
<x:table xmlns:x="http://schemas.openxmlformats.org/spreadsheetml/2006/main" id="2" name="01宠物主表好读版Tbl" displayName="_01宠物主表好读版Tbl" ref="A1:V128">
  <x:tableColumns count="22">
    <x:tableColumn id="1" name="宠物ID"/>
    <x:tableColumn id="2" name="编号"/>
    <x:tableColumn id="3" name="名称"/>
    <x:tableColumn id="4" name="元素"/>
    <x:tableColumn id="5" name="副属"/>
    <x:tableColumn id="6" name="品质"/>
    <x:tableColumn id="7" name="体型"/>
    <x:tableColumn id="8" name="定位"/>
    <x:tableColumn id="9" name="效果分"/>
    <x:tableColumn id="10" name="HP"/>
    <x:tableColumn id="11" name="攻"/>
    <x:tableColumn id="12" name="防"/>
    <x:tableColumn id="13" name="盾"/>
    <x:tableColumn id="14" name="行动"/>
    <x:tableColumn id="15" name="机制ID"/>
    <x:tableColumn id="16" name="形状"/>
    <x:tableColumn id="17" name="范围"/>
    <x:tableColumn id="18" name="动作"/>
    <x:tableColumn id="19" name="技能"/>
    <x:tableColumn id="20" name="标签"/>
    <x:tableColumn id="21" name="可召"/>
    <x:tableColumn id="22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02怪物模板好读版Tbl" displayName="_02怪物模板好读版Tbl" ref="A1:S35">
  <x:tableColumns count="19">
    <x:tableColumn id="1" name="宠物ID"/>
    <x:tableColumn id="2" name="名称(自动)"/>
    <x:tableColumn id="3" name="元素(自动)"/>
    <x:tableColumn id="4" name="体型(自动)"/>
    <x:tableColumn id="5" name="宠物定位(自动)"/>
    <x:tableColumn id="6" name="阶段"/>
    <x:tableColumn id="7" name="敌方定位"/>
    <x:tableColumn id="8" name="HP"/>
    <x:tableColumn id="9" name="攻"/>
    <x:tableColumn id="10" name="防"/>
    <x:tableColumn id="11" name="盾"/>
    <x:tableColumn id="12" name="行动"/>
    <x:tableColumn id="13" name="机制ID"/>
    <x:tableColumn id="14" name="机制参数"/>
    <x:tableColumn id="15" name="面板分"/>
    <x:tableColumn id="16" name="机制分"/>
    <x:tableColumn id="17" name="克制"/>
    <x:tableColumn id="18" name="推荐日"/>
    <x:tableColumn id="1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03怪物波次好读版Tbl" displayName="_03怪物波次好读版Tbl" ref="A1:G135">
  <x:tableColumns count="7">
    <x:tableColumn id="1" name="波次ID"/>
    <x:tableColumn id="2" name="天数"/>
    <x:tableColumn id="3" name="时段"/>
    <x:tableColumn id="4" name="回合"/>
    <x:tableColumn id="5" name="宠物ID"/>
    <x:tableColumn id="6" name="概率"/>
    <x:tableColumn id="16" name="本行威胁(自动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7702ab825047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5cc691ab0f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df7ed1bcab46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17823a7e444882" /></Relationships>
</file>

<file path=xl/worksheets/sheet1.xml><?xml version="1.0" encoding="utf-8"?>
<x:worksheet xmlns:x="http://schemas.openxmlformats.org/spreadsheetml/2006/main">
  <x:sheetFormatPr defaultColWidth="9" defaultRowHeight="14.100000381469727"/>
  <x:cols>
    <x:col min="1" max="1" width="22" customWidth="1"/>
    <x:col min="2" max="2" width="78" customWidth="1"/>
    <x:col min="3" max="3" width="58" customWidth="1"/>
  </x:cols>
  <x:sheetData>
    <x:row r="1" ht="24" customHeight="1">
      <x:c r="A1" s="4" t="s">
        <x:v>0</x:v>
      </x:c>
      <x:c r="B1" s="4" t="s">
        <x:v>1</x:v>
      </x:c>
      <x:c r="C1" s="4" t="s">
        <x:v>2</x:v>
      </x:c>
    </x:row>
    <x:row r="2" ht="24" customHeight="1">
      <x:c r="A2" s="8" t="s">
        <x:v>3</x:v>
      </x:c>
      <x:c r="B2" s="8" t="s">
        <x:v>4</x:v>
      </x:c>
      <x:c r="C2" s="8" t="s">
        <x:v>5</x:v>
      </x:c>
    </x:row>
    <x:row r="3" ht="24" customHeight="1">
      <x:c r="A3" s="8" t="s">
        <x:v>6</x:v>
      </x:c>
      <x:c r="B3" s="8" t="s">
        <x:v>7</x:v>
      </x:c>
      <x:c r="C3" s="8" t="s">
        <x:v>8</x:v>
      </x:c>
    </x:row>
    <x:row r="4" ht="24" customHeight="1">
      <x:c r="A4" s="8" t="s">
        <x:v>9</x:v>
      </x:c>
      <x:c r="B4" s="8" t="s">
        <x:v>10</x:v>
      </x:c>
      <x:c r="C4" s="8" t="s">
        <x:v>11</x:v>
      </x:c>
    </x:row>
    <x:row r="5" ht="24" customHeight="1">
      <x:c r="A5" s="8" t="s">
        <x:v>12</x:v>
      </x:c>
      <x:c r="B5" s="8" t="s">
        <x:v>13</x:v>
      </x:c>
      <x:c r="C5" s="8" t="s">
        <x:v>14</x:v>
      </x:c>
    </x:row>
    <x:row r="6" ht="24" customHeight="1">
      <x:c r="A6" s="8" t="s">
        <x:v>15</x:v>
      </x:c>
      <x:c r="B6" s="8" t="s">
        <x:v>16</x:v>
      </x:c>
      <x:c r="C6" s="8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387702ab82504749"/>
  </x:tableParts>
</x:worksheet>
</file>

<file path=xl/worksheets/sheet2.xml><?xml version="1.0" encoding="utf-8"?>
<x:worksheet xmlns:x="http://schemas.openxmlformats.org/spreadsheetml/2006/main">
  <x:sheetFormatPr defaultColWidth="9" defaultRowHeight="14.100000381469727"/>
  <x:cols>
    <x:col min="1" max="1" width="12" customWidth="1"/>
    <x:col min="2" max="2" width="14" customWidth="1"/>
    <x:col min="3" max="6" width="8" customWidth="1"/>
    <x:col min="7" max="7" width="12" customWidth="1"/>
    <x:col min="8" max="12" width="8" customWidth="1"/>
    <x:col min="13" max="14" width="10" customWidth="1"/>
    <x:col min="15" max="15" width="14" customWidth="1"/>
    <x:col min="16" max="16" width="16" customWidth="1"/>
    <x:col min="17" max="19" width="18" customWidth="1"/>
    <x:col min="20" max="20" width="10" customWidth="1"/>
    <x:col min="21" max="21" width="18" customWidth="1"/>
    <x:col min="22" max="22" width="24" customWidth="1"/>
  </x:cols>
  <x:sheetData>
    <x:row r="1" ht="28" customHeight="1">
      <x:c r="A1" s="4" t="s">
        <x:v>18</x:v>
      </x:c>
      <x:c r="B1" s="4" t="s">
        <x:v>19</x:v>
      </x:c>
      <x:c r="C1" s="4" t="s">
        <x:v>20</x:v>
      </x:c>
      <x:c r="D1" s="4" t="s">
        <x:v>21</x:v>
      </x:c>
      <x:c r="E1" s="4" t="s">
        <x:v>22</x:v>
      </x:c>
      <x:c r="F1" s="4" t="s">
        <x:v>23</x:v>
      </x:c>
      <x:c r="G1" s="4" t="s">
        <x:v>24</x:v>
      </x:c>
      <x:c r="H1" s="4" t="s">
        <x:v>25</x:v>
      </x:c>
      <x:c r="I1" s="4" t="s">
        <x:v>26</x:v>
      </x:c>
      <x:c r="J1" s="4" t="s">
        <x:v>27</x:v>
      </x:c>
      <x:c r="K1" s="4" t="s">
        <x:v>28</x:v>
      </x:c>
      <x:c r="L1" s="4" t="s">
        <x:v>29</x:v>
      </x:c>
      <x:c r="M1" s="4" t="s">
        <x:v>30</x:v>
      </x:c>
      <x:c r="N1" s="4" t="s">
        <x:v>31</x:v>
      </x:c>
      <x:c r="O1" s="4" t="s">
        <x:v>32</x:v>
      </x:c>
      <x:c r="P1" s="4" t="s">
        <x:v>33</x:v>
      </x:c>
      <x:c r="Q1" s="4" t="s">
        <x:v>34</x:v>
      </x:c>
      <x:c r="R1" s="4" t="s">
        <x:v>35</x:v>
      </x:c>
      <x:c r="S1" s="4" t="s">
        <x:v>36</x:v>
      </x:c>
      <x:c r="T1" s="4" t="s">
        <x:v>37</x:v>
      </x:c>
      <x:c r="U1" s="4" t="s">
        <x:v>38</x:v>
      </x:c>
      <x:c r="V1" s="4" t="s">
        <x:v>39</x:v>
      </x:c>
    </x:row>
    <x:row r="2" ht="22" customHeight="1">
      <x:c r="A2" s="6" t="s">
        <x:v>40</x:v>
      </x:c>
      <x:c r="B2" s="6" t="s">
        <x:v>41</x:v>
      </x:c>
      <x:c r="C2" s="6" t="s">
        <x:v>42</x:v>
      </x:c>
      <x:c r="D2" s="6" t="s">
        <x:v>43</x:v>
      </x:c>
      <x:c r="E2" s="6" t="s">
        <x:v>44</x:v>
      </x:c>
      <x:c r="F2" s="6" t="s">
        <x:v>45</x:v>
      </x:c>
      <x:c r="G2" s="6" t="s">
        <x:v>46</x:v>
      </x:c>
      <x:c r="H2" s="6" t="s">
        <x:v>47</x:v>
      </x:c>
      <x:c r="I2" s="7" t="n">
        <x:f>IFERROR(VLOOKUP($A2,'02_怪物模板_好读版'!$A:$S,15,FALSE),0)+IFERROR(VLOOKUP($A2,'02_怪物模板_好读版'!$A:$S,16,FALSE),0)</x:f>
        <x:v>24</x:v>
      </x:c>
      <x:c r="J2" s="7" t="n">
        <x:f>IFERROR(VLOOKUP($A2,'02_怪物模板_好读版'!$A:$Z,8,FALSE),6)</x:f>
        <x:v>6</x:v>
      </x:c>
      <x:c r="K2" s="7" t="n">
        <x:f>IFERROR(VLOOKUP($A2,'02_怪物模板_好读版'!$A:$Z,9,FALSE),1)</x:f>
        <x:v>1</x:v>
      </x:c>
      <x:c r="L2" s="7" t="n">
        <x:f>IFERROR(VLOOKUP($A2,'02_怪物模板_好读版'!$A:$Z,10,FALSE),0)</x:f>
        <x:v>0</x:v>
      </x:c>
      <x:c r="M2" s="7" t="n">
        <x:f>IFERROR(VLOOKUP($A2,'02_怪物模板_好读版'!$A:$Z,11,FALSE),0)</x:f>
        <x:v>0</x:v>
      </x:c>
      <x:c r="N2" s="7" t="n">
        <x:f>IFERROR(VLOOKUP($A2,'02_怪物模板_好读版'!$A:$Z,12,FALSE),3)</x:f>
        <x:v>3</x:v>
      </x:c>
      <x:c r="O2" s="7" t="str">
        <x:f>IFERROR(VLOOKUP($A2,'02_怪物模板_好读版'!$A:$Z,13,FALSE),"none")</x:f>
        <x:v>none</x:v>
      </x:c>
      <x:c r="P2" s="6" t="s">
        <x:v>48</x:v>
      </x:c>
      <x:c r="Q2" s="6" t="s">
        <x:v>49</x:v>
      </x:c>
      <x:c r="R2" s="6" t="s">
        <x:v>50</x:v>
      </x:c>
      <x:c r="S2" s="6" t="s">
        <x:v>51</x:v>
      </x:c>
      <x:c r="T2" s="6" t="s">
        <x:v>52</x:v>
      </x:c>
      <x:c r="U2" s="6" t="s">
        <x:v>53</x:v>
      </x:c>
      <x:c r="V2" s="6" t="s">
        <x:v>44</x:v>
      </x:c>
    </x:row>
    <x:row r="3" ht="22" customHeight="1">
      <x:c r="A3" s="6" t="s">
        <x:v>54</x:v>
      </x:c>
      <x:c r="B3" s="6" t="s">
        <x:v>55</x:v>
      </x:c>
      <x:c r="C3" s="6" t="s">
        <x:v>56</x:v>
      </x:c>
      <x:c r="D3" s="6" t="s">
        <x:v>43</x:v>
      </x:c>
      <x:c r="E3" s="6" t="s">
        <x:v>44</x:v>
      </x:c>
      <x:c r="F3" s="6" t="s">
        <x:v>45</x:v>
      </x:c>
      <x:c r="G3" s="6" t="s">
        <x:v>46</x:v>
      </x:c>
      <x:c r="H3" s="6" t="s">
        <x:v>57</x:v>
      </x:c>
      <x:c r="I3" s="7" t="n">
        <x:f>IFERROR(VLOOKUP($A3,'02_怪物模板_好读版'!$A:$S,15,FALSE),0)+IFERROR(VLOOKUP($A3,'02_怪物模板_好读版'!$A:$S,16,FALSE),0)</x:f>
        <x:v>68</x:v>
      </x:c>
      <x:c r="J3" s="7" t="n">
        <x:f>IFERROR(VLOOKUP($A3,'02_怪物模板_好读版'!$A:$Z,8,FALSE),20)</x:f>
        <x:v>20</x:v>
      </x:c>
      <x:c r="K3" s="7" t="n">
        <x:f>IFERROR(VLOOKUP($A3,'02_怪物模板_好读版'!$A:$Z,9,FALSE),3)</x:f>
        <x:v>3</x:v>
      </x:c>
      <x:c r="L3" s="7" t="n">
        <x:f>IFERROR(VLOOKUP($A3,'02_怪物模板_好读版'!$A:$Z,10,FALSE),0)</x:f>
        <x:v>0</x:v>
      </x:c>
      <x:c r="M3" s="7" t="n">
        <x:f>IFERROR(VLOOKUP($A3,'02_怪物模板_好读版'!$A:$Z,11,FALSE),0)</x:f>
        <x:v>0</x:v>
      </x:c>
      <x:c r="N3" s="7" t="n">
        <x:f>IFERROR(VLOOKUP($A3,'02_怪物模板_好读版'!$A:$Z,12,FALSE),3)</x:f>
        <x:v>3</x:v>
      </x:c>
      <x:c r="O3" s="7" t="str">
        <x:f>IFERROR(VLOOKUP($A3,'02_怪物模板_好读版'!$A:$Z,13,FALSE),"mech_first_hit_block")</x:f>
        <x:v>mech_first_hit_block</x:v>
      </x:c>
      <x:c r="P3" s="6" t="s">
        <x:v>58</x:v>
      </x:c>
      <x:c r="Q3" s="6" t="s">
        <x:v>59</x:v>
      </x:c>
      <x:c r="R3" s="6" t="s">
        <x:v>60</x:v>
      </x:c>
      <x:c r="S3" s="6" t="s">
        <x:v>61</x:v>
      </x:c>
      <x:c r="T3" s="6" t="s">
        <x:v>62</x:v>
      </x:c>
      <x:c r="U3" s="6" t="s">
        <x:v>63</x:v>
      </x:c>
      <x:c r="V3" s="6" t="s">
        <x:v>64</x:v>
      </x:c>
    </x:row>
    <x:row r="4" ht="22" customHeight="1">
      <x:c r="A4" s="6" t="s">
        <x:v>65</x:v>
      </x:c>
      <x:c r="B4" s="6" t="s">
        <x:v>66</x:v>
      </x:c>
      <x:c r="C4" s="6" t="s">
        <x:v>67</x:v>
      </x:c>
      <x:c r="D4" s="6" t="s">
        <x:v>43</x:v>
      </x:c>
      <x:c r="E4" s="6" t="s">
        <x:v>44</x:v>
      </x:c>
      <x:c r="F4" s="6" t="s">
        <x:v>45</x:v>
      </x:c>
      <x:c r="G4" s="6" t="s">
        <x:v>46</x:v>
      </x:c>
      <x:c r="H4" s="6" t="s">
        <x:v>47</x:v>
      </x:c>
      <x:c r="I4" s="7" t="n">
        <x:f>IFERROR(VLOOKUP($A4,'02_怪物模板_好读版'!$A:$S,15,FALSE),0)+IFERROR(VLOOKUP($A4,'02_怪物模板_好读版'!$A:$S,16,FALSE),0)</x:f>
        <x:v>50</x:v>
      </x:c>
      <x:c r="J4" s="7" t="n">
        <x:f>IFERROR(VLOOKUP($A4,'02_怪物模板_好读版'!$A:$Z,8,FALSE),10)</x:f>
        <x:v>10</x:v>
      </x:c>
      <x:c r="K4" s="7" t="n">
        <x:f>IFERROR(VLOOKUP($A4,'02_怪物模板_好读版'!$A:$Z,9,FALSE),3)</x:f>
        <x:v>3</x:v>
      </x:c>
      <x:c r="L4" s="7" t="n">
        <x:f>IFERROR(VLOOKUP($A4,'02_怪物模板_好读版'!$A:$Z,10,FALSE),0)</x:f>
        <x:v>0</x:v>
      </x:c>
      <x:c r="M4" s="7" t="n">
        <x:f>IFERROR(VLOOKUP($A4,'02_怪物模板_好读版'!$A:$Z,11,FALSE),0)</x:f>
        <x:v>0</x:v>
      </x:c>
      <x:c r="N4" s="7" t="n">
        <x:f>IFERROR(VLOOKUP($A4,'02_怪物模板_好读版'!$A:$Z,12,FALSE),3)</x:f>
        <x:v>3</x:v>
      </x:c>
      <x:c r="O4" s="7" t="str">
        <x:f>IFERROR(VLOOKUP($A4,'02_怪物模板_好读版'!$A:$Z,13,FALSE),"mech_weaken")</x:f>
        <x:v>mech_weaken</x:v>
      </x:c>
      <x:c r="P4" s="6" t="s">
        <x:v>48</x:v>
      </x:c>
      <x:c r="Q4" s="6" t="s">
        <x:v>49</x:v>
      </x:c>
      <x:c r="R4" s="6" t="s">
        <x:v>50</x:v>
      </x:c>
      <x:c r="S4" s="6" t="s">
        <x:v>51</x:v>
      </x:c>
      <x:c r="T4" s="6" t="s">
        <x:v>52</x:v>
      </x:c>
      <x:c r="U4" s="6" t="s">
        <x:v>53</x:v>
      </x:c>
      <x:c r="V4" s="6" t="s">
        <x:v>44</x:v>
      </x:c>
    </x:row>
    <x:row r="5" ht="22" customHeight="1">
      <x:c r="A5" s="6" t="s">
        <x:v>68</x:v>
      </x:c>
      <x:c r="B5" s="6" t="s">
        <x:v>69</x:v>
      </x:c>
      <x:c r="C5" s="6" t="s">
        <x:v>70</x:v>
      </x:c>
      <x:c r="D5" s="6" t="s">
        <x:v>43</x:v>
      </x:c>
      <x:c r="E5" s="6" t="s">
        <x:v>71</x:v>
      </x:c>
      <x:c r="F5" s="6" t="s">
        <x:v>45</x:v>
      </x:c>
      <x:c r="G5" s="6" t="s">
        <x:v>46</x:v>
      </x:c>
      <x:c r="H5" s="6" t="s">
        <x:v>72</x:v>
      </x:c>
      <x:c r="I5" s="7" t="n">
        <x:f>IFERROR(VLOOKUP($A5,'02_怪物模板_好读版'!$A:$S,15,FALSE),0)+IFERROR(VLOOKUP($A5,'02_怪物模板_好读版'!$A:$S,16,FALSE),0)</x:f>
        <x:v>0</x:v>
      </x:c>
      <x:c r="J5" s="7" t="n">
        <x:f>IFERROR(VLOOKUP($A5,'02_怪物模板_好读版'!$A:$Z,8,FALSE),10)</x:f>
        <x:v>10</x:v>
      </x:c>
      <x:c r="K5" s="7" t="n">
        <x:f>IFERROR(VLOOKUP($A5,'02_怪物模板_好读版'!$A:$Z,9,FALSE),3)</x:f>
        <x:v>3</x:v>
      </x:c>
      <x:c r="L5" s="7" t="n">
        <x:f>IFERROR(VLOOKUP($A5,'02_怪物模板_好读版'!$A:$Z,10,FALSE),0)</x:f>
        <x:v>0</x:v>
      </x:c>
      <x:c r="M5" s="7" t="n">
        <x:f>IFERROR(VLOOKUP($A5,'02_怪物模板_好读版'!$A:$Z,11,FALSE),0)</x:f>
        <x:v>0</x:v>
      </x:c>
      <x:c r="N5" s="7" t="n">
        <x:f>IFERROR(VLOOKUP($A5,'02_怪物模板_好读版'!$A:$Z,12,FALSE),3)</x:f>
        <x:v>3</x:v>
      </x:c>
      <x:c r="O5" s="7" t="str">
        <x:f>IFERROR(VLOOKUP($A5,'02_怪物模板_好读版'!$A:$Z,13,FALSE),"REVIEW")</x:f>
        <x:v>REVIEW</x:v>
      </x:c>
      <x:c r="P5" s="6" t="s">
        <x:v>58</x:v>
      </x:c>
      <x:c r="Q5" s="6" t="s">
        <x:v>59</x:v>
      </x:c>
      <x:c r="R5" s="6" t="s">
        <x:v>73</x:v>
      </x:c>
      <x:c r="S5" s="6" t="s">
        <x:v>74</x:v>
      </x:c>
      <x:c r="T5" s="6" t="s">
        <x:v>75</x:v>
      </x:c>
      <x:c r="U5" s="6" t="s">
        <x:v>63</x:v>
      </x:c>
      <x:c r="V5" s="6" t="s">
        <x:v>44</x:v>
      </x:c>
    </x:row>
    <x:row r="6" ht="22" customHeight="1">
      <x:c r="A6" s="6" t="s">
        <x:v>76</x:v>
      </x:c>
      <x:c r="B6" s="6" t="s">
        <x:v>77</x:v>
      </x:c>
      <x:c r="C6" s="6" t="s">
        <x:v>78</x:v>
      </x:c>
      <x:c r="D6" s="6" t="s">
        <x:v>79</x:v>
      </x:c>
      <x:c r="E6" s="6" t="s">
        <x:v>44</x:v>
      </x:c>
      <x:c r="F6" s="6" t="s">
        <x:v>45</x:v>
      </x:c>
      <x:c r="G6" s="6" t="s">
        <x:v>80</x:v>
      </x:c>
      <x:c r="H6" s="6" t="s">
        <x:v>81</x:v>
      </x:c>
      <x:c r="I6" s="7" t="n">
        <x:f>IFERROR(VLOOKUP($A6,'02_怪物模板_好读版'!$A:$S,15,FALSE),0)+IFERROR(VLOOKUP($A6,'02_怪物模板_好读版'!$A:$S,16,FALSE),0)</x:f>
        <x:v>93</x:v>
      </x:c>
      <x:c r="J6" s="7" t="n">
        <x:f>IFERROR(VLOOKUP($A6,'02_怪物模板_好读版'!$A:$Z,8,FALSE),10)</x:f>
        <x:v>10</x:v>
      </x:c>
      <x:c r="K6" s="7" t="n">
        <x:f>IFERROR(VLOOKUP($A6,'02_怪物模板_好读版'!$A:$Z,9,FALSE),2)</x:f>
        <x:v>2</x:v>
      </x:c>
      <x:c r="L6" s="7" t="n">
        <x:f>IFERROR(VLOOKUP($A6,'02_怪物模板_好读版'!$A:$Z,10,FALSE),0)</x:f>
        <x:v>0</x:v>
      </x:c>
      <x:c r="M6" s="7" t="n">
        <x:f>IFERROR(VLOOKUP($A6,'02_怪物模板_好读版'!$A:$Z,11,FALSE),6)</x:f>
        <x:v>6</x:v>
      </x:c>
      <x:c r="N6" s="7" t="n">
        <x:f>IFERROR(VLOOKUP($A6,'02_怪物模板_好读版'!$A:$Z,12,FALSE),3)</x:f>
        <x:v>3</x:v>
      </x:c>
      <x:c r="O6" s="7" t="str">
        <x:f>IFERROR(VLOOKUP($A6,'02_怪物模板_好读版'!$A:$Z,13,FALSE),"mech_shielded_fragile")</x:f>
        <x:v>mech_shielded_fragile</x:v>
      </x:c>
      <x:c r="P6" s="6" t="s">
        <x:v>48</x:v>
      </x:c>
      <x:c r="Q6" s="6" t="s">
        <x:v>49</x:v>
      </x:c>
      <x:c r="R6" s="6" t="s">
        <x:v>81</x:v>
      </x:c>
      <x:c r="S6" s="6" t="s">
        <x:v>82</x:v>
      </x:c>
      <x:c r="T6" s="6" t="s">
        <x:v>83</x:v>
      </x:c>
      <x:c r="U6" s="6" t="s">
        <x:v>63</x:v>
      </x:c>
      <x:c r="V6" s="6" t="s">
        <x:v>44</x:v>
      </x:c>
    </x:row>
    <x:row r="7" ht="22" customHeight="1">
      <x:c r="A7" s="6" t="s">
        <x:v>84</x:v>
      </x:c>
      <x:c r="B7" s="6" t="s">
        <x:v>85</x:v>
      </x:c>
      <x:c r="C7" s="6" t="s">
        <x:v>86</x:v>
      </x:c>
      <x:c r="D7" s="6" t="s">
        <x:v>87</x:v>
      </x:c>
      <x:c r="E7" s="6" t="s">
        <x:v>44</x:v>
      </x:c>
      <x:c r="F7" s="6" t="s">
        <x:v>45</x:v>
      </x:c>
      <x:c r="G7" s="6" t="s">
        <x:v>46</x:v>
      </x:c>
      <x:c r="H7" s="6" t="s">
        <x:v>72</x:v>
      </x:c>
      <x:c r="I7" s="7" t="n">
        <x:f>IFERROR(VLOOKUP($A7,'02_怪物模板_好读版'!$A:$S,15,FALSE),0)+IFERROR(VLOOKUP($A7,'02_怪物模板_好读版'!$A:$S,16,FALSE),0)</x:f>
        <x:v>47</x:v>
      </x:c>
      <x:c r="J7" s="7" t="n">
        <x:f>IFERROR(VLOOKUP($A7,'02_怪物模板_好读版'!$A:$Z,8,FALSE),10)</x:f>
        <x:v>10</x:v>
      </x:c>
      <x:c r="K7" s="7" t="n">
        <x:f>IFERROR(VLOOKUP($A7,'02_怪物模板_好读版'!$A:$Z,9,FALSE),2)</x:f>
        <x:v>2</x:v>
      </x:c>
      <x:c r="L7" s="7" t="n">
        <x:f>IFERROR(VLOOKUP($A7,'02_怪物模板_好读版'!$A:$Z,10,FALSE),0)</x:f>
        <x:v>0</x:v>
      </x:c>
      <x:c r="M7" s="7" t="n">
        <x:f>IFERROR(VLOOKUP($A7,'02_怪物模板_好读版'!$A:$Z,11,FALSE),0)</x:f>
        <x:v>0</x:v>
      </x:c>
      <x:c r="N7" s="7" t="n">
        <x:f>IFERROR(VLOOKUP($A7,'02_怪物模板_好读版'!$A:$Z,12,FALSE),3)</x:f>
        <x:v>3</x:v>
      </x:c>
      <x:c r="O7" s="7" t="str">
        <x:f>IFERROR(VLOOKUP($A7,'02_怪物模板_好读版'!$A:$Z,13,FALSE),"mech_poison")</x:f>
        <x:v>mech_poison</x:v>
      </x:c>
      <x:c r="P7" s="6" t="s">
        <x:v>58</x:v>
      </x:c>
      <x:c r="Q7" s="6" t="s">
        <x:v>59</x:v>
      </x:c>
      <x:c r="R7" s="6" t="s">
        <x:v>73</x:v>
      </x:c>
      <x:c r="S7" s="6" t="s">
        <x:v>74</x:v>
      </x:c>
      <x:c r="T7" s="6" t="s">
        <x:v>88</x:v>
      </x:c>
      <x:c r="U7" s="6" t="s">
        <x:v>63</x:v>
      </x:c>
      <x:c r="V7" s="6" t="s">
        <x:v>44</x:v>
      </x:c>
    </x:row>
    <x:row r="8" ht="22" customHeight="1">
      <x:c r="A8" s="6" t="s">
        <x:v>89</x:v>
      </x:c>
      <x:c r="B8" s="6" t="s">
        <x:v>90</x:v>
      </x:c>
      <x:c r="C8" s="6" t="s">
        <x:v>91</x:v>
      </x:c>
      <x:c r="D8" s="6" t="s">
        <x:v>43</x:v>
      </x:c>
      <x:c r="E8" s="6" t="s">
        <x:v>92</x:v>
      </x:c>
      <x:c r="F8" s="6" t="s">
        <x:v>45</x:v>
      </x:c>
      <x:c r="G8" s="6" t="s">
        <x:v>46</x:v>
      </x:c>
      <x:c r="H8" s="6" t="s">
        <x:v>57</x:v>
      </x:c>
      <x:c r="I8" s="7" t="n">
        <x:f>IFERROR(VLOOKUP($A8,'02_怪物模板_好读版'!$A:$S,15,FALSE),0)+IFERROR(VLOOKUP($A8,'02_怪物模板_好读版'!$A:$S,16,FALSE),0)</x:f>
        <x:v>0</x:v>
      </x:c>
      <x:c r="J8" s="7" t="n">
        <x:f>IFERROR(VLOOKUP($A8,'02_怪物模板_好读版'!$A:$Z,8,FALSE),15)</x:f>
        <x:v>15</x:v>
      </x:c>
      <x:c r="K8" s="7" t="n">
        <x:f>IFERROR(VLOOKUP($A8,'02_怪物模板_好读版'!$A:$Z,9,FALSE),4)</x:f>
        <x:v>4</x:v>
      </x:c>
      <x:c r="L8" s="7" t="n">
        <x:f>IFERROR(VLOOKUP($A8,'02_怪物模板_好读版'!$A:$Z,10,FALSE),0)</x:f>
        <x:v>0</x:v>
      </x:c>
      <x:c r="M8" s="7" t="n">
        <x:f>IFERROR(VLOOKUP($A8,'02_怪物模板_好读版'!$A:$Z,11,FALSE),0)</x:f>
        <x:v>0</x:v>
      </x:c>
      <x:c r="N8" s="7" t="n">
        <x:f>IFERROR(VLOOKUP($A8,'02_怪物模板_好读版'!$A:$Z,12,FALSE),3)</x:f>
        <x:v>3</x:v>
      </x:c>
      <x:c r="O8" s="7" t="str">
        <x:f>IFERROR(VLOOKUP($A8,'02_怪物模板_好读版'!$A:$Z,13,FALSE),"REVIEW")</x:f>
        <x:v>REVIEW</x:v>
      </x:c>
      <x:c r="P8" s="6" t="s">
        <x:v>58</x:v>
      </x:c>
      <x:c r="Q8" s="6" t="s">
        <x:v>59</x:v>
      </x:c>
      <x:c r="R8" s="6" t="s">
        <x:v>60</x:v>
      </x:c>
      <x:c r="S8" s="6" t="s">
        <x:v>61</x:v>
      </x:c>
      <x:c r="T8" s="6" t="s">
        <x:v>62</x:v>
      </x:c>
      <x:c r="U8" s="6" t="s">
        <x:v>63</x:v>
      </x:c>
      <x:c r="V8" s="6" t="s">
        <x:v>64</x:v>
      </x:c>
    </x:row>
    <x:row r="9" ht="22" customHeight="1">
      <x:c r="A9" s="6" t="s">
        <x:v>93</x:v>
      </x:c>
      <x:c r="B9" s="6" t="s">
        <x:v>94</x:v>
      </x:c>
      <x:c r="C9" s="6" t="s">
        <x:v>95</x:v>
      </x:c>
      <x:c r="D9" s="6" t="s">
        <x:v>43</x:v>
      </x:c>
      <x:c r="E9" s="6" t="s">
        <x:v>71</x:v>
      </x:c>
      <x:c r="F9" s="6" t="s">
        <x:v>45</x:v>
      </x:c>
      <x:c r="G9" s="6" t="s">
        <x:v>80</x:v>
      </x:c>
      <x:c r="H9" s="6" t="s">
        <x:v>57</x:v>
      </x:c>
      <x:c r="I9" s="7" t="n">
        <x:f>IFERROR(VLOOKUP($A9,'02_怪物模板_好读版'!$A:$S,15,FALSE),0)+IFERROR(VLOOKUP($A9,'02_怪物模板_好读版'!$A:$S,16,FALSE),0)</x:f>
        <x:v>0</x:v>
      </x:c>
      <x:c r="J9" s="7" t="n">
        <x:f>IFERROR(VLOOKUP($A9,'02_怪物模板_好读版'!$A:$Z,8,FALSE),15)</x:f>
        <x:v>15</x:v>
      </x:c>
      <x:c r="K9" s="7" t="n">
        <x:f>IFERROR(VLOOKUP($A9,'02_怪物模板_好读版'!$A:$Z,9,FALSE),4)</x:f>
        <x:v>4</x:v>
      </x:c>
      <x:c r="L9" s="7" t="n">
        <x:f>IFERROR(VLOOKUP($A9,'02_怪物模板_好读版'!$A:$Z,10,FALSE),0)</x:f>
        <x:v>0</x:v>
      </x:c>
      <x:c r="M9" s="7" t="n">
        <x:f>IFERROR(VLOOKUP($A9,'02_怪物模板_好读版'!$A:$Z,11,FALSE),6)</x:f>
        <x:v>6</x:v>
      </x:c>
      <x:c r="N9" s="7" t="n">
        <x:f>IFERROR(VLOOKUP($A9,'02_怪物模板_好读版'!$A:$Z,12,FALSE),3)</x:f>
        <x:v>3</x:v>
      </x:c>
      <x:c r="O9" s="7" t="str">
        <x:f>IFERROR(VLOOKUP($A9,'02_怪物模板_好读版'!$A:$Z,13,FALSE),"REVIEW")</x:f>
        <x:v>REVIEW</x:v>
      </x:c>
      <x:c r="P9" s="6" t="s">
        <x:v>58</x:v>
      </x:c>
      <x:c r="Q9" s="6" t="s">
        <x:v>59</x:v>
      </x:c>
      <x:c r="R9" s="6" t="s">
        <x:v>60</x:v>
      </x:c>
      <x:c r="S9" s="6" t="s">
        <x:v>61</x:v>
      </x:c>
      <x:c r="T9" s="6" t="s">
        <x:v>62</x:v>
      </x:c>
      <x:c r="U9" s="6" t="s">
        <x:v>63</x:v>
      </x:c>
      <x:c r="V9" s="6" t="s">
        <x:v>64</x:v>
      </x:c>
    </x:row>
    <x:row r="10" ht="22" customHeight="1">
      <x:c r="A10" s="6" t="s">
        <x:v>96</x:v>
      </x:c>
      <x:c r="B10" s="6" t="s">
        <x:v>97</x:v>
      </x:c>
      <x:c r="C10" s="6" t="s">
        <x:v>98</x:v>
      </x:c>
      <x:c r="D10" s="6" t="s">
        <x:v>79</x:v>
      </x:c>
      <x:c r="E10" s="6" t="s">
        <x:v>44</x:v>
      </x:c>
      <x:c r="F10" s="6" t="s">
        <x:v>45</x:v>
      </x:c>
      <x:c r="G10" s="6" t="s">
        <x:v>80</x:v>
      </x:c>
      <x:c r="H10" s="6" t="s">
        <x:v>81</x:v>
      </x:c>
      <x:c r="I10" s="7" t="n">
        <x:f>IFERROR(VLOOKUP($A10,'02_怪物模板_好读版'!$A:$S,15,FALSE),0)+IFERROR(VLOOKUP($A10,'02_怪物模板_好读版'!$A:$S,16,FALSE),0)</x:f>
        <x:v>103</x:v>
      </x:c>
      <x:c r="J10" s="7" t="n">
        <x:f>IFERROR(VLOOKUP($A10,'02_怪物模板_好读版'!$A:$Z,8,FALSE),25)</x:f>
        <x:v>25</x:v>
      </x:c>
      <x:c r="K10" s="7" t="n">
        <x:f>IFERROR(VLOOKUP($A10,'02_怪物模板_好读版'!$A:$Z,9,FALSE),3)</x:f>
        <x:v>3</x:v>
      </x:c>
      <x:c r="L10" s="7" t="n">
        <x:f>IFERROR(VLOOKUP($A10,'02_怪物模板_好读版'!$A:$Z,10,FALSE),0)</x:f>
        <x:v>0</x:v>
      </x:c>
      <x:c r="M10" s="7" t="n">
        <x:f>IFERROR(VLOOKUP($A10,'02_怪物模板_好读版'!$A:$Z,11,FALSE),6)</x:f>
        <x:v>6</x:v>
      </x:c>
      <x:c r="N10" s="7" t="n">
        <x:f>IFERROR(VLOOKUP($A10,'02_怪物模板_好读版'!$A:$Z,12,FALSE),3)</x:f>
        <x:v>3</x:v>
      </x:c>
      <x:c r="O10" s="7" t="str">
        <x:f>IFERROR(VLOOKUP($A10,'02_怪物模板_好读版'!$A:$Z,13,FALSE),"mech_first_hit_block")</x:f>
        <x:v>mech_first_hit_block</x:v>
      </x:c>
      <x:c r="P10" s="6" t="s">
        <x:v>48</x:v>
      </x:c>
      <x:c r="Q10" s="6" t="s">
        <x:v>49</x:v>
      </x:c>
      <x:c r="R10" s="6" t="s">
        <x:v>81</x:v>
      </x:c>
      <x:c r="S10" s="6" t="s">
        <x:v>82</x:v>
      </x:c>
      <x:c r="T10" s="6" t="s">
        <x:v>83</x:v>
      </x:c>
      <x:c r="U10" s="6" t="s">
        <x:v>63</x:v>
      </x:c>
      <x:c r="V10" s="6" t="s">
        <x:v>44</x:v>
      </x:c>
    </x:row>
    <x:row r="11" ht="22" customHeight="1">
      <x:c r="A11" s="6" t="s">
        <x:v>99</x:v>
      </x:c>
      <x:c r="B11" s="6" t="s">
        <x:v>100</x:v>
      </x:c>
      <x:c r="C11" s="6" t="s">
        <x:v>101</x:v>
      </x:c>
      <x:c r="D11" s="6" t="s">
        <x:v>87</x:v>
      </x:c>
      <x:c r="E11" s="6" t="s">
        <x:v>102</x:v>
      </x:c>
      <x:c r="F11" s="6" t="s">
        <x:v>45</x:v>
      </x:c>
      <x:c r="G11" s="6" t="s">
        <x:v>46</x:v>
      </x:c>
      <x:c r="H11" s="6" t="s">
        <x:v>72</x:v>
      </x:c>
      <x:c r="I11" s="7" t="n">
        <x:f>IFERROR(VLOOKUP($A11,'02_怪物模板_好读版'!$A:$S,15,FALSE),0)+IFERROR(VLOOKUP($A11,'02_怪物模板_好读版'!$A:$S,16,FALSE),0)</x:f>
        <x:v>0</x:v>
      </x:c>
      <x:c r="J11" s="7" t="n">
        <x:f>IFERROR(VLOOKUP($A11,'02_怪物模板_好读版'!$A:$Z,8,FALSE),10)</x:f>
        <x:v>10</x:v>
      </x:c>
      <x:c r="K11" s="7" t="n">
        <x:f>IFERROR(VLOOKUP($A11,'02_怪物模板_好读版'!$A:$Z,9,FALSE),3)</x:f>
        <x:v>3</x:v>
      </x:c>
      <x:c r="L11" s="7" t="n">
        <x:f>IFERROR(VLOOKUP($A11,'02_怪物模板_好读版'!$A:$Z,10,FALSE),0)</x:f>
        <x:v>0</x:v>
      </x:c>
      <x:c r="M11" s="7" t="n">
        <x:f>IFERROR(VLOOKUP($A11,'02_怪物模板_好读版'!$A:$Z,11,FALSE),0)</x:f>
        <x:v>0</x:v>
      </x:c>
      <x:c r="N11" s="7" t="n">
        <x:f>IFERROR(VLOOKUP($A11,'02_怪物模板_好读版'!$A:$Z,12,FALSE),3)</x:f>
        <x:v>3</x:v>
      </x:c>
      <x:c r="O11" s="7" t="str">
        <x:f>IFERROR(VLOOKUP($A11,'02_怪物模板_好读版'!$A:$Z,13,FALSE),"REVIEW")</x:f>
        <x:v>REVIEW</x:v>
      </x:c>
      <x:c r="P11" s="6" t="s">
        <x:v>58</x:v>
      </x:c>
      <x:c r="Q11" s="6" t="s">
        <x:v>59</x:v>
      </x:c>
      <x:c r="R11" s="6" t="s">
        <x:v>73</x:v>
      </x:c>
      <x:c r="S11" s="6" t="s">
        <x:v>74</x:v>
      </x:c>
      <x:c r="T11" s="6" t="s">
        <x:v>88</x:v>
      </x:c>
      <x:c r="U11" s="6" t="s">
        <x:v>63</x:v>
      </x:c>
      <x:c r="V11" s="6" t="s">
        <x:v>44</x:v>
      </x:c>
    </x:row>
    <x:row r="12" ht="22" customHeight="1">
      <x:c r="A12" s="6" t="s">
        <x:v>103</x:v>
      </x:c>
      <x:c r="B12" s="6" t="s">
        <x:v>104</x:v>
      </x:c>
      <x:c r="C12" s="6" t="s">
        <x:v>105</x:v>
      </x:c>
      <x:c r="D12" s="6" t="s">
        <x:v>87</x:v>
      </x:c>
      <x:c r="E12" s="6" t="s">
        <x:v>102</x:v>
      </x:c>
      <x:c r="F12" s="6" t="s">
        <x:v>45</x:v>
      </x:c>
      <x:c r="G12" s="6" t="s">
        <x:v>106</x:v>
      </x:c>
      <x:c r="H12" s="6" t="s">
        <x:v>72</x:v>
      </x:c>
      <x:c r="I12" s="7" t="n">
        <x:f>IFERROR(VLOOKUP($A12,'02_怪物模板_好读版'!$A:$S,15,FALSE),0)+IFERROR(VLOOKUP($A12,'02_怪物模板_好读版'!$A:$S,16,FALSE),0)</x:f>
        <x:v>0</x:v>
      </x:c>
      <x:c r="J12" s="7" t="n">
        <x:f>IFERROR(VLOOKUP($A12,'02_怪物模板_好读版'!$A:$Z,8,FALSE),25)</x:f>
        <x:v>25</x:v>
      </x:c>
      <x:c r="K12" s="7" t="n">
        <x:f>IFERROR(VLOOKUP($A12,'02_怪物模板_好读版'!$A:$Z,9,FALSE),24)</x:f>
        <x:v>24</x:v>
      </x:c>
      <x:c r="L12" s="7" t="n">
        <x:f>IFERROR(VLOOKUP($A12,'02_怪物模板_好读版'!$A:$Z,10,FALSE),0)</x:f>
        <x:v>0</x:v>
      </x:c>
      <x:c r="M12" s="7" t="n">
        <x:f>IFERROR(VLOOKUP($A12,'02_怪物模板_好读版'!$A:$Z,11,FALSE),0)</x:f>
        <x:v>0</x:v>
      </x:c>
      <x:c r="N12" s="7" t="n">
        <x:f>IFERROR(VLOOKUP($A12,'02_怪物模板_好读版'!$A:$Z,12,FALSE),3)</x:f>
        <x:v>3</x:v>
      </x:c>
      <x:c r="O12" s="7" t="str">
        <x:f>IFERROR(VLOOKUP($A12,'02_怪物模板_好读版'!$A:$Z,13,FALSE),"REVIEW")</x:f>
        <x:v>REVIEW</x:v>
      </x:c>
      <x:c r="P12" s="6" t="s">
        <x:v>58</x:v>
      </x:c>
      <x:c r="Q12" s="6" t="s">
        <x:v>59</x:v>
      </x:c>
      <x:c r="R12" s="6" t="s">
        <x:v>73</x:v>
      </x:c>
      <x:c r="S12" s="6" t="s">
        <x:v>74</x:v>
      </x:c>
      <x:c r="T12" s="6" t="s">
        <x:v>88</x:v>
      </x:c>
      <x:c r="U12" s="6" t="s">
        <x:v>63</x:v>
      </x:c>
      <x:c r="V12" s="6" t="s">
        <x:v>44</x:v>
      </x:c>
    </x:row>
    <x:row r="13" ht="22" customHeight="1">
      <x:c r="A13" s="6" t="s">
        <x:v>107</x:v>
      </x:c>
      <x:c r="B13" s="6" t="s">
        <x:v>108</x:v>
      </x:c>
      <x:c r="C13" s="6" t="s">
        <x:v>109</x:v>
      </x:c>
      <x:c r="D13" s="6" t="s">
        <x:v>43</x:v>
      </x:c>
      <x:c r="E13" s="6" t="s">
        <x:v>92</x:v>
      </x:c>
      <x:c r="F13" s="6" t="s">
        <x:v>45</x:v>
      </x:c>
      <x:c r="G13" s="6" t="s">
        <x:v>46</x:v>
      </x:c>
      <x:c r="H13" s="6" t="s">
        <x:v>110</x:v>
      </x:c>
      <x:c r="I13" s="7" t="n">
        <x:f>IFERROR(VLOOKUP($A13,'02_怪物模板_好读版'!$A:$S,15,FALSE),0)+IFERROR(VLOOKUP($A13,'02_怪物模板_好读版'!$A:$S,16,FALSE),0)</x:f>
        <x:v>0</x:v>
      </x:c>
      <x:c r="J13" s="7" t="n">
        <x:f>IFERROR(VLOOKUP($A13,'02_怪物模板_好读版'!$A:$Z,8,FALSE),10)</x:f>
        <x:v>10</x:v>
      </x:c>
      <x:c r="K13" s="7" t="n">
        <x:f>IFERROR(VLOOKUP($A13,'02_怪物模板_好读版'!$A:$Z,9,FALSE),3)</x:f>
        <x:v>3</x:v>
      </x:c>
      <x:c r="L13" s="7" t="n">
        <x:f>IFERROR(VLOOKUP($A13,'02_怪物模板_好读版'!$A:$Z,10,FALSE),0)</x:f>
        <x:v>0</x:v>
      </x:c>
      <x:c r="M13" s="7" t="n">
        <x:f>IFERROR(VLOOKUP($A13,'02_怪物模板_好读版'!$A:$Z,11,FALSE),0)</x:f>
        <x:v>0</x:v>
      </x:c>
      <x:c r="N13" s="7" t="n">
        <x:f>IFERROR(VLOOKUP($A13,'02_怪物模板_好读版'!$A:$Z,12,FALSE),3)</x:f>
        <x:v>3</x:v>
      </x:c>
      <x:c r="O13" s="7" t="str">
        <x:f>IFERROR(VLOOKUP($A13,'02_怪物模板_好读版'!$A:$Z,13,FALSE),"REVIEW")</x:f>
        <x:v>REVIEW</x:v>
      </x:c>
      <x:c r="P13" s="6" t="s">
        <x:v>111</x:v>
      </x:c>
      <x:c r="Q13" s="6" t="s">
        <x:v>112</x:v>
      </x:c>
      <x:c r="R13" s="6" t="s">
        <x:v>113</x:v>
      </x:c>
      <x:c r="S13" s="6" t="s">
        <x:v>114</x:v>
      </x:c>
      <x:c r="T13" s="6" t="s">
        <x:v>115</x:v>
      </x:c>
      <x:c r="U13" s="6" t="s">
        <x:v>63</x:v>
      </x:c>
      <x:c r="V13" s="6" t="s">
        <x:v>116</x:v>
      </x:c>
    </x:row>
    <x:row r="14" ht="22" customHeight="1">
      <x:c r="A14" s="6" t="s">
        <x:v>117</x:v>
      </x:c>
      <x:c r="B14" s="6" t="s">
        <x:v>118</x:v>
      </x:c>
      <x:c r="C14" s="6" t="s">
        <x:v>119</x:v>
      </x:c>
      <x:c r="D14" s="6" t="s">
        <x:v>120</x:v>
      </x:c>
      <x:c r="E14" s="6" t="s">
        <x:v>121</x:v>
      </x:c>
      <x:c r="F14" s="6" t="s">
        <x:v>45</x:v>
      </x:c>
      <x:c r="G14" s="6" t="s">
        <x:v>46</x:v>
      </x:c>
      <x:c r="H14" s="6" t="s">
        <x:v>57</x:v>
      </x:c>
      <x:c r="I14" s="7" t="n">
        <x:f>IFERROR(VLOOKUP($A14,'02_怪物模板_好读版'!$A:$S,15,FALSE),0)+IFERROR(VLOOKUP($A14,'02_怪物模板_好读版'!$A:$S,16,FALSE),0)</x:f>
        <x:v>0</x:v>
      </x:c>
      <x:c r="J14" s="7" t="n">
        <x:f>IFERROR(VLOOKUP($A14,'02_怪物模板_好读版'!$A:$Z,8,FALSE),15)</x:f>
        <x:v>15</x:v>
      </x:c>
      <x:c r="K14" s="7" t="n">
        <x:f>IFERROR(VLOOKUP($A14,'02_怪物模板_好读版'!$A:$Z,9,FALSE),4)</x:f>
        <x:v>4</x:v>
      </x:c>
      <x:c r="L14" s="7" t="n">
        <x:f>IFERROR(VLOOKUP($A14,'02_怪物模板_好读版'!$A:$Z,10,FALSE),0)</x:f>
        <x:v>0</x:v>
      </x:c>
      <x:c r="M14" s="7" t="n">
        <x:f>IFERROR(VLOOKUP($A14,'02_怪物模板_好读版'!$A:$Z,11,FALSE),0)</x:f>
        <x:v>0</x:v>
      </x:c>
      <x:c r="N14" s="7" t="n">
        <x:f>IFERROR(VLOOKUP($A14,'02_怪物模板_好读版'!$A:$Z,12,FALSE),3)</x:f>
        <x:v>3</x:v>
      </x:c>
      <x:c r="O14" s="7" t="str">
        <x:f>IFERROR(VLOOKUP($A14,'02_怪物模板_好读版'!$A:$Z,13,FALSE),"REVIEW")</x:f>
        <x:v>REVIEW</x:v>
      </x:c>
      <x:c r="P14" s="6" t="s">
        <x:v>58</x:v>
      </x:c>
      <x:c r="Q14" s="6" t="s">
        <x:v>59</x:v>
      </x:c>
      <x:c r="R14" s="6" t="s">
        <x:v>60</x:v>
      </x:c>
      <x:c r="S14" s="6" t="s">
        <x:v>61</x:v>
      </x:c>
      <x:c r="T14" s="6" t="s">
        <x:v>122</x:v>
      </x:c>
      <x:c r="U14" s="6" t="s">
        <x:v>63</x:v>
      </x:c>
      <x:c r="V14" s="6" t="s">
        <x:v>64</x:v>
      </x:c>
    </x:row>
    <x:row r="15" ht="22" customHeight="1">
      <x:c r="A15" s="6" t="s">
        <x:v>123</x:v>
      </x:c>
      <x:c r="B15" s="6" t="s">
        <x:v>124</x:v>
      </x:c>
      <x:c r="C15" s="6" t="s">
        <x:v>125</x:v>
      </x:c>
      <x:c r="D15" s="6" t="s">
        <x:v>43</x:v>
      </x:c>
      <x:c r="E15" s="6" t="s">
        <x:v>44</x:v>
      </x:c>
      <x:c r="F15" s="6" t="s">
        <x:v>45</x:v>
      </x:c>
      <x:c r="G15" s="6" t="s">
        <x:v>46</x:v>
      </x:c>
      <x:c r="H15" s="6" t="s">
        <x:v>47</x:v>
      </x:c>
      <x:c r="I15" s="7" t="n">
        <x:f>IFERROR(VLOOKUP($A15,'02_怪物模板_好读版'!$A:$S,15,FALSE),0)+IFERROR(VLOOKUP($A15,'02_怪物模板_好读版'!$A:$S,16,FALSE),0)</x:f>
        <x:v>65</x:v>
      </x:c>
      <x:c r="J15" s="7" t="n">
        <x:f>IFERROR(VLOOKUP($A15,'02_怪物模板_好读版'!$A:$Z,8,FALSE),15)</x:f>
        <x:v>15</x:v>
      </x:c>
      <x:c r="K15" s="7" t="n">
        <x:f>IFERROR(VLOOKUP($A15,'02_怪物模板_好读版'!$A:$Z,9,FALSE),2)</x:f>
        <x:v>2</x:v>
      </x:c>
      <x:c r="L15" s="7" t="n">
        <x:f>IFERROR(VLOOKUP($A15,'02_怪物模板_好读版'!$A:$Z,10,FALSE),0)</x:f>
        <x:v>0</x:v>
      </x:c>
      <x:c r="M15" s="7" t="n">
        <x:f>IFERROR(VLOOKUP($A15,'02_怪物模板_好读版'!$A:$Z,11,FALSE),0)</x:f>
        <x:v>0</x:v>
      </x:c>
      <x:c r="N15" s="7" t="n">
        <x:f>IFERROR(VLOOKUP($A15,'02_怪物模板_好读版'!$A:$Z,12,FALSE),4)</x:f>
        <x:v>4</x:v>
      </x:c>
      <x:c r="O15" s="7" t="str">
        <x:f>IFERROR(VLOOKUP($A15,'02_怪物模板_好读版'!$A:$Z,13,FALSE),"mech_steal_reward")</x:f>
        <x:v>mech_steal_reward</x:v>
      </x:c>
      <x:c r="P15" s="6" t="s">
        <x:v>48</x:v>
      </x:c>
      <x:c r="Q15" s="6" t="s">
        <x:v>49</x:v>
      </x:c>
      <x:c r="R15" s="6" t="s">
        <x:v>50</x:v>
      </x:c>
      <x:c r="S15" s="6" t="s">
        <x:v>51</x:v>
      </x:c>
      <x:c r="T15" s="6" t="s">
        <x:v>52</x:v>
      </x:c>
      <x:c r="U15" s="6" t="s">
        <x:v>53</x:v>
      </x:c>
      <x:c r="V15" s="6" t="s">
        <x:v>44</x:v>
      </x:c>
    </x:row>
    <x:row r="16" ht="22" customHeight="1">
      <x:c r="A16" s="6" t="s">
        <x:v>126</x:v>
      </x:c>
      <x:c r="B16" s="6" t="s">
        <x:v>127</x:v>
      </x:c>
      <x:c r="C16" s="6" t="s">
        <x:v>128</x:v>
      </x:c>
      <x:c r="D16" s="6" t="s">
        <x:v>120</x:v>
      </x:c>
      <x:c r="E16" s="6" t="s">
        <x:v>129</x:v>
      </x:c>
      <x:c r="F16" s="6" t="s">
        <x:v>45</x:v>
      </x:c>
      <x:c r="G16" s="6" t="s">
        <x:v>46</x:v>
      </x:c>
      <x:c r="H16" s="6" t="s">
        <x:v>57</x:v>
      </x:c>
      <x:c r="I16" s="7" t="n">
        <x:f>IFERROR(VLOOKUP($A16,'02_怪物模板_好读版'!$A:$S,15,FALSE),0)+IFERROR(VLOOKUP($A16,'02_怪物模板_好读版'!$A:$S,16,FALSE),0)</x:f>
        <x:v>0</x:v>
      </x:c>
      <x:c r="J16" s="7" t="n">
        <x:f>IFERROR(VLOOKUP($A16,'02_怪物模板_好读版'!$A:$Z,8,FALSE),15)</x:f>
        <x:v>15</x:v>
      </x:c>
      <x:c r="K16" s="7" t="n">
        <x:f>IFERROR(VLOOKUP($A16,'02_怪物模板_好读版'!$A:$Z,9,FALSE),4)</x:f>
        <x:v>4</x:v>
      </x:c>
      <x:c r="L16" s="7" t="n">
        <x:f>IFERROR(VLOOKUP($A16,'02_怪物模板_好读版'!$A:$Z,10,FALSE),0)</x:f>
        <x:v>0</x:v>
      </x:c>
      <x:c r="M16" s="7" t="n">
        <x:f>IFERROR(VLOOKUP($A16,'02_怪物模板_好读版'!$A:$Z,11,FALSE),0)</x:f>
        <x:v>0</x:v>
      </x:c>
      <x:c r="N16" s="7" t="n">
        <x:f>IFERROR(VLOOKUP($A16,'02_怪物模板_好读版'!$A:$Z,12,FALSE),3)</x:f>
        <x:v>3</x:v>
      </x:c>
      <x:c r="O16" s="7" t="str">
        <x:f>IFERROR(VLOOKUP($A16,'02_怪物模板_好读版'!$A:$Z,13,FALSE),"REVIEW")</x:f>
        <x:v>REVIEW</x:v>
      </x:c>
      <x:c r="P16" s="6" t="s">
        <x:v>58</x:v>
      </x:c>
      <x:c r="Q16" s="6" t="s">
        <x:v>59</x:v>
      </x:c>
      <x:c r="R16" s="6" t="s">
        <x:v>60</x:v>
      </x:c>
      <x:c r="S16" s="6" t="s">
        <x:v>61</x:v>
      </x:c>
      <x:c r="T16" s="6" t="s">
        <x:v>122</x:v>
      </x:c>
      <x:c r="U16" s="6" t="s">
        <x:v>63</x:v>
      </x:c>
      <x:c r="V16" s="6" t="s">
        <x:v>64</x:v>
      </x:c>
    </x:row>
    <x:row r="17" ht="22" customHeight="1">
      <x:c r="A17" s="6" t="s">
        <x:v>130</x:v>
      </x:c>
      <x:c r="B17" s="6" t="s">
        <x:v>131</x:v>
      </x:c>
      <x:c r="C17" s="6" t="s">
        <x:v>132</x:v>
      </x:c>
      <x:c r="D17" s="6" t="s">
        <x:v>87</x:v>
      </x:c>
      <x:c r="E17" s="6" t="s">
        <x:v>44</x:v>
      </x:c>
      <x:c r="F17" s="6" t="s">
        <x:v>45</x:v>
      </x:c>
      <x:c r="G17" s="6" t="s">
        <x:v>106</x:v>
      </x:c>
      <x:c r="H17" s="6" t="s">
        <x:v>72</x:v>
      </x:c>
      <x:c r="I17" s="7" t="n">
        <x:f>IFERROR(VLOOKUP($A17,'02_怪物模板_好读版'!$A:$S,15,FALSE),0)+IFERROR(VLOOKUP($A17,'02_怪物模板_好读版'!$A:$S,16,FALSE),0)</x:f>
        <x:v>0</x:v>
      </x:c>
      <x:c r="J17" s="7" t="n">
        <x:f>IFERROR(VLOOKUP($A17,'02_怪物模板_好读版'!$A:$Z,8,FALSE),25)</x:f>
        <x:v>25</x:v>
      </x:c>
      <x:c r="K17" s="7" t="n">
        <x:f>IFERROR(VLOOKUP($A17,'02_怪物模板_好读版'!$A:$Z,9,FALSE),24)</x:f>
        <x:v>24</x:v>
      </x:c>
      <x:c r="L17" s="7" t="n">
        <x:f>IFERROR(VLOOKUP($A17,'02_怪物模板_好读版'!$A:$Z,10,FALSE),0)</x:f>
        <x:v>0</x:v>
      </x:c>
      <x:c r="M17" s="7" t="n">
        <x:f>IFERROR(VLOOKUP($A17,'02_怪物模板_好读版'!$A:$Z,11,FALSE),0)</x:f>
        <x:v>0</x:v>
      </x:c>
      <x:c r="N17" s="7" t="n">
        <x:f>IFERROR(VLOOKUP($A17,'02_怪物模板_好读版'!$A:$Z,12,FALSE),3)</x:f>
        <x:v>3</x:v>
      </x:c>
      <x:c r="O17" s="7" t="str">
        <x:f>IFERROR(VLOOKUP($A17,'02_怪物模板_好读版'!$A:$Z,13,FALSE),"REVIEW")</x:f>
        <x:v>REVIEW</x:v>
      </x:c>
      <x:c r="P17" s="6" t="s">
        <x:v>58</x:v>
      </x:c>
      <x:c r="Q17" s="6" t="s">
        <x:v>59</x:v>
      </x:c>
      <x:c r="R17" s="6" t="s">
        <x:v>73</x:v>
      </x:c>
      <x:c r="S17" s="6" t="s">
        <x:v>74</x:v>
      </x:c>
      <x:c r="T17" s="6" t="s">
        <x:v>88</x:v>
      </x:c>
      <x:c r="U17" s="6" t="s">
        <x:v>63</x:v>
      </x:c>
      <x:c r="V17" s="6" t="s">
        <x:v>44</x:v>
      </x:c>
    </x:row>
    <x:row r="18" ht="22" customHeight="1">
      <x:c r="A18" s="6" t="s">
        <x:v>133</x:v>
      </x:c>
      <x:c r="B18" s="6" t="s">
        <x:v>134</x:v>
      </x:c>
      <x:c r="C18" s="6" t="s">
        <x:v>135</x:v>
      </x:c>
      <x:c r="D18" s="6" t="s">
        <x:v>120</x:v>
      </x:c>
      <x:c r="E18" s="6" t="s">
        <x:v>129</x:v>
      </x:c>
      <x:c r="F18" s="6" t="s">
        <x:v>45</x:v>
      </x:c>
      <x:c r="G18" s="6" t="s">
        <x:v>106</x:v>
      </x:c>
      <x:c r="H18" s="6" t="s">
        <x:v>57</x:v>
      </x:c>
      <x:c r="I18" s="7" t="n">
        <x:f>IFERROR(VLOOKUP($A18,'02_怪物模板_好读版'!$A:$S,15,FALSE),0)+IFERROR(VLOOKUP($A18,'02_怪物模板_好读版'!$A:$S,16,FALSE),0)</x:f>
        <x:v>91</x:v>
      </x:c>
      <x:c r="J18" s="7" t="n">
        <x:f>IFERROR(VLOOKUP($A18,'02_怪物模板_好读版'!$A:$Z,8,FALSE),40)</x:f>
        <x:v>40</x:v>
      </x:c>
      <x:c r="K18" s="7" t="n">
        <x:f>IFERROR(VLOOKUP($A18,'02_怪物模板_好读版'!$A:$Z,9,FALSE),3)</x:f>
        <x:v>3</x:v>
      </x:c>
      <x:c r="L18" s="7" t="n">
        <x:f>IFERROR(VLOOKUP($A18,'02_怪物模板_好读版'!$A:$Z,10,FALSE),0)</x:f>
        <x:v>0</x:v>
      </x:c>
      <x:c r="M18" s="7" t="n">
        <x:f>IFERROR(VLOOKUP($A18,'02_怪物模板_好读版'!$A:$Z,11,FALSE),0)</x:f>
        <x:v>0</x:v>
      </x:c>
      <x:c r="N18" s="7" t="n">
        <x:f>IFERROR(VLOOKUP($A18,'02_怪物模板_好读版'!$A:$Z,12,FALSE),2)</x:f>
        <x:v>2</x:v>
      </x:c>
      <x:c r="O18" s="7" t="str">
        <x:f>IFERROR(VLOOKUP($A18,'02_怪物模板_好读版'!$A:$Z,13,FALSE),"mech_firm_threshold")</x:f>
        <x:v>mech_firm_threshold</x:v>
      </x:c>
      <x:c r="P18" s="6" t="s">
        <x:v>58</x:v>
      </x:c>
      <x:c r="Q18" s="6" t="s">
        <x:v>59</x:v>
      </x:c>
      <x:c r="R18" s="6" t="s">
        <x:v>60</x:v>
      </x:c>
      <x:c r="S18" s="6" t="s">
        <x:v>61</x:v>
      </x:c>
      <x:c r="T18" s="6" t="s">
        <x:v>122</x:v>
      </x:c>
      <x:c r="U18" s="6" t="s">
        <x:v>63</x:v>
      </x:c>
      <x:c r="V18" s="6" t="s">
        <x:v>64</x:v>
      </x:c>
    </x:row>
    <x:row r="19" ht="22" customHeight="1">
      <x:c r="A19" s="6" t="s">
        <x:v>136</x:v>
      </x:c>
      <x:c r="B19" s="6" t="s">
        <x:v>137</x:v>
      </x:c>
      <x:c r="C19" s="6" t="s">
        <x:v>138</x:v>
      </x:c>
      <x:c r="D19" s="6" t="s">
        <x:v>43</x:v>
      </x:c>
      <x:c r="E19" s="6" t="s">
        <x:v>44</x:v>
      </x:c>
      <x:c r="F19" s="6" t="s">
        <x:v>45</x:v>
      </x:c>
      <x:c r="G19" s="6" t="s">
        <x:v>46</x:v>
      </x:c>
      <x:c r="H19" s="6" t="s">
        <x:v>47</x:v>
      </x:c>
      <x:c r="I19" s="7" t="n">
        <x:f>IFERROR(VLOOKUP($A19,'02_怪物模板_好读版'!$A:$S,15,FALSE),0)+IFERROR(VLOOKUP($A19,'02_怪物模板_好读版'!$A:$S,16,FALSE),0)</x:f>
        <x:v>0</x:v>
      </x:c>
      <x:c r="J19" s="7" t="n">
        <x:f>IFERROR(VLOOKUP($A19,'02_怪物模板_好读版'!$A:$Z,8,FALSE),10)</x:f>
        <x:v>10</x:v>
      </x:c>
      <x:c r="K19" s="7" t="n">
        <x:f>IFERROR(VLOOKUP($A19,'02_怪物模板_好读版'!$A:$Z,9,FALSE),3)</x:f>
        <x:v>3</x:v>
      </x:c>
      <x:c r="L19" s="7" t="n">
        <x:f>IFERROR(VLOOKUP($A19,'02_怪物模板_好读版'!$A:$Z,10,FALSE),0)</x:f>
        <x:v>0</x:v>
      </x:c>
      <x:c r="M19" s="7" t="n">
        <x:f>IFERROR(VLOOKUP($A19,'02_怪物模板_好读版'!$A:$Z,11,FALSE),0)</x:f>
        <x:v>0</x:v>
      </x:c>
      <x:c r="N19" s="7" t="n">
        <x:f>IFERROR(VLOOKUP($A19,'02_怪物模板_好读版'!$A:$Z,12,FALSE),3)</x:f>
        <x:v>3</x:v>
      </x:c>
      <x:c r="O19" s="7" t="str">
        <x:f>IFERROR(VLOOKUP($A19,'02_怪物模板_好读版'!$A:$Z,13,FALSE),"mech_aura")</x:f>
        <x:v>mech_aura</x:v>
      </x:c>
      <x:c r="P19" s="6" t="s">
        <x:v>48</x:v>
      </x:c>
      <x:c r="Q19" s="6" t="s">
        <x:v>49</x:v>
      </x:c>
      <x:c r="R19" s="6" t="s">
        <x:v>50</x:v>
      </x:c>
      <x:c r="S19" s="6" t="s">
        <x:v>51</x:v>
      </x:c>
      <x:c r="T19" s="6" t="s">
        <x:v>52</x:v>
      </x:c>
      <x:c r="U19" s="6" t="s">
        <x:v>53</x:v>
      </x:c>
      <x:c r="V19" s="6" t="s">
        <x:v>44</x:v>
      </x:c>
    </x:row>
    <x:row r="20" ht="22" customHeight="1">
      <x:c r="A20" s="6" t="s">
        <x:v>139</x:v>
      </x:c>
      <x:c r="B20" s="6" t="s">
        <x:v>140</x:v>
      </x:c>
      <x:c r="C20" s="6" t="s">
        <x:v>141</x:v>
      </x:c>
      <x:c r="D20" s="6" t="s">
        <x:v>120</x:v>
      </x:c>
      <x:c r="E20" s="6" t="s">
        <x:v>129</x:v>
      </x:c>
      <x:c r="F20" s="6" t="s">
        <x:v>45</x:v>
      </x:c>
      <x:c r="G20" s="6" t="s">
        <x:v>106</x:v>
      </x:c>
      <x:c r="H20" s="6" t="s">
        <x:v>57</x:v>
      </x:c>
      <x:c r="I20" s="7" t="n">
        <x:f>IFERROR(VLOOKUP($A20,'02_怪物模板_好读版'!$A:$S,15,FALSE),0)+IFERROR(VLOOKUP($A20,'02_怪物模板_好读版'!$A:$S,16,FALSE),0)</x:f>
        <x:v>128</x:v>
      </x:c>
      <x:c r="J20" s="7" t="n">
        <x:f>IFERROR(VLOOKUP($A20,'02_怪物模板_好读版'!$A:$Z,8,FALSE),30)</x:f>
        <x:v>30</x:v>
      </x:c>
      <x:c r="K20" s="7" t="n">
        <x:f>IFERROR(VLOOKUP($A20,'02_怪物模板_好读版'!$A:$Z,9,FALSE),3)</x:f>
        <x:v>3</x:v>
      </x:c>
      <x:c r="L20" s="7" t="n">
        <x:f>IFERROR(VLOOKUP($A20,'02_怪物模板_好读版'!$A:$Z,10,FALSE),0)</x:f>
        <x:v>0</x:v>
      </x:c>
      <x:c r="M20" s="7" t="n">
        <x:f>IFERROR(VLOOKUP($A20,'02_怪物模板_好读版'!$A:$Z,11,FALSE),10)</x:f>
        <x:v>10</x:v>
      </x:c>
      <x:c r="N20" s="7" t="n">
        <x:f>IFERROR(VLOOKUP($A20,'02_怪物模板_好读版'!$A:$Z,12,FALSE),3)</x:f>
        <x:v>3</x:v>
      </x:c>
      <x:c r="O20" s="7" t="str">
        <x:f>IFERROR(VLOOKUP($A20,'02_怪物模板_好读版'!$A:$Z,13,FALSE),"mech_grow_shield")</x:f>
        <x:v>mech_grow_shield</x:v>
      </x:c>
      <x:c r="P20" s="6" t="s">
        <x:v>58</x:v>
      </x:c>
      <x:c r="Q20" s="6" t="s">
        <x:v>59</x:v>
      </x:c>
      <x:c r="R20" s="6" t="s">
        <x:v>60</x:v>
      </x:c>
      <x:c r="S20" s="6" t="s">
        <x:v>61</x:v>
      </x:c>
      <x:c r="T20" s="6" t="s">
        <x:v>122</x:v>
      </x:c>
      <x:c r="U20" s="6" t="s">
        <x:v>63</x:v>
      </x:c>
      <x:c r="V20" s="6" t="s">
        <x:v>64</x:v>
      </x:c>
    </x:row>
    <x:row r="21" ht="22" customHeight="1">
      <x:c r="A21" s="6" t="s">
        <x:v>142</x:v>
      </x:c>
      <x:c r="B21" s="6" t="s">
        <x:v>143</x:v>
      </x:c>
      <x:c r="C21" s="6" t="s">
        <x:v>144</x:v>
      </x:c>
      <x:c r="D21" s="6" t="s">
        <x:v>120</x:v>
      </x:c>
      <x:c r="E21" s="6" t="s">
        <x:v>145</x:v>
      </x:c>
      <x:c r="F21" s="6" t="s">
        <x:v>45</x:v>
      </x:c>
      <x:c r="G21" s="6" t="s">
        <x:v>46</x:v>
      </x:c>
      <x:c r="H21" s="6" t="s">
        <x:v>57</x:v>
      </x:c>
      <x:c r="I21" s="7" t="n">
        <x:f>IFERROR(VLOOKUP($A21,'02_怪物模板_好读版'!$A:$S,15,FALSE),0)+IFERROR(VLOOKUP($A21,'02_怪物模板_好读版'!$A:$S,16,FALSE),0)</x:f>
        <x:v>0</x:v>
      </x:c>
      <x:c r="J21" s="7" t="n">
        <x:f>IFERROR(VLOOKUP($A21,'02_怪物模板_好读版'!$A:$Z,8,FALSE),15)</x:f>
        <x:v>15</x:v>
      </x:c>
      <x:c r="K21" s="7" t="n">
        <x:f>IFERROR(VLOOKUP($A21,'02_怪物模板_好读版'!$A:$Z,9,FALSE),4)</x:f>
        <x:v>4</x:v>
      </x:c>
      <x:c r="L21" s="7" t="n">
        <x:f>IFERROR(VLOOKUP($A21,'02_怪物模板_好读版'!$A:$Z,10,FALSE),0)</x:f>
        <x:v>0</x:v>
      </x:c>
      <x:c r="M21" s="7" t="n">
        <x:f>IFERROR(VLOOKUP($A21,'02_怪物模板_好读版'!$A:$Z,11,FALSE),0)</x:f>
        <x:v>0</x:v>
      </x:c>
      <x:c r="N21" s="7" t="n">
        <x:f>IFERROR(VLOOKUP($A21,'02_怪物模板_好读版'!$A:$Z,12,FALSE),3)</x:f>
        <x:v>3</x:v>
      </x:c>
      <x:c r="O21" s="7" t="str">
        <x:f>IFERROR(VLOOKUP($A21,'02_怪物模板_好读版'!$A:$Z,13,FALSE),"REVIEW")</x:f>
        <x:v>REVIEW</x:v>
      </x:c>
      <x:c r="P21" s="6" t="s">
        <x:v>58</x:v>
      </x:c>
      <x:c r="Q21" s="6" t="s">
        <x:v>59</x:v>
      </x:c>
      <x:c r="R21" s="6" t="s">
        <x:v>60</x:v>
      </x:c>
      <x:c r="S21" s="6" t="s">
        <x:v>61</x:v>
      </x:c>
      <x:c r="T21" s="6" t="s">
        <x:v>122</x:v>
      </x:c>
      <x:c r="U21" s="6" t="s">
        <x:v>63</x:v>
      </x:c>
      <x:c r="V21" s="6" t="s">
        <x:v>64</x:v>
      </x:c>
    </x:row>
    <x:row r="22" ht="22" customHeight="1">
      <x:c r="A22" s="6" t="s">
        <x:v>146</x:v>
      </x:c>
      <x:c r="B22" s="6" t="s">
        <x:v>147</x:v>
      </x:c>
      <x:c r="C22" s="6" t="s">
        <x:v>148</x:v>
      </x:c>
      <x:c r="D22" s="6" t="s">
        <x:v>120</x:v>
      </x:c>
      <x:c r="E22" s="6" t="s">
        <x:v>129</x:v>
      </x:c>
      <x:c r="F22" s="6" t="s">
        <x:v>45</x:v>
      </x:c>
      <x:c r="G22" s="6" t="s">
        <x:v>46</x:v>
      </x:c>
      <x:c r="H22" s="6" t="s">
        <x:v>57</x:v>
      </x:c>
      <x:c r="I22" s="7" t="n">
        <x:f>IFERROR(VLOOKUP($A22,'02_怪物模板_好读版'!$A:$S,15,FALSE),0)+IFERROR(VLOOKUP($A22,'02_怪物模板_好读版'!$A:$S,16,FALSE),0)</x:f>
        <x:v>0</x:v>
      </x:c>
      <x:c r="J22" s="7" t="n">
        <x:f>IFERROR(VLOOKUP($A22,'02_怪物模板_好读版'!$A:$Z,8,FALSE),15)</x:f>
        <x:v>15</x:v>
      </x:c>
      <x:c r="K22" s="7" t="n">
        <x:f>IFERROR(VLOOKUP($A22,'02_怪物模板_好读版'!$A:$Z,9,FALSE),4)</x:f>
        <x:v>4</x:v>
      </x:c>
      <x:c r="L22" s="7" t="n">
        <x:f>IFERROR(VLOOKUP($A22,'02_怪物模板_好读版'!$A:$Z,10,FALSE),0)</x:f>
        <x:v>0</x:v>
      </x:c>
      <x:c r="M22" s="7" t="n">
        <x:f>IFERROR(VLOOKUP($A22,'02_怪物模板_好读版'!$A:$Z,11,FALSE),0)</x:f>
        <x:v>0</x:v>
      </x:c>
      <x:c r="N22" s="7" t="n">
        <x:f>IFERROR(VLOOKUP($A22,'02_怪物模板_好读版'!$A:$Z,12,FALSE),3)</x:f>
        <x:v>3</x:v>
      </x:c>
      <x:c r="O22" s="7" t="str">
        <x:f>IFERROR(VLOOKUP($A22,'02_怪物模板_好读版'!$A:$Z,13,FALSE),"REVIEW")</x:f>
        <x:v>REVIEW</x:v>
      </x:c>
      <x:c r="P22" s="6" t="s">
        <x:v>58</x:v>
      </x:c>
      <x:c r="Q22" s="6" t="s">
        <x:v>59</x:v>
      </x:c>
      <x:c r="R22" s="6" t="s">
        <x:v>60</x:v>
      </x:c>
      <x:c r="S22" s="6" t="s">
        <x:v>61</x:v>
      </x:c>
      <x:c r="T22" s="6" t="s">
        <x:v>122</x:v>
      </x:c>
      <x:c r="U22" s="6" t="s">
        <x:v>63</x:v>
      </x:c>
      <x:c r="V22" s="6" t="s">
        <x:v>64</x:v>
      </x:c>
    </x:row>
    <x:row r="23" ht="22" customHeight="1">
      <x:c r="A23" s="6" t="s">
        <x:v>149</x:v>
      </x:c>
      <x:c r="B23" s="6" t="s">
        <x:v>150</x:v>
      </x:c>
      <x:c r="C23" s="6" t="s">
        <x:v>151</x:v>
      </x:c>
      <x:c r="D23" s="6" t="s">
        <x:v>120</x:v>
      </x:c>
      <x:c r="E23" s="6" t="s">
        <x:v>145</x:v>
      </x:c>
      <x:c r="F23" s="6" t="s">
        <x:v>45</x:v>
      </x:c>
      <x:c r="G23" s="6" t="s">
        <x:v>80</x:v>
      </x:c>
      <x:c r="H23" s="6" t="s">
        <x:v>57</x:v>
      </x:c>
      <x:c r="I23" s="7" t="n">
        <x:f>IFERROR(VLOOKUP($A23,'02_怪物模板_好读版'!$A:$S,15,FALSE),0)+IFERROR(VLOOKUP($A23,'02_怪物模板_好读版'!$A:$S,16,FALSE),0)</x:f>
        <x:v>38</x:v>
      </x:c>
      <x:c r="J23" s="7" t="n">
        <x:f>IFERROR(VLOOKUP($A23,'02_怪物模板_好读版'!$A:$Z,8,FALSE),25)</x:f>
        <x:v>25</x:v>
      </x:c>
      <x:c r="K23" s="7" t="n">
        <x:f>IFERROR(VLOOKUP($A23,'02_怪物模板_好读版'!$A:$Z,9,FALSE),1)</x:f>
        <x:v>1</x:v>
      </x:c>
      <x:c r="L23" s="7" t="n">
        <x:f>IFERROR(VLOOKUP($A23,'02_怪物模板_好读版'!$A:$Z,10,FALSE),0)</x:f>
        <x:v>0</x:v>
      </x:c>
      <x:c r="M23" s="7" t="n">
        <x:f>IFERROR(VLOOKUP($A23,'02_怪物模板_好读版'!$A:$Z,11,FALSE),0)</x:f>
        <x:v>0</x:v>
      </x:c>
      <x:c r="N23" s="7" t="n">
        <x:f>IFERROR(VLOOKUP($A23,'02_怪物模板_好读版'!$A:$Z,12,FALSE),2)</x:f>
        <x:v>2</x:v>
      </x:c>
      <x:c r="O23" s="7" t="str">
        <x:f>IFERROR(VLOOKUP($A23,'02_怪物模板_好读版'!$A:$Z,13,FALSE),"none")</x:f>
        <x:v>none</x:v>
      </x:c>
      <x:c r="P23" s="6" t="s">
        <x:v>58</x:v>
      </x:c>
      <x:c r="Q23" s="6" t="s">
        <x:v>59</x:v>
      </x:c>
      <x:c r="R23" s="6" t="s">
        <x:v>60</x:v>
      </x:c>
      <x:c r="S23" s="6" t="s">
        <x:v>61</x:v>
      </x:c>
      <x:c r="T23" s="6" t="s">
        <x:v>122</x:v>
      </x:c>
      <x:c r="U23" s="6" t="s">
        <x:v>63</x:v>
      </x:c>
      <x:c r="V23" s="6" t="s">
        <x:v>64</x:v>
      </x:c>
    </x:row>
    <x:row r="24" ht="22" customHeight="1">
      <x:c r="A24" s="6" t="s">
        <x:v>152</x:v>
      </x:c>
      <x:c r="B24" s="6" t="s">
        <x:v>153</x:v>
      </x:c>
      <x:c r="C24" s="6" t="s">
        <x:v>154</x:v>
      </x:c>
      <x:c r="D24" s="6" t="s">
        <x:v>120</x:v>
      </x:c>
      <x:c r="E24" s="6" t="s">
        <x:v>129</x:v>
      </x:c>
      <x:c r="F24" s="6" t="s">
        <x:v>45</x:v>
      </x:c>
      <x:c r="G24" s="6" t="s">
        <x:v>80</x:v>
      </x:c>
      <x:c r="H24" s="6" t="s">
        <x:v>57</x:v>
      </x:c>
      <x:c r="I24" s="7" t="n">
        <x:f>IFERROR(VLOOKUP($A24,'02_怪物模板_好读版'!$A:$S,15,FALSE),0)+IFERROR(VLOOKUP($A24,'02_怪物模板_好读版'!$A:$S,16,FALSE),0)</x:f>
        <x:v>100</x:v>
      </x:c>
      <x:c r="J24" s="7" t="n">
        <x:f>IFERROR(VLOOKUP($A24,'02_怪物模板_好读版'!$A:$Z,8,FALSE),25)</x:f>
        <x:v>25</x:v>
      </x:c>
      <x:c r="K24" s="7" t="n">
        <x:f>IFERROR(VLOOKUP($A24,'02_怪物模板_好读版'!$A:$Z,9,FALSE),2)</x:f>
        <x:v>2</x:v>
      </x:c>
      <x:c r="L24" s="7" t="n">
        <x:f>IFERROR(VLOOKUP($A24,'02_怪物模板_好读版'!$A:$Z,10,FALSE),0)</x:f>
        <x:v>0</x:v>
      </x:c>
      <x:c r="M24" s="7" t="n">
        <x:f>IFERROR(VLOOKUP($A24,'02_怪物模板_好读版'!$A:$Z,11,FALSE),6)</x:f>
        <x:v>6</x:v>
      </x:c>
      <x:c r="N24" s="7" t="n">
        <x:f>IFERROR(VLOOKUP($A24,'02_怪物模板_好读版'!$A:$Z,12,FALSE),3)</x:f>
        <x:v>3</x:v>
      </x:c>
      <x:c r="O24" s="7" t="str">
        <x:f>IFERROR(VLOOKUP($A24,'02_怪物模板_好读版'!$A:$Z,13,FALSE),"mech_shield_regen")</x:f>
        <x:v>mech_shield_regen</x:v>
      </x:c>
      <x:c r="P24" s="6" t="s">
        <x:v>58</x:v>
      </x:c>
      <x:c r="Q24" s="6" t="s">
        <x:v>59</x:v>
      </x:c>
      <x:c r="R24" s="6" t="s">
        <x:v>60</x:v>
      </x:c>
      <x:c r="S24" s="6" t="s">
        <x:v>61</x:v>
      </x:c>
      <x:c r="T24" s="6" t="s">
        <x:v>122</x:v>
      </x:c>
      <x:c r="U24" s="6" t="s">
        <x:v>63</x:v>
      </x:c>
      <x:c r="V24" s="6" t="s">
        <x:v>64</x:v>
      </x:c>
    </x:row>
    <x:row r="25" ht="22" customHeight="1">
      <x:c r="A25" s="6" t="s">
        <x:v>155</x:v>
      </x:c>
      <x:c r="B25" s="6" t="s">
        <x:v>156</x:v>
      </x:c>
      <x:c r="C25" s="6" t="s">
        <x:v>157</x:v>
      </x:c>
      <x:c r="D25" s="6" t="s">
        <x:v>120</x:v>
      </x:c>
      <x:c r="E25" s="6" t="s">
        <x:v>129</x:v>
      </x:c>
      <x:c r="F25" s="6" t="s">
        <x:v>45</x:v>
      </x:c>
      <x:c r="G25" s="6" t="s">
        <x:v>46</x:v>
      </x:c>
      <x:c r="H25" s="6" t="s">
        <x:v>47</x:v>
      </x:c>
      <x:c r="I25" s="7" t="n">
        <x:f>IFERROR(VLOOKUP($A25,'02_怪物模板_好读版'!$A:$S,15,FALSE),0)+IFERROR(VLOOKUP($A25,'02_怪物模板_好读版'!$A:$S,16,FALSE),0)</x:f>
        <x:v>0</x:v>
      </x:c>
      <x:c r="J25" s="7" t="n">
        <x:f>IFERROR(VLOOKUP($A25,'02_怪物模板_好读版'!$A:$Z,8,FALSE),10)</x:f>
        <x:v>10</x:v>
      </x:c>
      <x:c r="K25" s="7" t="n">
        <x:f>IFERROR(VLOOKUP($A25,'02_怪物模板_好读版'!$A:$Z,9,FALSE),3)</x:f>
        <x:v>3</x:v>
      </x:c>
      <x:c r="L25" s="7" t="n">
        <x:f>IFERROR(VLOOKUP($A25,'02_怪物模板_好读版'!$A:$Z,10,FALSE),0)</x:f>
        <x:v>0</x:v>
      </x:c>
      <x:c r="M25" s="7" t="n">
        <x:f>IFERROR(VLOOKUP($A25,'02_怪物模板_好读版'!$A:$Z,11,FALSE),0)</x:f>
        <x:v>0</x:v>
      </x:c>
      <x:c r="N25" s="7" t="n">
        <x:f>IFERROR(VLOOKUP($A25,'02_怪物模板_好读版'!$A:$Z,12,FALSE),3)</x:f>
        <x:v>3</x:v>
      </x:c>
      <x:c r="O25" s="7" t="str">
        <x:f>IFERROR(VLOOKUP($A25,'02_怪物模板_好读版'!$A:$Z,13,FALSE),"mech_aura")</x:f>
        <x:v>mech_aura</x:v>
      </x:c>
      <x:c r="P25" s="6" t="s">
        <x:v>48</x:v>
      </x:c>
      <x:c r="Q25" s="6" t="s">
        <x:v>49</x:v>
      </x:c>
      <x:c r="R25" s="6" t="s">
        <x:v>50</x:v>
      </x:c>
      <x:c r="S25" s="6" t="s">
        <x:v>51</x:v>
      </x:c>
      <x:c r="T25" s="6" t="s">
        <x:v>158</x:v>
      </x:c>
      <x:c r="U25" s="6" t="s">
        <x:v>53</x:v>
      </x:c>
      <x:c r="V25" s="6" t="s">
        <x:v>44</x:v>
      </x:c>
    </x:row>
    <x:row r="26" ht="22" customHeight="1">
      <x:c r="A26" s="6" t="s">
        <x:v>159</x:v>
      </x:c>
      <x:c r="B26" s="6" t="s">
        <x:v>160</x:v>
      </x:c>
      <x:c r="C26" s="6" t="s">
        <x:v>161</x:v>
      </x:c>
      <x:c r="D26" s="6" t="s">
        <x:v>87</x:v>
      </x:c>
      <x:c r="E26" s="6" t="s">
        <x:v>44</x:v>
      </x:c>
      <x:c r="F26" s="6" t="s">
        <x:v>45</x:v>
      </x:c>
      <x:c r="G26" s="6" t="s">
        <x:v>46</x:v>
      </x:c>
      <x:c r="H26" s="6" t="s">
        <x:v>72</x:v>
      </x:c>
      <x:c r="I26" s="7" t="n">
        <x:f>IFERROR(VLOOKUP($A26,'02_怪物模板_好读版'!$A:$S,15,FALSE),0)+IFERROR(VLOOKUP($A26,'02_怪物模板_好读版'!$A:$S,16,FALSE),0)</x:f>
        <x:v>0</x:v>
      </x:c>
      <x:c r="J26" s="7" t="n">
        <x:f>IFERROR(VLOOKUP($A26,'02_怪物模板_好读版'!$A:$Z,8,FALSE),10)</x:f>
        <x:v>10</x:v>
      </x:c>
      <x:c r="K26" s="7" t="n">
        <x:f>IFERROR(VLOOKUP($A26,'02_怪物模板_好读版'!$A:$Z,9,FALSE),3)</x:f>
        <x:v>3</x:v>
      </x:c>
      <x:c r="L26" s="7" t="n">
        <x:f>IFERROR(VLOOKUP($A26,'02_怪物模板_好读版'!$A:$Z,10,FALSE),0)</x:f>
        <x:v>0</x:v>
      </x:c>
      <x:c r="M26" s="7" t="n">
        <x:f>IFERROR(VLOOKUP($A26,'02_怪物模板_好读版'!$A:$Z,11,FALSE),0)</x:f>
        <x:v>0</x:v>
      </x:c>
      <x:c r="N26" s="7" t="n">
        <x:f>IFERROR(VLOOKUP($A26,'02_怪物模板_好读版'!$A:$Z,12,FALSE),3)</x:f>
        <x:v>3</x:v>
      </x:c>
      <x:c r="O26" s="7" t="str">
        <x:f>IFERROR(VLOOKUP($A26,'02_怪物模板_好读版'!$A:$Z,13,FALSE),"REVIEW")</x:f>
        <x:v>REVIEW</x:v>
      </x:c>
      <x:c r="P26" s="6" t="s">
        <x:v>58</x:v>
      </x:c>
      <x:c r="Q26" s="6" t="s">
        <x:v>59</x:v>
      </x:c>
      <x:c r="R26" s="6" t="s">
        <x:v>73</x:v>
      </x:c>
      <x:c r="S26" s="6" t="s">
        <x:v>74</x:v>
      </x:c>
      <x:c r="T26" s="6" t="s">
        <x:v>88</x:v>
      </x:c>
      <x:c r="U26" s="6" t="s">
        <x:v>63</x:v>
      </x:c>
      <x:c r="V26" s="6" t="s">
        <x:v>44</x:v>
      </x:c>
    </x:row>
    <x:row r="27" ht="22" customHeight="1">
      <x:c r="A27" s="6" t="s">
        <x:v>162</x:v>
      </x:c>
      <x:c r="B27" s="6" t="s">
        <x:v>163</x:v>
      </x:c>
      <x:c r="C27" s="6" t="s">
        <x:v>164</x:v>
      </x:c>
      <x:c r="D27" s="6" t="s">
        <x:v>43</x:v>
      </x:c>
      <x:c r="E27" s="6" t="s">
        <x:v>44</x:v>
      </x:c>
      <x:c r="F27" s="6" t="s">
        <x:v>45</x:v>
      </x:c>
      <x:c r="G27" s="6" t="s">
        <x:v>80</x:v>
      </x:c>
      <x:c r="H27" s="6" t="s">
        <x:v>165</x:v>
      </x:c>
      <x:c r="I27" s="7" t="n">
        <x:f>IFERROR(VLOOKUP($A27,'02_怪物模板_好读版'!$A:$S,15,FALSE),0)+IFERROR(VLOOKUP($A27,'02_怪物模板_好读版'!$A:$S,16,FALSE),0)</x:f>
        <x:v>127</x:v>
      </x:c>
      <x:c r="J27" s="7" t="n">
        <x:f>IFERROR(VLOOKUP($A27,'02_怪物模板_好读版'!$A:$Z,8,FALSE),20)</x:f>
        <x:v>20</x:v>
      </x:c>
      <x:c r="K27" s="7" t="n">
        <x:f>IFERROR(VLOOKUP($A27,'02_怪物模板_好读版'!$A:$Z,9,FALSE),3)</x:f>
        <x:v>3</x:v>
      </x:c>
      <x:c r="L27" s="7" t="n">
        <x:f>IFERROR(VLOOKUP($A27,'02_怪物模板_好读版'!$A:$Z,10,FALSE),0)</x:f>
        <x:v>0</x:v>
      </x:c>
      <x:c r="M27" s="7" t="n">
        <x:f>IFERROR(VLOOKUP($A27,'02_怪物模板_好读版'!$A:$Z,11,FALSE),6)</x:f>
        <x:v>6</x:v>
      </x:c>
      <x:c r="N27" s="7" t="n">
        <x:f>IFERROR(VLOOKUP($A27,'02_怪物模板_好读版'!$A:$Z,12,FALSE),4)</x:f>
        <x:v>4</x:v>
      </x:c>
      <x:c r="O27" s="7" t="str">
        <x:f>IFERROR(VLOOKUP($A27,'02_怪物模板_好读版'!$A:$Z,13,FALSE),"mech_steal_reward,mech_pierce_shield")</x:f>
        <x:v>mech_steal_reward,mech_pierce_shield</x:v>
      </x:c>
      <x:c r="P27" s="6" t="s">
        <x:v>48</x:v>
      </x:c>
      <x:c r="Q27" s="6" t="s">
        <x:v>49</x:v>
      </x:c>
      <x:c r="R27" s="6" t="s">
        <x:v>50</x:v>
      </x:c>
      <x:c r="S27" s="6" t="s">
        <x:v>51</x:v>
      </x:c>
      <x:c r="T27" s="6" t="s">
        <x:v>166</x:v>
      </x:c>
      <x:c r="U27" s="6" t="s">
        <x:v>53</x:v>
      </x:c>
      <x:c r="V27" s="6" t="s">
        <x:v>44</x:v>
      </x:c>
    </x:row>
    <x:row r="28" ht="22" customHeight="1">
      <x:c r="A28" s="6" t="s">
        <x:v>167</x:v>
      </x:c>
      <x:c r="B28" s="6" t="s">
        <x:v>168</x:v>
      </x:c>
      <x:c r="C28" s="6" t="s">
        <x:v>169</x:v>
      </x:c>
      <x:c r="D28" s="6" t="s">
        <x:v>43</x:v>
      </x:c>
      <x:c r="E28" s="6" t="s">
        <x:v>44</x:v>
      </x:c>
      <x:c r="F28" s="6" t="s">
        <x:v>45</x:v>
      </x:c>
      <x:c r="G28" s="6" t="s">
        <x:v>80</x:v>
      </x:c>
      <x:c r="H28" s="6" t="s">
        <x:v>165</x:v>
      </x:c>
      <x:c r="I28" s="7" t="n">
        <x:f>IFERROR(VLOOKUP($A28,'02_怪物模板_好读版'!$A:$S,15,FALSE),0)+IFERROR(VLOOKUP($A28,'02_怪物模板_好读版'!$A:$S,16,FALSE),0)</x:f>
        <x:v>0</x:v>
      </x:c>
      <x:c r="J28" s="7" t="n">
        <x:f>IFERROR(VLOOKUP($A28,'02_怪物模板_好读版'!$A:$Z,8,FALSE),20)</x:f>
        <x:v>20</x:v>
      </x:c>
      <x:c r="K28" s="7" t="n">
        <x:f>IFERROR(VLOOKUP($A28,'02_怪物模板_好读版'!$A:$Z,9,FALSE),8)</x:f>
        <x:v>8</x:v>
      </x:c>
      <x:c r="L28" s="7" t="n">
        <x:f>IFERROR(VLOOKUP($A28,'02_怪物模板_好读版'!$A:$Z,10,FALSE),0)</x:f>
        <x:v>0</x:v>
      </x:c>
      <x:c r="M28" s="7" t="n">
        <x:f>IFERROR(VLOOKUP($A28,'02_怪物模板_好读版'!$A:$Z,11,FALSE),0)</x:f>
        <x:v>0</x:v>
      </x:c>
      <x:c r="N28" s="7" t="n">
        <x:f>IFERROR(VLOOKUP($A28,'02_怪物模板_好读版'!$A:$Z,12,FALSE),4)</x:f>
        <x:v>4</x:v>
      </x:c>
      <x:c r="O28" s="7" t="str">
        <x:f>IFERROR(VLOOKUP($A28,'02_怪物模板_好读版'!$A:$Z,13,FALSE),"mech_aura")</x:f>
        <x:v>mech_aura</x:v>
      </x:c>
      <x:c r="P28" s="6" t="s">
        <x:v>48</x:v>
      </x:c>
      <x:c r="Q28" s="6" t="s">
        <x:v>49</x:v>
      </x:c>
      <x:c r="R28" s="6" t="s">
        <x:v>50</x:v>
      </x:c>
      <x:c r="S28" s="6" t="s">
        <x:v>51</x:v>
      </x:c>
      <x:c r="T28" s="6" t="s">
        <x:v>166</x:v>
      </x:c>
      <x:c r="U28" s="6" t="s">
        <x:v>53</x:v>
      </x:c>
      <x:c r="V28" s="6" t="s">
        <x:v>44</x:v>
      </x:c>
    </x:row>
    <x:row r="29" ht="22" customHeight="1">
      <x:c r="A29" s="6" t="s">
        <x:v>170</x:v>
      </x:c>
      <x:c r="B29" s="6" t="s">
        <x:v>171</x:v>
      </x:c>
      <x:c r="C29" s="6" t="s">
        <x:v>172</x:v>
      </x:c>
      <x:c r="D29" s="6" t="s">
        <x:v>43</x:v>
      </x:c>
      <x:c r="E29" s="6" t="s">
        <x:v>71</x:v>
      </x:c>
      <x:c r="F29" s="6" t="s">
        <x:v>45</x:v>
      </x:c>
      <x:c r="G29" s="6" t="s">
        <x:v>46</x:v>
      </x:c>
      <x:c r="H29" s="6" t="s">
        <x:v>72</x:v>
      </x:c>
      <x:c r="I29" s="7" t="n">
        <x:f>IFERROR(VLOOKUP($A29,'02_怪物模板_好读版'!$A:$S,15,FALSE),0)+IFERROR(VLOOKUP($A29,'02_怪物模板_好读版'!$A:$S,16,FALSE),0)</x:f>
        <x:v>0</x:v>
      </x:c>
      <x:c r="J29" s="7" t="n">
        <x:f>IFERROR(VLOOKUP($A29,'02_怪物模板_好读版'!$A:$Z,8,FALSE),10)</x:f>
        <x:v>10</x:v>
      </x:c>
      <x:c r="K29" s="7" t="n">
        <x:f>IFERROR(VLOOKUP($A29,'02_怪物模板_好读版'!$A:$Z,9,FALSE),3)</x:f>
        <x:v>3</x:v>
      </x:c>
      <x:c r="L29" s="7" t="n">
        <x:f>IFERROR(VLOOKUP($A29,'02_怪物模板_好读版'!$A:$Z,10,FALSE),0)</x:f>
        <x:v>0</x:v>
      </x:c>
      <x:c r="M29" s="7" t="n">
        <x:f>IFERROR(VLOOKUP($A29,'02_怪物模板_好读版'!$A:$Z,11,FALSE),0)</x:f>
        <x:v>0</x:v>
      </x:c>
      <x:c r="N29" s="7" t="n">
        <x:f>IFERROR(VLOOKUP($A29,'02_怪物模板_好读版'!$A:$Z,12,FALSE),3)</x:f>
        <x:v>3</x:v>
      </x:c>
      <x:c r="O29" s="7" t="str">
        <x:f>IFERROR(VLOOKUP($A29,'02_怪物模板_好读版'!$A:$Z,13,FALSE),"REVIEW")</x:f>
        <x:v>REVIEW</x:v>
      </x:c>
      <x:c r="P29" s="6" t="s">
        <x:v>58</x:v>
      </x:c>
      <x:c r="Q29" s="6" t="s">
        <x:v>59</x:v>
      </x:c>
      <x:c r="R29" s="6" t="s">
        <x:v>73</x:v>
      </x:c>
      <x:c r="S29" s="6" t="s">
        <x:v>74</x:v>
      </x:c>
      <x:c r="T29" s="6" t="s">
        <x:v>75</x:v>
      </x:c>
      <x:c r="U29" s="6" t="s">
        <x:v>63</x:v>
      </x:c>
      <x:c r="V29" s="6" t="s">
        <x:v>44</x:v>
      </x:c>
    </x:row>
    <x:row r="30" ht="22" customHeight="1">
      <x:c r="A30" s="6" t="s">
        <x:v>173</x:v>
      </x:c>
      <x:c r="B30" s="6" t="s">
        <x:v>174</x:v>
      </x:c>
      <x:c r="C30" s="6" t="s">
        <x:v>175</x:v>
      </x:c>
      <x:c r="D30" s="6" t="s">
        <x:v>43</x:v>
      </x:c>
      <x:c r="E30" s="6" t="s">
        <x:v>44</x:v>
      </x:c>
      <x:c r="F30" s="6" t="s">
        <x:v>45</x:v>
      </x:c>
      <x:c r="G30" s="6" t="s">
        <x:v>80</x:v>
      </x:c>
      <x:c r="H30" s="6" t="s">
        <x:v>47</x:v>
      </x:c>
      <x:c r="I30" s="7" t="n">
        <x:f>IFERROR(VLOOKUP($A30,'02_怪物模板_好读版'!$A:$S,15,FALSE),0)+IFERROR(VLOOKUP($A30,'02_怪物模板_好读版'!$A:$S,16,FALSE),0)</x:f>
        <x:v>132</x:v>
      </x:c>
      <x:c r="J30" s="7" t="n">
        <x:f>IFERROR(VLOOKUP($A30,'02_怪物模板_好读版'!$A:$Z,8,FALSE),25)</x:f>
        <x:v>25</x:v>
      </x:c>
      <x:c r="K30" s="7" t="n">
        <x:f>IFERROR(VLOOKUP($A30,'02_怪物模板_好读版'!$A:$Z,9,FALSE),2)</x:f>
        <x:v>2</x:v>
      </x:c>
      <x:c r="L30" s="7" t="n">
        <x:f>IFERROR(VLOOKUP($A30,'02_怪物模板_好读版'!$A:$Z,10,FALSE),0)</x:f>
        <x:v>0</x:v>
      </x:c>
      <x:c r="M30" s="7" t="n">
        <x:f>IFERROR(VLOOKUP($A30,'02_怪物模板_好读版'!$A:$Z,11,FALSE),6)</x:f>
        <x:v>6</x:v>
      </x:c>
      <x:c r="N30" s="7" t="n">
        <x:f>IFERROR(VLOOKUP($A30,'02_怪物模板_好读版'!$A:$Z,12,FALSE),3)</x:f>
        <x:v>3</x:v>
      </x:c>
      <x:c r="O30" s="7" t="str">
        <x:f>IFERROR(VLOOKUP($A30,'02_怪物模板_好读版'!$A:$Z,13,FALSE),"mech_aura,mech_curse")</x:f>
        <x:v>mech_aura,mech_curse</x:v>
      </x:c>
      <x:c r="P30" s="6" t="s">
        <x:v>48</x:v>
      </x:c>
      <x:c r="Q30" s="6" t="s">
        <x:v>49</x:v>
      </x:c>
      <x:c r="R30" s="6" t="s">
        <x:v>50</x:v>
      </x:c>
      <x:c r="S30" s="6" t="s">
        <x:v>51</x:v>
      </x:c>
      <x:c r="T30" s="6" t="s">
        <x:v>52</x:v>
      </x:c>
      <x:c r="U30" s="6" t="s">
        <x:v>53</x:v>
      </x:c>
      <x:c r="V30" s="6" t="s">
        <x:v>176</x:v>
      </x:c>
    </x:row>
    <x:row r="31" ht="22" customHeight="1">
      <x:c r="A31" s="6" t="s">
        <x:v>177</x:v>
      </x:c>
      <x:c r="B31" s="6" t="s">
        <x:v>178</x:v>
      </x:c>
      <x:c r="C31" s="6" t="s">
        <x:v>179</x:v>
      </x:c>
      <x:c r="D31" s="6" t="s">
        <x:v>43</x:v>
      </x:c>
      <x:c r="E31" s="6" t="s">
        <x:v>71</x:v>
      </x:c>
      <x:c r="F31" s="6" t="s">
        <x:v>45</x:v>
      </x:c>
      <x:c r="G31" s="6" t="s">
        <x:v>106</x:v>
      </x:c>
      <x:c r="H31" s="6" t="s">
        <x:v>72</x:v>
      </x:c>
      <x:c r="I31" s="7" t="n">
        <x:f>IFERROR(VLOOKUP($A31,'02_怪物模板_好读版'!$A:$S,15,FALSE),0)+IFERROR(VLOOKUP($A31,'02_怪物模板_好读版'!$A:$S,16,FALSE),0)</x:f>
        <x:v>0</x:v>
      </x:c>
      <x:c r="J31" s="7" t="n">
        <x:f>IFERROR(VLOOKUP($A31,'02_怪物模板_好读版'!$A:$Z,8,FALSE),25)</x:f>
        <x:v>25</x:v>
      </x:c>
      <x:c r="K31" s="7" t="n">
        <x:f>IFERROR(VLOOKUP($A31,'02_怪物模板_好读版'!$A:$Z,9,FALSE),24)</x:f>
        <x:v>24</x:v>
      </x:c>
      <x:c r="L31" s="7" t="n">
        <x:f>IFERROR(VLOOKUP($A31,'02_怪物模板_好读版'!$A:$Z,10,FALSE),0)</x:f>
        <x:v>0</x:v>
      </x:c>
      <x:c r="M31" s="7" t="n">
        <x:f>IFERROR(VLOOKUP($A31,'02_怪物模板_好读版'!$A:$Z,11,FALSE),0)</x:f>
        <x:v>0</x:v>
      </x:c>
      <x:c r="N31" s="7" t="n">
        <x:f>IFERROR(VLOOKUP($A31,'02_怪物模板_好读版'!$A:$Z,12,FALSE),3)</x:f>
        <x:v>3</x:v>
      </x:c>
      <x:c r="O31" s="7" t="str">
        <x:f>IFERROR(VLOOKUP($A31,'02_怪物模板_好读版'!$A:$Z,13,FALSE),"REVIEW")</x:f>
        <x:v>REVIEW</x:v>
      </x:c>
      <x:c r="P31" s="6" t="s">
        <x:v>58</x:v>
      </x:c>
      <x:c r="Q31" s="6" t="s">
        <x:v>59</x:v>
      </x:c>
      <x:c r="R31" s="6" t="s">
        <x:v>73</x:v>
      </x:c>
      <x:c r="S31" s="6" t="s">
        <x:v>74</x:v>
      </x:c>
      <x:c r="T31" s="6" t="s">
        <x:v>75</x:v>
      </x:c>
      <x:c r="U31" s="6" t="s">
        <x:v>63</x:v>
      </x:c>
      <x:c r="V31" s="6" t="s">
        <x:v>44</x:v>
      </x:c>
    </x:row>
    <x:row r="32" ht="22" customHeight="1">
      <x:c r="A32" s="6" t="s">
        <x:v>180</x:v>
      </x:c>
      <x:c r="B32" s="6" t="s">
        <x:v>181</x:v>
      </x:c>
      <x:c r="C32" s="6" t="s">
        <x:v>182</x:v>
      </x:c>
      <x:c r="D32" s="6" t="s">
        <x:v>87</x:v>
      </x:c>
      <x:c r="E32" s="6" t="s">
        <x:v>44</x:v>
      </x:c>
      <x:c r="F32" s="6" t="s">
        <x:v>45</x:v>
      </x:c>
      <x:c r="G32" s="6" t="s">
        <x:v>80</x:v>
      </x:c>
      <x:c r="H32" s="6" t="s">
        <x:v>72</x:v>
      </x:c>
      <x:c r="I32" s="7" t="n">
        <x:f>IFERROR(VLOOKUP($A32,'02_怪物模板_好读版'!$A:$S,15,FALSE),0)+IFERROR(VLOOKUP($A32,'02_怪物模板_好读版'!$A:$S,16,FALSE),0)</x:f>
        <x:v>100</x:v>
      </x:c>
      <x:c r="J32" s="7" t="n">
        <x:f>IFERROR(VLOOKUP($A32,'02_怪物模板_好读版'!$A:$Z,8,FALSE),25)</x:f>
        <x:v>25</x:v>
      </x:c>
      <x:c r="K32" s="7" t="n">
        <x:f>IFERROR(VLOOKUP($A32,'02_怪物模板_好读版'!$A:$Z,9,FALSE),2)</x:f>
        <x:v>2</x:v>
      </x:c>
      <x:c r="L32" s="7" t="n">
        <x:f>IFERROR(VLOOKUP($A32,'02_怪物模板_好读版'!$A:$Z,10,FALSE),0)</x:f>
        <x:v>0</x:v>
      </x:c>
      <x:c r="M32" s="7" t="n">
        <x:f>IFERROR(VLOOKUP($A32,'02_怪物模板_好读版'!$A:$Z,11,FALSE),6)</x:f>
        <x:v>6</x:v>
      </x:c>
      <x:c r="N32" s="7" t="n">
        <x:f>IFERROR(VLOOKUP($A32,'02_怪物模板_好读版'!$A:$Z,12,FALSE),3)</x:f>
        <x:v>3</x:v>
      </x:c>
      <x:c r="O32" s="7" t="str">
        <x:f>IFERROR(VLOOKUP($A32,'02_怪物模板_好读版'!$A:$Z,13,FALSE),"mech_grow_shield")</x:f>
        <x:v>mech_grow_shield</x:v>
      </x:c>
      <x:c r="P32" s="6" t="s">
        <x:v>58</x:v>
      </x:c>
      <x:c r="Q32" s="6" t="s">
        <x:v>59</x:v>
      </x:c>
      <x:c r="R32" s="6" t="s">
        <x:v>73</x:v>
      </x:c>
      <x:c r="S32" s="6" t="s">
        <x:v>74</x:v>
      </x:c>
      <x:c r="T32" s="6" t="s">
        <x:v>88</x:v>
      </x:c>
      <x:c r="U32" s="6" t="s">
        <x:v>63</x:v>
      </x:c>
      <x:c r="V32" s="6" t="s">
        <x:v>44</x:v>
      </x:c>
    </x:row>
    <x:row r="33" ht="22" customHeight="1">
      <x:c r="A33" s="6" t="s">
        <x:v>183</x:v>
      </x:c>
      <x:c r="B33" s="6" t="s">
        <x:v>184</x:v>
      </x:c>
      <x:c r="C33" s="6" t="s">
        <x:v>185</x:v>
      </x:c>
      <x:c r="D33" s="6" t="s">
        <x:v>120</x:v>
      </x:c>
      <x:c r="E33" s="6" t="s">
        <x:v>145</x:v>
      </x:c>
      <x:c r="F33" s="6" t="s">
        <x:v>45</x:v>
      </x:c>
      <x:c r="G33" s="6" t="s">
        <x:v>80</x:v>
      </x:c>
      <x:c r="H33" s="6" t="s">
        <x:v>57</x:v>
      </x:c>
      <x:c r="I33" s="7" t="n">
        <x:f>IFERROR(VLOOKUP($A33,'02_怪物模板_好读版'!$A:$S,15,FALSE),0)+IFERROR(VLOOKUP($A33,'02_怪物模板_好读版'!$A:$S,16,FALSE),0)</x:f>
        <x:v>94</x:v>
      </x:c>
      <x:c r="J33" s="7" t="n">
        <x:f>IFERROR(VLOOKUP($A33,'02_怪物模板_好读版'!$A:$Z,8,FALSE),30)</x:f>
        <x:v>30</x:v>
      </x:c>
      <x:c r="K33" s="7" t="n">
        <x:f>IFERROR(VLOOKUP($A33,'02_怪物模板_好读版'!$A:$Z,9,FALSE),3)</x:f>
        <x:v>3</x:v>
      </x:c>
      <x:c r="L33" s="7" t="n">
        <x:f>IFERROR(VLOOKUP($A33,'02_怪物模板_好读版'!$A:$Z,10,FALSE),0)</x:f>
        <x:v>0</x:v>
      </x:c>
      <x:c r="M33" s="7" t="n">
        <x:f>IFERROR(VLOOKUP($A33,'02_怪物模板_好读版'!$A:$Z,11,FALSE),0)</x:f>
        <x:v>0</x:v>
      </x:c>
      <x:c r="N33" s="7" t="n">
        <x:f>IFERROR(VLOOKUP($A33,'02_怪物模板_好读版'!$A:$Z,12,FALSE),3)</x:f>
        <x:v>3</x:v>
      </x:c>
      <x:c r="O33" s="7" t="str">
        <x:f>IFERROR(VLOOKUP($A33,'02_怪物模板_好读版'!$A:$Z,13,FALSE),"mech_damage_cap")</x:f>
        <x:v>mech_damage_cap</x:v>
      </x:c>
      <x:c r="P33" s="6" t="s">
        <x:v>58</x:v>
      </x:c>
      <x:c r="Q33" s="6" t="s">
        <x:v>59</x:v>
      </x:c>
      <x:c r="R33" s="6" t="s">
        <x:v>60</x:v>
      </x:c>
      <x:c r="S33" s="6" t="s">
        <x:v>61</x:v>
      </x:c>
      <x:c r="T33" s="6" t="s">
        <x:v>122</x:v>
      </x:c>
      <x:c r="U33" s="6" t="s">
        <x:v>63</x:v>
      </x:c>
      <x:c r="V33" s="6" t="s">
        <x:v>64</x:v>
      </x:c>
    </x:row>
    <x:row r="34" ht="22" customHeight="1">
      <x:c r="A34" s="6" t="s">
        <x:v>186</x:v>
      </x:c>
      <x:c r="B34" s="6" t="s">
        <x:v>187</x:v>
      </x:c>
      <x:c r="C34" s="6" t="s">
        <x:v>188</x:v>
      </x:c>
      <x:c r="D34" s="6" t="s">
        <x:v>43</x:v>
      </x:c>
      <x:c r="E34" s="6" t="s">
        <x:v>71</x:v>
      </x:c>
      <x:c r="F34" s="6" t="s">
        <x:v>45</x:v>
      </x:c>
      <x:c r="G34" s="6" t="s">
        <x:v>80</x:v>
      </x:c>
      <x:c r="H34" s="6" t="s">
        <x:v>57</x:v>
      </x:c>
      <x:c r="I34" s="7" t="n">
        <x:f>IFERROR(VLOOKUP($A34,'02_怪物模板_好读版'!$A:$S,15,FALSE),0)+IFERROR(VLOOKUP($A34,'02_怪物模板_好读版'!$A:$S,16,FALSE),0)</x:f>
        <x:v>0</x:v>
      </x:c>
      <x:c r="J34" s="7" t="n">
        <x:f>IFERROR(VLOOKUP($A34,'02_怪物模板_好读版'!$A:$Z,8,FALSE),15)</x:f>
        <x:v>15</x:v>
      </x:c>
      <x:c r="K34" s="7" t="n">
        <x:f>IFERROR(VLOOKUP($A34,'02_怪物模板_好读版'!$A:$Z,9,FALSE),4)</x:f>
        <x:v>4</x:v>
      </x:c>
      <x:c r="L34" s="7" t="n">
        <x:f>IFERROR(VLOOKUP($A34,'02_怪物模板_好读版'!$A:$Z,10,FALSE),0)</x:f>
        <x:v>0</x:v>
      </x:c>
      <x:c r="M34" s="7" t="n">
        <x:f>IFERROR(VLOOKUP($A34,'02_怪物模板_好读版'!$A:$Z,11,FALSE),6)</x:f>
        <x:v>6</x:v>
      </x:c>
      <x:c r="N34" s="7" t="n">
        <x:f>IFERROR(VLOOKUP($A34,'02_怪物模板_好读版'!$A:$Z,12,FALSE),3)</x:f>
        <x:v>3</x:v>
      </x:c>
      <x:c r="O34" s="7" t="str">
        <x:f>IFERROR(VLOOKUP($A34,'02_怪物模板_好读版'!$A:$Z,13,FALSE),"REVIEW")</x:f>
        <x:v>REVIEW</x:v>
      </x:c>
      <x:c r="P34" s="6" t="s">
        <x:v>58</x:v>
      </x:c>
      <x:c r="Q34" s="6" t="s">
        <x:v>59</x:v>
      </x:c>
      <x:c r="R34" s="6" t="s">
        <x:v>60</x:v>
      </x:c>
      <x:c r="S34" s="6" t="s">
        <x:v>61</x:v>
      </x:c>
      <x:c r="T34" s="6" t="s">
        <x:v>62</x:v>
      </x:c>
      <x:c r="U34" s="6" t="s">
        <x:v>63</x:v>
      </x:c>
      <x:c r="V34" s="6" t="s">
        <x:v>64</x:v>
      </x:c>
    </x:row>
    <x:row r="35" ht="22" customHeight="1">
      <x:c r="A35" s="6" t="s">
        <x:v>189</x:v>
      </x:c>
      <x:c r="B35" s="6" t="s">
        <x:v>190</x:v>
      </x:c>
      <x:c r="C35" s="6" t="s">
        <x:v>191</x:v>
      </x:c>
      <x:c r="D35" s="6" t="s">
        <x:v>43</x:v>
      </x:c>
      <x:c r="E35" s="6" t="s">
        <x:v>44</x:v>
      </x:c>
      <x:c r="F35" s="6" t="s">
        <x:v>45</x:v>
      </x:c>
      <x:c r="G35" s="6" t="s">
        <x:v>46</x:v>
      </x:c>
      <x:c r="H35" s="6" t="s">
        <x:v>47</x:v>
      </x:c>
      <x:c r="I35" s="7" t="n">
        <x:f>IFERROR(VLOOKUP($A35,'02_怪物模板_好读版'!$A:$S,15,FALSE),0)+IFERROR(VLOOKUP($A35,'02_怪物模板_好读版'!$A:$S,16,FALSE),0)</x:f>
        <x:v>0</x:v>
      </x:c>
      <x:c r="J35" s="7" t="n">
        <x:f>IFERROR(VLOOKUP($A35,'02_怪物模板_好读版'!$A:$Z,8,FALSE),10)</x:f>
        <x:v>10</x:v>
      </x:c>
      <x:c r="K35" s="7" t="n">
        <x:f>IFERROR(VLOOKUP($A35,'02_怪物模板_好读版'!$A:$Z,9,FALSE),3)</x:f>
        <x:v>3</x:v>
      </x:c>
      <x:c r="L35" s="7" t="n">
        <x:f>IFERROR(VLOOKUP($A35,'02_怪物模板_好读版'!$A:$Z,10,FALSE),0)</x:f>
        <x:v>0</x:v>
      </x:c>
      <x:c r="M35" s="7" t="n">
        <x:f>IFERROR(VLOOKUP($A35,'02_怪物模板_好读版'!$A:$Z,11,FALSE),0)</x:f>
        <x:v>0</x:v>
      </x:c>
      <x:c r="N35" s="7" t="n">
        <x:f>IFERROR(VLOOKUP($A35,'02_怪物模板_好读版'!$A:$Z,12,FALSE),3)</x:f>
        <x:v>3</x:v>
      </x:c>
      <x:c r="O35" s="7" t="str">
        <x:f>IFERROR(VLOOKUP($A35,'02_怪物模板_好读版'!$A:$Z,13,FALSE),"mech_aura")</x:f>
        <x:v>mech_aura</x:v>
      </x:c>
      <x:c r="P35" s="6" t="s">
        <x:v>48</x:v>
      </x:c>
      <x:c r="Q35" s="6" t="s">
        <x:v>49</x:v>
      </x:c>
      <x:c r="R35" s="6" t="s">
        <x:v>50</x:v>
      </x:c>
      <x:c r="S35" s="6" t="s">
        <x:v>51</x:v>
      </x:c>
      <x:c r="T35" s="6" t="s">
        <x:v>52</x:v>
      </x:c>
      <x:c r="U35" s="6" t="s">
        <x:v>53</x:v>
      </x:c>
      <x:c r="V35" s="6" t="s">
        <x:v>44</x:v>
      </x:c>
    </x:row>
    <x:row r="36" ht="22" customHeight="1">
      <x:c r="A36" s="6" t="s">
        <x:v>192</x:v>
      </x:c>
      <x:c r="B36" s="6" t="s">
        <x:v>193</x:v>
      </x:c>
      <x:c r="C36" s="6" t="s">
        <x:v>194</x:v>
      </x:c>
      <x:c r="D36" s="6" t="s">
        <x:v>43</x:v>
      </x:c>
      <x:c r="E36" s="6" t="s">
        <x:v>71</x:v>
      </x:c>
      <x:c r="F36" s="6" t="s">
        <x:v>45</x:v>
      </x:c>
      <x:c r="G36" s="6" t="s">
        <x:v>46</x:v>
      </x:c>
      <x:c r="H36" s="6" t="s">
        <x:v>50</x:v>
      </x:c>
      <x:c r="I36" s="7" t="n">
        <x:f>IFERROR(VLOOKUP($A36,'02_怪物模板_好读版'!$A:$S,15,FALSE),0)+IFERROR(VLOOKUP($A36,'02_怪物模板_好读版'!$A:$S,16,FALSE),0)</x:f>
        <x:v>0</x:v>
      </x:c>
      <x:c r="J36" s="7" t="n">
        <x:f>IFERROR(VLOOKUP($A36,'02_怪物模板_好读版'!$A:$Z,8,FALSE),10)</x:f>
        <x:v>10</x:v>
      </x:c>
      <x:c r="K36" s="7" t="n">
        <x:f>IFERROR(VLOOKUP($A36,'02_怪物模板_好读版'!$A:$Z,9,FALSE),3)</x:f>
        <x:v>3</x:v>
      </x:c>
      <x:c r="L36" s="7" t="n">
        <x:f>IFERROR(VLOOKUP($A36,'02_怪物模板_好读版'!$A:$Z,10,FALSE),0)</x:f>
        <x:v>0</x:v>
      </x:c>
      <x:c r="M36" s="7" t="n">
        <x:f>IFERROR(VLOOKUP($A36,'02_怪物模板_好读版'!$A:$Z,11,FALSE),0)</x:f>
        <x:v>0</x:v>
      </x:c>
      <x:c r="N36" s="7" t="n">
        <x:f>IFERROR(VLOOKUP($A36,'02_怪物模板_好读版'!$A:$Z,12,FALSE),3)</x:f>
        <x:v>3</x:v>
      </x:c>
      <x:c r="O36" s="7" t="str">
        <x:f>IFERROR(VLOOKUP($A36,'02_怪物模板_好读版'!$A:$Z,13,FALSE),"mech_aura")</x:f>
        <x:v>mech_aura</x:v>
      </x:c>
      <x:c r="P36" s="6" t="s">
        <x:v>48</x:v>
      </x:c>
      <x:c r="Q36" s="6" t="s">
        <x:v>49</x:v>
      </x:c>
      <x:c r="R36" s="6" t="s">
        <x:v>50</x:v>
      </x:c>
      <x:c r="S36" s="6" t="s">
        <x:v>51</x:v>
      </x:c>
      <x:c r="T36" s="6" t="s">
        <x:v>195</x:v>
      </x:c>
      <x:c r="U36" s="6" t="s">
        <x:v>53</x:v>
      </x:c>
      <x:c r="V36" s="6" t="s">
        <x:v>44</x:v>
      </x:c>
    </x:row>
    <x:row r="37" ht="22" customHeight="1">
      <x:c r="A37" s="6" t="s">
        <x:v>196</x:v>
      </x:c>
      <x:c r="B37" s="6" t="s">
        <x:v>197</x:v>
      </x:c>
      <x:c r="C37" s="6" t="s">
        <x:v>198</x:v>
      </x:c>
      <x:c r="D37" s="6" t="s">
        <x:v>43</x:v>
      </x:c>
      <x:c r="E37" s="6" t="s">
        <x:v>44</x:v>
      </x:c>
      <x:c r="F37" s="6" t="s">
        <x:v>199</x:v>
      </x:c>
      <x:c r="G37" s="6" t="s">
        <x:v>46</x:v>
      </x:c>
      <x:c r="H37" s="6" t="s">
        <x:v>47</x:v>
      </x:c>
      <x:c r="I37" s="7" t="n">
        <x:f>IFERROR(VLOOKUP($A37,'02_怪物模板_好读版'!$A:$S,15,FALSE),0)+IFERROR(VLOOKUP($A37,'02_怪物模板_好读版'!$A:$S,16,FALSE),0)</x:f>
        <x:v>0</x:v>
      </x:c>
      <x:c r="J37" s="7" t="n">
        <x:f>IFERROR(VLOOKUP($A37,'02_怪物模板_好读版'!$A:$Z,8,FALSE),20)</x:f>
        <x:v>20</x:v>
      </x:c>
      <x:c r="K37" s="7" t="n">
        <x:f>IFERROR(VLOOKUP($A37,'02_怪物模板_好读版'!$A:$Z,9,FALSE),11)</x:f>
        <x:v>11</x:v>
      </x:c>
      <x:c r="L37" s="7" t="n">
        <x:f>IFERROR(VLOOKUP($A37,'02_怪物模板_好读版'!$A:$Z,10,FALSE),0)</x:f>
        <x:v>0</x:v>
      </x:c>
      <x:c r="M37" s="7" t="n">
        <x:f>IFERROR(VLOOKUP($A37,'02_怪物模板_好读版'!$A:$Z,11,FALSE),0)</x:f>
        <x:v>0</x:v>
      </x:c>
      <x:c r="N37" s="7" t="n">
        <x:f>IFERROR(VLOOKUP($A37,'02_怪物模板_好读版'!$A:$Z,12,FALSE),3)</x:f>
        <x:v>3</x:v>
      </x:c>
      <x:c r="O37" s="7" t="str">
        <x:f>IFERROR(VLOOKUP($A37,'02_怪物模板_好读版'!$A:$Z,13,FALSE),"mech_aura")</x:f>
        <x:v>mech_aura</x:v>
      </x:c>
      <x:c r="P37" s="6" t="s">
        <x:v>48</x:v>
      </x:c>
      <x:c r="Q37" s="6" t="s">
        <x:v>49</x:v>
      </x:c>
      <x:c r="R37" s="6" t="s">
        <x:v>50</x:v>
      </x:c>
      <x:c r="S37" s="6" t="s">
        <x:v>51</x:v>
      </x:c>
      <x:c r="T37" s="6" t="s">
        <x:v>52</x:v>
      </x:c>
      <x:c r="U37" s="6" t="s">
        <x:v>53</x:v>
      </x:c>
      <x:c r="V37" s="6" t="s">
        <x:v>176</x:v>
      </x:c>
    </x:row>
    <x:row r="38" ht="22" customHeight="1">
      <x:c r="A38" s="6" t="s">
        <x:v>200</x:v>
      </x:c>
      <x:c r="B38" s="6" t="s">
        <x:v>201</x:v>
      </x:c>
      <x:c r="C38" s="6" t="s">
        <x:v>202</x:v>
      </x:c>
      <x:c r="D38" s="6" t="s">
        <x:v>43</x:v>
      </x:c>
      <x:c r="E38" s="6" t="s">
        <x:v>44</x:v>
      </x:c>
      <x:c r="F38" s="6" t="s">
        <x:v>199</x:v>
      </x:c>
      <x:c r="G38" s="6" t="s">
        <x:v>46</x:v>
      </x:c>
      <x:c r="H38" s="6" t="s">
        <x:v>165</x:v>
      </x:c>
      <x:c r="I38" s="7" t="n">
        <x:f>IFERROR(VLOOKUP($A38,'02_怪物模板_好读版'!$A:$S,15,FALSE),0)+IFERROR(VLOOKUP($A38,'02_怪物模板_好读版'!$A:$S,16,FALSE),0)</x:f>
        <x:v>0</x:v>
      </x:c>
      <x:c r="J38" s="7" t="n">
        <x:f>IFERROR(VLOOKUP($A38,'02_怪物模板_好读版'!$A:$Z,8,FALSE),10)</x:f>
        <x:v>10</x:v>
      </x:c>
      <x:c r="K38" s="7" t="n">
        <x:f>IFERROR(VLOOKUP($A38,'02_怪物模板_好读版'!$A:$Z,9,FALSE),17)</x:f>
        <x:v>17</x:v>
      </x:c>
      <x:c r="L38" s="7" t="n">
        <x:f>IFERROR(VLOOKUP($A38,'02_怪物模板_好读版'!$A:$Z,10,FALSE),0)</x:f>
        <x:v>0</x:v>
      </x:c>
      <x:c r="M38" s="7" t="n">
        <x:f>IFERROR(VLOOKUP($A38,'02_怪物模板_好读版'!$A:$Z,11,FALSE),0)</x:f>
        <x:v>0</x:v>
      </x:c>
      <x:c r="N38" s="7" t="n">
        <x:f>IFERROR(VLOOKUP($A38,'02_怪物模板_好读版'!$A:$Z,12,FALSE),3)</x:f>
        <x:v>3</x:v>
      </x:c>
      <x:c r="O38" s="7" t="str">
        <x:f>IFERROR(VLOOKUP($A38,'02_怪物模板_好读版'!$A:$Z,13,FALSE),"REVIEW")</x:f>
        <x:v>REVIEW</x:v>
      </x:c>
      <x:c r="P38" s="6" t="s">
        <x:v>111</x:v>
      </x:c>
      <x:c r="Q38" s="6" t="s">
        <x:v>112</x:v>
      </x:c>
      <x:c r="R38" s="6" t="s">
        <x:v>113</x:v>
      </x:c>
      <x:c r="S38" s="6" t="s">
        <x:v>114</x:v>
      </x:c>
      <x:c r="T38" s="6" t="s">
        <x:v>166</x:v>
      </x:c>
      <x:c r="U38" s="6" t="s">
        <x:v>63</x:v>
      </x:c>
      <x:c r="V38" s="6" t="s">
        <x:v>44</x:v>
      </x:c>
    </x:row>
    <x:row r="39" ht="22" customHeight="1">
      <x:c r="A39" s="6" t="s">
        <x:v>203</x:v>
      </x:c>
      <x:c r="B39" s="6" t="s">
        <x:v>204</x:v>
      </x:c>
      <x:c r="C39" s="6" t="s">
        <x:v>205</x:v>
      </x:c>
      <x:c r="D39" s="6" t="s">
        <x:v>43</x:v>
      </x:c>
      <x:c r="E39" s="6" t="s">
        <x:v>44</x:v>
      </x:c>
      <x:c r="F39" s="6" t="s">
        <x:v>199</x:v>
      </x:c>
      <x:c r="G39" s="6" t="s">
        <x:v>46</x:v>
      </x:c>
      <x:c r="H39" s="6" t="s">
        <x:v>165</x:v>
      </x:c>
      <x:c r="I39" s="7" t="n">
        <x:f>IFERROR(VLOOKUP($A39,'02_怪物模板_好读版'!$A:$S,15,FALSE),0)+IFERROR(VLOOKUP($A39,'02_怪物模板_好读版'!$A:$S,16,FALSE),0)</x:f>
        <x:v>0</x:v>
      </x:c>
      <x:c r="J39" s="7" t="n">
        <x:f>IFERROR(VLOOKUP($A39,'02_怪物模板_好读版'!$A:$Z,8,FALSE),10)</x:f>
        <x:v>10</x:v>
      </x:c>
      <x:c r="K39" s="7" t="n">
        <x:f>IFERROR(VLOOKUP($A39,'02_怪物模板_好读版'!$A:$Z,9,FALSE),17)</x:f>
        <x:v>17</x:v>
      </x:c>
      <x:c r="L39" s="7" t="n">
        <x:f>IFERROR(VLOOKUP($A39,'02_怪物模板_好读版'!$A:$Z,10,FALSE),0)</x:f>
        <x:v>0</x:v>
      </x:c>
      <x:c r="M39" s="7" t="n">
        <x:f>IFERROR(VLOOKUP($A39,'02_怪物模板_好读版'!$A:$Z,11,FALSE),0)</x:f>
        <x:v>0</x:v>
      </x:c>
      <x:c r="N39" s="7" t="n">
        <x:f>IFERROR(VLOOKUP($A39,'02_怪物模板_好读版'!$A:$Z,12,FALSE),3)</x:f>
        <x:v>3</x:v>
      </x:c>
      <x:c r="O39" s="7" t="str">
        <x:f>IFERROR(VLOOKUP($A39,'02_怪物模板_好读版'!$A:$Z,13,FALSE),"REVIEW")</x:f>
        <x:v>REVIEW</x:v>
      </x:c>
      <x:c r="P39" s="6" t="s">
        <x:v>111</x:v>
      </x:c>
      <x:c r="Q39" s="6" t="s">
        <x:v>112</x:v>
      </x:c>
      <x:c r="R39" s="6" t="s">
        <x:v>113</x:v>
      </x:c>
      <x:c r="S39" s="6" t="s">
        <x:v>114</x:v>
      </x:c>
      <x:c r="T39" s="6" t="s">
        <x:v>166</x:v>
      </x:c>
      <x:c r="U39" s="6" t="s">
        <x:v>63</x:v>
      </x:c>
      <x:c r="V39" s="6" t="s">
        <x:v>44</x:v>
      </x:c>
    </x:row>
    <x:row r="40" ht="22" customHeight="1">
      <x:c r="A40" s="6" t="s">
        <x:v>206</x:v>
      </x:c>
      <x:c r="B40" s="6" t="s">
        <x:v>207</x:v>
      </x:c>
      <x:c r="C40" s="6" t="s">
        <x:v>208</x:v>
      </x:c>
      <x:c r="D40" s="6" t="s">
        <x:v>43</x:v>
      </x:c>
      <x:c r="E40" s="6" t="s">
        <x:v>44</x:v>
      </x:c>
      <x:c r="F40" s="6" t="s">
        <x:v>199</x:v>
      </x:c>
      <x:c r="G40" s="6" t="s">
        <x:v>46</x:v>
      </x:c>
      <x:c r="H40" s="6" t="s">
        <x:v>57</x:v>
      </x:c>
      <x:c r="I40" s="7" t="n">
        <x:f>IFERROR(VLOOKUP($A40,'02_怪物模板_好读版'!$A:$S,15,FALSE),0)+IFERROR(VLOOKUP($A40,'02_怪物模板_好读版'!$A:$S,16,FALSE),0)</x:f>
        <x:v>0</x:v>
      </x:c>
      <x:c r="J40" s="7" t="n">
        <x:f>IFERROR(VLOOKUP($A40,'02_怪物模板_好读版'!$A:$Z,8,FALSE),15)</x:f>
        <x:v>15</x:v>
      </x:c>
      <x:c r="K40" s="7" t="n">
        <x:f>IFERROR(VLOOKUP($A40,'02_怪物模板_好读版'!$A:$Z,9,FALSE),8)</x:f>
        <x:v>8</x:v>
      </x:c>
      <x:c r="L40" s="7" t="n">
        <x:f>IFERROR(VLOOKUP($A40,'02_怪物模板_好读版'!$A:$Z,10,FALSE),0)</x:f>
        <x:v>0</x:v>
      </x:c>
      <x:c r="M40" s="7" t="n">
        <x:f>IFERROR(VLOOKUP($A40,'02_怪物模板_好读版'!$A:$Z,11,FALSE),6)</x:f>
        <x:v>6</x:v>
      </x:c>
      <x:c r="N40" s="7" t="n">
        <x:f>IFERROR(VLOOKUP($A40,'02_怪物模板_好读版'!$A:$Z,12,FALSE),3)</x:f>
        <x:v>3</x:v>
      </x:c>
      <x:c r="O40" s="7" t="str">
        <x:f>IFERROR(VLOOKUP($A40,'02_怪物模板_好读版'!$A:$Z,13,FALSE),"REVIEW")</x:f>
        <x:v>REVIEW</x:v>
      </x:c>
      <x:c r="P40" s="6" t="s">
        <x:v>58</x:v>
      </x:c>
      <x:c r="Q40" s="6" t="s">
        <x:v>59</x:v>
      </x:c>
      <x:c r="R40" s="6" t="s">
        <x:v>60</x:v>
      </x:c>
      <x:c r="S40" s="6" t="s">
        <x:v>61</x:v>
      </x:c>
      <x:c r="T40" s="6" t="s">
        <x:v>62</x:v>
      </x:c>
      <x:c r="U40" s="6" t="s">
        <x:v>63</x:v>
      </x:c>
      <x:c r="V40" s="6" t="s">
        <x:v>64</x:v>
      </x:c>
    </x:row>
    <x:row r="41" ht="22" customHeight="1">
      <x:c r="A41" s="6" t="s">
        <x:v>209</x:v>
      </x:c>
      <x:c r="B41" s="6" t="s">
        <x:v>210</x:v>
      </x:c>
      <x:c r="C41" s="6" t="s">
        <x:v>211</x:v>
      </x:c>
      <x:c r="D41" s="6" t="s">
        <x:v>79</x:v>
      </x:c>
      <x:c r="E41" s="6" t="s">
        <x:v>212</x:v>
      </x:c>
      <x:c r="F41" s="6" t="s">
        <x:v>199</x:v>
      </x:c>
      <x:c r="G41" s="6" t="s">
        <x:v>80</x:v>
      </x:c>
      <x:c r="H41" s="6" t="s">
        <x:v>81</x:v>
      </x:c>
      <x:c r="I41" s="7" t="n">
        <x:f>IFERROR(VLOOKUP($A41,'02_怪物模板_好读版'!$A:$S,15,FALSE),0)+IFERROR(VLOOKUP($A41,'02_怪物模板_好读版'!$A:$S,16,FALSE),0)</x:f>
        <x:v>76</x:v>
      </x:c>
      <x:c r="J41" s="7" t="n">
        <x:f>IFERROR(VLOOKUP($A41,'02_怪物模板_好读版'!$A:$Z,8,FALSE),25)</x:f>
        <x:v>25</x:v>
      </x:c>
      <x:c r="K41" s="7" t="n">
        <x:f>IFERROR(VLOOKUP($A41,'02_怪物模板_好读版'!$A:$Z,9,FALSE),4)</x:f>
        <x:v>4</x:v>
      </x:c>
      <x:c r="L41" s="7" t="n">
        <x:f>IFERROR(VLOOKUP($A41,'02_怪物模板_好读版'!$A:$Z,10,FALSE),0)</x:f>
        <x:v>0</x:v>
      </x:c>
      <x:c r="M41" s="7" t="n">
        <x:f>IFERROR(VLOOKUP($A41,'02_怪物模板_好读版'!$A:$Z,11,FALSE),0)</x:f>
        <x:v>0</x:v>
      </x:c>
      <x:c r="N41" s="7" t="n">
        <x:f>IFERROR(VLOOKUP($A41,'02_怪物模板_好读版'!$A:$Z,12,FALSE),3)</x:f>
        <x:v>3</x:v>
      </x:c>
      <x:c r="O41" s="7" t="str">
        <x:f>IFERROR(VLOOKUP($A41,'02_怪物模板_好读版'!$A:$Z,13,FALSE),"mech_counter")</x:f>
        <x:v>mech_counter</x:v>
      </x:c>
      <x:c r="P41" s="6" t="s">
        <x:v>58</x:v>
      </x:c>
      <x:c r="Q41" s="6" t="s">
        <x:v>59</x:v>
      </x:c>
      <x:c r="R41" s="6" t="s">
        <x:v>81</x:v>
      </x:c>
      <x:c r="S41" s="6" t="s">
        <x:v>61</x:v>
      </x:c>
      <x:c r="T41" s="6" t="s">
        <x:v>83</x:v>
      </x:c>
      <x:c r="U41" s="6" t="s">
        <x:v>63</x:v>
      </x:c>
      <x:c r="V41" s="6" t="s">
        <x:v>44</x:v>
      </x:c>
    </x:row>
    <x:row r="42" ht="22" customHeight="1">
      <x:c r="A42" s="6" t="s">
        <x:v>213</x:v>
      </x:c>
      <x:c r="B42" s="6" t="s">
        <x:v>214</x:v>
      </x:c>
      <x:c r="C42" s="6" t="s">
        <x:v>215</x:v>
      </x:c>
      <x:c r="D42" s="6" t="s">
        <x:v>43</x:v>
      </x:c>
      <x:c r="E42" s="6" t="s">
        <x:v>71</x:v>
      </x:c>
      <x:c r="F42" s="6" t="s">
        <x:v>199</x:v>
      </x:c>
      <x:c r="G42" s="6" t="s">
        <x:v>46</x:v>
      </x:c>
      <x:c r="H42" s="6" t="s">
        <x:v>72</x:v>
      </x:c>
      <x:c r="I42" s="7" t="n">
        <x:f>IFERROR(VLOOKUP($A42,'02_怪物模板_好读版'!$A:$S,15,FALSE),0)+IFERROR(VLOOKUP($A42,'02_怪物模板_好读版'!$A:$S,16,FALSE),0)</x:f>
        <x:v>0</x:v>
      </x:c>
      <x:c r="J42" s="7" t="n">
        <x:f>IFERROR(VLOOKUP($A42,'02_怪物模板_好读版'!$A:$Z,8,FALSE),25)</x:f>
        <x:v>25</x:v>
      </x:c>
      <x:c r="K42" s="7" t="n">
        <x:f>IFERROR(VLOOKUP($A42,'02_怪物模板_好读版'!$A:$Z,9,FALSE),12)</x:f>
        <x:v>12</x:v>
      </x:c>
      <x:c r="L42" s="7" t="n">
        <x:f>IFERROR(VLOOKUP($A42,'02_怪物模板_好读版'!$A:$Z,10,FALSE),0)</x:f>
        <x:v>0</x:v>
      </x:c>
      <x:c r="M42" s="7" t="n">
        <x:f>IFERROR(VLOOKUP($A42,'02_怪物模板_好读版'!$A:$Z,11,FALSE),0)</x:f>
        <x:v>0</x:v>
      </x:c>
      <x:c r="N42" s="7" t="n">
        <x:f>IFERROR(VLOOKUP($A42,'02_怪物模板_好读版'!$A:$Z,12,FALSE),3)</x:f>
        <x:v>3</x:v>
      </x:c>
      <x:c r="O42" s="7" t="str">
        <x:f>IFERROR(VLOOKUP($A42,'02_怪物模板_好读版'!$A:$Z,13,FALSE),"REVIEW")</x:f>
        <x:v>REVIEW</x:v>
      </x:c>
      <x:c r="P42" s="6" t="s">
        <x:v>216</x:v>
      </x:c>
      <x:c r="Q42" s="6" t="s">
        <x:v>217</x:v>
      </x:c>
      <x:c r="R42" s="6" t="s">
        <x:v>73</x:v>
      </x:c>
      <x:c r="S42" s="6" t="s">
        <x:v>74</x:v>
      </x:c>
      <x:c r="T42" s="6" t="s">
        <x:v>75</x:v>
      </x:c>
      <x:c r="U42" s="6" t="s">
        <x:v>63</x:v>
      </x:c>
      <x:c r="V42" s="6" t="s">
        <x:v>218</x:v>
      </x:c>
    </x:row>
    <x:row r="43" ht="22" customHeight="1">
      <x:c r="A43" s="6" t="s">
        <x:v>219</x:v>
      </x:c>
      <x:c r="B43" s="6" t="s">
        <x:v>220</x:v>
      </x:c>
      <x:c r="C43" s="6" t="s">
        <x:v>221</x:v>
      </x:c>
      <x:c r="D43" s="6" t="s">
        <x:v>79</x:v>
      </x:c>
      <x:c r="E43" s="6" t="s">
        <x:v>44</x:v>
      </x:c>
      <x:c r="F43" s="6" t="s">
        <x:v>199</x:v>
      </x:c>
      <x:c r="G43" s="6" t="s">
        <x:v>46</x:v>
      </x:c>
      <x:c r="H43" s="6" t="s">
        <x:v>81</x:v>
      </x:c>
      <x:c r="I43" s="7" t="n">
        <x:f>IFERROR(VLOOKUP($A43,'02_怪物模板_好读版'!$A:$S,15,FALSE),0)+IFERROR(VLOOKUP($A43,'02_怪物模板_好读版'!$A:$S,16,FALSE),0)</x:f>
        <x:v>47</x:v>
      </x:c>
      <x:c r="J43" s="7" t="n">
        <x:f>IFERROR(VLOOKUP($A43,'02_怪物模板_好读版'!$A:$Z,8,FALSE),10)</x:f>
        <x:v>10</x:v>
      </x:c>
      <x:c r="K43" s="7" t="n">
        <x:f>IFERROR(VLOOKUP($A43,'02_怪物模板_好读版'!$A:$Z,9,FALSE),2)</x:f>
        <x:v>2</x:v>
      </x:c>
      <x:c r="L43" s="7" t="n">
        <x:f>IFERROR(VLOOKUP($A43,'02_怪物模板_好读版'!$A:$Z,10,FALSE),0)</x:f>
        <x:v>0</x:v>
      </x:c>
      <x:c r="M43" s="7" t="n">
        <x:f>IFERROR(VLOOKUP($A43,'02_怪物模板_好读版'!$A:$Z,11,FALSE),0)</x:f>
        <x:v>0</x:v>
      </x:c>
      <x:c r="N43" s="7" t="n">
        <x:f>IFERROR(VLOOKUP($A43,'02_怪物模板_好读版'!$A:$Z,12,FALSE),3)</x:f>
        <x:v>3</x:v>
      </x:c>
      <x:c r="O43" s="7" t="str">
        <x:f>IFERROR(VLOOKUP($A43,'02_怪物模板_好读版'!$A:$Z,13,FALSE),"mech_self_destruct")</x:f>
        <x:v>mech_self_destruct</x:v>
      </x:c>
      <x:c r="P43" s="6" t="s">
        <x:v>58</x:v>
      </x:c>
      <x:c r="Q43" s="6" t="s">
        <x:v>59</x:v>
      </x:c>
      <x:c r="R43" s="6" t="s">
        <x:v>81</x:v>
      </x:c>
      <x:c r="S43" s="6" t="s">
        <x:v>61</x:v>
      </x:c>
      <x:c r="T43" s="6" t="s">
        <x:v>83</x:v>
      </x:c>
      <x:c r="U43" s="6" t="s">
        <x:v>63</x:v>
      </x:c>
      <x:c r="V43" s="6" t="s">
        <x:v>44</x:v>
      </x:c>
    </x:row>
    <x:row r="44" ht="22" customHeight="1">
      <x:c r="A44" s="6" t="s">
        <x:v>222</x:v>
      </x:c>
      <x:c r="B44" s="6" t="s">
        <x:v>223</x:v>
      </x:c>
      <x:c r="C44" s="6" t="s">
        <x:v>224</x:v>
      </x:c>
      <x:c r="D44" s="6" t="s">
        <x:v>120</x:v>
      </x:c>
      <x:c r="E44" s="6" t="s">
        <x:v>145</x:v>
      </x:c>
      <x:c r="F44" s="6" t="s">
        <x:v>199</x:v>
      </x:c>
      <x:c r="G44" s="6" t="s">
        <x:v>46</x:v>
      </x:c>
      <x:c r="H44" s="6" t="s">
        <x:v>72</x:v>
      </x:c>
      <x:c r="I44" s="7" t="n">
        <x:f>IFERROR(VLOOKUP($A44,'02_怪物模板_好读版'!$A:$S,15,FALSE),0)+IFERROR(VLOOKUP($A44,'02_怪物模板_好读版'!$A:$S,16,FALSE),0)</x:f>
        <x:v>0</x:v>
      </x:c>
      <x:c r="J44" s="7" t="n">
        <x:f>IFERROR(VLOOKUP($A44,'02_怪物模板_好读版'!$A:$Z,8,FALSE),25)</x:f>
        <x:v>25</x:v>
      </x:c>
      <x:c r="K44" s="7" t="n">
        <x:f>IFERROR(VLOOKUP($A44,'02_怪物模板_好读版'!$A:$Z,9,FALSE),12)</x:f>
        <x:v>12</x:v>
      </x:c>
      <x:c r="L44" s="7" t="n">
        <x:f>IFERROR(VLOOKUP($A44,'02_怪物模板_好读版'!$A:$Z,10,FALSE),0)</x:f>
        <x:v>0</x:v>
      </x:c>
      <x:c r="M44" s="7" t="n">
        <x:f>IFERROR(VLOOKUP($A44,'02_怪物模板_好读版'!$A:$Z,11,FALSE),0)</x:f>
        <x:v>0</x:v>
      </x:c>
      <x:c r="N44" s="7" t="n">
        <x:f>IFERROR(VLOOKUP($A44,'02_怪物模板_好读版'!$A:$Z,12,FALSE),3)</x:f>
        <x:v>3</x:v>
      </x:c>
      <x:c r="O44" s="7" t="str">
        <x:f>IFERROR(VLOOKUP($A44,'02_怪物模板_好读版'!$A:$Z,13,FALSE),"REVIEW")</x:f>
        <x:v>REVIEW</x:v>
      </x:c>
      <x:c r="P44" s="6" t="s">
        <x:v>216</x:v>
      </x:c>
      <x:c r="Q44" s="6" t="s">
        <x:v>217</x:v>
      </x:c>
      <x:c r="R44" s="6" t="s">
        <x:v>73</x:v>
      </x:c>
      <x:c r="S44" s="6" t="s">
        <x:v>74</x:v>
      </x:c>
      <x:c r="T44" s="6" t="s">
        <x:v>225</x:v>
      </x:c>
      <x:c r="U44" s="6" t="s">
        <x:v>63</x:v>
      </x:c>
      <x:c r="V44" s="6" t="s">
        <x:v>218</x:v>
      </x:c>
    </x:row>
    <x:row r="45" ht="22" customHeight="1">
      <x:c r="A45" s="6" t="s">
        <x:v>226</x:v>
      </x:c>
      <x:c r="B45" s="6" t="s">
        <x:v>227</x:v>
      </x:c>
      <x:c r="C45" s="6" t="s">
        <x:v>228</x:v>
      </x:c>
      <x:c r="D45" s="6" t="s">
        <x:v>120</x:v>
      </x:c>
      <x:c r="E45" s="6" t="s">
        <x:v>129</x:v>
      </x:c>
      <x:c r="F45" s="6" t="s">
        <x:v>199</x:v>
      </x:c>
      <x:c r="G45" s="6" t="s">
        <x:v>46</x:v>
      </x:c>
      <x:c r="H45" s="6" t="s">
        <x:v>57</x:v>
      </x:c>
      <x:c r="I45" s="7" t="n">
        <x:f>IFERROR(VLOOKUP($A45,'02_怪物模板_好读版'!$A:$S,15,FALSE),0)+IFERROR(VLOOKUP($A45,'02_怪物模板_好读版'!$A:$S,16,FALSE),0)</x:f>
        <x:v>0</x:v>
      </x:c>
      <x:c r="J45" s="7" t="n">
        <x:f>IFERROR(VLOOKUP($A45,'02_怪物模板_好读版'!$A:$Z,8,FALSE),15)</x:f>
        <x:v>15</x:v>
      </x:c>
      <x:c r="K45" s="7" t="n">
        <x:f>IFERROR(VLOOKUP($A45,'02_怪物模板_好读版'!$A:$Z,9,FALSE),8)</x:f>
        <x:v>8</x:v>
      </x:c>
      <x:c r="L45" s="7" t="n">
        <x:f>IFERROR(VLOOKUP($A45,'02_怪物模板_好读版'!$A:$Z,10,FALSE),0)</x:f>
        <x:v>0</x:v>
      </x:c>
      <x:c r="M45" s="7" t="n">
        <x:f>IFERROR(VLOOKUP($A45,'02_怪物模板_好读版'!$A:$Z,11,FALSE),6)</x:f>
        <x:v>6</x:v>
      </x:c>
      <x:c r="N45" s="7" t="n">
        <x:f>IFERROR(VLOOKUP($A45,'02_怪物模板_好读版'!$A:$Z,12,FALSE),3)</x:f>
        <x:v>3</x:v>
      </x:c>
      <x:c r="O45" s="7" t="str">
        <x:f>IFERROR(VLOOKUP($A45,'02_怪物模板_好读版'!$A:$Z,13,FALSE),"REVIEW")</x:f>
        <x:v>REVIEW</x:v>
      </x:c>
      <x:c r="P45" s="6" t="s">
        <x:v>58</x:v>
      </x:c>
      <x:c r="Q45" s="6" t="s">
        <x:v>59</x:v>
      </x:c>
      <x:c r="R45" s="6" t="s">
        <x:v>60</x:v>
      </x:c>
      <x:c r="S45" s="6" t="s">
        <x:v>61</x:v>
      </x:c>
      <x:c r="T45" s="6" t="s">
        <x:v>122</x:v>
      </x:c>
      <x:c r="U45" s="6" t="s">
        <x:v>63</x:v>
      </x:c>
      <x:c r="V45" s="6" t="s">
        <x:v>64</x:v>
      </x:c>
    </x:row>
    <x:row r="46" ht="22" customHeight="1">
      <x:c r="A46" s="6" t="s">
        <x:v>229</x:v>
      </x:c>
      <x:c r="B46" s="6" t="s">
        <x:v>230</x:v>
      </x:c>
      <x:c r="C46" s="6" t="s">
        <x:v>231</x:v>
      </x:c>
      <x:c r="D46" s="6" t="s">
        <x:v>120</x:v>
      </x:c>
      <x:c r="E46" s="6" t="s">
        <x:v>129</x:v>
      </x:c>
      <x:c r="F46" s="6" t="s">
        <x:v>199</x:v>
      </x:c>
      <x:c r="G46" s="6" t="s">
        <x:v>46</x:v>
      </x:c>
      <x:c r="H46" s="6" t="s">
        <x:v>57</x:v>
      </x:c>
      <x:c r="I46" s="7" t="n">
        <x:f>IFERROR(VLOOKUP($A46,'02_怪物模板_好读版'!$A:$S,15,FALSE),0)+IFERROR(VLOOKUP($A46,'02_怪物模板_好读版'!$A:$S,16,FALSE),0)</x:f>
        <x:v>0</x:v>
      </x:c>
      <x:c r="J46" s="7" t="n">
        <x:f>IFERROR(VLOOKUP($A46,'02_怪物模板_好读版'!$A:$Z,8,FALSE),15)</x:f>
        <x:v>15</x:v>
      </x:c>
      <x:c r="K46" s="7" t="n">
        <x:f>IFERROR(VLOOKUP($A46,'02_怪物模板_好读版'!$A:$Z,9,FALSE),8)</x:f>
        <x:v>8</x:v>
      </x:c>
      <x:c r="L46" s="7" t="n">
        <x:f>IFERROR(VLOOKUP($A46,'02_怪物模板_好读版'!$A:$Z,10,FALSE),0)</x:f>
        <x:v>0</x:v>
      </x:c>
      <x:c r="M46" s="7" t="n">
        <x:f>IFERROR(VLOOKUP($A46,'02_怪物模板_好读版'!$A:$Z,11,FALSE),6)</x:f>
        <x:v>6</x:v>
      </x:c>
      <x:c r="N46" s="7" t="n">
        <x:f>IFERROR(VLOOKUP($A46,'02_怪物模板_好读版'!$A:$Z,12,FALSE),3)</x:f>
        <x:v>3</x:v>
      </x:c>
      <x:c r="O46" s="7" t="str">
        <x:f>IFERROR(VLOOKUP($A46,'02_怪物模板_好读版'!$A:$Z,13,FALSE),"REVIEW")</x:f>
        <x:v>REVIEW</x:v>
      </x:c>
      <x:c r="P46" s="6" t="s">
        <x:v>58</x:v>
      </x:c>
      <x:c r="Q46" s="6" t="s">
        <x:v>59</x:v>
      </x:c>
      <x:c r="R46" s="6" t="s">
        <x:v>60</x:v>
      </x:c>
      <x:c r="S46" s="6" t="s">
        <x:v>61</x:v>
      </x:c>
      <x:c r="T46" s="6" t="s">
        <x:v>122</x:v>
      </x:c>
      <x:c r="U46" s="6" t="s">
        <x:v>63</x:v>
      </x:c>
      <x:c r="V46" s="6" t="s">
        <x:v>64</x:v>
      </x:c>
    </x:row>
    <x:row r="47" ht="22" customHeight="1">
      <x:c r="A47" s="6" t="s">
        <x:v>232</x:v>
      </x:c>
      <x:c r="B47" s="6" t="s">
        <x:v>233</x:v>
      </x:c>
      <x:c r="C47" s="6" t="s">
        <x:v>234</x:v>
      </x:c>
      <x:c r="D47" s="6" t="s">
        <x:v>120</x:v>
      </x:c>
      <x:c r="E47" s="6" t="s">
        <x:v>129</x:v>
      </x:c>
      <x:c r="F47" s="6" t="s">
        <x:v>199</x:v>
      </x:c>
      <x:c r="G47" s="6" t="s">
        <x:v>80</x:v>
      </x:c>
      <x:c r="H47" s="6" t="s">
        <x:v>57</x:v>
      </x:c>
      <x:c r="I47" s="7" t="n">
        <x:f>IFERROR(VLOOKUP($A47,'02_怪物模板_好读版'!$A:$S,15,FALSE),0)+IFERROR(VLOOKUP($A47,'02_怪物模板_好读版'!$A:$S,16,FALSE),0)</x:f>
        <x:v>111</x:v>
      </x:c>
      <x:c r="J47" s="7" t="n">
        <x:f>IFERROR(VLOOKUP($A47,'02_怪物模板_好读版'!$A:$Z,8,FALSE),30)</x:f>
        <x:v>30</x:v>
      </x:c>
      <x:c r="K47" s="7" t="n">
        <x:f>IFERROR(VLOOKUP($A47,'02_怪物模板_好读版'!$A:$Z,9,FALSE),4)</x:f>
        <x:v>4</x:v>
      </x:c>
      <x:c r="L47" s="7" t="n">
        <x:f>IFERROR(VLOOKUP($A47,'02_怪物模板_好读版'!$A:$Z,10,FALSE),0)</x:f>
        <x:v>0</x:v>
      </x:c>
      <x:c r="M47" s="7" t="n">
        <x:f>IFERROR(VLOOKUP($A47,'02_怪物模板_好读版'!$A:$Z,11,FALSE),6)</x:f>
        <x:v>6</x:v>
      </x:c>
      <x:c r="N47" s="7" t="n">
        <x:f>IFERROR(VLOOKUP($A47,'02_怪物模板_好读版'!$A:$Z,12,FALSE),3)</x:f>
        <x:v>3</x:v>
      </x:c>
      <x:c r="O47" s="7" t="str">
        <x:f>IFERROR(VLOOKUP($A47,'02_怪物模板_好读版'!$A:$Z,13,FALSE),"mech_counter")</x:f>
        <x:v>mech_counter</x:v>
      </x:c>
      <x:c r="P47" s="6" t="s">
        <x:v>58</x:v>
      </x:c>
      <x:c r="Q47" s="6" t="s">
        <x:v>59</x:v>
      </x:c>
      <x:c r="R47" s="6" t="s">
        <x:v>60</x:v>
      </x:c>
      <x:c r="S47" s="6" t="s">
        <x:v>61</x:v>
      </x:c>
      <x:c r="T47" s="6" t="s">
        <x:v>122</x:v>
      </x:c>
      <x:c r="U47" s="6" t="s">
        <x:v>63</x:v>
      </x:c>
      <x:c r="V47" s="6" t="s">
        <x:v>64</x:v>
      </x:c>
    </x:row>
    <x:row r="48" ht="22" customHeight="1">
      <x:c r="A48" s="6" t="s">
        <x:v>235</x:v>
      </x:c>
      <x:c r="B48" s="6" t="s">
        <x:v>236</x:v>
      </x:c>
      <x:c r="C48" s="6" t="s">
        <x:v>237</x:v>
      </x:c>
      <x:c r="D48" s="6" t="s">
        <x:v>43</x:v>
      </x:c>
      <x:c r="E48" s="6" t="s">
        <x:v>44</x:v>
      </x:c>
      <x:c r="F48" s="6" t="s">
        <x:v>199</x:v>
      </x:c>
      <x:c r="G48" s="6" t="s">
        <x:v>46</x:v>
      </x:c>
      <x:c r="H48" s="6" t="s">
        <x:v>165</x:v>
      </x:c>
      <x:c r="I48" s="7" t="n">
        <x:f>IFERROR(VLOOKUP($A48,'02_怪物模板_好读版'!$A:$S,15,FALSE),0)+IFERROR(VLOOKUP($A48,'02_怪物模板_好读版'!$A:$S,16,FALSE),0)</x:f>
        <x:v>0</x:v>
      </x:c>
      <x:c r="J48" s="7" t="n">
        <x:f>IFERROR(VLOOKUP($A48,'02_怪物模板_好读版'!$A:$Z,8,FALSE),10)</x:f>
        <x:v>10</x:v>
      </x:c>
      <x:c r="K48" s="7" t="n">
        <x:f>IFERROR(VLOOKUP($A48,'02_怪物模板_好读版'!$A:$Z,9,FALSE),17)</x:f>
        <x:v>17</x:v>
      </x:c>
      <x:c r="L48" s="7" t="n">
        <x:f>IFERROR(VLOOKUP($A48,'02_怪物模板_好读版'!$A:$Z,10,FALSE),0)</x:f>
        <x:v>0</x:v>
      </x:c>
      <x:c r="M48" s="7" t="n">
        <x:f>IFERROR(VLOOKUP($A48,'02_怪物模板_好读版'!$A:$Z,11,FALSE),0)</x:f>
        <x:v>0</x:v>
      </x:c>
      <x:c r="N48" s="7" t="n">
        <x:f>IFERROR(VLOOKUP($A48,'02_怪物模板_好读版'!$A:$Z,12,FALSE),3)</x:f>
        <x:v>3</x:v>
      </x:c>
      <x:c r="O48" s="7" t="str">
        <x:f>IFERROR(VLOOKUP($A48,'02_怪物模板_好读版'!$A:$Z,13,FALSE),"REVIEW")</x:f>
        <x:v>REVIEW</x:v>
      </x:c>
      <x:c r="P48" s="6" t="s">
        <x:v>111</x:v>
      </x:c>
      <x:c r="Q48" s="6" t="s">
        <x:v>112</x:v>
      </x:c>
      <x:c r="R48" s="6" t="s">
        <x:v>113</x:v>
      </x:c>
      <x:c r="S48" s="6" t="s">
        <x:v>114</x:v>
      </x:c>
      <x:c r="T48" s="6" t="s">
        <x:v>166</x:v>
      </x:c>
      <x:c r="U48" s="6" t="s">
        <x:v>63</x:v>
      </x:c>
      <x:c r="V48" s="6" t="s">
        <x:v>44</x:v>
      </x:c>
    </x:row>
    <x:row r="49" ht="22" customHeight="1">
      <x:c r="A49" s="6" t="s">
        <x:v>238</x:v>
      </x:c>
      <x:c r="B49" s="6" t="s">
        <x:v>239</x:v>
      </x:c>
      <x:c r="C49" s="6" t="s">
        <x:v>240</x:v>
      </x:c>
      <x:c r="D49" s="6" t="s">
        <x:v>43</x:v>
      </x:c>
      <x:c r="E49" s="6" t="s">
        <x:v>71</x:v>
      </x:c>
      <x:c r="F49" s="6" t="s">
        <x:v>199</x:v>
      </x:c>
      <x:c r="G49" s="6" t="s">
        <x:v>46</x:v>
      </x:c>
      <x:c r="H49" s="6" t="s">
        <x:v>72</x:v>
      </x:c>
      <x:c r="I49" s="7" t="n">
        <x:f>IFERROR(VLOOKUP($A49,'02_怪物模板_好读版'!$A:$S,15,FALSE),0)+IFERROR(VLOOKUP($A49,'02_怪物模板_好读版'!$A:$S,16,FALSE),0)</x:f>
        <x:v>0</x:v>
      </x:c>
      <x:c r="J49" s="7" t="n">
        <x:f>IFERROR(VLOOKUP($A49,'02_怪物模板_好读版'!$A:$Z,8,FALSE),25)</x:f>
        <x:v>25</x:v>
      </x:c>
      <x:c r="K49" s="7" t="n">
        <x:f>IFERROR(VLOOKUP($A49,'02_怪物模板_好读版'!$A:$Z,9,FALSE),12)</x:f>
        <x:v>12</x:v>
      </x:c>
      <x:c r="L49" s="7" t="n">
        <x:f>IFERROR(VLOOKUP($A49,'02_怪物模板_好读版'!$A:$Z,10,FALSE),0)</x:f>
        <x:v>0</x:v>
      </x:c>
      <x:c r="M49" s="7" t="n">
        <x:f>IFERROR(VLOOKUP($A49,'02_怪物模板_好读版'!$A:$Z,11,FALSE),0)</x:f>
        <x:v>0</x:v>
      </x:c>
      <x:c r="N49" s="7" t="n">
        <x:f>IFERROR(VLOOKUP($A49,'02_怪物模板_好读版'!$A:$Z,12,FALSE),3)</x:f>
        <x:v>3</x:v>
      </x:c>
      <x:c r="O49" s="7" t="str">
        <x:f>IFERROR(VLOOKUP($A49,'02_怪物模板_好读版'!$A:$Z,13,FALSE),"REVIEW")</x:f>
        <x:v>REVIEW</x:v>
      </x:c>
      <x:c r="P49" s="6" t="s">
        <x:v>216</x:v>
      </x:c>
      <x:c r="Q49" s="6" t="s">
        <x:v>217</x:v>
      </x:c>
      <x:c r="R49" s="6" t="s">
        <x:v>73</x:v>
      </x:c>
      <x:c r="S49" s="6" t="s">
        <x:v>74</x:v>
      </x:c>
      <x:c r="T49" s="6" t="s">
        <x:v>75</x:v>
      </x:c>
      <x:c r="U49" s="6" t="s">
        <x:v>63</x:v>
      </x:c>
      <x:c r="V49" s="6" t="s">
        <x:v>218</x:v>
      </x:c>
    </x:row>
    <x:row r="50" ht="22" customHeight="1">
      <x:c r="A50" s="6" t="s">
        <x:v>241</x:v>
      </x:c>
      <x:c r="B50" s="6" t="s">
        <x:v>242</x:v>
      </x:c>
      <x:c r="C50" s="6" t="s">
        <x:v>243</x:v>
      </x:c>
      <x:c r="D50" s="6" t="s">
        <x:v>43</x:v>
      </x:c>
      <x:c r="E50" s="6" t="s">
        <x:v>44</x:v>
      </x:c>
      <x:c r="F50" s="6" t="s">
        <x:v>199</x:v>
      </x:c>
      <x:c r="G50" s="6" t="s">
        <x:v>46</x:v>
      </x:c>
      <x:c r="H50" s="6" t="s">
        <x:v>57</x:v>
      </x:c>
      <x:c r="I50" s="7" t="n">
        <x:f>IFERROR(VLOOKUP($A50,'02_怪物模板_好读版'!$A:$S,15,FALSE),0)+IFERROR(VLOOKUP($A50,'02_怪物模板_好读版'!$A:$S,16,FALSE),0)</x:f>
        <x:v>0</x:v>
      </x:c>
      <x:c r="J50" s="7" t="n">
        <x:f>IFERROR(VLOOKUP($A50,'02_怪物模板_好读版'!$A:$Z,8,FALSE),15)</x:f>
        <x:v>15</x:v>
      </x:c>
      <x:c r="K50" s="7" t="n">
        <x:f>IFERROR(VLOOKUP($A50,'02_怪物模板_好读版'!$A:$Z,9,FALSE),8)</x:f>
        <x:v>8</x:v>
      </x:c>
      <x:c r="L50" s="7" t="n">
        <x:f>IFERROR(VLOOKUP($A50,'02_怪物模板_好读版'!$A:$Z,10,FALSE),0)</x:f>
        <x:v>0</x:v>
      </x:c>
      <x:c r="M50" s="7" t="n">
        <x:f>IFERROR(VLOOKUP($A50,'02_怪物模板_好读版'!$A:$Z,11,FALSE),6)</x:f>
        <x:v>6</x:v>
      </x:c>
      <x:c r="N50" s="7" t="n">
        <x:f>IFERROR(VLOOKUP($A50,'02_怪物模板_好读版'!$A:$Z,12,FALSE),3)</x:f>
        <x:v>3</x:v>
      </x:c>
      <x:c r="O50" s="7" t="str">
        <x:f>IFERROR(VLOOKUP($A50,'02_怪物模板_好读版'!$A:$Z,13,FALSE),"REVIEW")</x:f>
        <x:v>REVIEW</x:v>
      </x:c>
      <x:c r="P50" s="6" t="s">
        <x:v>58</x:v>
      </x:c>
      <x:c r="Q50" s="6" t="s">
        <x:v>59</x:v>
      </x:c>
      <x:c r="R50" s="6" t="s">
        <x:v>60</x:v>
      </x:c>
      <x:c r="S50" s="6" t="s">
        <x:v>61</x:v>
      </x:c>
      <x:c r="T50" s="6" t="s">
        <x:v>62</x:v>
      </x:c>
      <x:c r="U50" s="6" t="s">
        <x:v>63</x:v>
      </x:c>
      <x:c r="V50" s="6" t="s">
        <x:v>64</x:v>
      </x:c>
    </x:row>
    <x:row r="51" ht="22" customHeight="1">
      <x:c r="A51" s="6" t="s">
        <x:v>244</x:v>
      </x:c>
      <x:c r="B51" s="6" t="s">
        <x:v>245</x:v>
      </x:c>
      <x:c r="C51" s="6" t="s">
        <x:v>246</x:v>
      </x:c>
      <x:c r="D51" s="6" t="s">
        <x:v>43</x:v>
      </x:c>
      <x:c r="E51" s="6" t="s">
        <x:v>71</x:v>
      </x:c>
      <x:c r="F51" s="6" t="s">
        <x:v>199</x:v>
      </x:c>
      <x:c r="G51" s="6" t="s">
        <x:v>80</x:v>
      </x:c>
      <x:c r="H51" s="6" t="s">
        <x:v>50</x:v>
      </x:c>
      <x:c r="I51" s="7" t="n">
        <x:f>IFERROR(VLOOKUP($A51,'02_怪物模板_好读版'!$A:$S,15,FALSE),0)+IFERROR(VLOOKUP($A51,'02_怪物模板_好读版'!$A:$S,16,FALSE),0)</x:f>
        <x:v>0</x:v>
      </x:c>
      <x:c r="J51" s="7" t="n">
        <x:f>IFERROR(VLOOKUP($A51,'02_怪物模板_好读版'!$A:$Z,8,FALSE),35)</x:f>
        <x:v>35</x:v>
      </x:c>
      <x:c r="K51" s="7" t="n">
        <x:f>IFERROR(VLOOKUP($A51,'02_怪物模板_好读版'!$A:$Z,9,FALSE),26)</x:f>
        <x:v>26</x:v>
      </x:c>
      <x:c r="L51" s="7" t="n">
        <x:f>IFERROR(VLOOKUP($A51,'02_怪物模板_好读版'!$A:$Z,10,FALSE),0)</x:f>
        <x:v>0</x:v>
      </x:c>
      <x:c r="M51" s="7" t="n">
        <x:f>IFERROR(VLOOKUP($A51,'02_怪物模板_好读版'!$A:$Z,11,FALSE),0)</x:f>
        <x:v>0</x:v>
      </x:c>
      <x:c r="N51" s="7" t="n">
        <x:f>IFERROR(VLOOKUP($A51,'02_怪物模板_好读版'!$A:$Z,12,FALSE),3)</x:f>
        <x:v>3</x:v>
      </x:c>
      <x:c r="O51" s="7" t="str">
        <x:f>IFERROR(VLOOKUP($A51,'02_怪物模板_好读版'!$A:$Z,13,FALSE),"mech_summon")</x:f>
        <x:v>mech_summon</x:v>
      </x:c>
      <x:c r="P51" s="6" t="s">
        <x:v>48</x:v>
      </x:c>
      <x:c r="Q51" s="6" t="s">
        <x:v>49</x:v>
      </x:c>
      <x:c r="R51" s="6" t="s">
        <x:v>50</x:v>
      </x:c>
      <x:c r="S51" s="6" t="s">
        <x:v>247</x:v>
      </x:c>
      <x:c r="T51" s="6" t="s">
        <x:v>195</x:v>
      </x:c>
      <x:c r="U51" s="6" t="s">
        <x:v>53</x:v>
      </x:c>
      <x:c r="V51" s="6" t="s">
        <x:v>248</x:v>
      </x:c>
    </x:row>
    <x:row r="52" ht="22" customHeight="1">
      <x:c r="A52" s="6" t="s">
        <x:v>249</x:v>
      </x:c>
      <x:c r="B52" s="6" t="s">
        <x:v>250</x:v>
      </x:c>
      <x:c r="C52" s="6" t="s">
        <x:v>251</x:v>
      </x:c>
      <x:c r="D52" s="6" t="s">
        <x:v>43</x:v>
      </x:c>
      <x:c r="E52" s="6" t="s">
        <x:v>71</x:v>
      </x:c>
      <x:c r="F52" s="6" t="s">
        <x:v>199</x:v>
      </x:c>
      <x:c r="G52" s="6" t="s">
        <x:v>46</x:v>
      </x:c>
      <x:c r="H52" s="6" t="s">
        <x:v>72</x:v>
      </x:c>
      <x:c r="I52" s="7" t="n">
        <x:f>IFERROR(VLOOKUP($A52,'02_怪物模板_好读版'!$A:$S,15,FALSE),0)+IFERROR(VLOOKUP($A52,'02_怪物模板_好读版'!$A:$S,16,FALSE),0)</x:f>
        <x:v>0</x:v>
      </x:c>
      <x:c r="J52" s="7" t="n">
        <x:f>IFERROR(VLOOKUP($A52,'02_怪物模板_好读版'!$A:$Z,8,FALSE),25)</x:f>
        <x:v>25</x:v>
      </x:c>
      <x:c r="K52" s="7" t="n">
        <x:f>IFERROR(VLOOKUP($A52,'02_怪物模板_好读版'!$A:$Z,9,FALSE),12)</x:f>
        <x:v>12</x:v>
      </x:c>
      <x:c r="L52" s="7" t="n">
        <x:f>IFERROR(VLOOKUP($A52,'02_怪物模板_好读版'!$A:$Z,10,FALSE),0)</x:f>
        <x:v>0</x:v>
      </x:c>
      <x:c r="M52" s="7" t="n">
        <x:f>IFERROR(VLOOKUP($A52,'02_怪物模板_好读版'!$A:$Z,11,FALSE),0)</x:f>
        <x:v>0</x:v>
      </x:c>
      <x:c r="N52" s="7" t="n">
        <x:f>IFERROR(VLOOKUP($A52,'02_怪物模板_好读版'!$A:$Z,12,FALSE),3)</x:f>
        <x:v>3</x:v>
      </x:c>
      <x:c r="O52" s="7" t="str">
        <x:f>IFERROR(VLOOKUP($A52,'02_怪物模板_好读版'!$A:$Z,13,FALSE),"REVIEW")</x:f>
        <x:v>REVIEW</x:v>
      </x:c>
      <x:c r="P52" s="6" t="s">
        <x:v>216</x:v>
      </x:c>
      <x:c r="Q52" s="6" t="s">
        <x:v>217</x:v>
      </x:c>
      <x:c r="R52" s="6" t="s">
        <x:v>73</x:v>
      </x:c>
      <x:c r="S52" s="6" t="s">
        <x:v>74</x:v>
      </x:c>
      <x:c r="T52" s="6" t="s">
        <x:v>75</x:v>
      </x:c>
      <x:c r="U52" s="6" t="s">
        <x:v>63</x:v>
      </x:c>
      <x:c r="V52" s="6" t="s">
        <x:v>218</x:v>
      </x:c>
    </x:row>
    <x:row r="53" ht="22" customHeight="1">
      <x:c r="A53" s="6" t="s">
        <x:v>252</x:v>
      </x:c>
      <x:c r="B53" s="6" t="s">
        <x:v>253</x:v>
      </x:c>
      <x:c r="C53" s="6" t="s">
        <x:v>254</x:v>
      </x:c>
      <x:c r="D53" s="6" t="s">
        <x:v>43</x:v>
      </x:c>
      <x:c r="E53" s="6" t="s">
        <x:v>44</x:v>
      </x:c>
      <x:c r="F53" s="6" t="s">
        <x:v>199</x:v>
      </x:c>
      <x:c r="G53" s="6" t="s">
        <x:v>46</x:v>
      </x:c>
      <x:c r="H53" s="6" t="s">
        <x:v>165</x:v>
      </x:c>
      <x:c r="I53" s="7" t="n">
        <x:f>IFERROR(VLOOKUP($A53,'02_怪物模板_好读版'!$A:$S,15,FALSE),0)+IFERROR(VLOOKUP($A53,'02_怪物模板_好读版'!$A:$S,16,FALSE),0)</x:f>
        <x:v>0</x:v>
      </x:c>
      <x:c r="J53" s="7" t="n">
        <x:f>IFERROR(VLOOKUP($A53,'02_怪物模板_好读版'!$A:$Z,8,FALSE),10)</x:f>
        <x:v>10</x:v>
      </x:c>
      <x:c r="K53" s="7" t="n">
        <x:f>IFERROR(VLOOKUP($A53,'02_怪物模板_好读版'!$A:$Z,9,FALSE),17)</x:f>
        <x:v>17</x:v>
      </x:c>
      <x:c r="L53" s="7" t="n">
        <x:f>IFERROR(VLOOKUP($A53,'02_怪物模板_好读版'!$A:$Z,10,FALSE),0)</x:f>
        <x:v>0</x:v>
      </x:c>
      <x:c r="M53" s="7" t="n">
        <x:f>IFERROR(VLOOKUP($A53,'02_怪物模板_好读版'!$A:$Z,11,FALSE),0)</x:f>
        <x:v>0</x:v>
      </x:c>
      <x:c r="N53" s="7" t="n">
        <x:f>IFERROR(VLOOKUP($A53,'02_怪物模板_好读版'!$A:$Z,12,FALSE),3)</x:f>
        <x:v>3</x:v>
      </x:c>
      <x:c r="O53" s="7" t="str">
        <x:f>IFERROR(VLOOKUP($A53,'02_怪物模板_好读版'!$A:$Z,13,FALSE),"REVIEW")</x:f>
        <x:v>REVIEW</x:v>
      </x:c>
      <x:c r="P53" s="6" t="s">
        <x:v>111</x:v>
      </x:c>
      <x:c r="Q53" s="6" t="s">
        <x:v>112</x:v>
      </x:c>
      <x:c r="R53" s="6" t="s">
        <x:v>113</x:v>
      </x:c>
      <x:c r="S53" s="6" t="s">
        <x:v>114</x:v>
      </x:c>
      <x:c r="T53" s="6" t="s">
        <x:v>166</x:v>
      </x:c>
      <x:c r="U53" s="6" t="s">
        <x:v>63</x:v>
      </x:c>
      <x:c r="V53" s="6" t="s">
        <x:v>44</x:v>
      </x:c>
    </x:row>
    <x:row r="54" ht="22" customHeight="1">
      <x:c r="A54" s="6" t="s">
        <x:v>255</x:v>
      </x:c>
      <x:c r="B54" s="6" t="s">
        <x:v>256</x:v>
      </x:c>
      <x:c r="C54" s="6" t="s">
        <x:v>257</x:v>
      </x:c>
      <x:c r="D54" s="6" t="s">
        <x:v>87</x:v>
      </x:c>
      <x:c r="E54" s="6" t="s">
        <x:v>258</x:v>
      </x:c>
      <x:c r="F54" s="6" t="s">
        <x:v>199</x:v>
      </x:c>
      <x:c r="G54" s="6" t="s">
        <x:v>46</x:v>
      </x:c>
      <x:c r="H54" s="6" t="s">
        <x:v>110</x:v>
      </x:c>
      <x:c r="I54" s="7" t="n">
        <x:f>IFERROR(VLOOKUP($A54,'02_怪物模板_好读版'!$A:$S,15,FALSE),0)+IFERROR(VLOOKUP($A54,'02_怪物模板_好读版'!$A:$S,16,FALSE),0)</x:f>
        <x:v>0</x:v>
      </x:c>
      <x:c r="J54" s="7" t="n">
        <x:f>IFERROR(VLOOKUP($A54,'02_怪物模板_好读版'!$A:$Z,8,FALSE),20)</x:f>
        <x:v>20</x:v>
      </x:c>
      <x:c r="K54" s="7" t="n">
        <x:f>IFERROR(VLOOKUP($A54,'02_怪物模板_好读版'!$A:$Z,9,FALSE),12)</x:f>
        <x:v>12</x:v>
      </x:c>
      <x:c r="L54" s="7" t="n">
        <x:f>IFERROR(VLOOKUP($A54,'02_怪物模板_好读版'!$A:$Z,10,FALSE),0)</x:f>
        <x:v>0</x:v>
      </x:c>
      <x:c r="M54" s="7" t="n">
        <x:f>IFERROR(VLOOKUP($A54,'02_怪物模板_好读版'!$A:$Z,11,FALSE),0)</x:f>
        <x:v>0</x:v>
      </x:c>
      <x:c r="N54" s="7" t="n">
        <x:f>IFERROR(VLOOKUP($A54,'02_怪物模板_好读版'!$A:$Z,12,FALSE),4)</x:f>
        <x:v>4</x:v>
      </x:c>
      <x:c r="O54" s="7" t="str">
        <x:f>IFERROR(VLOOKUP($A54,'02_怪物模板_好读版'!$A:$Z,13,FALSE),"REVIEW")</x:f>
        <x:v>REVIEW</x:v>
      </x:c>
      <x:c r="P54" s="6" t="s">
        <x:v>216</x:v>
      </x:c>
      <x:c r="Q54" s="6" t="s">
        <x:v>217</x:v>
      </x:c>
      <x:c r="R54" s="6" t="s">
        <x:v>113</x:v>
      </x:c>
      <x:c r="S54" s="6" t="s">
        <x:v>74</x:v>
      </x:c>
      <x:c r="T54" s="6" t="s">
        <x:v>259</x:v>
      </x:c>
      <x:c r="U54" s="6" t="s">
        <x:v>63</x:v>
      </x:c>
      <x:c r="V54" s="6" t="s">
        <x:v>260</x:v>
      </x:c>
    </x:row>
    <x:row r="55" ht="22" customHeight="1">
      <x:c r="A55" s="6" t="s">
        <x:v>261</x:v>
      </x:c>
      <x:c r="B55" s="6" t="s">
        <x:v>262</x:v>
      </x:c>
      <x:c r="C55" s="6" t="s">
        <x:v>263</x:v>
      </x:c>
      <x:c r="D55" s="6" t="s">
        <x:v>87</x:v>
      </x:c>
      <x:c r="E55" s="6" t="s">
        <x:v>258</x:v>
      </x:c>
      <x:c r="F55" s="6" t="s">
        <x:v>199</x:v>
      </x:c>
      <x:c r="G55" s="6" t="s">
        <x:v>46</x:v>
      </x:c>
      <x:c r="H55" s="6" t="s">
        <x:v>110</x:v>
      </x:c>
      <x:c r="I55" s="7" t="n">
        <x:f>IFERROR(VLOOKUP($A55,'02_怪物模板_好读版'!$A:$S,15,FALSE),0)+IFERROR(VLOOKUP($A55,'02_怪物模板_好读版'!$A:$S,16,FALSE),0)</x:f>
        <x:v>0</x:v>
      </x:c>
      <x:c r="J55" s="7" t="n">
        <x:f>IFERROR(VLOOKUP($A55,'02_怪物模板_好读版'!$A:$Z,8,FALSE),20)</x:f>
        <x:v>20</x:v>
      </x:c>
      <x:c r="K55" s="7" t="n">
        <x:f>IFERROR(VLOOKUP($A55,'02_怪物模板_好读版'!$A:$Z,9,FALSE),12)</x:f>
        <x:v>12</x:v>
      </x:c>
      <x:c r="L55" s="7" t="n">
        <x:f>IFERROR(VLOOKUP($A55,'02_怪物模板_好读版'!$A:$Z,10,FALSE),0)</x:f>
        <x:v>0</x:v>
      </x:c>
      <x:c r="M55" s="7" t="n">
        <x:f>IFERROR(VLOOKUP($A55,'02_怪物模板_好读版'!$A:$Z,11,FALSE),0)</x:f>
        <x:v>0</x:v>
      </x:c>
      <x:c r="N55" s="7" t="n">
        <x:f>IFERROR(VLOOKUP($A55,'02_怪物模板_好读版'!$A:$Z,12,FALSE),4)</x:f>
        <x:v>4</x:v>
      </x:c>
      <x:c r="O55" s="7" t="str">
        <x:f>IFERROR(VLOOKUP($A55,'02_怪物模板_好读版'!$A:$Z,13,FALSE),"REVIEW")</x:f>
        <x:v>REVIEW</x:v>
      </x:c>
      <x:c r="P55" s="6" t="s">
        <x:v>216</x:v>
      </x:c>
      <x:c r="Q55" s="6" t="s">
        <x:v>217</x:v>
      </x:c>
      <x:c r="R55" s="6" t="s">
        <x:v>113</x:v>
      </x:c>
      <x:c r="S55" s="6" t="s">
        <x:v>74</x:v>
      </x:c>
      <x:c r="T55" s="6" t="s">
        <x:v>259</x:v>
      </x:c>
      <x:c r="U55" s="6" t="s">
        <x:v>63</x:v>
      </x:c>
      <x:c r="V55" s="6" t="s">
        <x:v>260</x:v>
      </x:c>
    </x:row>
    <x:row r="56" ht="22" customHeight="1">
      <x:c r="A56" s="6" t="s">
        <x:v>264</x:v>
      </x:c>
      <x:c r="B56" s="6" t="s">
        <x:v>265</x:v>
      </x:c>
      <x:c r="C56" s="6" t="s">
        <x:v>266</x:v>
      </x:c>
      <x:c r="D56" s="6" t="s">
        <x:v>87</x:v>
      </x:c>
      <x:c r="E56" s="6" t="s">
        <x:v>267</x:v>
      </x:c>
      <x:c r="F56" s="6" t="s">
        <x:v>199</x:v>
      </x:c>
      <x:c r="G56" s="6" t="s">
        <x:v>80</x:v>
      </x:c>
      <x:c r="H56" s="6" t="s">
        <x:v>110</x:v>
      </x:c>
      <x:c r="I56" s="7" t="n">
        <x:f>IFERROR(VLOOKUP($A56,'02_怪物模板_好读版'!$A:$S,15,FALSE),0)+IFERROR(VLOOKUP($A56,'02_怪物模板_好读版'!$A:$S,16,FALSE),0)</x:f>
        <x:v>113</x:v>
      </x:c>
      <x:c r="J56" s="7" t="n">
        <x:f>IFERROR(VLOOKUP($A56,'02_怪物模板_好读版'!$A:$Z,8,FALSE),30)</x:f>
        <x:v>30</x:v>
      </x:c>
      <x:c r="K56" s="7" t="n">
        <x:f>IFERROR(VLOOKUP($A56,'02_怪物模板_好读版'!$A:$Z,9,FALSE),2)</x:f>
        <x:v>2</x:v>
      </x:c>
      <x:c r="L56" s="7" t="n">
        <x:f>IFERROR(VLOOKUP($A56,'02_怪物模板_好读版'!$A:$Z,10,FALSE),0)</x:f>
        <x:v>0</x:v>
      </x:c>
      <x:c r="M56" s="7" t="n">
        <x:f>IFERROR(VLOOKUP($A56,'02_怪物模板_好读版'!$A:$Z,11,FALSE),6)</x:f>
        <x:v>6</x:v>
      </x:c>
      <x:c r="N56" s="7" t="n">
        <x:f>IFERROR(VLOOKUP($A56,'02_怪物模板_好读版'!$A:$Z,12,FALSE),3)</x:f>
        <x:v>3</x:v>
      </x:c>
      <x:c r="O56" s="7" t="str">
        <x:f>IFERROR(VLOOKUP($A56,'02_怪物模板_好读版'!$A:$Z,13,FALSE),"mech_summon")</x:f>
        <x:v>mech_summon</x:v>
      </x:c>
      <x:c r="P56" s="6" t="s">
        <x:v>216</x:v>
      </x:c>
      <x:c r="Q56" s="6" t="s">
        <x:v>217</x:v>
      </x:c>
      <x:c r="R56" s="6" t="s">
        <x:v>113</x:v>
      </x:c>
      <x:c r="S56" s="6" t="s">
        <x:v>74</x:v>
      </x:c>
      <x:c r="T56" s="6" t="s">
        <x:v>259</x:v>
      </x:c>
      <x:c r="U56" s="6" t="s">
        <x:v>63</x:v>
      </x:c>
      <x:c r="V56" s="6" t="s">
        <x:v>260</x:v>
      </x:c>
    </x:row>
    <x:row r="57" ht="22" customHeight="1">
      <x:c r="A57" s="6" t="s">
        <x:v>268</x:v>
      </x:c>
      <x:c r="B57" s="6" t="s">
        <x:v>269</x:v>
      </x:c>
      <x:c r="C57" s="6" t="s">
        <x:v>270</x:v>
      </x:c>
      <x:c r="D57" s="6" t="s">
        <x:v>43</x:v>
      </x:c>
      <x:c r="E57" s="6" t="s">
        <x:v>92</x:v>
      </x:c>
      <x:c r="F57" s="6" t="s">
        <x:v>199</x:v>
      </x:c>
      <x:c r="G57" s="6" t="s">
        <x:v>46</x:v>
      </x:c>
      <x:c r="H57" s="6" t="s">
        <x:v>110</x:v>
      </x:c>
      <x:c r="I57" s="7" t="n">
        <x:f>IFERROR(VLOOKUP($A57,'02_怪物模板_好读版'!$A:$S,15,FALSE),0)+IFERROR(VLOOKUP($A57,'02_怪物模板_好读版'!$A:$S,16,FALSE),0)</x:f>
        <x:v>0</x:v>
      </x:c>
      <x:c r="J57" s="7" t="n">
        <x:f>IFERROR(VLOOKUP($A57,'02_怪物模板_好读版'!$A:$Z,8,FALSE),20)</x:f>
        <x:v>20</x:v>
      </x:c>
      <x:c r="K57" s="7" t="n">
        <x:f>IFERROR(VLOOKUP($A57,'02_怪物模板_好读版'!$A:$Z,9,FALSE),12)</x:f>
        <x:v>12</x:v>
      </x:c>
      <x:c r="L57" s="7" t="n">
        <x:f>IFERROR(VLOOKUP($A57,'02_怪物模板_好读版'!$A:$Z,10,FALSE),0)</x:f>
        <x:v>0</x:v>
      </x:c>
      <x:c r="M57" s="7" t="n">
        <x:f>IFERROR(VLOOKUP($A57,'02_怪物模板_好读版'!$A:$Z,11,FALSE),0)</x:f>
        <x:v>0</x:v>
      </x:c>
      <x:c r="N57" s="7" t="n">
        <x:f>IFERROR(VLOOKUP($A57,'02_怪物模板_好读版'!$A:$Z,12,FALSE),4)</x:f>
        <x:v>4</x:v>
      </x:c>
      <x:c r="O57" s="7" t="str">
        <x:f>IFERROR(VLOOKUP($A57,'02_怪物模板_好读版'!$A:$Z,13,FALSE),"REVIEW")</x:f>
        <x:v>REVIEW</x:v>
      </x:c>
      <x:c r="P57" s="6" t="s">
        <x:v>111</x:v>
      </x:c>
      <x:c r="Q57" s="6" t="s">
        <x:v>112</x:v>
      </x:c>
      <x:c r="R57" s="6" t="s">
        <x:v>113</x:v>
      </x:c>
      <x:c r="S57" s="6" t="s">
        <x:v>114</x:v>
      </x:c>
      <x:c r="T57" s="6" t="s">
        <x:v>115</x:v>
      </x:c>
      <x:c r="U57" s="6" t="s">
        <x:v>63</x:v>
      </x:c>
      <x:c r="V57" s="6" t="s">
        <x:v>260</x:v>
      </x:c>
    </x:row>
    <x:row r="58" ht="22" customHeight="1">
      <x:c r="A58" s="6" t="s">
        <x:v>271</x:v>
      </x:c>
      <x:c r="B58" s="6" t="s">
        <x:v>272</x:v>
      </x:c>
      <x:c r="C58" s="6" t="s">
        <x:v>273</x:v>
      </x:c>
      <x:c r="D58" s="6" t="s">
        <x:v>87</x:v>
      </x:c>
      <x:c r="E58" s="6" t="s">
        <x:v>258</x:v>
      </x:c>
      <x:c r="F58" s="6" t="s">
        <x:v>199</x:v>
      </x:c>
      <x:c r="G58" s="6" t="s">
        <x:v>46</x:v>
      </x:c>
      <x:c r="H58" s="6" t="s">
        <x:v>110</x:v>
      </x:c>
      <x:c r="I58" s="7" t="n">
        <x:f>IFERROR(VLOOKUP($A58,'02_怪物模板_好读版'!$A:$S,15,FALSE),0)+IFERROR(VLOOKUP($A58,'02_怪物模板_好读版'!$A:$S,16,FALSE),0)</x:f>
        <x:v>0</x:v>
      </x:c>
      <x:c r="J58" s="7" t="n">
        <x:f>IFERROR(VLOOKUP($A58,'02_怪物模板_好读版'!$A:$Z,8,FALSE),20)</x:f>
        <x:v>20</x:v>
      </x:c>
      <x:c r="K58" s="7" t="n">
        <x:f>IFERROR(VLOOKUP($A58,'02_怪物模板_好读版'!$A:$Z,9,FALSE),12)</x:f>
        <x:v>12</x:v>
      </x:c>
      <x:c r="L58" s="7" t="n">
        <x:f>IFERROR(VLOOKUP($A58,'02_怪物模板_好读版'!$A:$Z,10,FALSE),0)</x:f>
        <x:v>0</x:v>
      </x:c>
      <x:c r="M58" s="7" t="n">
        <x:f>IFERROR(VLOOKUP($A58,'02_怪物模板_好读版'!$A:$Z,11,FALSE),0)</x:f>
        <x:v>0</x:v>
      </x:c>
      <x:c r="N58" s="7" t="n">
        <x:f>IFERROR(VLOOKUP($A58,'02_怪物模板_好读版'!$A:$Z,12,FALSE),4)</x:f>
        <x:v>4</x:v>
      </x:c>
      <x:c r="O58" s="7" t="str">
        <x:f>IFERROR(VLOOKUP($A58,'02_怪物模板_好读版'!$A:$Z,13,FALSE),"REVIEW")</x:f>
        <x:v>REVIEW</x:v>
      </x:c>
      <x:c r="P58" s="6" t="s">
        <x:v>216</x:v>
      </x:c>
      <x:c r="Q58" s="6" t="s">
        <x:v>217</x:v>
      </x:c>
      <x:c r="R58" s="6" t="s">
        <x:v>113</x:v>
      </x:c>
      <x:c r="S58" s="6" t="s">
        <x:v>74</x:v>
      </x:c>
      <x:c r="T58" s="6" t="s">
        <x:v>259</x:v>
      </x:c>
      <x:c r="U58" s="6" t="s">
        <x:v>63</x:v>
      </x:c>
      <x:c r="V58" s="6" t="s">
        <x:v>260</x:v>
      </x:c>
    </x:row>
    <x:row r="59" ht="22" customHeight="1">
      <x:c r="A59" s="6" t="s">
        <x:v>274</x:v>
      </x:c>
      <x:c r="B59" s="6" t="s">
        <x:v>275</x:v>
      </x:c>
      <x:c r="C59" s="6" t="s">
        <x:v>276</x:v>
      </x:c>
      <x:c r="D59" s="6" t="s">
        <x:v>79</x:v>
      </x:c>
      <x:c r="E59" s="6" t="s">
        <x:v>44</x:v>
      </x:c>
      <x:c r="F59" s="6" t="s">
        <x:v>199</x:v>
      </x:c>
      <x:c r="G59" s="6" t="s">
        <x:v>46</x:v>
      </x:c>
      <x:c r="H59" s="6" t="s">
        <x:v>81</x:v>
      </x:c>
      <x:c r="I59" s="7" t="n">
        <x:f>IFERROR(VLOOKUP($A59,'02_怪物模板_好读版'!$A:$S,15,FALSE),0)+IFERROR(VLOOKUP($A59,'02_怪物模板_好读版'!$A:$S,16,FALSE),0)</x:f>
        <x:v>0</x:v>
      </x:c>
      <x:c r="J59" s="7" t="n">
        <x:f>IFERROR(VLOOKUP($A59,'02_怪物模板_好读版'!$A:$Z,8,FALSE),30)</x:f>
        <x:v>30</x:v>
      </x:c>
      <x:c r="K59" s="7" t="n">
        <x:f>IFERROR(VLOOKUP($A59,'02_怪物模板_好读版'!$A:$Z,9,FALSE),13)</x:f>
        <x:v>13</x:v>
      </x:c>
      <x:c r="L59" s="7" t="n">
        <x:f>IFERROR(VLOOKUP($A59,'02_怪物模板_好读版'!$A:$Z,10,FALSE),0)</x:f>
        <x:v>0</x:v>
      </x:c>
      <x:c r="M59" s="7" t="n">
        <x:f>IFERROR(VLOOKUP($A59,'02_怪物模板_好读版'!$A:$Z,11,FALSE),0)</x:f>
        <x:v>0</x:v>
      </x:c>
      <x:c r="N59" s="7" t="n">
        <x:f>IFERROR(VLOOKUP($A59,'02_怪物模板_好读版'!$A:$Z,12,FALSE),3)</x:f>
        <x:v>3</x:v>
      </x:c>
      <x:c r="O59" s="7" t="str">
        <x:f>IFERROR(VLOOKUP($A59,'02_怪物模板_好读版'!$A:$Z,13,FALSE),"REVIEW")</x:f>
        <x:v>REVIEW</x:v>
      </x:c>
      <x:c r="P59" s="6" t="s">
        <x:v>58</x:v>
      </x:c>
      <x:c r="Q59" s="6" t="s">
        <x:v>59</x:v>
      </x:c>
      <x:c r="R59" s="6" t="s">
        <x:v>81</x:v>
      </x:c>
      <x:c r="S59" s="6" t="s">
        <x:v>61</x:v>
      </x:c>
      <x:c r="T59" s="6" t="s">
        <x:v>83</x:v>
      </x:c>
      <x:c r="U59" s="6" t="s">
        <x:v>63</x:v>
      </x:c>
      <x:c r="V59" s="6" t="s">
        <x:v>44</x:v>
      </x:c>
    </x:row>
    <x:row r="60" ht="22" customHeight="1">
      <x:c r="A60" s="6" t="s">
        <x:v>277</x:v>
      </x:c>
      <x:c r="B60" s="6" t="s">
        <x:v>278</x:v>
      </x:c>
      <x:c r="C60" s="6" t="s">
        <x:v>279</x:v>
      </x:c>
      <x:c r="D60" s="6" t="s">
        <x:v>87</x:v>
      </x:c>
      <x:c r="E60" s="6" t="s">
        <x:v>258</x:v>
      </x:c>
      <x:c r="F60" s="6" t="s">
        <x:v>199</x:v>
      </x:c>
      <x:c r="G60" s="6" t="s">
        <x:v>46</x:v>
      </x:c>
      <x:c r="H60" s="6" t="s">
        <x:v>110</x:v>
      </x:c>
      <x:c r="I60" s="7" t="n">
        <x:f>IFERROR(VLOOKUP($A60,'02_怪物模板_好读版'!$A:$S,15,FALSE),0)+IFERROR(VLOOKUP($A60,'02_怪物模板_好读版'!$A:$S,16,FALSE),0)</x:f>
        <x:v>0</x:v>
      </x:c>
      <x:c r="J60" s="7" t="n">
        <x:f>IFERROR(VLOOKUP($A60,'02_怪物模板_好读版'!$A:$Z,8,FALSE),20)</x:f>
        <x:v>20</x:v>
      </x:c>
      <x:c r="K60" s="7" t="n">
        <x:f>IFERROR(VLOOKUP($A60,'02_怪物模板_好读版'!$A:$Z,9,FALSE),12)</x:f>
        <x:v>12</x:v>
      </x:c>
      <x:c r="L60" s="7" t="n">
        <x:f>IFERROR(VLOOKUP($A60,'02_怪物模板_好读版'!$A:$Z,10,FALSE),0)</x:f>
        <x:v>0</x:v>
      </x:c>
      <x:c r="M60" s="7" t="n">
        <x:f>IFERROR(VLOOKUP($A60,'02_怪物模板_好读版'!$A:$Z,11,FALSE),0)</x:f>
        <x:v>0</x:v>
      </x:c>
      <x:c r="N60" s="7" t="n">
        <x:f>IFERROR(VLOOKUP($A60,'02_怪物模板_好读版'!$A:$Z,12,FALSE),4)</x:f>
        <x:v>4</x:v>
      </x:c>
      <x:c r="O60" s="7" t="str">
        <x:f>IFERROR(VLOOKUP($A60,'02_怪物模板_好读版'!$A:$Z,13,FALSE),"REVIEW")</x:f>
        <x:v>REVIEW</x:v>
      </x:c>
      <x:c r="P60" s="6" t="s">
        <x:v>216</x:v>
      </x:c>
      <x:c r="Q60" s="6" t="s">
        <x:v>217</x:v>
      </x:c>
      <x:c r="R60" s="6" t="s">
        <x:v>113</x:v>
      </x:c>
      <x:c r="S60" s="6" t="s">
        <x:v>74</x:v>
      </x:c>
      <x:c r="T60" s="6" t="s">
        <x:v>259</x:v>
      </x:c>
      <x:c r="U60" s="6" t="s">
        <x:v>63</x:v>
      </x:c>
      <x:c r="V60" s="6" t="s">
        <x:v>260</x:v>
      </x:c>
    </x:row>
    <x:row r="61" ht="22" customHeight="1">
      <x:c r="A61" s="6" t="s">
        <x:v>280</x:v>
      </x:c>
      <x:c r="B61" s="6" t="s">
        <x:v>281</x:v>
      </x:c>
      <x:c r="C61" s="6" t="s">
        <x:v>282</x:v>
      </x:c>
      <x:c r="D61" s="6" t="s">
        <x:v>43</x:v>
      </x:c>
      <x:c r="E61" s="6" t="s">
        <x:v>92</x:v>
      </x:c>
      <x:c r="F61" s="6" t="s">
        <x:v>199</x:v>
      </x:c>
      <x:c r="G61" s="6" t="s">
        <x:v>46</x:v>
      </x:c>
      <x:c r="H61" s="6" t="s">
        <x:v>110</x:v>
      </x:c>
      <x:c r="I61" s="7" t="n">
        <x:f>IFERROR(VLOOKUP($A61,'02_怪物模板_好读版'!$A:$S,15,FALSE),0)+IFERROR(VLOOKUP($A61,'02_怪物模板_好读版'!$A:$S,16,FALSE),0)</x:f>
        <x:v>0</x:v>
      </x:c>
      <x:c r="J61" s="7" t="n">
        <x:f>IFERROR(VLOOKUP($A61,'02_怪物模板_好读版'!$A:$Z,8,FALSE),20)</x:f>
        <x:v>20</x:v>
      </x:c>
      <x:c r="K61" s="7" t="n">
        <x:f>IFERROR(VLOOKUP($A61,'02_怪物模板_好读版'!$A:$Z,9,FALSE),12)</x:f>
        <x:v>12</x:v>
      </x:c>
      <x:c r="L61" s="7" t="n">
        <x:f>IFERROR(VLOOKUP($A61,'02_怪物模板_好读版'!$A:$Z,10,FALSE),0)</x:f>
        <x:v>0</x:v>
      </x:c>
      <x:c r="M61" s="7" t="n">
        <x:f>IFERROR(VLOOKUP($A61,'02_怪物模板_好读版'!$A:$Z,11,FALSE),0)</x:f>
        <x:v>0</x:v>
      </x:c>
      <x:c r="N61" s="7" t="n">
        <x:f>IFERROR(VLOOKUP($A61,'02_怪物模板_好读版'!$A:$Z,12,FALSE),4)</x:f>
        <x:v>4</x:v>
      </x:c>
      <x:c r="O61" s="7" t="str">
        <x:f>IFERROR(VLOOKUP($A61,'02_怪物模板_好读版'!$A:$Z,13,FALSE),"REVIEW")</x:f>
        <x:v>REVIEW</x:v>
      </x:c>
      <x:c r="P61" s="6" t="s">
        <x:v>111</x:v>
      </x:c>
      <x:c r="Q61" s="6" t="s">
        <x:v>112</x:v>
      </x:c>
      <x:c r="R61" s="6" t="s">
        <x:v>113</x:v>
      </x:c>
      <x:c r="S61" s="6" t="s">
        <x:v>114</x:v>
      </x:c>
      <x:c r="T61" s="6" t="s">
        <x:v>115</x:v>
      </x:c>
      <x:c r="U61" s="6" t="s">
        <x:v>63</x:v>
      </x:c>
      <x:c r="V61" s="6" t="s">
        <x:v>260</x:v>
      </x:c>
    </x:row>
    <x:row r="62" ht="22" customHeight="1">
      <x:c r="A62" s="6" t="s">
        <x:v>283</x:v>
      </x:c>
      <x:c r="B62" s="6" t="s">
        <x:v>284</x:v>
      </x:c>
      <x:c r="C62" s="6" t="s">
        <x:v>285</x:v>
      </x:c>
      <x:c r="D62" s="6" t="s">
        <x:v>79</x:v>
      </x:c>
      <x:c r="E62" s="6" t="s">
        <x:v>44</x:v>
      </x:c>
      <x:c r="F62" s="6" t="s">
        <x:v>199</x:v>
      </x:c>
      <x:c r="G62" s="6" t="s">
        <x:v>80</x:v>
      </x:c>
      <x:c r="H62" s="6" t="s">
        <x:v>81</x:v>
      </x:c>
      <x:c r="I62" s="7" t="n">
        <x:f>IFERROR(VLOOKUP($A62,'02_怪物模板_好读版'!$A:$S,15,FALSE),0)+IFERROR(VLOOKUP($A62,'02_怪物模板_好读版'!$A:$S,16,FALSE),0)</x:f>
        <x:v>70</x:v>
      </x:c>
      <x:c r="J62" s="7" t="n">
        <x:f>IFERROR(VLOOKUP($A62,'02_怪物模板_好读版'!$A:$Z,8,FALSE),25)</x:f>
        <x:v>25</x:v>
      </x:c>
      <x:c r="K62" s="7" t="n">
        <x:f>IFERROR(VLOOKUP($A62,'02_怪物模板_好读版'!$A:$Z,9,FALSE),2)</x:f>
        <x:v>2</x:v>
      </x:c>
      <x:c r="L62" s="7" t="n">
        <x:f>IFERROR(VLOOKUP($A62,'02_怪物模板_好读版'!$A:$Z,10,FALSE),0)</x:f>
        <x:v>0</x:v>
      </x:c>
      <x:c r="M62" s="7" t="n">
        <x:f>IFERROR(VLOOKUP($A62,'02_怪物模板_好读版'!$A:$Z,11,FALSE),0)</x:f>
        <x:v>0</x:v>
      </x:c>
      <x:c r="N62" s="7" t="n">
        <x:f>IFERROR(VLOOKUP($A62,'02_怪物模板_好读版'!$A:$Z,12,FALSE),3)</x:f>
        <x:v>3</x:v>
      </x:c>
      <x:c r="O62" s="7" t="str">
        <x:f>IFERROR(VLOOKUP($A62,'02_怪物模板_好读版'!$A:$Z,13,FALSE),"mech_grow_attack")</x:f>
        <x:v>mech_grow_attack</x:v>
      </x:c>
      <x:c r="P62" s="6" t="s">
        <x:v>58</x:v>
      </x:c>
      <x:c r="Q62" s="6" t="s">
        <x:v>59</x:v>
      </x:c>
      <x:c r="R62" s="6" t="s">
        <x:v>81</x:v>
      </x:c>
      <x:c r="S62" s="6" t="s">
        <x:v>61</x:v>
      </x:c>
      <x:c r="T62" s="6" t="s">
        <x:v>83</x:v>
      </x:c>
      <x:c r="U62" s="6" t="s">
        <x:v>63</x:v>
      </x:c>
      <x:c r="V62" s="6" t="s">
        <x:v>44</x:v>
      </x:c>
    </x:row>
    <x:row r="63" ht="22" customHeight="1">
      <x:c r="A63" s="6" t="s">
        <x:v>286</x:v>
      </x:c>
      <x:c r="B63" s="6" t="s">
        <x:v>287</x:v>
      </x:c>
      <x:c r="C63" s="6" t="s">
        <x:v>288</x:v>
      </x:c>
      <x:c r="D63" s="6" t="s">
        <x:v>43</x:v>
      </x:c>
      <x:c r="E63" s="6" t="s">
        <x:v>92</x:v>
      </x:c>
      <x:c r="F63" s="6" t="s">
        <x:v>199</x:v>
      </x:c>
      <x:c r="G63" s="6" t="s">
        <x:v>46</x:v>
      </x:c>
      <x:c r="H63" s="6" t="s">
        <x:v>110</x:v>
      </x:c>
      <x:c r="I63" s="7" t="n">
        <x:f>IFERROR(VLOOKUP($A63,'02_怪物模板_好读版'!$A:$S,15,FALSE),0)+IFERROR(VLOOKUP($A63,'02_怪物模板_好读版'!$A:$S,16,FALSE),0)</x:f>
        <x:v>0</x:v>
      </x:c>
      <x:c r="J63" s="7" t="n">
        <x:f>IFERROR(VLOOKUP($A63,'02_怪物模板_好读版'!$A:$Z,8,FALSE),20)</x:f>
        <x:v>20</x:v>
      </x:c>
      <x:c r="K63" s="7" t="n">
        <x:f>IFERROR(VLOOKUP($A63,'02_怪物模板_好读版'!$A:$Z,9,FALSE),12)</x:f>
        <x:v>12</x:v>
      </x:c>
      <x:c r="L63" s="7" t="n">
        <x:f>IFERROR(VLOOKUP($A63,'02_怪物模板_好读版'!$A:$Z,10,FALSE),0)</x:f>
        <x:v>0</x:v>
      </x:c>
      <x:c r="M63" s="7" t="n">
        <x:f>IFERROR(VLOOKUP($A63,'02_怪物模板_好读版'!$A:$Z,11,FALSE),0)</x:f>
        <x:v>0</x:v>
      </x:c>
      <x:c r="N63" s="7" t="n">
        <x:f>IFERROR(VLOOKUP($A63,'02_怪物模板_好读版'!$A:$Z,12,FALSE),4)</x:f>
        <x:v>4</x:v>
      </x:c>
      <x:c r="O63" s="7" t="str">
        <x:f>IFERROR(VLOOKUP($A63,'02_怪物模板_好读版'!$A:$Z,13,FALSE),"REVIEW")</x:f>
        <x:v>REVIEW</x:v>
      </x:c>
      <x:c r="P63" s="6" t="s">
        <x:v>111</x:v>
      </x:c>
      <x:c r="Q63" s="6" t="s">
        <x:v>112</x:v>
      </x:c>
      <x:c r="R63" s="6" t="s">
        <x:v>113</x:v>
      </x:c>
      <x:c r="S63" s="6" t="s">
        <x:v>114</x:v>
      </x:c>
      <x:c r="T63" s="6" t="s">
        <x:v>115</x:v>
      </x:c>
      <x:c r="U63" s="6" t="s">
        <x:v>63</x:v>
      </x:c>
      <x:c r="V63" s="6" t="s">
        <x:v>260</x:v>
      </x:c>
    </x:row>
    <x:row r="64" ht="22" customHeight="1">
      <x:c r="A64" s="6" t="s">
        <x:v>289</x:v>
      </x:c>
      <x:c r="B64" s="6" t="s">
        <x:v>290</x:v>
      </x:c>
      <x:c r="C64" s="6" t="s">
        <x:v>291</x:v>
      </x:c>
      <x:c r="D64" s="6" t="s">
        <x:v>43</x:v>
      </x:c>
      <x:c r="E64" s="6" t="s">
        <x:v>44</x:v>
      </x:c>
      <x:c r="F64" s="6" t="s">
        <x:v>199</x:v>
      </x:c>
      <x:c r="G64" s="6" t="s">
        <x:v>46</x:v>
      </x:c>
      <x:c r="H64" s="6" t="s">
        <x:v>50</x:v>
      </x:c>
      <x:c r="I64" s="7" t="n">
        <x:f>IFERROR(VLOOKUP($A64,'02_怪物模板_好读版'!$A:$S,15,FALSE),0)+IFERROR(VLOOKUP($A64,'02_怪物模板_好读版'!$A:$S,16,FALSE),0)</x:f>
        <x:v>0</x:v>
      </x:c>
      <x:c r="J64" s="7" t="n">
        <x:f>IFERROR(VLOOKUP($A64,'02_怪物模板_好读版'!$A:$Z,8,FALSE),20)</x:f>
        <x:v>20</x:v>
      </x:c>
      <x:c r="K64" s="7" t="n">
        <x:f>IFERROR(VLOOKUP($A64,'02_怪物模板_好读版'!$A:$Z,9,FALSE),11)</x:f>
        <x:v>11</x:v>
      </x:c>
      <x:c r="L64" s="7" t="n">
        <x:f>IFERROR(VLOOKUP($A64,'02_怪物模板_好读版'!$A:$Z,10,FALSE),0)</x:f>
        <x:v>0</x:v>
      </x:c>
      <x:c r="M64" s="7" t="n">
        <x:f>IFERROR(VLOOKUP($A64,'02_怪物模板_好读版'!$A:$Z,11,FALSE),0)</x:f>
        <x:v>0</x:v>
      </x:c>
      <x:c r="N64" s="7" t="n">
        <x:f>IFERROR(VLOOKUP($A64,'02_怪物模板_好读版'!$A:$Z,12,FALSE),3)</x:f>
        <x:v>3</x:v>
      </x:c>
      <x:c r="O64" s="7" t="str">
        <x:f>IFERROR(VLOOKUP($A64,'02_怪物模板_好读版'!$A:$Z,13,FALSE),"mech_summon")</x:f>
        <x:v>mech_summon</x:v>
      </x:c>
      <x:c r="P64" s="6" t="s">
        <x:v>48</x:v>
      </x:c>
      <x:c r="Q64" s="6" t="s">
        <x:v>49</x:v>
      </x:c>
      <x:c r="R64" s="6" t="s">
        <x:v>50</x:v>
      </x:c>
      <x:c r="S64" s="6" t="s">
        <x:v>247</x:v>
      </x:c>
      <x:c r="T64" s="6" t="s">
        <x:v>195</x:v>
      </x:c>
      <x:c r="U64" s="6" t="s">
        <x:v>53</x:v>
      </x:c>
      <x:c r="V64" s="6" t="s">
        <x:v>248</x:v>
      </x:c>
    </x:row>
    <x:row r="65" ht="22" customHeight="1">
      <x:c r="A65" s="6" t="s">
        <x:v>292</x:v>
      </x:c>
      <x:c r="B65" s="6" t="s">
        <x:v>293</x:v>
      </x:c>
      <x:c r="C65" s="6" t="s">
        <x:v>294</x:v>
      </x:c>
      <x:c r="D65" s="6" t="s">
        <x:v>43</x:v>
      </x:c>
      <x:c r="E65" s="6" t="s">
        <x:v>295</x:v>
      </x:c>
      <x:c r="F65" s="6" t="s">
        <x:v>199</x:v>
      </x:c>
      <x:c r="G65" s="6" t="s">
        <x:v>80</x:v>
      </x:c>
      <x:c r="H65" s="6" t="s">
        <x:v>50</x:v>
      </x:c>
      <x:c r="I65" s="7" t="n">
        <x:f>IFERROR(VLOOKUP($A65,'02_怪物模板_好读版'!$A:$S,15,FALSE),0)+IFERROR(VLOOKUP($A65,'02_怪物模板_好读版'!$A:$S,16,FALSE),0)</x:f>
        <x:v>0</x:v>
      </x:c>
      <x:c r="J65" s="7" t="n">
        <x:f>IFERROR(VLOOKUP($A65,'02_怪物模板_好读版'!$A:$Z,8,FALSE),35)</x:f>
        <x:v>35</x:v>
      </x:c>
      <x:c r="K65" s="7" t="n">
        <x:f>IFERROR(VLOOKUP($A65,'02_怪物模板_好读版'!$A:$Z,9,FALSE),26)</x:f>
        <x:v>26</x:v>
      </x:c>
      <x:c r="L65" s="7" t="n">
        <x:f>IFERROR(VLOOKUP($A65,'02_怪物模板_好读版'!$A:$Z,10,FALSE),0)</x:f>
        <x:v>0</x:v>
      </x:c>
      <x:c r="M65" s="7" t="n">
        <x:f>IFERROR(VLOOKUP($A65,'02_怪物模板_好读版'!$A:$Z,11,FALSE),0)</x:f>
        <x:v>0</x:v>
      </x:c>
      <x:c r="N65" s="7" t="n">
        <x:f>IFERROR(VLOOKUP($A65,'02_怪物模板_好读版'!$A:$Z,12,FALSE),3)</x:f>
        <x:v>3</x:v>
      </x:c>
      <x:c r="O65" s="7" t="str">
        <x:f>IFERROR(VLOOKUP($A65,'02_怪物模板_好读版'!$A:$Z,13,FALSE),"mech_summon")</x:f>
        <x:v>mech_summon</x:v>
      </x:c>
      <x:c r="P65" s="6" t="s">
        <x:v>48</x:v>
      </x:c>
      <x:c r="Q65" s="6" t="s">
        <x:v>49</x:v>
      </x:c>
      <x:c r="R65" s="6" t="s">
        <x:v>50</x:v>
      </x:c>
      <x:c r="S65" s="6" t="s">
        <x:v>247</x:v>
      </x:c>
      <x:c r="T65" s="6" t="s">
        <x:v>195</x:v>
      </x:c>
      <x:c r="U65" s="6" t="s">
        <x:v>53</x:v>
      </x:c>
      <x:c r="V65" s="6" t="s">
        <x:v>248</x:v>
      </x:c>
    </x:row>
    <x:row r="66" ht="22" customHeight="1">
      <x:c r="A66" s="6" t="s">
        <x:v>296</x:v>
      </x:c>
      <x:c r="B66" s="6" t="s">
        <x:v>297</x:v>
      </x:c>
      <x:c r="C66" s="6" t="s">
        <x:v>298</x:v>
      </x:c>
      <x:c r="D66" s="6" t="s">
        <x:v>43</x:v>
      </x:c>
      <x:c r="E66" s="6" t="s">
        <x:v>299</x:v>
      </x:c>
      <x:c r="F66" s="6" t="s">
        <x:v>199</x:v>
      </x:c>
      <x:c r="G66" s="6" t="s">
        <x:v>80</x:v>
      </x:c>
      <x:c r="H66" s="6" t="s">
        <x:v>110</x:v>
      </x:c>
      <x:c r="I66" s="7" t="n">
        <x:f>IFERROR(VLOOKUP($A66,'02_怪物模板_好读版'!$A:$S,15,FALSE),0)+IFERROR(VLOOKUP($A66,'02_怪物模板_好读版'!$A:$S,16,FALSE),0)</x:f>
        <x:v>0</x:v>
      </x:c>
      <x:c r="J66" s="7" t="n">
        <x:f>IFERROR(VLOOKUP($A66,'02_怪物模板_好读版'!$A:$Z,8,FALSE),35)</x:f>
        <x:v>35</x:v>
      </x:c>
      <x:c r="K66" s="7" t="n">
        <x:f>IFERROR(VLOOKUP($A66,'02_怪物模板_好读版'!$A:$Z,9,FALSE),27)</x:f>
        <x:v>27</x:v>
      </x:c>
      <x:c r="L66" s="7" t="n">
        <x:f>IFERROR(VLOOKUP($A66,'02_怪物模板_好读版'!$A:$Z,10,FALSE),0)</x:f>
        <x:v>0</x:v>
      </x:c>
      <x:c r="M66" s="7" t="n">
        <x:f>IFERROR(VLOOKUP($A66,'02_怪物模板_好读版'!$A:$Z,11,FALSE),0)</x:f>
        <x:v>0</x:v>
      </x:c>
      <x:c r="N66" s="7" t="n">
        <x:f>IFERROR(VLOOKUP($A66,'02_怪物模板_好读版'!$A:$Z,12,FALSE),4)</x:f>
        <x:v>4</x:v>
      </x:c>
      <x:c r="O66" s="7" t="str">
        <x:f>IFERROR(VLOOKUP($A66,'02_怪物模板_好读版'!$A:$Z,13,FALSE),"REVIEW")</x:f>
        <x:v>REVIEW</x:v>
      </x:c>
      <x:c r="P66" s="6" t="s">
        <x:v>111</x:v>
      </x:c>
      <x:c r="Q66" s="6" t="s">
        <x:v>112</x:v>
      </x:c>
      <x:c r="R66" s="6" t="s">
        <x:v>113</x:v>
      </x:c>
      <x:c r="S66" s="6" t="s">
        <x:v>114</x:v>
      </x:c>
      <x:c r="T66" s="6" t="s">
        <x:v>115</x:v>
      </x:c>
      <x:c r="U66" s="6" t="s">
        <x:v>63</x:v>
      </x:c>
      <x:c r="V66" s="6" t="s">
        <x:v>260</x:v>
      </x:c>
    </x:row>
    <x:row r="67" ht="22" customHeight="1">
      <x:c r="A67" s="6" t="s">
        <x:v>300</x:v>
      </x:c>
      <x:c r="B67" s="6" t="s">
        <x:v>301</x:v>
      </x:c>
      <x:c r="C67" s="6" t="s">
        <x:v>302</x:v>
      </x:c>
      <x:c r="D67" s="6" t="s">
        <x:v>87</x:v>
      </x:c>
      <x:c r="E67" s="6" t="s">
        <x:v>44</x:v>
      </x:c>
      <x:c r="F67" s="6" t="s">
        <x:v>199</x:v>
      </x:c>
      <x:c r="G67" s="6" t="s">
        <x:v>46</x:v>
      </x:c>
      <x:c r="H67" s="6" t="s">
        <x:v>72</x:v>
      </x:c>
      <x:c r="I67" s="7" t="n">
        <x:f>IFERROR(VLOOKUP($A67,'02_怪物模板_好读版'!$A:$S,15,FALSE),0)+IFERROR(VLOOKUP($A67,'02_怪物模板_好读版'!$A:$S,16,FALSE),0)</x:f>
        <x:v>0</x:v>
      </x:c>
      <x:c r="J67" s="7" t="n">
        <x:f>IFERROR(VLOOKUP($A67,'02_怪物模板_好读版'!$A:$Z,8,FALSE),25)</x:f>
        <x:v>25</x:v>
      </x:c>
      <x:c r="K67" s="7" t="n">
        <x:f>IFERROR(VLOOKUP($A67,'02_怪物模板_好读版'!$A:$Z,9,FALSE),12)</x:f>
        <x:v>12</x:v>
      </x:c>
      <x:c r="L67" s="7" t="n">
        <x:f>IFERROR(VLOOKUP($A67,'02_怪物模板_好读版'!$A:$Z,10,FALSE),0)</x:f>
        <x:v>0</x:v>
      </x:c>
      <x:c r="M67" s="7" t="n">
        <x:f>IFERROR(VLOOKUP($A67,'02_怪物模板_好读版'!$A:$Z,11,FALSE),0)</x:f>
        <x:v>0</x:v>
      </x:c>
      <x:c r="N67" s="7" t="n">
        <x:f>IFERROR(VLOOKUP($A67,'02_怪物模板_好读版'!$A:$Z,12,FALSE),3)</x:f>
        <x:v>3</x:v>
      </x:c>
      <x:c r="O67" s="7" t="str">
        <x:f>IFERROR(VLOOKUP($A67,'02_怪物模板_好读版'!$A:$Z,13,FALSE),"REVIEW")</x:f>
        <x:v>REVIEW</x:v>
      </x:c>
      <x:c r="P67" s="6" t="s">
        <x:v>216</x:v>
      </x:c>
      <x:c r="Q67" s="6" t="s">
        <x:v>217</x:v>
      </x:c>
      <x:c r="R67" s="6" t="s">
        <x:v>73</x:v>
      </x:c>
      <x:c r="S67" s="6" t="s">
        <x:v>74</x:v>
      </x:c>
      <x:c r="T67" s="6" t="s">
        <x:v>88</x:v>
      </x:c>
      <x:c r="U67" s="6" t="s">
        <x:v>63</x:v>
      </x:c>
      <x:c r="V67" s="6" t="s">
        <x:v>218</x:v>
      </x:c>
    </x:row>
    <x:row r="68" ht="22" customHeight="1">
      <x:c r="A68" s="6" t="s">
        <x:v>303</x:v>
      </x:c>
      <x:c r="B68" s="6" t="s">
        <x:v>304</x:v>
      </x:c>
      <x:c r="C68" s="6" t="s">
        <x:v>305</x:v>
      </x:c>
      <x:c r="D68" s="6" t="s">
        <x:v>120</x:v>
      </x:c>
      <x:c r="E68" s="6" t="s">
        <x:v>145</x:v>
      </x:c>
      <x:c r="F68" s="6" t="s">
        <x:v>199</x:v>
      </x:c>
      <x:c r="G68" s="6" t="s">
        <x:v>80</x:v>
      </x:c>
      <x:c r="H68" s="6" t="s">
        <x:v>57</x:v>
      </x:c>
      <x:c r="I68" s="7" t="n">
        <x:f>IFERROR(VLOOKUP($A68,'02_怪物模板_好读版'!$A:$S,15,FALSE),0)+IFERROR(VLOOKUP($A68,'02_怪物模板_好读版'!$A:$S,16,FALSE),0)</x:f>
        <x:v>70</x:v>
      </x:c>
      <x:c r="J68" s="7" t="n">
        <x:f>IFERROR(VLOOKUP($A68,'02_怪物模板_好读版'!$A:$Z,8,FALSE),20)</x:f>
        <x:v>20</x:v>
      </x:c>
      <x:c r="K68" s="7" t="n">
        <x:f>IFERROR(VLOOKUP($A68,'02_怪物模板_好读版'!$A:$Z,9,FALSE),1)</x:f>
        <x:v>1</x:v>
      </x:c>
      <x:c r="L68" s="7" t="n">
        <x:f>IFERROR(VLOOKUP($A68,'02_怪物模板_好读版'!$A:$Z,10,FALSE),0)</x:f>
        <x:v>0</x:v>
      </x:c>
      <x:c r="M68" s="7" t="n">
        <x:f>IFERROR(VLOOKUP($A68,'02_怪物模板_好读版'!$A:$Z,11,FALSE),0)</x:f>
        <x:v>0</x:v>
      </x:c>
      <x:c r="N68" s="7" t="n">
        <x:f>IFERROR(VLOOKUP($A68,'02_怪物模板_好读版'!$A:$Z,12,FALSE),3)</x:f>
        <x:v>3</x:v>
      </x:c>
      <x:c r="O68" s="7" t="str">
        <x:f>IFERROR(VLOOKUP($A68,'02_怪物模板_好读版'!$A:$Z,13,FALSE),"mech_summon")</x:f>
        <x:v>mech_summon</x:v>
      </x:c>
      <x:c r="P68" s="6" t="s">
        <x:v>58</x:v>
      </x:c>
      <x:c r="Q68" s="6" t="s">
        <x:v>59</x:v>
      </x:c>
      <x:c r="R68" s="6" t="s">
        <x:v>60</x:v>
      </x:c>
      <x:c r="S68" s="6" t="s">
        <x:v>61</x:v>
      </x:c>
      <x:c r="T68" s="6" t="s">
        <x:v>122</x:v>
      </x:c>
      <x:c r="U68" s="6" t="s">
        <x:v>63</x:v>
      </x:c>
      <x:c r="V68" s="6" t="s">
        <x:v>64</x:v>
      </x:c>
    </x:row>
    <x:row r="69" ht="22" customHeight="1">
      <x:c r="A69" s="6" t="s">
        <x:v>306</x:v>
      </x:c>
      <x:c r="B69" s="6" t="s">
        <x:v>307</x:v>
      </x:c>
      <x:c r="C69" s="6" t="s">
        <x:v>308</x:v>
      </x:c>
      <x:c r="D69" s="6" t="s">
        <x:v>120</x:v>
      </x:c>
      <x:c r="E69" s="6" t="s">
        <x:v>129</x:v>
      </x:c>
      <x:c r="F69" s="6" t="s">
        <x:v>199</x:v>
      </x:c>
      <x:c r="G69" s="6" t="s">
        <x:v>80</x:v>
      </x:c>
      <x:c r="H69" s="6" t="s">
        <x:v>57</x:v>
      </x:c>
      <x:c r="I69" s="7" t="n">
        <x:f>IFERROR(VLOOKUP($A69,'02_怪物模板_好读版'!$A:$S,15,FALSE),0)+IFERROR(VLOOKUP($A69,'02_怪物模板_好读版'!$A:$S,16,FALSE),0)</x:f>
        <x:v>76</x:v>
      </x:c>
      <x:c r="J69" s="7" t="n">
        <x:f>IFERROR(VLOOKUP($A69,'02_怪物模板_好读版'!$A:$Z,8,FALSE),25)</x:f>
        <x:v>25</x:v>
      </x:c>
      <x:c r="K69" s="7" t="n">
        <x:f>IFERROR(VLOOKUP($A69,'02_怪物模板_好读版'!$A:$Z,9,FALSE),3)</x:f>
        <x:v>3</x:v>
      </x:c>
      <x:c r="L69" s="7" t="n">
        <x:f>IFERROR(VLOOKUP($A69,'02_怪物模板_好读版'!$A:$Z,10,FALSE),0)</x:f>
        <x:v>0</x:v>
      </x:c>
      <x:c r="M69" s="7" t="n">
        <x:f>IFERROR(VLOOKUP($A69,'02_怪物模板_好读版'!$A:$Z,11,FALSE),0)</x:f>
        <x:v>0</x:v>
      </x:c>
      <x:c r="N69" s="7" t="n">
        <x:f>IFERROR(VLOOKUP($A69,'02_怪物模板_好读版'!$A:$Z,12,FALSE),2)</x:f>
        <x:v>2</x:v>
      </x:c>
      <x:c r="O69" s="7" t="str">
        <x:f>IFERROR(VLOOKUP($A69,'02_怪物模板_好读版'!$A:$Z,13,FALSE),"mech_break_castle")</x:f>
        <x:v>mech_break_castle</x:v>
      </x:c>
      <x:c r="P69" s="6" t="s">
        <x:v>58</x:v>
      </x:c>
      <x:c r="Q69" s="6" t="s">
        <x:v>59</x:v>
      </x:c>
      <x:c r="R69" s="6" t="s">
        <x:v>60</x:v>
      </x:c>
      <x:c r="S69" s="6" t="s">
        <x:v>61</x:v>
      </x:c>
      <x:c r="T69" s="6" t="s">
        <x:v>122</x:v>
      </x:c>
      <x:c r="U69" s="6" t="s">
        <x:v>63</x:v>
      </x:c>
      <x:c r="V69" s="6" t="s">
        <x:v>64</x:v>
      </x:c>
    </x:row>
    <x:row r="70" ht="22" customHeight="1">
      <x:c r="A70" s="6" t="s">
        <x:v>309</x:v>
      </x:c>
      <x:c r="B70" s="6" t="s">
        <x:v>310</x:v>
      </x:c>
      <x:c r="C70" s="6" t="s">
        <x:v>311</x:v>
      </x:c>
      <x:c r="D70" s="6" t="s">
        <x:v>120</x:v>
      </x:c>
      <x:c r="E70" s="6" t="s">
        <x:v>145</x:v>
      </x:c>
      <x:c r="F70" s="6" t="s">
        <x:v>199</x:v>
      </x:c>
      <x:c r="G70" s="6" t="s">
        <x:v>80</x:v>
      </x:c>
      <x:c r="H70" s="6" t="s">
        <x:v>57</x:v>
      </x:c>
      <x:c r="I70" s="7" t="n">
        <x:f>IFERROR(VLOOKUP($A70,'02_怪物模板_好读版'!$A:$S,15,FALSE),0)+IFERROR(VLOOKUP($A70,'02_怪物模板_好读版'!$A:$S,16,FALSE),0)</x:f>
        <x:v>0</x:v>
      </x:c>
      <x:c r="J70" s="7" t="n">
        <x:f>IFERROR(VLOOKUP($A70,'02_怪物模板_好读版'!$A:$Z,8,FALSE),25)</x:f>
        <x:v>25</x:v>
      </x:c>
      <x:c r="K70" s="7" t="n">
        <x:f>IFERROR(VLOOKUP($A70,'02_怪物模板_好读版'!$A:$Z,9,FALSE),18)</x:f>
        <x:v>18</x:v>
      </x:c>
      <x:c r="L70" s="7" t="n">
        <x:f>IFERROR(VLOOKUP($A70,'02_怪物模板_好读版'!$A:$Z,10,FALSE),0)</x:f>
        <x:v>0</x:v>
      </x:c>
      <x:c r="M70" s="7" t="n">
        <x:f>IFERROR(VLOOKUP($A70,'02_怪物模板_好读版'!$A:$Z,11,FALSE),10)</x:f>
        <x:v>10</x:v>
      </x:c>
      <x:c r="N70" s="7" t="n">
        <x:f>IFERROR(VLOOKUP($A70,'02_怪物模板_好读版'!$A:$Z,12,FALSE),3)</x:f>
        <x:v>3</x:v>
      </x:c>
      <x:c r="O70" s="7" t="str">
        <x:f>IFERROR(VLOOKUP($A70,'02_怪物模板_好读版'!$A:$Z,13,FALSE),"REVIEW")</x:f>
        <x:v>REVIEW</x:v>
      </x:c>
      <x:c r="P70" s="6" t="s">
        <x:v>58</x:v>
      </x:c>
      <x:c r="Q70" s="6" t="s">
        <x:v>59</x:v>
      </x:c>
      <x:c r="R70" s="6" t="s">
        <x:v>60</x:v>
      </x:c>
      <x:c r="S70" s="6" t="s">
        <x:v>61</x:v>
      </x:c>
      <x:c r="T70" s="6" t="s">
        <x:v>122</x:v>
      </x:c>
      <x:c r="U70" s="6" t="s">
        <x:v>63</x:v>
      </x:c>
      <x:c r="V70" s="6" t="s">
        <x:v>64</x:v>
      </x:c>
    </x:row>
    <x:row r="71" ht="22" customHeight="1">
      <x:c r="A71" s="6" t="s">
        <x:v>312</x:v>
      </x:c>
      <x:c r="B71" s="6" t="s">
        <x:v>313</x:v>
      </x:c>
      <x:c r="C71" s="6" t="s">
        <x:v>314</x:v>
      </x:c>
      <x:c r="D71" s="6" t="s">
        <x:v>120</x:v>
      </x:c>
      <x:c r="E71" s="6" t="s">
        <x:v>129</x:v>
      </x:c>
      <x:c r="F71" s="6" t="s">
        <x:v>199</x:v>
      </x:c>
      <x:c r="G71" s="6" t="s">
        <x:v>80</x:v>
      </x:c>
      <x:c r="H71" s="6" t="s">
        <x:v>57</x:v>
      </x:c>
      <x:c r="I71" s="7" t="n">
        <x:f>IFERROR(VLOOKUP($A71,'02_怪物模板_好读版'!$A:$S,15,FALSE),0)+IFERROR(VLOOKUP($A71,'02_怪物模板_好读版'!$A:$S,16,FALSE),0)</x:f>
        <x:v>0</x:v>
      </x:c>
      <x:c r="J71" s="7" t="n">
        <x:f>IFERROR(VLOOKUP($A71,'02_怪物模板_好读版'!$A:$Z,8,FALSE),25)</x:f>
        <x:v>25</x:v>
      </x:c>
      <x:c r="K71" s="7" t="n">
        <x:f>IFERROR(VLOOKUP($A71,'02_怪物模板_好读版'!$A:$Z,9,FALSE),18)</x:f>
        <x:v>18</x:v>
      </x:c>
      <x:c r="L71" s="7" t="n">
        <x:f>IFERROR(VLOOKUP($A71,'02_怪物模板_好读版'!$A:$Z,10,FALSE),0)</x:f>
        <x:v>0</x:v>
      </x:c>
      <x:c r="M71" s="7" t="n">
        <x:f>IFERROR(VLOOKUP($A71,'02_怪物模板_好读版'!$A:$Z,11,FALSE),10)</x:f>
        <x:v>10</x:v>
      </x:c>
      <x:c r="N71" s="7" t="n">
        <x:f>IFERROR(VLOOKUP($A71,'02_怪物模板_好读版'!$A:$Z,12,FALSE),3)</x:f>
        <x:v>3</x:v>
      </x:c>
      <x:c r="O71" s="7" t="str">
        <x:f>IFERROR(VLOOKUP($A71,'02_怪物模板_好读版'!$A:$Z,13,FALSE),"REVIEW")</x:f>
        <x:v>REVIEW</x:v>
      </x:c>
      <x:c r="P71" s="6" t="s">
        <x:v>58</x:v>
      </x:c>
      <x:c r="Q71" s="6" t="s">
        <x:v>59</x:v>
      </x:c>
      <x:c r="R71" s="6" t="s">
        <x:v>60</x:v>
      </x:c>
      <x:c r="S71" s="6" t="s">
        <x:v>61</x:v>
      </x:c>
      <x:c r="T71" s="6" t="s">
        <x:v>122</x:v>
      </x:c>
      <x:c r="U71" s="6" t="s">
        <x:v>63</x:v>
      </x:c>
      <x:c r="V71" s="6" t="s">
        <x:v>64</x:v>
      </x:c>
    </x:row>
    <x:row r="72" ht="22" customHeight="1">
      <x:c r="A72" s="6" t="s">
        <x:v>315</x:v>
      </x:c>
      <x:c r="B72" s="6" t="s">
        <x:v>316</x:v>
      </x:c>
      <x:c r="C72" s="6" t="s">
        <x:v>317</x:v>
      </x:c>
      <x:c r="D72" s="6" t="s">
        <x:v>43</x:v>
      </x:c>
      <x:c r="E72" s="6" t="s">
        <x:v>44</x:v>
      </x:c>
      <x:c r="F72" s="6" t="s">
        <x:v>199</x:v>
      </x:c>
      <x:c r="G72" s="6" t="s">
        <x:v>46</x:v>
      </x:c>
      <x:c r="H72" s="6" t="s">
        <x:v>72</x:v>
      </x:c>
      <x:c r="I72" s="7" t="n">
        <x:f>IFERROR(VLOOKUP($A72,'02_怪物模板_好读版'!$A:$S,15,FALSE),0)+IFERROR(VLOOKUP($A72,'02_怪物模板_好读版'!$A:$S,16,FALSE),0)</x:f>
        <x:v>0</x:v>
      </x:c>
      <x:c r="J72" s="7" t="n">
        <x:f>IFERROR(VLOOKUP($A72,'02_怪物模板_好读版'!$A:$Z,8,FALSE),25)</x:f>
        <x:v>25</x:v>
      </x:c>
      <x:c r="K72" s="7" t="n">
        <x:f>IFERROR(VLOOKUP($A72,'02_怪物模板_好读版'!$A:$Z,9,FALSE),12)</x:f>
        <x:v>12</x:v>
      </x:c>
      <x:c r="L72" s="7" t="n">
        <x:f>IFERROR(VLOOKUP($A72,'02_怪物模板_好读版'!$A:$Z,10,FALSE),0)</x:f>
        <x:v>0</x:v>
      </x:c>
      <x:c r="M72" s="7" t="n">
        <x:f>IFERROR(VLOOKUP($A72,'02_怪物模板_好读版'!$A:$Z,11,FALSE),0)</x:f>
        <x:v>0</x:v>
      </x:c>
      <x:c r="N72" s="7" t="n">
        <x:f>IFERROR(VLOOKUP($A72,'02_怪物模板_好读版'!$A:$Z,12,FALSE),3)</x:f>
        <x:v>3</x:v>
      </x:c>
      <x:c r="O72" s="7" t="str">
        <x:f>IFERROR(VLOOKUP($A72,'02_怪物模板_好读版'!$A:$Z,13,FALSE),"REVIEW")</x:f>
        <x:v>REVIEW</x:v>
      </x:c>
      <x:c r="P72" s="6" t="s">
        <x:v>216</x:v>
      </x:c>
      <x:c r="Q72" s="6" t="s">
        <x:v>217</x:v>
      </x:c>
      <x:c r="R72" s="6" t="s">
        <x:v>73</x:v>
      </x:c>
      <x:c r="S72" s="6" t="s">
        <x:v>74</x:v>
      </x:c>
      <x:c r="T72" s="6" t="s">
        <x:v>75</x:v>
      </x:c>
      <x:c r="U72" s="6" t="s">
        <x:v>63</x:v>
      </x:c>
      <x:c r="V72" s="6" t="s">
        <x:v>218</x:v>
      </x:c>
    </x:row>
    <x:row r="73" ht="22" customHeight="1">
      <x:c r="A73" s="6" t="s">
        <x:v>318</x:v>
      </x:c>
      <x:c r="B73" s="6" t="s">
        <x:v>319</x:v>
      </x:c>
      <x:c r="C73" s="6" t="s">
        <x:v>320</x:v>
      </x:c>
      <x:c r="D73" s="6" t="s">
        <x:v>79</x:v>
      </x:c>
      <x:c r="E73" s="6" t="s">
        <x:v>44</x:v>
      </x:c>
      <x:c r="F73" s="6" t="s">
        <x:v>199</x:v>
      </x:c>
      <x:c r="G73" s="6" t="s">
        <x:v>46</x:v>
      </x:c>
      <x:c r="H73" s="6" t="s">
        <x:v>50</x:v>
      </x:c>
      <x:c r="I73" s="7" t="n">
        <x:f>IFERROR(VLOOKUP($A73,'02_怪物模板_好读版'!$A:$S,15,FALSE),0)+IFERROR(VLOOKUP($A73,'02_怪物模板_好读版'!$A:$S,16,FALSE),0)</x:f>
        <x:v>73</x:v>
      </x:c>
      <x:c r="J73" s="7" t="n">
        <x:f>IFERROR(VLOOKUP($A73,'02_怪物模板_好读版'!$A:$Z,8,FALSE),20)</x:f>
        <x:v>20</x:v>
      </x:c>
      <x:c r="K73" s="7" t="n">
        <x:f>IFERROR(VLOOKUP($A73,'02_怪物模板_好读版'!$A:$Z,9,FALSE),2)</x:f>
        <x:v>2</x:v>
      </x:c>
      <x:c r="L73" s="7" t="n">
        <x:f>IFERROR(VLOOKUP($A73,'02_怪物模板_好读版'!$A:$Z,10,FALSE),0)</x:f>
        <x:v>0</x:v>
      </x:c>
      <x:c r="M73" s="7" t="n">
        <x:f>IFERROR(VLOOKUP($A73,'02_怪物模板_好读版'!$A:$Z,11,FALSE),0)</x:f>
        <x:v>0</x:v>
      </x:c>
      <x:c r="N73" s="7" t="n">
        <x:f>IFERROR(VLOOKUP($A73,'02_怪物模板_好读版'!$A:$Z,12,FALSE),3)</x:f>
        <x:v>3</x:v>
      </x:c>
      <x:c r="O73" s="7" t="str">
        <x:f>IFERROR(VLOOKUP($A73,'02_怪物模板_好读版'!$A:$Z,13,FALSE),"mech_aura")</x:f>
        <x:v>mech_aura</x:v>
      </x:c>
      <x:c r="P73" s="6" t="s">
        <x:v>48</x:v>
      </x:c>
      <x:c r="Q73" s="6" t="s">
        <x:v>49</x:v>
      </x:c>
      <x:c r="R73" s="6" t="s">
        <x:v>50</x:v>
      </x:c>
      <x:c r="S73" s="6" t="s">
        <x:v>247</x:v>
      </x:c>
      <x:c r="T73" s="6" t="s">
        <x:v>321</x:v>
      </x:c>
      <x:c r="U73" s="6" t="s">
        <x:v>53</x:v>
      </x:c>
      <x:c r="V73" s="6" t="s">
        <x:v>248</x:v>
      </x:c>
    </x:row>
    <x:row r="74" ht="22" customHeight="1">
      <x:c r="A74" s="6" t="s">
        <x:v>322</x:v>
      </x:c>
      <x:c r="B74" s="6" t="s">
        <x:v>323</x:v>
      </x:c>
      <x:c r="C74" s="6" t="s">
        <x:v>324</x:v>
      </x:c>
      <x:c r="D74" s="6" t="s">
        <x:v>79</x:v>
      </x:c>
      <x:c r="E74" s="6" t="s">
        <x:v>212</x:v>
      </x:c>
      <x:c r="F74" s="6" t="s">
        <x:v>199</x:v>
      </x:c>
      <x:c r="G74" s="6" t="s">
        <x:v>80</x:v>
      </x:c>
      <x:c r="H74" s="6" t="s">
        <x:v>165</x:v>
      </x:c>
      <x:c r="I74" s="7" t="n">
        <x:f>IFERROR(VLOOKUP($A74,'02_怪物模板_好读版'!$A:$S,15,FALSE),0)+IFERROR(VLOOKUP($A74,'02_怪物模板_好读版'!$A:$S,16,FALSE),0)</x:f>
        <x:v>113</x:v>
      </x:c>
      <x:c r="J74" s="7" t="n">
        <x:f>IFERROR(VLOOKUP($A74,'02_怪物模板_好读版'!$A:$Z,8,FALSE),30)</x:f>
        <x:v>30</x:v>
      </x:c>
      <x:c r="K74" s="7" t="n">
        <x:f>IFERROR(VLOOKUP($A74,'02_怪物模板_好读版'!$A:$Z,9,FALSE),4)</x:f>
        <x:v>4</x:v>
      </x:c>
      <x:c r="L74" s="7" t="n">
        <x:f>IFERROR(VLOOKUP($A74,'02_怪物模板_好读版'!$A:$Z,10,FALSE),0)</x:f>
        <x:v>0</x:v>
      </x:c>
      <x:c r="M74" s="7" t="n">
        <x:f>IFERROR(VLOOKUP($A74,'02_怪物模板_好读版'!$A:$Z,11,FALSE),0)</x:f>
        <x:v>0</x:v>
      </x:c>
      <x:c r="N74" s="7" t="n">
        <x:f>IFERROR(VLOOKUP($A74,'02_怪物模板_好读版'!$A:$Z,12,FALSE),3)</x:f>
        <x:v>3</x:v>
      </x:c>
      <x:c r="O74" s="7" t="str">
        <x:f>IFERROR(VLOOKUP($A74,'02_怪物模板_好读版'!$A:$Z,13,FALSE),"mech_break_castle,mech_multi_hit")</x:f>
        <x:v>mech_break_castle,mech_multi_hit</x:v>
      </x:c>
      <x:c r="P74" s="6" t="s">
        <x:v>111</x:v>
      </x:c>
      <x:c r="Q74" s="6" t="s">
        <x:v>112</x:v>
      </x:c>
      <x:c r="R74" s="6" t="s">
        <x:v>113</x:v>
      </x:c>
      <x:c r="S74" s="6" t="s">
        <x:v>114</x:v>
      </x:c>
      <x:c r="T74" s="6" t="s">
        <x:v>325</x:v>
      </x:c>
      <x:c r="U74" s="6" t="s">
        <x:v>63</x:v>
      </x:c>
      <x:c r="V74" s="6" t="s">
        <x:v>44</x:v>
      </x:c>
    </x:row>
    <x:row r="75" ht="22" customHeight="1">
      <x:c r="A75" s="6" t="s">
        <x:v>326</x:v>
      </x:c>
      <x:c r="B75" s="6" t="s">
        <x:v>327</x:v>
      </x:c>
      <x:c r="C75" s="6" t="s">
        <x:v>328</x:v>
      </x:c>
      <x:c r="D75" s="6" t="s">
        <x:v>87</x:v>
      </x:c>
      <x:c r="E75" s="6" t="s">
        <x:v>329</x:v>
      </x:c>
      <x:c r="F75" s="6" t="s">
        <x:v>199</x:v>
      </x:c>
      <x:c r="G75" s="6" t="s">
        <x:v>80</x:v>
      </x:c>
      <x:c r="H75" s="6" t="s">
        <x:v>110</x:v>
      </x:c>
      <x:c r="I75" s="7" t="n">
        <x:f>IFERROR(VLOOKUP($A75,'02_怪物模板_好读版'!$A:$S,15,FALSE),0)+IFERROR(VLOOKUP($A75,'02_怪物模板_好读版'!$A:$S,16,FALSE),0)</x:f>
        <x:v>0</x:v>
      </x:c>
      <x:c r="J75" s="7" t="n">
        <x:f>IFERROR(VLOOKUP($A75,'02_怪物模板_好读版'!$A:$Z,8,FALSE),35)</x:f>
        <x:v>35</x:v>
      </x:c>
      <x:c r="K75" s="7" t="n">
        <x:f>IFERROR(VLOOKUP($A75,'02_怪物模板_好读版'!$A:$Z,9,FALSE),27)</x:f>
        <x:v>27</x:v>
      </x:c>
      <x:c r="L75" s="7" t="n">
        <x:f>IFERROR(VLOOKUP($A75,'02_怪物模板_好读版'!$A:$Z,10,FALSE),0)</x:f>
        <x:v>0</x:v>
      </x:c>
      <x:c r="M75" s="7" t="n">
        <x:f>IFERROR(VLOOKUP($A75,'02_怪物模板_好读版'!$A:$Z,11,FALSE),0)</x:f>
        <x:v>0</x:v>
      </x:c>
      <x:c r="N75" s="7" t="n">
        <x:f>IFERROR(VLOOKUP($A75,'02_怪物模板_好读版'!$A:$Z,12,FALSE),4)</x:f>
        <x:v>4</x:v>
      </x:c>
      <x:c r="O75" s="7" t="str">
        <x:f>IFERROR(VLOOKUP($A75,'02_怪物模板_好读版'!$A:$Z,13,FALSE),"REVIEW")</x:f>
        <x:v>REVIEW</x:v>
      </x:c>
      <x:c r="P75" s="6" t="s">
        <x:v>216</x:v>
      </x:c>
      <x:c r="Q75" s="6" t="s">
        <x:v>217</x:v>
      </x:c>
      <x:c r="R75" s="6" t="s">
        <x:v>113</x:v>
      </x:c>
      <x:c r="S75" s="6" t="s">
        <x:v>74</x:v>
      </x:c>
      <x:c r="T75" s="6" t="s">
        <x:v>259</x:v>
      </x:c>
      <x:c r="U75" s="6" t="s">
        <x:v>63</x:v>
      </x:c>
      <x:c r="V75" s="6" t="s">
        <x:v>260</x:v>
      </x:c>
    </x:row>
    <x:row r="76" ht="22" customHeight="1">
      <x:c r="A76" s="6" t="s">
        <x:v>330</x:v>
      </x:c>
      <x:c r="B76" s="6" t="s">
        <x:v>331</x:v>
      </x:c>
      <x:c r="C76" s="6" t="s">
        <x:v>332</x:v>
      </x:c>
      <x:c r="D76" s="6" t="s">
        <x:v>79</x:v>
      </x:c>
      <x:c r="E76" s="6" t="s">
        <x:v>44</x:v>
      </x:c>
      <x:c r="F76" s="6" t="s">
        <x:v>199</x:v>
      </x:c>
      <x:c r="G76" s="6" t="s">
        <x:v>46</x:v>
      </x:c>
      <x:c r="H76" s="6" t="s">
        <x:v>81</x:v>
      </x:c>
      <x:c r="I76" s="7" t="n">
        <x:f>IFERROR(VLOOKUP($A76,'02_怪物模板_好读版'!$A:$S,15,FALSE),0)+IFERROR(VLOOKUP($A76,'02_怪物模板_好读版'!$A:$S,16,FALSE),0)</x:f>
        <x:v>0</x:v>
      </x:c>
      <x:c r="J76" s="7" t="n">
        <x:f>IFERROR(VLOOKUP($A76,'02_怪物模板_好读版'!$A:$Z,8,FALSE),30)</x:f>
        <x:v>30</x:v>
      </x:c>
      <x:c r="K76" s="7" t="n">
        <x:f>IFERROR(VLOOKUP($A76,'02_怪物模板_好读版'!$A:$Z,9,FALSE),13)</x:f>
        <x:v>13</x:v>
      </x:c>
      <x:c r="L76" s="7" t="n">
        <x:f>IFERROR(VLOOKUP($A76,'02_怪物模板_好读版'!$A:$Z,10,FALSE),0)</x:f>
        <x:v>0</x:v>
      </x:c>
      <x:c r="M76" s="7" t="n">
        <x:f>IFERROR(VLOOKUP($A76,'02_怪物模板_好读版'!$A:$Z,11,FALSE),0)</x:f>
        <x:v>0</x:v>
      </x:c>
      <x:c r="N76" s="7" t="n">
        <x:f>IFERROR(VLOOKUP($A76,'02_怪物模板_好读版'!$A:$Z,12,FALSE),3)</x:f>
        <x:v>3</x:v>
      </x:c>
      <x:c r="O76" s="7" t="str">
        <x:f>IFERROR(VLOOKUP($A76,'02_怪物模板_好读版'!$A:$Z,13,FALSE),"REVIEW")</x:f>
        <x:v>REVIEW</x:v>
      </x:c>
      <x:c r="P76" s="6" t="s">
        <x:v>58</x:v>
      </x:c>
      <x:c r="Q76" s="6" t="s">
        <x:v>59</x:v>
      </x:c>
      <x:c r="R76" s="6" t="s">
        <x:v>81</x:v>
      </x:c>
      <x:c r="S76" s="6" t="s">
        <x:v>61</x:v>
      </x:c>
      <x:c r="T76" s="6" t="s">
        <x:v>83</x:v>
      </x:c>
      <x:c r="U76" s="6" t="s">
        <x:v>63</x:v>
      </x:c>
      <x:c r="V76" s="6" t="s">
        <x:v>44</x:v>
      </x:c>
    </x:row>
    <x:row r="77" ht="22" customHeight="1">
      <x:c r="A77" s="6" t="s">
        <x:v>333</x:v>
      </x:c>
      <x:c r="B77" s="6" t="s">
        <x:v>334</x:v>
      </x:c>
      <x:c r="C77" s="6" t="s">
        <x:v>335</x:v>
      </x:c>
      <x:c r="D77" s="6" t="s">
        <x:v>43</x:v>
      </x:c>
      <x:c r="E77" s="6" t="s">
        <x:v>92</x:v>
      </x:c>
      <x:c r="F77" s="6" t="s">
        <x:v>199</x:v>
      </x:c>
      <x:c r="G77" s="6" t="s">
        <x:v>106</x:v>
      </x:c>
      <x:c r="H77" s="6" t="s">
        <x:v>110</x:v>
      </x:c>
      <x:c r="I77" s="7" t="n">
        <x:f>IFERROR(VLOOKUP($A77,'02_怪物模板_好读版'!$A:$S,15,FALSE),0)+IFERROR(VLOOKUP($A77,'02_怪物模板_好读版'!$A:$S,16,FALSE),0)</x:f>
        <x:v>0</x:v>
      </x:c>
      <x:c r="J77" s="7" t="n">
        <x:f>IFERROR(VLOOKUP($A77,'02_怪物模板_好读版'!$A:$Z,8,FALSE),70)</x:f>
        <x:v>70</x:v>
      </x:c>
      <x:c r="K77" s="7" t="n">
        <x:f>IFERROR(VLOOKUP($A77,'02_怪物模板_好读版'!$A:$Z,9,FALSE),49)</x:f>
        <x:v>49</x:v>
      </x:c>
      <x:c r="L77" s="7" t="n">
        <x:f>IFERROR(VLOOKUP($A77,'02_怪物模板_好读版'!$A:$Z,10,FALSE),0)</x:f>
        <x:v>0</x:v>
      </x:c>
      <x:c r="M77" s="7" t="n">
        <x:f>IFERROR(VLOOKUP($A77,'02_怪物模板_好读版'!$A:$Z,11,FALSE),0)</x:f>
        <x:v>0</x:v>
      </x:c>
      <x:c r="N77" s="7" t="n">
        <x:f>IFERROR(VLOOKUP($A77,'02_怪物模板_好读版'!$A:$Z,12,FALSE),3)</x:f>
        <x:v>3</x:v>
      </x:c>
      <x:c r="O77" s="7" t="str">
        <x:f>IFERROR(VLOOKUP($A77,'02_怪物模板_好读版'!$A:$Z,13,FALSE),"REVIEW")</x:f>
        <x:v>REVIEW</x:v>
      </x:c>
      <x:c r="P77" s="6" t="s">
        <x:v>111</x:v>
      </x:c>
      <x:c r="Q77" s="6" t="s">
        <x:v>112</x:v>
      </x:c>
      <x:c r="R77" s="6" t="s">
        <x:v>113</x:v>
      </x:c>
      <x:c r="S77" s="6" t="s">
        <x:v>114</x:v>
      </x:c>
      <x:c r="T77" s="6" t="s">
        <x:v>115</x:v>
      </x:c>
      <x:c r="U77" s="6" t="s">
        <x:v>63</x:v>
      </x:c>
      <x:c r="V77" s="6" t="s">
        <x:v>260</x:v>
      </x:c>
    </x:row>
    <x:row r="78" ht="22" customHeight="1">
      <x:c r="A78" s="6" t="s">
        <x:v>336</x:v>
      </x:c>
      <x:c r="B78" s="6" t="s">
        <x:v>337</x:v>
      </x:c>
      <x:c r="C78" s="6" t="s">
        <x:v>338</x:v>
      </x:c>
      <x:c r="D78" s="6" t="s">
        <x:v>79</x:v>
      </x:c>
      <x:c r="E78" s="6" t="s">
        <x:v>44</x:v>
      </x:c>
      <x:c r="F78" s="6" t="s">
        <x:v>199</x:v>
      </x:c>
      <x:c r="G78" s="6" t="s">
        <x:v>80</x:v>
      </x:c>
      <x:c r="H78" s="6" t="s">
        <x:v>165</x:v>
      </x:c>
      <x:c r="I78" s="7" t="n">
        <x:f>IFERROR(VLOOKUP($A78,'02_怪物模板_好读版'!$A:$S,15,FALSE),0)+IFERROR(VLOOKUP($A78,'02_怪物模板_好读版'!$A:$S,16,FALSE),0)</x:f>
        <x:v>0</x:v>
      </x:c>
      <x:c r="J78" s="7" t="n">
        <x:f>IFERROR(VLOOKUP($A78,'02_怪物模板_好读版'!$A:$Z,8,FALSE),35)</x:f>
        <x:v>35</x:v>
      </x:c>
      <x:c r="K78" s="7" t="n">
        <x:f>IFERROR(VLOOKUP($A78,'02_怪物模板_好读版'!$A:$Z,9,FALSE),27)</x:f>
        <x:v>27</x:v>
      </x:c>
      <x:c r="L78" s="7" t="n">
        <x:f>IFERROR(VLOOKUP($A78,'02_怪物模板_好读版'!$A:$Z,10,FALSE),0)</x:f>
        <x:v>0</x:v>
      </x:c>
      <x:c r="M78" s="7" t="n">
        <x:f>IFERROR(VLOOKUP($A78,'02_怪物模板_好读版'!$A:$Z,11,FALSE),0)</x:f>
        <x:v>0</x:v>
      </x:c>
      <x:c r="N78" s="7" t="n">
        <x:f>IFERROR(VLOOKUP($A78,'02_怪物模板_好读版'!$A:$Z,12,FALSE),4)</x:f>
        <x:v>4</x:v>
      </x:c>
      <x:c r="O78" s="7" t="str">
        <x:f>IFERROR(VLOOKUP($A78,'02_怪物模板_好读版'!$A:$Z,13,FALSE),"REVIEW")</x:f>
        <x:v>REVIEW</x:v>
      </x:c>
      <x:c r="P78" s="6" t="s">
        <x:v>111</x:v>
      </x:c>
      <x:c r="Q78" s="6" t="s">
        <x:v>112</x:v>
      </x:c>
      <x:c r="R78" s="6" t="s">
        <x:v>113</x:v>
      </x:c>
      <x:c r="S78" s="6" t="s">
        <x:v>114</x:v>
      </x:c>
      <x:c r="T78" s="6" t="s">
        <x:v>325</x:v>
      </x:c>
      <x:c r="U78" s="6" t="s">
        <x:v>63</x:v>
      </x:c>
      <x:c r="V78" s="6" t="s">
        <x:v>44</x:v>
      </x:c>
    </x:row>
    <x:row r="79" ht="22" customHeight="1">
      <x:c r="A79" s="6" t="s">
        <x:v>339</x:v>
      </x:c>
      <x:c r="B79" s="6" t="s">
        <x:v>340</x:v>
      </x:c>
      <x:c r="C79" s="6" t="s">
        <x:v>341</x:v>
      </x:c>
      <x:c r="D79" s="6" t="s">
        <x:v>120</x:v>
      </x:c>
      <x:c r="E79" s="6" t="s">
        <x:v>129</x:v>
      </x:c>
      <x:c r="F79" s="6" t="s">
        <x:v>199</x:v>
      </x:c>
      <x:c r="G79" s="6" t="s">
        <x:v>46</x:v>
      </x:c>
      <x:c r="H79" s="6" t="s">
        <x:v>72</x:v>
      </x:c>
      <x:c r="I79" s="7" t="n">
        <x:f>IFERROR(VLOOKUP($A79,'02_怪物模板_好读版'!$A:$S,15,FALSE),0)+IFERROR(VLOOKUP($A79,'02_怪物模板_好读版'!$A:$S,16,FALSE),0)</x:f>
        <x:v>0</x:v>
      </x:c>
      <x:c r="J79" s="7" t="n">
        <x:f>IFERROR(VLOOKUP($A79,'02_怪物模板_好读版'!$A:$Z,8,FALSE),25)</x:f>
        <x:v>25</x:v>
      </x:c>
      <x:c r="K79" s="7" t="n">
        <x:f>IFERROR(VLOOKUP($A79,'02_怪物模板_好读版'!$A:$Z,9,FALSE),12)</x:f>
        <x:v>12</x:v>
      </x:c>
      <x:c r="L79" s="7" t="n">
        <x:f>IFERROR(VLOOKUP($A79,'02_怪物模板_好读版'!$A:$Z,10,FALSE),0)</x:f>
        <x:v>0</x:v>
      </x:c>
      <x:c r="M79" s="7" t="n">
        <x:f>IFERROR(VLOOKUP($A79,'02_怪物模板_好读版'!$A:$Z,11,FALSE),0)</x:f>
        <x:v>0</x:v>
      </x:c>
      <x:c r="N79" s="7" t="n">
        <x:f>IFERROR(VLOOKUP($A79,'02_怪物模板_好读版'!$A:$Z,12,FALSE),3)</x:f>
        <x:v>3</x:v>
      </x:c>
      <x:c r="O79" s="7" t="str">
        <x:f>IFERROR(VLOOKUP($A79,'02_怪物模板_好读版'!$A:$Z,13,FALSE),"REVIEW")</x:f>
        <x:v>REVIEW</x:v>
      </x:c>
      <x:c r="P79" s="6" t="s">
        <x:v>216</x:v>
      </x:c>
      <x:c r="Q79" s="6" t="s">
        <x:v>217</x:v>
      </x:c>
      <x:c r="R79" s="6" t="s">
        <x:v>73</x:v>
      </x:c>
      <x:c r="S79" s="6" t="s">
        <x:v>74</x:v>
      </x:c>
      <x:c r="T79" s="6" t="s">
        <x:v>225</x:v>
      </x:c>
      <x:c r="U79" s="6" t="s">
        <x:v>63</x:v>
      </x:c>
      <x:c r="V79" s="6" t="s">
        <x:v>218</x:v>
      </x:c>
    </x:row>
    <x:row r="80" ht="22" customHeight="1">
      <x:c r="A80" s="6" t="s">
        <x:v>342</x:v>
      </x:c>
      <x:c r="B80" s="6" t="s">
        <x:v>343</x:v>
      </x:c>
      <x:c r="C80" s="6" t="s">
        <x:v>344</x:v>
      </x:c>
      <x:c r="D80" s="6" t="s">
        <x:v>79</x:v>
      </x:c>
      <x:c r="E80" s="6" t="s">
        <x:v>44</x:v>
      </x:c>
      <x:c r="F80" s="6" t="s">
        <x:v>199</x:v>
      </x:c>
      <x:c r="G80" s="6" t="s">
        <x:v>80</x:v>
      </x:c>
      <x:c r="H80" s="6" t="s">
        <x:v>81</x:v>
      </x:c>
      <x:c r="I80" s="7" t="n">
        <x:f>IFERROR(VLOOKUP($A80,'02_怪物模板_好读版'!$A:$S,15,FALSE),0)+IFERROR(VLOOKUP($A80,'02_怪物模板_好读版'!$A:$S,16,FALSE),0)</x:f>
        <x:v>83</x:v>
      </x:c>
      <x:c r="J80" s="7" t="n">
        <x:f>IFERROR(VLOOKUP($A80,'02_怪物模板_好读版'!$A:$Z,8,FALSE),35)</x:f>
        <x:v>35</x:v>
      </x:c>
      <x:c r="K80" s="7" t="n">
        <x:f>IFERROR(VLOOKUP($A80,'02_怪物模板_好读版'!$A:$Z,9,FALSE),3)</x:f>
        <x:v>3</x:v>
      </x:c>
      <x:c r="L80" s="7" t="n">
        <x:f>IFERROR(VLOOKUP($A80,'02_怪物模板_好读版'!$A:$Z,10,FALSE),0)</x:f>
        <x:v>0</x:v>
      </x:c>
      <x:c r="M80" s="7" t="n">
        <x:f>IFERROR(VLOOKUP($A80,'02_怪物模板_好读版'!$A:$Z,11,FALSE),0)</x:f>
        <x:v>0</x:v>
      </x:c>
      <x:c r="N80" s="7" t="n">
        <x:f>IFERROR(VLOOKUP($A80,'02_怪物模板_好读版'!$A:$Z,12,FALSE),3)</x:f>
        <x:v>3</x:v>
      </x:c>
      <x:c r="O80" s="7" t="str">
        <x:f>IFERROR(VLOOKUP($A80,'02_怪物模板_好读版'!$A:$Z,13,FALSE),"mech_grow_attack")</x:f>
        <x:v>mech_grow_attack</x:v>
      </x:c>
      <x:c r="P80" s="6" t="s">
        <x:v>58</x:v>
      </x:c>
      <x:c r="Q80" s="6" t="s">
        <x:v>59</x:v>
      </x:c>
      <x:c r="R80" s="6" t="s">
        <x:v>81</x:v>
      </x:c>
      <x:c r="S80" s="6" t="s">
        <x:v>61</x:v>
      </x:c>
      <x:c r="T80" s="6" t="s">
        <x:v>83</x:v>
      </x:c>
      <x:c r="U80" s="6" t="s">
        <x:v>63</x:v>
      </x:c>
      <x:c r="V80" s="6" t="s">
        <x:v>44</x:v>
      </x:c>
    </x:row>
    <x:row r="81" ht="22" customHeight="1">
      <x:c r="A81" s="6" t="s">
        <x:v>345</x:v>
      </x:c>
      <x:c r="B81" s="6" t="s">
        <x:v>346</x:v>
      </x:c>
      <x:c r="C81" s="6" t="s">
        <x:v>347</x:v>
      </x:c>
      <x:c r="D81" s="6" t="s">
        <x:v>43</x:v>
      </x:c>
      <x:c r="E81" s="6" t="s">
        <x:v>71</x:v>
      </x:c>
      <x:c r="F81" s="6" t="s">
        <x:v>199</x:v>
      </x:c>
      <x:c r="G81" s="6" t="s">
        <x:v>46</x:v>
      </x:c>
      <x:c r="H81" s="6" t="s">
        <x:v>72</x:v>
      </x:c>
      <x:c r="I81" s="7" t="n">
        <x:f>IFERROR(VLOOKUP($A81,'02_怪物模板_好读版'!$A:$S,15,FALSE),0)+IFERROR(VLOOKUP($A81,'02_怪物模板_好读版'!$A:$S,16,FALSE),0)</x:f>
        <x:v>0</x:v>
      </x:c>
      <x:c r="J81" s="7" t="n">
        <x:f>IFERROR(VLOOKUP($A81,'02_怪物模板_好读版'!$A:$Z,8,FALSE),25)</x:f>
        <x:v>25</x:v>
      </x:c>
      <x:c r="K81" s="7" t="n">
        <x:f>IFERROR(VLOOKUP($A81,'02_怪物模板_好读版'!$A:$Z,9,FALSE),12)</x:f>
        <x:v>12</x:v>
      </x:c>
      <x:c r="L81" s="7" t="n">
        <x:f>IFERROR(VLOOKUP($A81,'02_怪物模板_好读版'!$A:$Z,10,FALSE),0)</x:f>
        <x:v>0</x:v>
      </x:c>
      <x:c r="M81" s="7" t="n">
        <x:f>IFERROR(VLOOKUP($A81,'02_怪物模板_好读版'!$A:$Z,11,FALSE),0)</x:f>
        <x:v>0</x:v>
      </x:c>
      <x:c r="N81" s="7" t="n">
        <x:f>IFERROR(VLOOKUP($A81,'02_怪物模板_好读版'!$A:$Z,12,FALSE),3)</x:f>
        <x:v>3</x:v>
      </x:c>
      <x:c r="O81" s="7" t="str">
        <x:f>IFERROR(VLOOKUP($A81,'02_怪物模板_好读版'!$A:$Z,13,FALSE),"REVIEW")</x:f>
        <x:v>REVIEW</x:v>
      </x:c>
      <x:c r="P81" s="6" t="s">
        <x:v>216</x:v>
      </x:c>
      <x:c r="Q81" s="6" t="s">
        <x:v>217</x:v>
      </x:c>
      <x:c r="R81" s="6" t="s">
        <x:v>73</x:v>
      </x:c>
      <x:c r="S81" s="6" t="s">
        <x:v>74</x:v>
      </x:c>
      <x:c r="T81" s="6" t="s">
        <x:v>75</x:v>
      </x:c>
      <x:c r="U81" s="6" t="s">
        <x:v>63</x:v>
      </x:c>
      <x:c r="V81" s="6" t="s">
        <x:v>218</x:v>
      </x:c>
    </x:row>
    <x:row r="82" ht="22" customHeight="1">
      <x:c r="A82" s="6" t="s">
        <x:v>348</x:v>
      </x:c>
      <x:c r="B82" s="6" t="s">
        <x:v>349</x:v>
      </x:c>
      <x:c r="C82" s="6" t="s">
        <x:v>350</x:v>
      </x:c>
      <x:c r="D82" s="6" t="s">
        <x:v>43</x:v>
      </x:c>
      <x:c r="E82" s="6" t="s">
        <x:v>71</x:v>
      </x:c>
      <x:c r="F82" s="6" t="s">
        <x:v>199</x:v>
      </x:c>
      <x:c r="G82" s="6" t="s">
        <x:v>46</x:v>
      </x:c>
      <x:c r="H82" s="6" t="s">
        <x:v>72</x:v>
      </x:c>
      <x:c r="I82" s="7" t="n">
        <x:f>IFERROR(VLOOKUP($A82,'02_怪物模板_好读版'!$A:$S,15,FALSE),0)+IFERROR(VLOOKUP($A82,'02_怪物模板_好读版'!$A:$S,16,FALSE),0)</x:f>
        <x:v>0</x:v>
      </x:c>
      <x:c r="J82" s="7" t="n">
        <x:f>IFERROR(VLOOKUP($A82,'02_怪物模板_好读版'!$A:$Z,8,FALSE),25)</x:f>
        <x:v>25</x:v>
      </x:c>
      <x:c r="K82" s="7" t="n">
        <x:f>IFERROR(VLOOKUP($A82,'02_怪物模板_好读版'!$A:$Z,9,FALSE),12)</x:f>
        <x:v>12</x:v>
      </x:c>
      <x:c r="L82" s="7" t="n">
        <x:f>IFERROR(VLOOKUP($A82,'02_怪物模板_好读版'!$A:$Z,10,FALSE),0)</x:f>
        <x:v>0</x:v>
      </x:c>
      <x:c r="M82" s="7" t="n">
        <x:f>IFERROR(VLOOKUP($A82,'02_怪物模板_好读版'!$A:$Z,11,FALSE),0)</x:f>
        <x:v>0</x:v>
      </x:c>
      <x:c r="N82" s="7" t="n">
        <x:f>IFERROR(VLOOKUP($A82,'02_怪物模板_好读版'!$A:$Z,12,FALSE),3)</x:f>
        <x:v>3</x:v>
      </x:c>
      <x:c r="O82" s="7" t="str">
        <x:f>IFERROR(VLOOKUP($A82,'02_怪物模板_好读版'!$A:$Z,13,FALSE),"REVIEW")</x:f>
        <x:v>REVIEW</x:v>
      </x:c>
      <x:c r="P82" s="6" t="s">
        <x:v>216</x:v>
      </x:c>
      <x:c r="Q82" s="6" t="s">
        <x:v>217</x:v>
      </x:c>
      <x:c r="R82" s="6" t="s">
        <x:v>73</x:v>
      </x:c>
      <x:c r="S82" s="6" t="s">
        <x:v>74</x:v>
      </x:c>
      <x:c r="T82" s="6" t="s">
        <x:v>75</x:v>
      </x:c>
      <x:c r="U82" s="6" t="s">
        <x:v>63</x:v>
      </x:c>
      <x:c r="V82" s="6" t="s">
        <x:v>218</x:v>
      </x:c>
    </x:row>
    <x:row r="83" ht="22" customHeight="1">
      <x:c r="A83" s="6" t="s">
        <x:v>351</x:v>
      </x:c>
      <x:c r="B83" s="6" t="s">
        <x:v>352</x:v>
      </x:c>
      <x:c r="C83" s="6" t="s">
        <x:v>353</x:v>
      </x:c>
      <x:c r="D83" s="6" t="s">
        <x:v>87</x:v>
      </x:c>
      <x:c r="E83" s="6" t="s">
        <x:v>258</x:v>
      </x:c>
      <x:c r="F83" s="6" t="s">
        <x:v>199</x:v>
      </x:c>
      <x:c r="G83" s="6" t="s">
        <x:v>46</x:v>
      </x:c>
      <x:c r="H83" s="6" t="s">
        <x:v>72</x:v>
      </x:c>
      <x:c r="I83" s="7" t="n">
        <x:f>IFERROR(VLOOKUP($A83,'02_怪物模板_好读版'!$A:$S,15,FALSE),0)+IFERROR(VLOOKUP($A83,'02_怪物模板_好读版'!$A:$S,16,FALSE),0)</x:f>
        <x:v>0</x:v>
      </x:c>
      <x:c r="J83" s="7" t="n">
        <x:f>IFERROR(VLOOKUP($A83,'02_怪物模板_好读版'!$A:$Z,8,FALSE),25)</x:f>
        <x:v>25</x:v>
      </x:c>
      <x:c r="K83" s="7" t="n">
        <x:f>IFERROR(VLOOKUP($A83,'02_怪物模板_好读版'!$A:$Z,9,FALSE),12)</x:f>
        <x:v>12</x:v>
      </x:c>
      <x:c r="L83" s="7" t="n">
        <x:f>IFERROR(VLOOKUP($A83,'02_怪物模板_好读版'!$A:$Z,10,FALSE),0)</x:f>
        <x:v>0</x:v>
      </x:c>
      <x:c r="M83" s="7" t="n">
        <x:f>IFERROR(VLOOKUP($A83,'02_怪物模板_好读版'!$A:$Z,11,FALSE),0)</x:f>
        <x:v>0</x:v>
      </x:c>
      <x:c r="N83" s="7" t="n">
        <x:f>IFERROR(VLOOKUP($A83,'02_怪物模板_好读版'!$A:$Z,12,FALSE),3)</x:f>
        <x:v>3</x:v>
      </x:c>
      <x:c r="O83" s="7" t="str">
        <x:f>IFERROR(VLOOKUP($A83,'02_怪物模板_好读版'!$A:$Z,13,FALSE),"REVIEW")</x:f>
        <x:v>REVIEW</x:v>
      </x:c>
      <x:c r="P83" s="6" t="s">
        <x:v>216</x:v>
      </x:c>
      <x:c r="Q83" s="6" t="s">
        <x:v>217</x:v>
      </x:c>
      <x:c r="R83" s="6" t="s">
        <x:v>73</x:v>
      </x:c>
      <x:c r="S83" s="6" t="s">
        <x:v>74</x:v>
      </x:c>
      <x:c r="T83" s="6" t="s">
        <x:v>88</x:v>
      </x:c>
      <x:c r="U83" s="6" t="s">
        <x:v>63</x:v>
      </x:c>
      <x:c r="V83" s="6" t="s">
        <x:v>218</x:v>
      </x:c>
    </x:row>
    <x:row r="84" ht="22" customHeight="1">
      <x:c r="A84" s="6" t="s">
        <x:v>354</x:v>
      </x:c>
      <x:c r="B84" s="6" t="s">
        <x:v>355</x:v>
      </x:c>
      <x:c r="C84" s="6" t="s">
        <x:v>356</x:v>
      </x:c>
      <x:c r="D84" s="6" t="s">
        <x:v>43</x:v>
      </x:c>
      <x:c r="E84" s="6" t="s">
        <x:v>357</x:v>
      </x:c>
      <x:c r="F84" s="6" t="s">
        <x:v>199</x:v>
      </x:c>
      <x:c r="G84" s="6" t="s">
        <x:v>80</x:v>
      </x:c>
      <x:c r="H84" s="6" t="s">
        <x:v>50</x:v>
      </x:c>
      <x:c r="I84" s="7" t="n">
        <x:f>IFERROR(VLOOKUP($A84,'02_怪物模板_好读版'!$A:$S,15,FALSE),0)+IFERROR(VLOOKUP($A84,'02_怪物模板_好读版'!$A:$S,16,FALSE),0)</x:f>
        <x:v>0</x:v>
      </x:c>
      <x:c r="J84" s="7" t="n">
        <x:f>IFERROR(VLOOKUP($A84,'02_怪物模板_好读版'!$A:$Z,8,FALSE),35)</x:f>
        <x:v>35</x:v>
      </x:c>
      <x:c r="K84" s="7" t="n">
        <x:f>IFERROR(VLOOKUP($A84,'02_怪物模板_好读版'!$A:$Z,9,FALSE),26)</x:f>
        <x:v>26</x:v>
      </x:c>
      <x:c r="L84" s="7" t="n">
        <x:f>IFERROR(VLOOKUP($A84,'02_怪物模板_好读版'!$A:$Z,10,FALSE),0)</x:f>
        <x:v>0</x:v>
      </x:c>
      <x:c r="M84" s="7" t="n">
        <x:f>IFERROR(VLOOKUP($A84,'02_怪物模板_好读版'!$A:$Z,11,FALSE),0)</x:f>
        <x:v>0</x:v>
      </x:c>
      <x:c r="N84" s="7" t="n">
        <x:f>IFERROR(VLOOKUP($A84,'02_怪物模板_好读版'!$A:$Z,12,FALSE),3)</x:f>
        <x:v>3</x:v>
      </x:c>
      <x:c r="O84" s="7" t="str">
        <x:f>IFERROR(VLOOKUP($A84,'02_怪物模板_好读版'!$A:$Z,13,FALSE),"mech_summon")</x:f>
        <x:v>mech_summon</x:v>
      </x:c>
      <x:c r="P84" s="6" t="s">
        <x:v>48</x:v>
      </x:c>
      <x:c r="Q84" s="6" t="s">
        <x:v>49</x:v>
      </x:c>
      <x:c r="R84" s="6" t="s">
        <x:v>50</x:v>
      </x:c>
      <x:c r="S84" s="6" t="s">
        <x:v>247</x:v>
      </x:c>
      <x:c r="T84" s="6" t="s">
        <x:v>195</x:v>
      </x:c>
      <x:c r="U84" s="6" t="s">
        <x:v>53</x:v>
      </x:c>
      <x:c r="V84" s="6" t="s">
        <x:v>248</x:v>
      </x:c>
    </x:row>
    <x:row r="85" ht="22" customHeight="1">
      <x:c r="A85" s="6" t="s">
        <x:v>358</x:v>
      </x:c>
      <x:c r="B85" s="6" t="s">
        <x:v>359</x:v>
      </x:c>
      <x:c r="C85" s="6" t="s">
        <x:v>360</x:v>
      </x:c>
      <x:c r="D85" s="6" t="s">
        <x:v>87</x:v>
      </x:c>
      <x:c r="E85" s="6" t="s">
        <x:v>361</x:v>
      </x:c>
      <x:c r="F85" s="6" t="s">
        <x:v>199</x:v>
      </x:c>
      <x:c r="G85" s="6" t="s">
        <x:v>80</x:v>
      </x:c>
      <x:c r="H85" s="6" t="s">
        <x:v>72</x:v>
      </x:c>
      <x:c r="I85" s="7" t="n">
        <x:f>IFERROR(VLOOKUP($A85,'02_怪物模板_好读版'!$A:$S,15,FALSE),0)+IFERROR(VLOOKUP($A85,'02_怪物模板_好读版'!$A:$S,16,FALSE),0)</x:f>
        <x:v>0</x:v>
      </x:c>
      <x:c r="J85" s="7" t="n">
        <x:f>IFERROR(VLOOKUP($A85,'02_怪物模板_好读版'!$A:$Z,8,FALSE),40)</x:f>
        <x:v>40</x:v>
      </x:c>
      <x:c r="K85" s="7" t="n">
        <x:f>IFERROR(VLOOKUP($A85,'02_怪物模板_好读版'!$A:$Z,9,FALSE),27)</x:f>
        <x:v>27</x:v>
      </x:c>
      <x:c r="L85" s="7" t="n">
        <x:f>IFERROR(VLOOKUP($A85,'02_怪物模板_好读版'!$A:$Z,10,FALSE),0)</x:f>
        <x:v>0</x:v>
      </x:c>
      <x:c r="M85" s="7" t="n">
        <x:f>IFERROR(VLOOKUP($A85,'02_怪物模板_好读版'!$A:$Z,11,FALSE),0)</x:f>
        <x:v>0</x:v>
      </x:c>
      <x:c r="N85" s="7" t="n">
        <x:f>IFERROR(VLOOKUP($A85,'02_怪物模板_好读版'!$A:$Z,12,FALSE),3)</x:f>
        <x:v>3</x:v>
      </x:c>
      <x:c r="O85" s="7" t="str">
        <x:f>IFERROR(VLOOKUP($A85,'02_怪物模板_好读版'!$A:$Z,13,FALSE),"REVIEW")</x:f>
        <x:v>REVIEW</x:v>
      </x:c>
      <x:c r="P85" s="6" t="s">
        <x:v>216</x:v>
      </x:c>
      <x:c r="Q85" s="6" t="s">
        <x:v>217</x:v>
      </x:c>
      <x:c r="R85" s="6" t="s">
        <x:v>73</x:v>
      </x:c>
      <x:c r="S85" s="6" t="s">
        <x:v>74</x:v>
      </x:c>
      <x:c r="T85" s="6" t="s">
        <x:v>88</x:v>
      </x:c>
      <x:c r="U85" s="6" t="s">
        <x:v>63</x:v>
      </x:c>
      <x:c r="V85" s="6" t="s">
        <x:v>218</x:v>
      </x:c>
    </x:row>
    <x:row r="86" ht="22" customHeight="1">
      <x:c r="A86" s="6" t="s">
        <x:v>362</x:v>
      </x:c>
      <x:c r="B86" s="6" t="s">
        <x:v>363</x:v>
      </x:c>
      <x:c r="C86" s="6" t="s">
        <x:v>364</x:v>
      </x:c>
      <x:c r="D86" s="6" t="s">
        <x:v>87</x:v>
      </x:c>
      <x:c r="E86" s="6" t="s">
        <x:v>44</x:v>
      </x:c>
      <x:c r="F86" s="6" t="s">
        <x:v>199</x:v>
      </x:c>
      <x:c r="G86" s="6" t="s">
        <x:v>46</x:v>
      </x:c>
      <x:c r="H86" s="6" t="s">
        <x:v>72</x:v>
      </x:c>
      <x:c r="I86" s="7" t="n">
        <x:f>IFERROR(VLOOKUP($A86,'02_怪物模板_好读版'!$A:$S,15,FALSE),0)+IFERROR(VLOOKUP($A86,'02_怪物模板_好读版'!$A:$S,16,FALSE),0)</x:f>
        <x:v>0</x:v>
      </x:c>
      <x:c r="J86" s="7" t="n">
        <x:f>IFERROR(VLOOKUP($A86,'02_怪物模板_好读版'!$A:$Z,8,FALSE),25)</x:f>
        <x:v>25</x:v>
      </x:c>
      <x:c r="K86" s="7" t="n">
        <x:f>IFERROR(VLOOKUP($A86,'02_怪物模板_好读版'!$A:$Z,9,FALSE),12)</x:f>
        <x:v>12</x:v>
      </x:c>
      <x:c r="L86" s="7" t="n">
        <x:f>IFERROR(VLOOKUP($A86,'02_怪物模板_好读版'!$A:$Z,10,FALSE),0)</x:f>
        <x:v>0</x:v>
      </x:c>
      <x:c r="M86" s="7" t="n">
        <x:f>IFERROR(VLOOKUP($A86,'02_怪物模板_好读版'!$A:$Z,11,FALSE),0)</x:f>
        <x:v>0</x:v>
      </x:c>
      <x:c r="N86" s="7" t="n">
        <x:f>IFERROR(VLOOKUP($A86,'02_怪物模板_好读版'!$A:$Z,12,FALSE),3)</x:f>
        <x:v>3</x:v>
      </x:c>
      <x:c r="O86" s="7" t="str">
        <x:f>IFERROR(VLOOKUP($A86,'02_怪物模板_好读版'!$A:$Z,13,FALSE),"REVIEW")</x:f>
        <x:v>REVIEW</x:v>
      </x:c>
      <x:c r="P86" s="6" t="s">
        <x:v>216</x:v>
      </x:c>
      <x:c r="Q86" s="6" t="s">
        <x:v>217</x:v>
      </x:c>
      <x:c r="R86" s="6" t="s">
        <x:v>73</x:v>
      </x:c>
      <x:c r="S86" s="6" t="s">
        <x:v>74</x:v>
      </x:c>
      <x:c r="T86" s="6" t="s">
        <x:v>88</x:v>
      </x:c>
      <x:c r="U86" s="6" t="s">
        <x:v>63</x:v>
      </x:c>
      <x:c r="V86" s="6" t="s">
        <x:v>218</x:v>
      </x:c>
    </x:row>
    <x:row r="87" ht="22" customHeight="1">
      <x:c r="A87" s="6" t="s">
        <x:v>365</x:v>
      </x:c>
      <x:c r="B87" s="6" t="s">
        <x:v>366</x:v>
      </x:c>
      <x:c r="C87" s="6" t="s">
        <x:v>367</x:v>
      </x:c>
      <x:c r="D87" s="6" t="s">
        <x:v>79</x:v>
      </x:c>
      <x:c r="E87" s="6" t="s">
        <x:v>44</x:v>
      </x:c>
      <x:c r="F87" s="6" t="s">
        <x:v>199</x:v>
      </x:c>
      <x:c r="G87" s="6" t="s">
        <x:v>46</x:v>
      </x:c>
      <x:c r="H87" s="6" t="s">
        <x:v>81</x:v>
      </x:c>
      <x:c r="I87" s="7" t="n">
        <x:f>IFERROR(VLOOKUP($A87,'02_怪物模板_好读版'!$A:$S,15,FALSE),0)+IFERROR(VLOOKUP($A87,'02_怪物模板_好读版'!$A:$S,16,FALSE),0)</x:f>
        <x:v>0</x:v>
      </x:c>
      <x:c r="J87" s="7" t="n">
        <x:f>IFERROR(VLOOKUP($A87,'02_怪物模板_好读版'!$A:$Z,8,FALSE),30)</x:f>
        <x:v>30</x:v>
      </x:c>
      <x:c r="K87" s="7" t="n">
        <x:f>IFERROR(VLOOKUP($A87,'02_怪物模板_好读版'!$A:$Z,9,FALSE),13)</x:f>
        <x:v>13</x:v>
      </x:c>
      <x:c r="L87" s="7" t="n">
        <x:f>IFERROR(VLOOKUP($A87,'02_怪物模板_好读版'!$A:$Z,10,FALSE),0)</x:f>
        <x:v>0</x:v>
      </x:c>
      <x:c r="M87" s="7" t="n">
        <x:f>IFERROR(VLOOKUP($A87,'02_怪物模板_好读版'!$A:$Z,11,FALSE),0)</x:f>
        <x:v>0</x:v>
      </x:c>
      <x:c r="N87" s="7" t="n">
        <x:f>IFERROR(VLOOKUP($A87,'02_怪物模板_好读版'!$A:$Z,12,FALSE),3)</x:f>
        <x:v>3</x:v>
      </x:c>
      <x:c r="O87" s="7" t="str">
        <x:f>IFERROR(VLOOKUP($A87,'02_怪物模板_好读版'!$A:$Z,13,FALSE),"REVIEW")</x:f>
        <x:v>REVIEW</x:v>
      </x:c>
      <x:c r="P87" s="6" t="s">
        <x:v>58</x:v>
      </x:c>
      <x:c r="Q87" s="6" t="s">
        <x:v>59</x:v>
      </x:c>
      <x:c r="R87" s="6" t="s">
        <x:v>81</x:v>
      </x:c>
      <x:c r="S87" s="6" t="s">
        <x:v>61</x:v>
      </x:c>
      <x:c r="T87" s="6" t="s">
        <x:v>83</x:v>
      </x:c>
      <x:c r="U87" s="6" t="s">
        <x:v>63</x:v>
      </x:c>
      <x:c r="V87" s="6" t="s">
        <x:v>44</x:v>
      </x:c>
    </x:row>
    <x:row r="88" ht="22" customHeight="1">
      <x:c r="A88" s="6" t="s">
        <x:v>368</x:v>
      </x:c>
      <x:c r="B88" s="6" t="s">
        <x:v>369</x:v>
      </x:c>
      <x:c r="C88" s="6" t="s">
        <x:v>370</x:v>
      </x:c>
      <x:c r="D88" s="6" t="s">
        <x:v>87</x:v>
      </x:c>
      <x:c r="E88" s="6" t="s">
        <x:v>371</x:v>
      </x:c>
      <x:c r="F88" s="6" t="s">
        <x:v>199</x:v>
      </x:c>
      <x:c r="G88" s="6" t="s">
        <x:v>80</x:v>
      </x:c>
      <x:c r="H88" s="6" t="s">
        <x:v>72</x:v>
      </x:c>
      <x:c r="I88" s="7" t="n">
        <x:f>IFERROR(VLOOKUP($A88,'02_怪物模板_好读版'!$A:$S,15,FALSE),0)+IFERROR(VLOOKUP($A88,'02_怪物模板_好读版'!$A:$S,16,FALSE),0)</x:f>
        <x:v>0</x:v>
      </x:c>
      <x:c r="J88" s="7" t="n">
        <x:f>IFERROR(VLOOKUP($A88,'02_怪物模板_好读版'!$A:$Z,8,FALSE),40)</x:f>
        <x:v>40</x:v>
      </x:c>
      <x:c r="K88" s="7" t="n">
        <x:f>IFERROR(VLOOKUP($A88,'02_怪物模板_好读版'!$A:$Z,9,FALSE),27)</x:f>
        <x:v>27</x:v>
      </x:c>
      <x:c r="L88" s="7" t="n">
        <x:f>IFERROR(VLOOKUP($A88,'02_怪物模板_好读版'!$A:$Z,10,FALSE),0)</x:f>
        <x:v>0</x:v>
      </x:c>
      <x:c r="M88" s="7" t="n">
        <x:f>IFERROR(VLOOKUP($A88,'02_怪物模板_好读版'!$A:$Z,11,FALSE),0)</x:f>
        <x:v>0</x:v>
      </x:c>
      <x:c r="N88" s="7" t="n">
        <x:f>IFERROR(VLOOKUP($A88,'02_怪物模板_好读版'!$A:$Z,12,FALSE),3)</x:f>
        <x:v>3</x:v>
      </x:c>
      <x:c r="O88" s="7" t="str">
        <x:f>IFERROR(VLOOKUP($A88,'02_怪物模板_好读版'!$A:$Z,13,FALSE),"REVIEW")</x:f>
        <x:v>REVIEW</x:v>
      </x:c>
      <x:c r="P88" s="6" t="s">
        <x:v>216</x:v>
      </x:c>
      <x:c r="Q88" s="6" t="s">
        <x:v>217</x:v>
      </x:c>
      <x:c r="R88" s="6" t="s">
        <x:v>73</x:v>
      </x:c>
      <x:c r="S88" s="6" t="s">
        <x:v>74</x:v>
      </x:c>
      <x:c r="T88" s="6" t="s">
        <x:v>88</x:v>
      </x:c>
      <x:c r="U88" s="6" t="s">
        <x:v>63</x:v>
      </x:c>
      <x:c r="V88" s="6" t="s">
        <x:v>218</x:v>
      </x:c>
    </x:row>
    <x:row r="89" ht="22" customHeight="1">
      <x:c r="A89" s="6" t="s">
        <x:v>372</x:v>
      </x:c>
      <x:c r="B89" s="6" t="s">
        <x:v>373</x:v>
      </x:c>
      <x:c r="C89" s="6" t="s">
        <x:v>374</x:v>
      </x:c>
      <x:c r="D89" s="6" t="s">
        <x:v>87</x:v>
      </x:c>
      <x:c r="E89" s="6" t="s">
        <x:v>258</x:v>
      </x:c>
      <x:c r="F89" s="6" t="s">
        <x:v>199</x:v>
      </x:c>
      <x:c r="G89" s="6" t="s">
        <x:v>80</x:v>
      </x:c>
      <x:c r="H89" s="6" t="s">
        <x:v>57</x:v>
      </x:c>
      <x:c r="I89" s="7" t="n">
        <x:f>IFERROR(VLOOKUP($A89,'02_怪物模板_好读版'!$A:$S,15,FALSE),0)+IFERROR(VLOOKUP($A89,'02_怪物模板_好读版'!$A:$S,16,FALSE),0)</x:f>
        <x:v>82</x:v>
      </x:c>
      <x:c r="J89" s="7" t="n">
        <x:f>IFERROR(VLOOKUP($A89,'02_怪物模板_好读版'!$A:$Z,8,FALSE),15)</x:f>
        <x:v>15</x:v>
      </x:c>
      <x:c r="K89" s="7" t="n">
        <x:f>IFERROR(VLOOKUP($A89,'02_怪物模板_好读版'!$A:$Z,9,FALSE),2)</x:f>
        <x:v>2</x:v>
      </x:c>
      <x:c r="L89" s="7" t="n">
        <x:f>IFERROR(VLOOKUP($A89,'02_怪物模板_好读版'!$A:$Z,10,FALSE),0)</x:f>
        <x:v>0</x:v>
      </x:c>
      <x:c r="M89" s="7" t="n">
        <x:f>IFERROR(VLOOKUP($A89,'02_怪物模板_好读版'!$A:$Z,11,FALSE),6)</x:f>
        <x:v>6</x:v>
      </x:c>
      <x:c r="N89" s="7" t="n">
        <x:f>IFERROR(VLOOKUP($A89,'02_怪物模板_好读版'!$A:$Z,12,FALSE),3)</x:f>
        <x:v>3</x:v>
      </x:c>
      <x:c r="O89" s="7" t="str">
        <x:f>IFERROR(VLOOKUP($A89,'02_怪物模板_好读版'!$A:$Z,13,FALSE),"mech_opening_shield")</x:f>
        <x:v>mech_opening_shield</x:v>
      </x:c>
      <x:c r="P89" s="6" t="s">
        <x:v>58</x:v>
      </x:c>
      <x:c r="Q89" s="6" t="s">
        <x:v>59</x:v>
      </x:c>
      <x:c r="R89" s="6" t="s">
        <x:v>60</x:v>
      </x:c>
      <x:c r="S89" s="6" t="s">
        <x:v>61</x:v>
      </x:c>
      <x:c r="T89" s="6" t="s">
        <x:v>375</x:v>
      </x:c>
      <x:c r="U89" s="6" t="s">
        <x:v>63</x:v>
      </x:c>
      <x:c r="V89" s="6" t="s">
        <x:v>64</x:v>
      </x:c>
    </x:row>
    <x:row r="90" ht="22" customHeight="1">
      <x:c r="A90" s="6" t="s">
        <x:v>376</x:v>
      </x:c>
      <x:c r="B90" s="6" t="s">
        <x:v>377</x:v>
      </x:c>
      <x:c r="C90" s="6" t="s">
        <x:v>378</x:v>
      </x:c>
      <x:c r="D90" s="6" t="s">
        <x:v>79</x:v>
      </x:c>
      <x:c r="E90" s="6" t="s">
        <x:v>44</x:v>
      </x:c>
      <x:c r="F90" s="6" t="s">
        <x:v>199</x:v>
      </x:c>
      <x:c r="G90" s="6" t="s">
        <x:v>106</x:v>
      </x:c>
      <x:c r="H90" s="6" t="s">
        <x:v>81</x:v>
      </x:c>
      <x:c r="I90" s="7" t="n">
        <x:f>IFERROR(VLOOKUP($A90,'02_怪物模板_好读版'!$A:$S,15,FALSE),0)+IFERROR(VLOOKUP($A90,'02_怪物模板_好读版'!$A:$S,16,FALSE),0)</x:f>
        <x:v>173</x:v>
      </x:c>
      <x:c r="J90" s="7" t="n">
        <x:f>IFERROR(VLOOKUP($A90,'02_怪物模板_好读版'!$A:$Z,8,FALSE),40)</x:f>
        <x:v>40</x:v>
      </x:c>
      <x:c r="K90" s="7" t="n">
        <x:f>IFERROR(VLOOKUP($A90,'02_怪物模板_好读版'!$A:$Z,9,FALSE),5)</x:f>
        <x:v>5</x:v>
      </x:c>
      <x:c r="L90" s="7" t="n">
        <x:f>IFERROR(VLOOKUP($A90,'02_怪物模板_好读版'!$A:$Z,10,FALSE),0)</x:f>
        <x:v>0</x:v>
      </x:c>
      <x:c r="M90" s="7" t="n">
        <x:f>IFERROR(VLOOKUP($A90,'02_怪物模板_好读版'!$A:$Z,11,FALSE),10)</x:f>
        <x:v>10</x:v>
      </x:c>
      <x:c r="N90" s="7" t="n">
        <x:f>IFERROR(VLOOKUP($A90,'02_怪物模板_好读版'!$A:$Z,12,FALSE),4)</x:f>
        <x:v>4</x:v>
      </x:c>
      <x:c r="O90" s="7" t="str">
        <x:f>IFERROR(VLOOKUP($A90,'02_怪物模板_好读版'!$A:$Z,13,FALSE),"mech_multi_hit,mech_armor_break")</x:f>
        <x:v>mech_multi_hit,mech_armor_break</x:v>
      </x:c>
      <x:c r="P90" s="6" t="s">
        <x:v>58</x:v>
      </x:c>
      <x:c r="Q90" s="6" t="s">
        <x:v>59</x:v>
      </x:c>
      <x:c r="R90" s="6" t="s">
        <x:v>81</x:v>
      </x:c>
      <x:c r="S90" s="6" t="s">
        <x:v>61</x:v>
      </x:c>
      <x:c r="T90" s="6" t="s">
        <x:v>83</x:v>
      </x:c>
      <x:c r="U90" s="6" t="s">
        <x:v>63</x:v>
      </x:c>
      <x:c r="V90" s="6" t="s">
        <x:v>44</x:v>
      </x:c>
    </x:row>
    <x:row r="91" ht="22" customHeight="1">
      <x:c r="A91" s="6" t="s">
        <x:v>379</x:v>
      </x:c>
      <x:c r="B91" s="6" t="s">
        <x:v>380</x:v>
      </x:c>
      <x:c r="C91" s="6" t="s">
        <x:v>381</x:v>
      </x:c>
      <x:c r="D91" s="6" t="s">
        <x:v>79</x:v>
      </x:c>
      <x:c r="E91" s="6" t="s">
        <x:v>212</x:v>
      </x:c>
      <x:c r="F91" s="6" t="s">
        <x:v>199</x:v>
      </x:c>
      <x:c r="G91" s="6" t="s">
        <x:v>106</x:v>
      </x:c>
      <x:c r="H91" s="6" t="s">
        <x:v>81</x:v>
      </x:c>
      <x:c r="I91" s="7" t="n">
        <x:f>IFERROR(VLOOKUP($A91,'02_怪物模板_好读版'!$A:$S,15,FALSE),0)+IFERROR(VLOOKUP($A91,'02_怪物模板_好读版'!$A:$S,16,FALSE),0)</x:f>
        <x:v>294</x:v>
      </x:c>
      <x:c r="J91" s="7" t="n">
        <x:f>IFERROR(VLOOKUP($A91,'02_怪物模板_好读版'!$A:$Z,8,FALSE),70)</x:f>
        <x:v>70</x:v>
      </x:c>
      <x:c r="K91" s="7" t="n">
        <x:f>IFERROR(VLOOKUP($A91,'02_怪物模板_好读版'!$A:$Z,9,FALSE),5)</x:f>
        <x:v>5</x:v>
      </x:c>
      <x:c r="L91" s="7" t="n">
        <x:f>IFERROR(VLOOKUP($A91,'02_怪物模板_好读版'!$A:$Z,10,FALSE),10)</x:f>
        <x:v>10</x:v>
      </x:c>
      <x:c r="M91" s="7" t="n">
        <x:f>IFERROR(VLOOKUP($A91,'02_怪物模板_好读版'!$A:$Z,11,FALSE),10)</x:f>
        <x:v>10</x:v>
      </x:c>
      <x:c r="N91" s="7" t="n">
        <x:f>IFERROR(VLOOKUP($A91,'02_怪物模板_好读版'!$A:$Z,12,FALSE),5)</x:f>
        <x:v>5</x:v>
      </x:c>
      <x:c r="O91" s="7" t="str">
        <x:f>IFERROR(VLOOKUP($A91,'02_怪物模板_好读版'!$A:$Z,13,FALSE),"mech_damage_cap,mech_summon,mech_aura")</x:f>
        <x:v>mech_damage_cap,mech_summon,mech_aura</x:v>
      </x:c>
      <x:c r="P91" s="6" t="s">
        <x:v>58</x:v>
      </x:c>
      <x:c r="Q91" s="6" t="s">
        <x:v>59</x:v>
      </x:c>
      <x:c r="R91" s="6" t="s">
        <x:v>81</x:v>
      </x:c>
      <x:c r="S91" s="6" t="s">
        <x:v>61</x:v>
      </x:c>
      <x:c r="T91" s="6" t="s">
        <x:v>83</x:v>
      </x:c>
      <x:c r="U91" s="6" t="s">
        <x:v>63</x:v>
      </x:c>
      <x:c r="V91" s="6" t="s">
        <x:v>44</x:v>
      </x:c>
    </x:row>
    <x:row r="92" ht="22" customHeight="1">
      <x:c r="A92" s="6" t="s">
        <x:v>382</x:v>
      </x:c>
      <x:c r="B92" s="6" t="s">
        <x:v>383</x:v>
      </x:c>
      <x:c r="C92" s="6" t="s">
        <x:v>384</x:v>
      </x:c>
      <x:c r="D92" s="6" t="s">
        <x:v>87</x:v>
      </x:c>
      <x:c r="E92" s="6" t="s">
        <x:v>361</x:v>
      </x:c>
      <x:c r="F92" s="6" t="s">
        <x:v>199</x:v>
      </x:c>
      <x:c r="G92" s="6" t="s">
        <x:v>106</x:v>
      </x:c>
      <x:c r="H92" s="6" t="s">
        <x:v>57</x:v>
      </x:c>
      <x:c r="I92" s="7" t="n">
        <x:f>IFERROR(VLOOKUP($A92,'02_怪物模板_好读版'!$A:$S,15,FALSE),0)+IFERROR(VLOOKUP($A92,'02_怪物模板_好读版'!$A:$S,16,FALSE),0)</x:f>
        <x:v>121</x:v>
      </x:c>
      <x:c r="J92" s="7" t="n">
        <x:f>IFERROR(VLOOKUP($A92,'02_怪物模板_好读版'!$A:$Z,8,FALSE),35)</x:f>
        <x:v>35</x:v>
      </x:c>
      <x:c r="K92" s="7" t="n">
        <x:f>IFERROR(VLOOKUP($A92,'02_怪物模板_好读版'!$A:$Z,9,FALSE),2)</x:f>
        <x:v>2</x:v>
      </x:c>
      <x:c r="L92" s="7" t="n">
        <x:f>IFERROR(VLOOKUP($A92,'02_怪物模板_好读版'!$A:$Z,10,FALSE),0)</x:f>
        <x:v>0</x:v>
      </x:c>
      <x:c r="M92" s="7" t="n">
        <x:f>IFERROR(VLOOKUP($A92,'02_怪物模板_好读版'!$A:$Z,11,FALSE),6)</x:f>
        <x:v>6</x:v>
      </x:c>
      <x:c r="N92" s="7" t="n">
        <x:f>IFERROR(VLOOKUP($A92,'02_怪物模板_好读版'!$A:$Z,12,FALSE),2)</x:f>
        <x:v>2</x:v>
      </x:c>
      <x:c r="O92" s="7" t="str">
        <x:f>IFERROR(VLOOKUP($A92,'02_怪物模板_好读版'!$A:$Z,13,FALSE),"mech_revive")</x:f>
        <x:v>mech_revive</x:v>
      </x:c>
      <x:c r="P92" s="6" t="s">
        <x:v>58</x:v>
      </x:c>
      <x:c r="Q92" s="6" t="s">
        <x:v>59</x:v>
      </x:c>
      <x:c r="R92" s="6" t="s">
        <x:v>60</x:v>
      </x:c>
      <x:c r="S92" s="6" t="s">
        <x:v>61</x:v>
      </x:c>
      <x:c r="T92" s="6" t="s">
        <x:v>375</x:v>
      </x:c>
      <x:c r="U92" s="6" t="s">
        <x:v>63</x:v>
      </x:c>
      <x:c r="V92" s="6" t="s">
        <x:v>64</x:v>
      </x:c>
    </x:row>
    <x:row r="93" ht="22" customHeight="1">
      <x:c r="A93" s="6" t="s">
        <x:v>385</x:v>
      </x:c>
      <x:c r="B93" s="6" t="s">
        <x:v>386</x:v>
      </x:c>
      <x:c r="C93" s="6" t="s">
        <x:v>387</x:v>
      </x:c>
      <x:c r="D93" s="6" t="s">
        <x:v>43</x:v>
      </x:c>
      <x:c r="E93" s="6" t="s">
        <x:v>388</x:v>
      </x:c>
      <x:c r="F93" s="6" t="s">
        <x:v>199</x:v>
      </x:c>
      <x:c r="G93" s="6" t="s">
        <x:v>80</x:v>
      </x:c>
      <x:c r="H93" s="6" t="s">
        <x:v>110</x:v>
      </x:c>
      <x:c r="I93" s="7" t="n">
        <x:f>IFERROR(VLOOKUP($A93,'02_怪物模板_好读版'!$A:$S,15,FALSE),0)+IFERROR(VLOOKUP($A93,'02_怪物模板_好读版'!$A:$S,16,FALSE),0)</x:f>
        <x:v>0</x:v>
      </x:c>
      <x:c r="J93" s="7" t="n">
        <x:f>IFERROR(VLOOKUP($A93,'02_怪物模板_好读版'!$A:$Z,8,FALSE),35)</x:f>
        <x:v>35</x:v>
      </x:c>
      <x:c r="K93" s="7" t="n">
        <x:f>IFERROR(VLOOKUP($A93,'02_怪物模板_好读版'!$A:$Z,9,FALSE),27)</x:f>
        <x:v>27</x:v>
      </x:c>
      <x:c r="L93" s="7" t="n">
        <x:f>IFERROR(VLOOKUP($A93,'02_怪物模板_好读版'!$A:$Z,10,FALSE),0)</x:f>
        <x:v>0</x:v>
      </x:c>
      <x:c r="M93" s="7" t="n">
        <x:f>IFERROR(VLOOKUP($A93,'02_怪物模板_好读版'!$A:$Z,11,FALSE),0)</x:f>
        <x:v>0</x:v>
      </x:c>
      <x:c r="N93" s="7" t="n">
        <x:f>IFERROR(VLOOKUP($A93,'02_怪物模板_好读版'!$A:$Z,12,FALSE),4)</x:f>
        <x:v>4</x:v>
      </x:c>
      <x:c r="O93" s="7" t="str">
        <x:f>IFERROR(VLOOKUP($A93,'02_怪物模板_好读版'!$A:$Z,13,FALSE),"REVIEW")</x:f>
        <x:v>REVIEW</x:v>
      </x:c>
      <x:c r="P93" s="6" t="s">
        <x:v>111</x:v>
      </x:c>
      <x:c r="Q93" s="6" t="s">
        <x:v>112</x:v>
      </x:c>
      <x:c r="R93" s="6" t="s">
        <x:v>113</x:v>
      </x:c>
      <x:c r="S93" s="6" t="s">
        <x:v>114</x:v>
      </x:c>
      <x:c r="T93" s="6" t="s">
        <x:v>115</x:v>
      </x:c>
      <x:c r="U93" s="6" t="s">
        <x:v>63</x:v>
      </x:c>
      <x:c r="V93" s="6" t="s">
        <x:v>260</x:v>
      </x:c>
    </x:row>
    <x:row r="94" ht="22" customHeight="1">
      <x:c r="A94" s="6" t="s">
        <x:v>389</x:v>
      </x:c>
      <x:c r="B94" s="6" t="s">
        <x:v>390</x:v>
      </x:c>
      <x:c r="C94" s="6" t="s">
        <x:v>391</x:v>
      </x:c>
      <x:c r="D94" s="6" t="s">
        <x:v>43</x:v>
      </x:c>
      <x:c r="E94" s="6" t="s">
        <x:v>71</x:v>
      </x:c>
      <x:c r="F94" s="6" t="s">
        <x:v>199</x:v>
      </x:c>
      <x:c r="G94" s="6" t="s">
        <x:v>80</x:v>
      </x:c>
      <x:c r="H94" s="6" t="s">
        <x:v>50</x:v>
      </x:c>
      <x:c r="I94" s="7" t="n">
        <x:f>IFERROR(VLOOKUP($A94,'02_怪物模板_好读版'!$A:$S,15,FALSE),0)+IFERROR(VLOOKUP($A94,'02_怪物模板_好读版'!$A:$S,16,FALSE),0)</x:f>
        <x:v>0</x:v>
      </x:c>
      <x:c r="J94" s="7" t="n">
        <x:f>IFERROR(VLOOKUP($A94,'02_怪物模板_好读版'!$A:$Z,8,FALSE),35)</x:f>
        <x:v>35</x:v>
      </x:c>
      <x:c r="K94" s="7" t="n">
        <x:f>IFERROR(VLOOKUP($A94,'02_怪物模板_好读版'!$A:$Z,9,FALSE),26)</x:f>
        <x:v>26</x:v>
      </x:c>
      <x:c r="L94" s="7" t="n">
        <x:f>IFERROR(VLOOKUP($A94,'02_怪物模板_好读版'!$A:$Z,10,FALSE),0)</x:f>
        <x:v>0</x:v>
      </x:c>
      <x:c r="M94" s="7" t="n">
        <x:f>IFERROR(VLOOKUP($A94,'02_怪物模板_好读版'!$A:$Z,11,FALSE),0)</x:f>
        <x:v>0</x:v>
      </x:c>
      <x:c r="N94" s="7" t="n">
        <x:f>IFERROR(VLOOKUP($A94,'02_怪物模板_好读版'!$A:$Z,12,FALSE),3)</x:f>
        <x:v>3</x:v>
      </x:c>
      <x:c r="O94" s="7" t="str">
        <x:f>IFERROR(VLOOKUP($A94,'02_怪物模板_好读版'!$A:$Z,13,FALSE),"mech_summon")</x:f>
        <x:v>mech_summon</x:v>
      </x:c>
      <x:c r="P94" s="6" t="s">
        <x:v>48</x:v>
      </x:c>
      <x:c r="Q94" s="6" t="s">
        <x:v>49</x:v>
      </x:c>
      <x:c r="R94" s="6" t="s">
        <x:v>50</x:v>
      </x:c>
      <x:c r="S94" s="6" t="s">
        <x:v>247</x:v>
      </x:c>
      <x:c r="T94" s="6" t="s">
        <x:v>195</x:v>
      </x:c>
      <x:c r="U94" s="6" t="s">
        <x:v>53</x:v>
      </x:c>
      <x:c r="V94" s="6" t="s">
        <x:v>248</x:v>
      </x:c>
    </x:row>
    <x:row r="95" ht="22" customHeight="1">
      <x:c r="A95" s="6" t="s">
        <x:v>392</x:v>
      </x:c>
      <x:c r="B95" s="6" t="s">
        <x:v>393</x:v>
      </x:c>
      <x:c r="C95" s="6" t="s">
        <x:v>394</x:v>
      </x:c>
      <x:c r="D95" s="6" t="s">
        <x:v>87</x:v>
      </x:c>
      <x:c r="E95" s="6" t="s">
        <x:v>395</x:v>
      </x:c>
      <x:c r="F95" s="6" t="s">
        <x:v>199</x:v>
      </x:c>
      <x:c r="G95" s="6" t="s">
        <x:v>80</x:v>
      </x:c>
      <x:c r="H95" s="6" t="s">
        <x:v>72</x:v>
      </x:c>
      <x:c r="I95" s="7" t="n">
        <x:f>IFERROR(VLOOKUP($A95,'02_怪物模板_好读版'!$A:$S,15,FALSE),0)+IFERROR(VLOOKUP($A95,'02_怪物模板_好读版'!$A:$S,16,FALSE),0)</x:f>
        <x:v>0</x:v>
      </x:c>
      <x:c r="J95" s="7" t="n">
        <x:f>IFERROR(VLOOKUP($A95,'02_怪物模板_好读版'!$A:$Z,8,FALSE),40)</x:f>
        <x:v>40</x:v>
      </x:c>
      <x:c r="K95" s="7" t="n">
        <x:f>IFERROR(VLOOKUP($A95,'02_怪物模板_好读版'!$A:$Z,9,FALSE),27)</x:f>
        <x:v>27</x:v>
      </x:c>
      <x:c r="L95" s="7" t="n">
        <x:f>IFERROR(VLOOKUP($A95,'02_怪物模板_好读版'!$A:$Z,10,FALSE),0)</x:f>
        <x:v>0</x:v>
      </x:c>
      <x:c r="M95" s="7" t="n">
        <x:f>IFERROR(VLOOKUP($A95,'02_怪物模板_好读版'!$A:$Z,11,FALSE),0)</x:f>
        <x:v>0</x:v>
      </x:c>
      <x:c r="N95" s="7" t="n">
        <x:f>IFERROR(VLOOKUP($A95,'02_怪物模板_好读版'!$A:$Z,12,FALSE),3)</x:f>
        <x:v>3</x:v>
      </x:c>
      <x:c r="O95" s="7" t="str">
        <x:f>IFERROR(VLOOKUP($A95,'02_怪物模板_好读版'!$A:$Z,13,FALSE),"REVIEW")</x:f>
        <x:v>REVIEW</x:v>
      </x:c>
      <x:c r="P95" s="6" t="s">
        <x:v>216</x:v>
      </x:c>
      <x:c r="Q95" s="6" t="s">
        <x:v>217</x:v>
      </x:c>
      <x:c r="R95" s="6" t="s">
        <x:v>73</x:v>
      </x:c>
      <x:c r="S95" s="6" t="s">
        <x:v>74</x:v>
      </x:c>
      <x:c r="T95" s="6" t="s">
        <x:v>88</x:v>
      </x:c>
      <x:c r="U95" s="6" t="s">
        <x:v>63</x:v>
      </x:c>
      <x:c r="V95" s="6" t="s">
        <x:v>218</x:v>
      </x:c>
    </x:row>
    <x:row r="96" ht="22" customHeight="1">
      <x:c r="A96" s="6" t="s">
        <x:v>396</x:v>
      </x:c>
      <x:c r="B96" s="6" t="s">
        <x:v>397</x:v>
      </x:c>
      <x:c r="C96" s="6" t="s">
        <x:v>398</x:v>
      </x:c>
      <x:c r="D96" s="6" t="s">
        <x:v>43</x:v>
      </x:c>
      <x:c r="E96" s="6" t="s">
        <x:v>71</x:v>
      </x:c>
      <x:c r="F96" s="6" t="s">
        <x:v>199</x:v>
      </x:c>
      <x:c r="G96" s="6" t="s">
        <x:v>46</x:v>
      </x:c>
      <x:c r="H96" s="6" t="s">
        <x:v>72</x:v>
      </x:c>
      <x:c r="I96" s="7" t="n">
        <x:f>IFERROR(VLOOKUP($A96,'02_怪物模板_好读版'!$A:$S,15,FALSE),0)+IFERROR(VLOOKUP($A96,'02_怪物模板_好读版'!$A:$S,16,FALSE),0)</x:f>
        <x:v>0</x:v>
      </x:c>
      <x:c r="J96" s="7" t="n">
        <x:f>IFERROR(VLOOKUP($A96,'02_怪物模板_好读版'!$A:$Z,8,FALSE),25)</x:f>
        <x:v>25</x:v>
      </x:c>
      <x:c r="K96" s="7" t="n">
        <x:f>IFERROR(VLOOKUP($A96,'02_怪物模板_好读版'!$A:$Z,9,FALSE),12)</x:f>
        <x:v>12</x:v>
      </x:c>
      <x:c r="L96" s="7" t="n">
        <x:f>IFERROR(VLOOKUP($A96,'02_怪物模板_好读版'!$A:$Z,10,FALSE),0)</x:f>
        <x:v>0</x:v>
      </x:c>
      <x:c r="M96" s="7" t="n">
        <x:f>IFERROR(VLOOKUP($A96,'02_怪物模板_好读版'!$A:$Z,11,FALSE),0)</x:f>
        <x:v>0</x:v>
      </x:c>
      <x:c r="N96" s="7" t="n">
        <x:f>IFERROR(VLOOKUP($A96,'02_怪物模板_好读版'!$A:$Z,12,FALSE),3)</x:f>
        <x:v>3</x:v>
      </x:c>
      <x:c r="O96" s="7" t="str">
        <x:f>IFERROR(VLOOKUP($A96,'02_怪物模板_好读版'!$A:$Z,13,FALSE),"REVIEW")</x:f>
        <x:v>REVIEW</x:v>
      </x:c>
      <x:c r="P96" s="6" t="s">
        <x:v>216</x:v>
      </x:c>
      <x:c r="Q96" s="6" t="s">
        <x:v>217</x:v>
      </x:c>
      <x:c r="R96" s="6" t="s">
        <x:v>73</x:v>
      </x:c>
      <x:c r="S96" s="6" t="s">
        <x:v>74</x:v>
      </x:c>
      <x:c r="T96" s="6" t="s">
        <x:v>75</x:v>
      </x:c>
      <x:c r="U96" s="6" t="s">
        <x:v>63</x:v>
      </x:c>
      <x:c r="V96" s="6" t="s">
        <x:v>218</x:v>
      </x:c>
    </x:row>
    <x:row r="97" ht="22" customHeight="1">
      <x:c r="A97" s="6" t="s">
        <x:v>399</x:v>
      </x:c>
      <x:c r="B97" s="6" t="s">
        <x:v>400</x:v>
      </x:c>
      <x:c r="C97" s="6" t="s">
        <x:v>401</x:v>
      </x:c>
      <x:c r="D97" s="6" t="s">
        <x:v>79</x:v>
      </x:c>
      <x:c r="E97" s="6" t="s">
        <x:v>402</x:v>
      </x:c>
      <x:c r="F97" s="6" t="s">
        <x:v>199</x:v>
      </x:c>
      <x:c r="G97" s="6" t="s">
        <x:v>106</x:v>
      </x:c>
      <x:c r="H97" s="6" t="s">
        <x:v>57</x:v>
      </x:c>
      <x:c r="I97" s="7" t="n">
        <x:f>IFERROR(VLOOKUP($A97,'02_怪物模板_好读版'!$A:$S,15,FALSE),0)+IFERROR(VLOOKUP($A97,'02_怪物模板_好读版'!$A:$S,16,FALSE),0)</x:f>
        <x:v>0</x:v>
      </x:c>
      <x:c r="J97" s="7" t="n">
        <x:f>IFERROR(VLOOKUP($A97,'02_怪物模板_好读版'!$A:$Z,8,FALSE),50)</x:f>
        <x:v>50</x:v>
      </x:c>
      <x:c r="K97" s="7" t="n">
        <x:f>IFERROR(VLOOKUP($A97,'02_怪物模板_好读版'!$A:$Z,9,FALSE),35)</x:f>
        <x:v>35</x:v>
      </x:c>
      <x:c r="L97" s="7" t="n">
        <x:f>IFERROR(VLOOKUP($A97,'02_怪物模板_好读版'!$A:$Z,10,FALSE),0)</x:f>
        <x:v>0</x:v>
      </x:c>
      <x:c r="M97" s="7" t="n">
        <x:f>IFERROR(VLOOKUP($A97,'02_怪物模板_好读版'!$A:$Z,11,FALSE),15)</x:f>
        <x:v>15</x:v>
      </x:c>
      <x:c r="N97" s="7" t="n">
        <x:f>IFERROR(VLOOKUP($A97,'02_怪物模板_好读版'!$A:$Z,12,FALSE),2)</x:f>
        <x:v>2</x:v>
      </x:c>
      <x:c r="O97" s="7" t="str">
        <x:f>IFERROR(VLOOKUP($A97,'02_怪物模板_好读版'!$A:$Z,13,FALSE),"REVIEW")</x:f>
        <x:v>REVIEW</x:v>
      </x:c>
      <x:c r="P97" s="6" t="s">
        <x:v>58</x:v>
      </x:c>
      <x:c r="Q97" s="6" t="s">
        <x:v>59</x:v>
      </x:c>
      <x:c r="R97" s="6" t="s">
        <x:v>60</x:v>
      </x:c>
      <x:c r="S97" s="6" t="s">
        <x:v>61</x:v>
      </x:c>
      <x:c r="T97" s="6" t="s">
        <x:v>403</x:v>
      </x:c>
      <x:c r="U97" s="6" t="s">
        <x:v>63</x:v>
      </x:c>
      <x:c r="V97" s="6" t="s">
        <x:v>64</x:v>
      </x:c>
    </x:row>
    <x:row r="98" ht="22" customHeight="1">
      <x:c r="A98" s="6" t="s">
        <x:v>404</x:v>
      </x:c>
      <x:c r="B98" s="6" t="s">
        <x:v>405</x:v>
      </x:c>
      <x:c r="C98" s="6" t="s">
        <x:v>406</x:v>
      </x:c>
      <x:c r="D98" s="6" t="s">
        <x:v>87</x:v>
      </x:c>
      <x:c r="E98" s="6" t="s">
        <x:v>407</x:v>
      </x:c>
      <x:c r="F98" s="6" t="s">
        <x:v>199</x:v>
      </x:c>
      <x:c r="G98" s="6" t="s">
        <x:v>106</x:v>
      </x:c>
      <x:c r="H98" s="6" t="s">
        <x:v>57</x:v>
      </x:c>
      <x:c r="I98" s="7" t="n">
        <x:f>IFERROR(VLOOKUP($A98,'02_怪物模板_好读版'!$A:$S,15,FALSE),0)+IFERROR(VLOOKUP($A98,'02_怪物模板_好读版'!$A:$S,16,FALSE),0)</x:f>
        <x:v>134</x:v>
      </x:c>
      <x:c r="J98" s="7" t="n">
        <x:f>IFERROR(VLOOKUP($A98,'02_怪物模板_好读版'!$A:$Z,8,FALSE),40)</x:f>
        <x:v>40</x:v>
      </x:c>
      <x:c r="K98" s="7" t="n">
        <x:f>IFERROR(VLOOKUP($A98,'02_怪物模板_好读版'!$A:$Z,9,FALSE),3)</x:f>
        <x:v>3</x:v>
      </x:c>
      <x:c r="L98" s="7" t="n">
        <x:f>IFERROR(VLOOKUP($A98,'02_怪物模板_好读版'!$A:$Z,10,FALSE),0)</x:f>
        <x:v>0</x:v>
      </x:c>
      <x:c r="M98" s="7" t="n">
        <x:f>IFERROR(VLOOKUP($A98,'02_怪物模板_好读版'!$A:$Z,11,FALSE),6)</x:f>
        <x:v>6</x:v>
      </x:c>
      <x:c r="N98" s="7" t="n">
        <x:f>IFERROR(VLOOKUP($A98,'02_怪物模板_好读版'!$A:$Z,12,FALSE),3)</x:f>
        <x:v>3</x:v>
      </x:c>
      <x:c r="O98" s="7" t="str">
        <x:f>IFERROR(VLOOKUP($A98,'02_怪物模板_好读版'!$A:$Z,13,FALSE),"mech_damage_cap")</x:f>
        <x:v>mech_damage_cap</x:v>
      </x:c>
      <x:c r="P98" s="6" t="s">
        <x:v>58</x:v>
      </x:c>
      <x:c r="Q98" s="6" t="s">
        <x:v>59</x:v>
      </x:c>
      <x:c r="R98" s="6" t="s">
        <x:v>60</x:v>
      </x:c>
      <x:c r="S98" s="6" t="s">
        <x:v>61</x:v>
      </x:c>
      <x:c r="T98" s="6" t="s">
        <x:v>375</x:v>
      </x:c>
      <x:c r="U98" s="6" t="s">
        <x:v>63</x:v>
      </x:c>
      <x:c r="V98" s="6" t="s">
        <x:v>64</x:v>
      </x:c>
    </x:row>
    <x:row r="99" ht="22" customHeight="1">
      <x:c r="A99" s="6" t="s">
        <x:v>408</x:v>
      </x:c>
      <x:c r="B99" s="6" t="s">
        <x:v>409</x:v>
      </x:c>
      <x:c r="C99" s="6" t="s">
        <x:v>410</x:v>
      </x:c>
      <x:c r="D99" s="6" t="s">
        <x:v>43</x:v>
      </x:c>
      <x:c r="E99" s="6" t="s">
        <x:v>44</x:v>
      </x:c>
      <x:c r="F99" s="6" t="s">
        <x:v>199</x:v>
      </x:c>
      <x:c r="G99" s="6" t="s">
        <x:v>80</x:v>
      </x:c>
      <x:c r="H99" s="6" t="s">
        <x:v>47</x:v>
      </x:c>
      <x:c r="I99" s="7" t="n">
        <x:f>IFERROR(VLOOKUP($A99,'02_怪物模板_好读版'!$A:$S,15,FALSE),0)+IFERROR(VLOOKUP($A99,'02_怪物模板_好读版'!$A:$S,16,FALSE),0)</x:f>
        <x:v>0</x:v>
      </x:c>
      <x:c r="J99" s="7" t="n">
        <x:f>IFERROR(VLOOKUP($A99,'02_怪物模板_好读版'!$A:$Z,8,FALSE),35)</x:f>
        <x:v>35</x:v>
      </x:c>
      <x:c r="K99" s="7" t="n">
        <x:f>IFERROR(VLOOKUP($A99,'02_怪物模板_好读版'!$A:$Z,9,FALSE),26)</x:f>
        <x:v>26</x:v>
      </x:c>
      <x:c r="L99" s="7" t="n">
        <x:f>IFERROR(VLOOKUP($A99,'02_怪物模板_好读版'!$A:$Z,10,FALSE),0)</x:f>
        <x:v>0</x:v>
      </x:c>
      <x:c r="M99" s="7" t="n">
        <x:f>IFERROR(VLOOKUP($A99,'02_怪物模板_好读版'!$A:$Z,11,FALSE),0)</x:f>
        <x:v>0</x:v>
      </x:c>
      <x:c r="N99" s="7" t="n">
        <x:f>IFERROR(VLOOKUP($A99,'02_怪物模板_好读版'!$A:$Z,12,FALSE),3)</x:f>
        <x:v>3</x:v>
      </x:c>
      <x:c r="O99" s="7" t="str">
        <x:f>IFERROR(VLOOKUP($A99,'02_怪物模板_好读版'!$A:$Z,13,FALSE),"mech_aura")</x:f>
        <x:v>mech_aura</x:v>
      </x:c>
      <x:c r="P99" s="6" t="s">
        <x:v>48</x:v>
      </x:c>
      <x:c r="Q99" s="6" t="s">
        <x:v>49</x:v>
      </x:c>
      <x:c r="R99" s="6" t="s">
        <x:v>50</x:v>
      </x:c>
      <x:c r="S99" s="6" t="s">
        <x:v>51</x:v>
      </x:c>
      <x:c r="T99" s="6" t="s">
        <x:v>52</x:v>
      </x:c>
      <x:c r="U99" s="6" t="s">
        <x:v>53</x:v>
      </x:c>
      <x:c r="V99" s="6" t="s">
        <x:v>176</x:v>
      </x:c>
    </x:row>
    <x:row r="100" ht="22" customHeight="1">
      <x:c r="A100" s="6" t="s">
        <x:v>411</x:v>
      </x:c>
      <x:c r="B100" s="6" t="s">
        <x:v>412</x:v>
      </x:c>
      <x:c r="C100" s="6" t="s">
        <x:v>413</x:v>
      </x:c>
      <x:c r="D100" s="6" t="s">
        <x:v>87</x:v>
      </x:c>
      <x:c r="E100" s="6" t="s">
        <x:v>258</x:v>
      </x:c>
      <x:c r="F100" s="6" t="s">
        <x:v>199</x:v>
      </x:c>
      <x:c r="G100" s="6" t="s">
        <x:v>46</x:v>
      </x:c>
      <x:c r="H100" s="6" t="s">
        <x:v>57</x:v>
      </x:c>
      <x:c r="I100" s="7" t="n">
        <x:f>IFERROR(VLOOKUP($A100,'02_怪物模板_好读版'!$A:$S,15,FALSE),0)+IFERROR(VLOOKUP($A100,'02_怪物模板_好读版'!$A:$S,16,FALSE),0)</x:f>
        <x:v>0</x:v>
      </x:c>
      <x:c r="J100" s="7" t="n">
        <x:f>IFERROR(VLOOKUP($A100,'02_怪物模板_好读版'!$A:$Z,8,FALSE),15)</x:f>
        <x:v>15</x:v>
      </x:c>
      <x:c r="K100" s="7" t="n">
        <x:f>IFERROR(VLOOKUP($A100,'02_怪物模板_好读版'!$A:$Z,9,FALSE),8)</x:f>
        <x:v>8</x:v>
      </x:c>
      <x:c r="L100" s="7" t="n">
        <x:f>IFERROR(VLOOKUP($A100,'02_怪物模板_好读版'!$A:$Z,10,FALSE),0)</x:f>
        <x:v>0</x:v>
      </x:c>
      <x:c r="M100" s="7" t="n">
        <x:f>IFERROR(VLOOKUP($A100,'02_怪物模板_好读版'!$A:$Z,11,FALSE),6)</x:f>
        <x:v>6</x:v>
      </x:c>
      <x:c r="N100" s="7" t="n">
        <x:f>IFERROR(VLOOKUP($A100,'02_怪物模板_好读版'!$A:$Z,12,FALSE),3)</x:f>
        <x:v>3</x:v>
      </x:c>
      <x:c r="O100" s="7" t="str">
        <x:f>IFERROR(VLOOKUP($A100,'02_怪物模板_好读版'!$A:$Z,13,FALSE),"REVIEW")</x:f>
        <x:v>REVIEW</x:v>
      </x:c>
      <x:c r="P100" s="6" t="s">
        <x:v>58</x:v>
      </x:c>
      <x:c r="Q100" s="6" t="s">
        <x:v>59</x:v>
      </x:c>
      <x:c r="R100" s="6" t="s">
        <x:v>60</x:v>
      </x:c>
      <x:c r="S100" s="6" t="s">
        <x:v>61</x:v>
      </x:c>
      <x:c r="T100" s="6" t="s">
        <x:v>375</x:v>
      </x:c>
      <x:c r="U100" s="6" t="s">
        <x:v>63</x:v>
      </x:c>
      <x:c r="V100" s="6" t="s">
        <x:v>64</x:v>
      </x:c>
    </x:row>
    <x:row r="101" ht="22" customHeight="1">
      <x:c r="A101" s="6" t="s">
        <x:v>414</x:v>
      </x:c>
      <x:c r="B101" s="6" t="s">
        <x:v>415</x:v>
      </x:c>
      <x:c r="C101" s="6" t="s">
        <x:v>416</x:v>
      </x:c>
      <x:c r="D101" s="6" t="s">
        <x:v>43</x:v>
      </x:c>
      <x:c r="E101" s="6" t="s">
        <x:v>71</x:v>
      </x:c>
      <x:c r="F101" s="6" t="s">
        <x:v>199</x:v>
      </x:c>
      <x:c r="G101" s="6" t="s">
        <x:v>106</x:v>
      </x:c>
      <x:c r="H101" s="6" t="s">
        <x:v>57</x:v>
      </x:c>
      <x:c r="I101" s="7" t="n">
        <x:f>IFERROR(VLOOKUP($A101,'02_怪物模板_好读版'!$A:$S,15,FALSE),0)+IFERROR(VLOOKUP($A101,'02_怪物模板_好读版'!$A:$S,16,FALSE),0)</x:f>
        <x:v>0</x:v>
      </x:c>
      <x:c r="J101" s="7" t="n">
        <x:f>IFERROR(VLOOKUP($A101,'02_怪物模板_好读版'!$A:$Z,8,FALSE),50)</x:f>
        <x:v>50</x:v>
      </x:c>
      <x:c r="K101" s="7" t="n">
        <x:f>IFERROR(VLOOKUP($A101,'02_怪物模板_好读版'!$A:$Z,9,FALSE),35)</x:f>
        <x:v>35</x:v>
      </x:c>
      <x:c r="L101" s="7" t="n">
        <x:f>IFERROR(VLOOKUP($A101,'02_怪物模板_好读版'!$A:$Z,10,FALSE),0)</x:f>
        <x:v>0</x:v>
      </x:c>
      <x:c r="M101" s="7" t="n">
        <x:f>IFERROR(VLOOKUP($A101,'02_怪物模板_好读版'!$A:$Z,11,FALSE),15)</x:f>
        <x:v>15</x:v>
      </x:c>
      <x:c r="N101" s="7" t="n">
        <x:f>IFERROR(VLOOKUP($A101,'02_怪物模板_好读版'!$A:$Z,12,FALSE),2)</x:f>
        <x:v>2</x:v>
      </x:c>
      <x:c r="O101" s="7" t="str">
        <x:f>IFERROR(VLOOKUP($A101,'02_怪物模板_好读版'!$A:$Z,13,FALSE),"REVIEW")</x:f>
        <x:v>REVIEW</x:v>
      </x:c>
      <x:c r="P101" s="6" t="s">
        <x:v>58</x:v>
      </x:c>
      <x:c r="Q101" s="6" t="s">
        <x:v>59</x:v>
      </x:c>
      <x:c r="R101" s="6" t="s">
        <x:v>60</x:v>
      </x:c>
      <x:c r="S101" s="6" t="s">
        <x:v>61</x:v>
      </x:c>
      <x:c r="T101" s="6" t="s">
        <x:v>62</x:v>
      </x:c>
      <x:c r="U101" s="6" t="s">
        <x:v>63</x:v>
      </x:c>
      <x:c r="V101" s="6" t="s">
        <x:v>64</x:v>
      </x:c>
    </x:row>
    <x:row r="102" ht="22" customHeight="1">
      <x:c r="A102" s="6" t="s">
        <x:v>417</x:v>
      </x:c>
      <x:c r="B102" s="6" t="s">
        <x:v>418</x:v>
      </x:c>
      <x:c r="C102" s="6" t="s">
        <x:v>419</x:v>
      </x:c>
      <x:c r="D102" s="6" t="s">
        <x:v>87</x:v>
      </x:c>
      <x:c r="E102" s="6" t="s">
        <x:v>258</x:v>
      </x:c>
      <x:c r="F102" s="6" t="s">
        <x:v>199</x:v>
      </x:c>
      <x:c r="G102" s="6" t="s">
        <x:v>106</x:v>
      </x:c>
      <x:c r="H102" s="6" t="s">
        <x:v>57</x:v>
      </x:c>
      <x:c r="I102" s="7" t="n">
        <x:f>IFERROR(VLOOKUP($A102,'02_怪物模板_好读版'!$A:$S,15,FALSE),0)+IFERROR(VLOOKUP($A102,'02_怪物模板_好读版'!$A:$S,16,FALSE),0)</x:f>
        <x:v>190</x:v>
      </x:c>
      <x:c r="J102" s="7" t="n">
        <x:f>IFERROR(VLOOKUP($A102,'02_怪物模板_好读版'!$A:$Z,8,FALSE),35)</x:f>
        <x:v>35</x:v>
      </x:c>
      <x:c r="K102" s="7" t="n">
        <x:f>IFERROR(VLOOKUP($A102,'02_怪物模板_好读版'!$A:$Z,9,FALSE),4)</x:f>
        <x:v>4</x:v>
      </x:c>
      <x:c r="L102" s="7" t="n">
        <x:f>IFERROR(VLOOKUP($A102,'02_怪物模板_好读版'!$A:$Z,10,FALSE),0)</x:f>
        <x:v>0</x:v>
      </x:c>
      <x:c r="M102" s="7" t="n">
        <x:f>IFERROR(VLOOKUP($A102,'02_怪物模板_好读版'!$A:$Z,11,FALSE),15)</x:f>
        <x:v>15</x:v>
      </x:c>
      <x:c r="N102" s="7" t="n">
        <x:f>IFERROR(VLOOKUP($A102,'02_怪物模板_好读版'!$A:$Z,12,FALSE),4)</x:f>
        <x:v>4</x:v>
      </x:c>
      <x:c r="O102" s="7" t="str">
        <x:f>IFERROR(VLOOKUP($A102,'02_怪物模板_好读版'!$A:$Z,13,FALSE),"mech_shield_regen,mech_pierce_shield")</x:f>
        <x:v>mech_shield_regen,mech_pierce_shield</x:v>
      </x:c>
      <x:c r="P102" s="6" t="s">
        <x:v>58</x:v>
      </x:c>
      <x:c r="Q102" s="6" t="s">
        <x:v>59</x:v>
      </x:c>
      <x:c r="R102" s="6" t="s">
        <x:v>60</x:v>
      </x:c>
      <x:c r="S102" s="6" t="s">
        <x:v>61</x:v>
      </x:c>
      <x:c r="T102" s="6" t="s">
        <x:v>375</x:v>
      </x:c>
      <x:c r="U102" s="6" t="s">
        <x:v>63</x:v>
      </x:c>
      <x:c r="V102" s="6" t="s">
        <x:v>64</x:v>
      </x:c>
    </x:row>
    <x:row r="103" ht="22" customHeight="1">
      <x:c r="A103" s="6" t="s">
        <x:v>420</x:v>
      </x:c>
      <x:c r="B103" s="6" t="s">
        <x:v>421</x:v>
      </x:c>
      <x:c r="C103" s="6" t="s">
        <x:v>422</x:v>
      </x:c>
      <x:c r="D103" s="6" t="s">
        <x:v>87</x:v>
      </x:c>
      <x:c r="E103" s="6" t="s">
        <x:v>258</x:v>
      </x:c>
      <x:c r="F103" s="6" t="s">
        <x:v>199</x:v>
      </x:c>
      <x:c r="G103" s="6" t="s">
        <x:v>46</x:v>
      </x:c>
      <x:c r="H103" s="6" t="s">
        <x:v>57</x:v>
      </x:c>
      <x:c r="I103" s="7" t="n">
        <x:f>IFERROR(VLOOKUP($A103,'02_怪物模板_好读版'!$A:$S,15,FALSE),0)+IFERROR(VLOOKUP($A103,'02_怪物模板_好读版'!$A:$S,16,FALSE),0)</x:f>
        <x:v>0</x:v>
      </x:c>
      <x:c r="J103" s="7" t="n">
        <x:f>IFERROR(VLOOKUP($A103,'02_怪物模板_好读版'!$A:$Z,8,FALSE),15)</x:f>
        <x:v>15</x:v>
      </x:c>
      <x:c r="K103" s="7" t="n">
        <x:f>IFERROR(VLOOKUP($A103,'02_怪物模板_好读版'!$A:$Z,9,FALSE),8)</x:f>
        <x:v>8</x:v>
      </x:c>
      <x:c r="L103" s="7" t="n">
        <x:f>IFERROR(VLOOKUP($A103,'02_怪物模板_好读版'!$A:$Z,10,FALSE),0)</x:f>
        <x:v>0</x:v>
      </x:c>
      <x:c r="M103" s="7" t="n">
        <x:f>IFERROR(VLOOKUP($A103,'02_怪物模板_好读版'!$A:$Z,11,FALSE),6)</x:f>
        <x:v>6</x:v>
      </x:c>
      <x:c r="N103" s="7" t="n">
        <x:f>IFERROR(VLOOKUP($A103,'02_怪物模板_好读版'!$A:$Z,12,FALSE),3)</x:f>
        <x:v>3</x:v>
      </x:c>
      <x:c r="O103" s="7" t="str">
        <x:f>IFERROR(VLOOKUP($A103,'02_怪物模板_好读版'!$A:$Z,13,FALSE),"REVIEW")</x:f>
        <x:v>REVIEW</x:v>
      </x:c>
      <x:c r="P103" s="6" t="s">
        <x:v>58</x:v>
      </x:c>
      <x:c r="Q103" s="6" t="s">
        <x:v>59</x:v>
      </x:c>
      <x:c r="R103" s="6" t="s">
        <x:v>60</x:v>
      </x:c>
      <x:c r="S103" s="6" t="s">
        <x:v>61</x:v>
      </x:c>
      <x:c r="T103" s="6" t="s">
        <x:v>375</x:v>
      </x:c>
      <x:c r="U103" s="6" t="s">
        <x:v>63</x:v>
      </x:c>
      <x:c r="V103" s="6" t="s">
        <x:v>64</x:v>
      </x:c>
    </x:row>
    <x:row r="104" ht="22" customHeight="1">
      <x:c r="A104" s="6" t="s">
        <x:v>423</x:v>
      </x:c>
      <x:c r="B104" s="6" t="s">
        <x:v>424</x:v>
      </x:c>
      <x:c r="C104" s="6" t="s">
        <x:v>425</x:v>
      </x:c>
      <x:c r="D104" s="6" t="s">
        <x:v>43</x:v>
      </x:c>
      <x:c r="E104" s="6" t="s">
        <x:v>71</x:v>
      </x:c>
      <x:c r="F104" s="6" t="s">
        <x:v>199</x:v>
      </x:c>
      <x:c r="G104" s="6" t="s">
        <x:v>46</x:v>
      </x:c>
      <x:c r="H104" s="6" t="s">
        <x:v>57</x:v>
      </x:c>
      <x:c r="I104" s="7" t="n">
        <x:f>IFERROR(VLOOKUP($A104,'02_怪物模板_好读版'!$A:$S,15,FALSE),0)+IFERROR(VLOOKUP($A104,'02_怪物模板_好读版'!$A:$S,16,FALSE),0)</x:f>
        <x:v>0</x:v>
      </x:c>
      <x:c r="J104" s="7" t="n">
        <x:f>IFERROR(VLOOKUP($A104,'02_怪物模板_好读版'!$A:$Z,8,FALSE),15)</x:f>
        <x:v>15</x:v>
      </x:c>
      <x:c r="K104" s="7" t="n">
        <x:f>IFERROR(VLOOKUP($A104,'02_怪物模板_好读版'!$A:$Z,9,FALSE),8)</x:f>
        <x:v>8</x:v>
      </x:c>
      <x:c r="L104" s="7" t="n">
        <x:f>IFERROR(VLOOKUP($A104,'02_怪物模板_好读版'!$A:$Z,10,FALSE),0)</x:f>
        <x:v>0</x:v>
      </x:c>
      <x:c r="M104" s="7" t="n">
        <x:f>IFERROR(VLOOKUP($A104,'02_怪物模板_好读版'!$A:$Z,11,FALSE),6)</x:f>
        <x:v>6</x:v>
      </x:c>
      <x:c r="N104" s="7" t="n">
        <x:f>IFERROR(VLOOKUP($A104,'02_怪物模板_好读版'!$A:$Z,12,FALSE),3)</x:f>
        <x:v>3</x:v>
      </x:c>
      <x:c r="O104" s="7" t="str">
        <x:f>IFERROR(VLOOKUP($A104,'02_怪物模板_好读版'!$A:$Z,13,FALSE),"REVIEW")</x:f>
        <x:v>REVIEW</x:v>
      </x:c>
      <x:c r="P104" s="6" t="s">
        <x:v>58</x:v>
      </x:c>
      <x:c r="Q104" s="6" t="s">
        <x:v>59</x:v>
      </x:c>
      <x:c r="R104" s="6" t="s">
        <x:v>60</x:v>
      </x:c>
      <x:c r="S104" s="6" t="s">
        <x:v>61</x:v>
      </x:c>
      <x:c r="T104" s="6" t="s">
        <x:v>62</x:v>
      </x:c>
      <x:c r="U104" s="6" t="s">
        <x:v>63</x:v>
      </x:c>
      <x:c r="V104" s="6" t="s">
        <x:v>64</x:v>
      </x:c>
    </x:row>
    <x:row r="105" ht="22" customHeight="1">
      <x:c r="A105" s="6" t="s">
        <x:v>426</x:v>
      </x:c>
      <x:c r="B105" s="6" t="s">
        <x:v>427</x:v>
      </x:c>
      <x:c r="C105" s="6" t="s">
        <x:v>428</x:v>
      </x:c>
      <x:c r="D105" s="6" t="s">
        <x:v>120</x:v>
      </x:c>
      <x:c r="E105" s="6" t="s">
        <x:v>429</x:v>
      </x:c>
      <x:c r="F105" s="6" t="s">
        <x:v>199</x:v>
      </x:c>
      <x:c r="G105" s="6" t="s">
        <x:v>46</x:v>
      </x:c>
      <x:c r="H105" s="6" t="s">
        <x:v>57</x:v>
      </x:c>
      <x:c r="I105" s="7" t="n">
        <x:f>IFERROR(VLOOKUP($A105,'02_怪物模板_好读版'!$A:$S,15,FALSE),0)+IFERROR(VLOOKUP($A105,'02_怪物模板_好读版'!$A:$S,16,FALSE),0)</x:f>
        <x:v>0</x:v>
      </x:c>
      <x:c r="J105" s="7" t="n">
        <x:f>IFERROR(VLOOKUP($A105,'02_怪物模板_好读版'!$A:$Z,8,FALSE),15)</x:f>
        <x:v>15</x:v>
      </x:c>
      <x:c r="K105" s="7" t="n">
        <x:f>IFERROR(VLOOKUP($A105,'02_怪物模板_好读版'!$A:$Z,9,FALSE),8)</x:f>
        <x:v>8</x:v>
      </x:c>
      <x:c r="L105" s="7" t="n">
        <x:f>IFERROR(VLOOKUP($A105,'02_怪物模板_好读版'!$A:$Z,10,FALSE),0)</x:f>
        <x:v>0</x:v>
      </x:c>
      <x:c r="M105" s="7" t="n">
        <x:f>IFERROR(VLOOKUP($A105,'02_怪物模板_好读版'!$A:$Z,11,FALSE),6)</x:f>
        <x:v>6</x:v>
      </x:c>
      <x:c r="N105" s="7" t="n">
        <x:f>IFERROR(VLOOKUP($A105,'02_怪物模板_好读版'!$A:$Z,12,FALSE),3)</x:f>
        <x:v>3</x:v>
      </x:c>
      <x:c r="O105" s="7" t="str">
        <x:f>IFERROR(VLOOKUP($A105,'02_怪物模板_好读版'!$A:$Z,13,FALSE),"REVIEW")</x:f>
        <x:v>REVIEW</x:v>
      </x:c>
      <x:c r="P105" s="6" t="s">
        <x:v>58</x:v>
      </x:c>
      <x:c r="Q105" s="6" t="s">
        <x:v>59</x:v>
      </x:c>
      <x:c r="R105" s="6" t="s">
        <x:v>60</x:v>
      </x:c>
      <x:c r="S105" s="6" t="s">
        <x:v>61</x:v>
      </x:c>
      <x:c r="T105" s="6" t="s">
        <x:v>122</x:v>
      </x:c>
      <x:c r="U105" s="6" t="s">
        <x:v>63</x:v>
      </x:c>
      <x:c r="V105" s="6" t="s">
        <x:v>64</x:v>
      </x:c>
    </x:row>
    <x:row r="106" ht="22" customHeight="1">
      <x:c r="A106" s="6" t="s">
        <x:v>430</x:v>
      </x:c>
      <x:c r="B106" s="6" t="s">
        <x:v>431</x:v>
      </x:c>
      <x:c r="C106" s="6" t="s">
        <x:v>432</x:v>
      </x:c>
      <x:c r="D106" s="6" t="s">
        <x:v>43</x:v>
      </x:c>
      <x:c r="E106" s="6" t="s">
        <x:v>44</x:v>
      </x:c>
      <x:c r="F106" s="6" t="s">
        <x:v>199</x:v>
      </x:c>
      <x:c r="G106" s="6" t="s">
        <x:v>46</x:v>
      </x:c>
      <x:c r="H106" s="6" t="s">
        <x:v>165</x:v>
      </x:c>
      <x:c r="I106" s="7" t="n">
        <x:f>IFERROR(VLOOKUP($A106,'02_怪物模板_好读版'!$A:$S,15,FALSE),0)+IFERROR(VLOOKUP($A106,'02_怪物模板_好读版'!$A:$S,16,FALSE),0)</x:f>
        <x:v>0</x:v>
      </x:c>
      <x:c r="J106" s="7" t="n">
        <x:f>IFERROR(VLOOKUP($A106,'02_怪物模板_好读版'!$A:$Z,8,FALSE),10)</x:f>
        <x:v>10</x:v>
      </x:c>
      <x:c r="K106" s="7" t="n">
        <x:f>IFERROR(VLOOKUP($A106,'02_怪物模板_好读版'!$A:$Z,9,FALSE),17)</x:f>
        <x:v>17</x:v>
      </x:c>
      <x:c r="L106" s="7" t="n">
        <x:f>IFERROR(VLOOKUP($A106,'02_怪物模板_好读版'!$A:$Z,10,FALSE),0)</x:f>
        <x:v>0</x:v>
      </x:c>
      <x:c r="M106" s="7" t="n">
        <x:f>IFERROR(VLOOKUP($A106,'02_怪物模板_好读版'!$A:$Z,11,FALSE),0)</x:f>
        <x:v>0</x:v>
      </x:c>
      <x:c r="N106" s="7" t="n">
        <x:f>IFERROR(VLOOKUP($A106,'02_怪物模板_好读版'!$A:$Z,12,FALSE),3)</x:f>
        <x:v>3</x:v>
      </x:c>
      <x:c r="O106" s="7" t="str">
        <x:f>IFERROR(VLOOKUP($A106,'02_怪物模板_好读版'!$A:$Z,13,FALSE),"REVIEW")</x:f>
        <x:v>REVIEW</x:v>
      </x:c>
      <x:c r="P106" s="6" t="s">
        <x:v>111</x:v>
      </x:c>
      <x:c r="Q106" s="6" t="s">
        <x:v>112</x:v>
      </x:c>
      <x:c r="R106" s="6" t="s">
        <x:v>113</x:v>
      </x:c>
      <x:c r="S106" s="6" t="s">
        <x:v>114</x:v>
      </x:c>
      <x:c r="T106" s="6" t="s">
        <x:v>166</x:v>
      </x:c>
      <x:c r="U106" s="6" t="s">
        <x:v>63</x:v>
      </x:c>
      <x:c r="V106" s="6" t="s">
        <x:v>44</x:v>
      </x:c>
    </x:row>
    <x:row r="107" ht="22" customHeight="1">
      <x:c r="A107" s="6" t="s">
        <x:v>433</x:v>
      </x:c>
      <x:c r="B107" s="6" t="s">
        <x:v>434</x:v>
      </x:c>
      <x:c r="C107" s="6" t="s">
        <x:v>435</x:v>
      </x:c>
      <x:c r="D107" s="6" t="s">
        <x:v>120</x:v>
      </x:c>
      <x:c r="E107" s="6" t="s">
        <x:v>129</x:v>
      </x:c>
      <x:c r="F107" s="6" t="s">
        <x:v>199</x:v>
      </x:c>
      <x:c r="G107" s="6" t="s">
        <x:v>106</x:v>
      </x:c>
      <x:c r="H107" s="6" t="s">
        <x:v>57</x:v>
      </x:c>
      <x:c r="I107" s="7" t="n">
        <x:f>IFERROR(VLOOKUP($A107,'02_怪物模板_好读版'!$A:$S,15,FALSE),0)+IFERROR(VLOOKUP($A107,'02_怪物模板_好读版'!$A:$S,16,FALSE),0)</x:f>
        <x:v>161</x:v>
      </x:c>
      <x:c r="J107" s="7" t="n">
        <x:f>IFERROR(VLOOKUP($A107,'02_怪物模板_好读版'!$A:$Z,8,FALSE),35)</x:f>
        <x:v>35</x:v>
      </x:c>
      <x:c r="K107" s="7" t="n">
        <x:f>IFERROR(VLOOKUP($A107,'02_怪物模板_好读版'!$A:$Z,9,FALSE),3)</x:f>
        <x:v>3</x:v>
      </x:c>
      <x:c r="L107" s="7" t="n">
        <x:f>IFERROR(VLOOKUP($A107,'02_怪物模板_好读版'!$A:$Z,10,FALSE),0)</x:f>
        <x:v>0</x:v>
      </x:c>
      <x:c r="M107" s="7" t="n">
        <x:f>IFERROR(VLOOKUP($A107,'02_怪物模板_好读版'!$A:$Z,11,FALSE),6)</x:f>
        <x:v>6</x:v>
      </x:c>
      <x:c r="N107" s="7" t="n">
        <x:f>IFERROR(VLOOKUP($A107,'02_怪物模板_好读版'!$A:$Z,12,FALSE),3)</x:f>
        <x:v>3</x:v>
      </x:c>
      <x:c r="O107" s="7" t="str">
        <x:f>IFERROR(VLOOKUP($A107,'02_怪物模板_好读版'!$A:$Z,13,FALSE),"mech_summon,mech_revive")</x:f>
        <x:v>mech_summon,mech_revive</x:v>
      </x:c>
      <x:c r="P107" s="6" t="s">
        <x:v>58</x:v>
      </x:c>
      <x:c r="Q107" s="6" t="s">
        <x:v>59</x:v>
      </x:c>
      <x:c r="R107" s="6" t="s">
        <x:v>60</x:v>
      </x:c>
      <x:c r="S107" s="6" t="s">
        <x:v>61</x:v>
      </x:c>
      <x:c r="T107" s="6" t="s">
        <x:v>122</x:v>
      </x:c>
      <x:c r="U107" s="6" t="s">
        <x:v>63</x:v>
      </x:c>
      <x:c r="V107" s="6" t="s">
        <x:v>64</x:v>
      </x:c>
    </x:row>
    <x:row r="108" ht="22" customHeight="1">
      <x:c r="A108" s="6" t="s">
        <x:v>436</x:v>
      </x:c>
      <x:c r="B108" s="6" t="s">
        <x:v>437</x:v>
      </x:c>
      <x:c r="C108" s="6" t="s">
        <x:v>438</x:v>
      </x:c>
      <x:c r="D108" s="6" t="s">
        <x:v>43</x:v>
      </x:c>
      <x:c r="E108" s="6" t="s">
        <x:v>357</x:v>
      </x:c>
      <x:c r="F108" s="6" t="s">
        <x:v>199</x:v>
      </x:c>
      <x:c r="G108" s="6" t="s">
        <x:v>106</x:v>
      </x:c>
      <x:c r="H108" s="6" t="s">
        <x:v>165</x:v>
      </x:c>
      <x:c r="I108" s="7" t="n">
        <x:f>IFERROR(VLOOKUP($A108,'02_怪物模板_好读版'!$A:$S,15,FALSE),0)+IFERROR(VLOOKUP($A108,'02_怪物模板_好读版'!$A:$S,16,FALSE),0)</x:f>
        <x:v>0</x:v>
      </x:c>
      <x:c r="J108" s="7" t="n">
        <x:f>IFERROR(VLOOKUP($A108,'02_怪物模板_好读版'!$A:$Z,8,FALSE),70)</x:f>
        <x:v>70</x:v>
      </x:c>
      <x:c r="K108" s="7" t="n">
        <x:f>IFERROR(VLOOKUP($A108,'02_怪物模板_好读版'!$A:$Z,9,FALSE),49)</x:f>
        <x:v>49</x:v>
      </x:c>
      <x:c r="L108" s="7" t="n">
        <x:f>IFERROR(VLOOKUP($A108,'02_怪物模板_好读版'!$A:$Z,10,FALSE),0)</x:f>
        <x:v>0</x:v>
      </x:c>
      <x:c r="M108" s="7" t="n">
        <x:f>IFERROR(VLOOKUP($A108,'02_怪物模板_好读版'!$A:$Z,11,FALSE),0)</x:f>
        <x:v>0</x:v>
      </x:c>
      <x:c r="N108" s="7" t="n">
        <x:f>IFERROR(VLOOKUP($A108,'02_怪物模板_好读版'!$A:$Z,12,FALSE),3)</x:f>
        <x:v>3</x:v>
      </x:c>
      <x:c r="O108" s="7" t="str">
        <x:f>IFERROR(VLOOKUP($A108,'02_怪物模板_好读版'!$A:$Z,13,FALSE),"REVIEW")</x:f>
        <x:v>REVIEW</x:v>
      </x:c>
      <x:c r="P108" s="6" t="s">
        <x:v>111</x:v>
      </x:c>
      <x:c r="Q108" s="6" t="s">
        <x:v>112</x:v>
      </x:c>
      <x:c r="R108" s="6" t="s">
        <x:v>113</x:v>
      </x:c>
      <x:c r="S108" s="6" t="s">
        <x:v>114</x:v>
      </x:c>
      <x:c r="T108" s="6" t="s">
        <x:v>166</x:v>
      </x:c>
      <x:c r="U108" s="6" t="s">
        <x:v>63</x:v>
      </x:c>
      <x:c r="V108" s="6" t="s">
        <x:v>44</x:v>
      </x:c>
    </x:row>
    <x:row r="109" ht="22" customHeight="1">
      <x:c r="A109" s="6" t="s">
        <x:v>439</x:v>
      </x:c>
      <x:c r="B109" s="6" t="s">
        <x:v>440</x:v>
      </x:c>
      <x:c r="C109" s="6" t="s">
        <x:v>441</x:v>
      </x:c>
      <x:c r="D109" s="6" t="s">
        <x:v>79</x:v>
      </x:c>
      <x:c r="E109" s="6" t="s">
        <x:v>44</x:v>
      </x:c>
      <x:c r="F109" s="6" t="s">
        <x:v>199</x:v>
      </x:c>
      <x:c r="G109" s="6" t="s">
        <x:v>106</x:v>
      </x:c>
      <x:c r="H109" s="6" t="s">
        <x:v>81</x:v>
      </x:c>
      <x:c r="I109" s="7" t="n">
        <x:f>IFERROR(VLOOKUP($A109,'02_怪物模板_好读版'!$A:$S,15,FALSE),0)+IFERROR(VLOOKUP($A109,'02_怪物模板_好读版'!$A:$S,16,FALSE),0)</x:f>
        <x:v>0</x:v>
      </x:c>
      <x:c r="J109" s="7" t="n">
        <x:f>IFERROR(VLOOKUP($A109,'02_怪物模板_好读版'!$A:$Z,8,FALSE),60)</x:f>
        <x:v>60</x:v>
      </x:c>
      <x:c r="K109" s="7" t="n">
        <x:f>IFERROR(VLOOKUP($A109,'02_怪物模板_好读版'!$A:$Z,9,FALSE),55)</x:f>
        <x:v>55</x:v>
      </x:c>
      <x:c r="L109" s="7" t="n">
        <x:f>IFERROR(VLOOKUP($A109,'02_怪物模板_好读版'!$A:$Z,10,FALSE),0)</x:f>
        <x:v>0</x:v>
      </x:c>
      <x:c r="M109" s="7" t="n">
        <x:f>IFERROR(VLOOKUP($A109,'02_怪物模板_好读版'!$A:$Z,11,FALSE),0)</x:f>
        <x:v>0</x:v>
      </x:c>
      <x:c r="N109" s="7" t="n">
        <x:f>IFERROR(VLOOKUP($A109,'02_怪物模板_好读版'!$A:$Z,12,FALSE),3)</x:f>
        <x:v>3</x:v>
      </x:c>
      <x:c r="O109" s="7" t="str">
        <x:f>IFERROR(VLOOKUP($A109,'02_怪物模板_好读版'!$A:$Z,13,FALSE),"REVIEW")</x:f>
        <x:v>REVIEW</x:v>
      </x:c>
      <x:c r="P109" s="6" t="s">
        <x:v>58</x:v>
      </x:c>
      <x:c r="Q109" s="6" t="s">
        <x:v>59</x:v>
      </x:c>
      <x:c r="R109" s="6" t="s">
        <x:v>81</x:v>
      </x:c>
      <x:c r="S109" s="6" t="s">
        <x:v>61</x:v>
      </x:c>
      <x:c r="T109" s="6" t="s">
        <x:v>83</x:v>
      </x:c>
      <x:c r="U109" s="6" t="s">
        <x:v>63</x:v>
      </x:c>
      <x:c r="V109" s="6" t="s">
        <x:v>44</x:v>
      </x:c>
    </x:row>
    <x:row r="110" ht="22" customHeight="1">
      <x:c r="A110" s="6" t="s">
        <x:v>442</x:v>
      </x:c>
      <x:c r="B110" s="6" t="s">
        <x:v>443</x:v>
      </x:c>
      <x:c r="C110" s="6" t="s">
        <x:v>444</x:v>
      </x:c>
      <x:c r="D110" s="6" t="s">
        <x:v>120</x:v>
      </x:c>
      <x:c r="E110" s="6" t="s">
        <x:v>129</x:v>
      </x:c>
      <x:c r="F110" s="6" t="s">
        <x:v>199</x:v>
      </x:c>
      <x:c r="G110" s="6" t="s">
        <x:v>46</x:v>
      </x:c>
      <x:c r="H110" s="6" t="s">
        <x:v>165</x:v>
      </x:c>
      <x:c r="I110" s="7" t="n">
        <x:f>IFERROR(VLOOKUP($A110,'02_怪物模板_好读版'!$A:$S,15,FALSE),0)+IFERROR(VLOOKUP($A110,'02_怪物模板_好读版'!$A:$S,16,FALSE),0)</x:f>
        <x:v>0</x:v>
      </x:c>
      <x:c r="J110" s="7" t="n">
        <x:f>IFERROR(VLOOKUP($A110,'02_怪物模板_好读版'!$A:$Z,8,FALSE),10)</x:f>
        <x:v>10</x:v>
      </x:c>
      <x:c r="K110" s="7" t="n">
        <x:f>IFERROR(VLOOKUP($A110,'02_怪物模板_好读版'!$A:$Z,9,FALSE),17)</x:f>
        <x:v>17</x:v>
      </x:c>
      <x:c r="L110" s="7" t="n">
        <x:f>IFERROR(VLOOKUP($A110,'02_怪物模板_好读版'!$A:$Z,10,FALSE),0)</x:f>
        <x:v>0</x:v>
      </x:c>
      <x:c r="M110" s="7" t="n">
        <x:f>IFERROR(VLOOKUP($A110,'02_怪物模板_好读版'!$A:$Z,11,FALSE),0)</x:f>
        <x:v>0</x:v>
      </x:c>
      <x:c r="N110" s="7" t="n">
        <x:f>IFERROR(VLOOKUP($A110,'02_怪物模板_好读版'!$A:$Z,12,FALSE),3)</x:f>
        <x:v>3</x:v>
      </x:c>
      <x:c r="O110" s="7" t="str">
        <x:f>IFERROR(VLOOKUP($A110,'02_怪物模板_好读版'!$A:$Z,13,FALSE),"REVIEW")</x:f>
        <x:v>REVIEW</x:v>
      </x:c>
      <x:c r="P110" s="6" t="s">
        <x:v>111</x:v>
      </x:c>
      <x:c r="Q110" s="6" t="s">
        <x:v>112</x:v>
      </x:c>
      <x:c r="R110" s="6" t="s">
        <x:v>113</x:v>
      </x:c>
      <x:c r="S110" s="6" t="s">
        <x:v>114</x:v>
      </x:c>
      <x:c r="T110" s="6" t="s">
        <x:v>445</x:v>
      </x:c>
      <x:c r="U110" s="6" t="s">
        <x:v>63</x:v>
      </x:c>
      <x:c r="V110" s="6" t="s">
        <x:v>44</x:v>
      </x:c>
    </x:row>
    <x:row r="111" ht="22" customHeight="1">
      <x:c r="A111" s="6" t="s">
        <x:v>446</x:v>
      </x:c>
      <x:c r="B111" s="6" t="s">
        <x:v>447</x:v>
      </x:c>
      <x:c r="C111" s="6" t="s">
        <x:v>448</x:v>
      </x:c>
      <x:c r="D111" s="6" t="s">
        <x:v>120</x:v>
      </x:c>
      <x:c r="E111" s="6" t="s">
        <x:v>449</x:v>
      </x:c>
      <x:c r="F111" s="6" t="s">
        <x:v>199</x:v>
      </x:c>
      <x:c r="G111" s="6" t="s">
        <x:v>106</x:v>
      </x:c>
      <x:c r="H111" s="6" t="s">
        <x:v>57</x:v>
      </x:c>
      <x:c r="I111" s="7" t="n">
        <x:f>IFERROR(VLOOKUP($A111,'02_怪物模板_好读版'!$A:$S,15,FALSE),0)+IFERROR(VLOOKUP($A111,'02_怪物模板_好读版'!$A:$S,16,FALSE),0)</x:f>
        <x:v>186</x:v>
      </x:c>
      <x:c r="J111" s="7" t="n">
        <x:f>IFERROR(VLOOKUP($A111,'02_怪物模板_好读版'!$A:$Z,8,FALSE),50)</x:f>
        <x:v>50</x:v>
      </x:c>
      <x:c r="K111" s="7" t="n">
        <x:f>IFERROR(VLOOKUP($A111,'02_怪物模板_好读版'!$A:$Z,9,FALSE),4)</x:f>
        <x:v>4</x:v>
      </x:c>
      <x:c r="L111" s="7" t="n">
        <x:f>IFERROR(VLOOKUP($A111,'02_怪物模板_好读版'!$A:$Z,10,FALSE),6)</x:f>
        <x:v>6</x:v>
      </x:c>
      <x:c r="M111" s="7" t="n">
        <x:f>IFERROR(VLOOKUP($A111,'02_怪物模板_好读版'!$A:$Z,11,FALSE),6)</x:f>
        <x:v>6</x:v>
      </x:c>
      <x:c r="N111" s="7" t="n">
        <x:f>IFERROR(VLOOKUP($A111,'02_怪物模板_好读版'!$A:$Z,12,FALSE),4)</x:f>
        <x:v>4</x:v>
      </x:c>
      <x:c r="O111" s="7" t="str">
        <x:f>IFERROR(VLOOKUP($A111,'02_怪物模板_好读版'!$A:$Z,13,FALSE),"mech_firm_threshold,mech_curse")</x:f>
        <x:v>mech_firm_threshold,mech_curse</x:v>
      </x:c>
      <x:c r="P111" s="6" t="s">
        <x:v>58</x:v>
      </x:c>
      <x:c r="Q111" s="6" t="s">
        <x:v>59</x:v>
      </x:c>
      <x:c r="R111" s="6" t="s">
        <x:v>60</x:v>
      </x:c>
      <x:c r="S111" s="6" t="s">
        <x:v>61</x:v>
      </x:c>
      <x:c r="T111" s="6" t="s">
        <x:v>122</x:v>
      </x:c>
      <x:c r="U111" s="6" t="s">
        <x:v>63</x:v>
      </x:c>
      <x:c r="V111" s="6" t="s">
        <x:v>64</x:v>
      </x:c>
    </x:row>
    <x:row r="112" ht="22" customHeight="1">
      <x:c r="A112" s="6" t="s">
        <x:v>450</x:v>
      </x:c>
      <x:c r="B112" s="6" t="s">
        <x:v>451</x:v>
      </x:c>
      <x:c r="C112" s="6" t="s">
        <x:v>452</x:v>
      </x:c>
      <x:c r="D112" s="6" t="s">
        <x:v>120</x:v>
      </x:c>
      <x:c r="E112" s="6" t="s">
        <x:v>453</x:v>
      </x:c>
      <x:c r="F112" s="6" t="s">
        <x:v>454</x:v>
      </x:c>
      <x:c r="G112" s="6" t="s">
        <x:v>46</x:v>
      </x:c>
      <x:c r="H112" s="6" t="s">
        <x:v>57</x:v>
      </x:c>
      <x:c r="I112" s="7" t="n">
        <x:f>IFERROR(VLOOKUP($A112,'02_怪物模板_好读版'!$A:$S,15,FALSE),0)+IFERROR(VLOOKUP($A112,'02_怪物模板_好读版'!$A:$S,16,FALSE),0)</x:f>
        <x:v>0</x:v>
      </x:c>
      <x:c r="J112" s="7" t="n">
        <x:f>IFERROR(VLOOKUP($A112,'02_怪物模板_好读版'!$A:$Z,8,FALSE),20)</x:f>
        <x:v>20</x:v>
      </x:c>
      <x:c r="K112" s="7" t="n">
        <x:f>IFERROR(VLOOKUP($A112,'02_怪物模板_好读版'!$A:$Z,9,FALSE),17)</x:f>
        <x:v>17</x:v>
      </x:c>
      <x:c r="L112" s="7" t="n">
        <x:f>IFERROR(VLOOKUP($A112,'02_怪物模板_好读版'!$A:$Z,10,FALSE),0)</x:f>
        <x:v>0</x:v>
      </x:c>
      <x:c r="M112" s="7" t="n">
        <x:f>IFERROR(VLOOKUP($A112,'02_怪物模板_好读版'!$A:$Z,11,FALSE),10)</x:f>
        <x:v>10</x:v>
      </x:c>
      <x:c r="N112" s="7" t="n">
        <x:f>IFERROR(VLOOKUP($A112,'02_怪物模板_好读版'!$A:$Z,12,FALSE),3)</x:f>
        <x:v>3</x:v>
      </x:c>
      <x:c r="O112" s="7" t="str">
        <x:f>IFERROR(VLOOKUP($A112,'02_怪物模板_好读版'!$A:$Z,13,FALSE),"REVIEW")</x:f>
        <x:v>REVIEW</x:v>
      </x:c>
      <x:c r="P112" s="6" t="s">
        <x:v>216</x:v>
      </x:c>
      <x:c r="Q112" s="6" t="s">
        <x:v>217</x:v>
      </x:c>
      <x:c r="R112" s="6" t="s">
        <x:v>60</x:v>
      </x:c>
      <x:c r="S112" s="6" t="s">
        <x:v>61</x:v>
      </x:c>
      <x:c r="T112" s="6" t="s">
        <x:v>122</x:v>
      </x:c>
      <x:c r="U112" s="6" t="s">
        <x:v>63</x:v>
      </x:c>
      <x:c r="V112" s="6" t="s">
        <x:v>64</x:v>
      </x:c>
    </x:row>
    <x:row r="113" ht="22" customHeight="1">
      <x:c r="A113" s="6" t="s">
        <x:v>455</x:v>
      </x:c>
      <x:c r="B113" s="6" t="s">
        <x:v>456</x:v>
      </x:c>
      <x:c r="C113" s="6" t="s">
        <x:v>457</x:v>
      </x:c>
      <x:c r="D113" s="6" t="s">
        <x:v>120</x:v>
      </x:c>
      <x:c r="E113" s="6" t="s">
        <x:v>145</x:v>
      </x:c>
      <x:c r="F113" s="6" t="s">
        <x:v>454</x:v>
      </x:c>
      <x:c r="G113" s="6" t="s">
        <x:v>46</x:v>
      </x:c>
      <x:c r="H113" s="6" t="s">
        <x:v>81</x:v>
      </x:c>
      <x:c r="I113" s="7" t="n">
        <x:f>IFERROR(VLOOKUP($A113,'02_怪物模板_好读版'!$A:$S,15,FALSE),0)+IFERROR(VLOOKUP($A113,'02_怪物模板_好读版'!$A:$S,16,FALSE),0)</x:f>
        <x:v>0</x:v>
      </x:c>
      <x:c r="J113" s="7" t="n">
        <x:f>IFERROR(VLOOKUP($A113,'02_怪物模板_好读版'!$A:$Z,8,FALSE),50)</x:f>
        <x:v>50</x:v>
      </x:c>
      <x:c r="K113" s="7" t="n">
        <x:f>IFERROR(VLOOKUP($A113,'02_怪物模板_好读版'!$A:$Z,9,FALSE),21)</x:f>
        <x:v>21</x:v>
      </x:c>
      <x:c r="L113" s="7" t="n">
        <x:f>IFERROR(VLOOKUP($A113,'02_怪物模板_好读版'!$A:$Z,10,FALSE),0)</x:f>
        <x:v>0</x:v>
      </x:c>
      <x:c r="M113" s="7" t="n">
        <x:f>IFERROR(VLOOKUP($A113,'02_怪物模板_好读版'!$A:$Z,11,FALSE),0)</x:f>
        <x:v>0</x:v>
      </x:c>
      <x:c r="N113" s="7" t="n">
        <x:f>IFERROR(VLOOKUP($A113,'02_怪物模板_好读版'!$A:$Z,12,FALSE),3)</x:f>
        <x:v>3</x:v>
      </x:c>
      <x:c r="O113" s="7" t="str">
        <x:f>IFERROR(VLOOKUP($A113,'02_怪物模板_好读版'!$A:$Z,13,FALSE),"REVIEW")</x:f>
        <x:v>REVIEW</x:v>
      </x:c>
      <x:c r="P113" s="6" t="s">
        <x:v>458</x:v>
      </x:c>
      <x:c r="Q113" s="6" t="s">
        <x:v>59</x:v>
      </x:c>
      <x:c r="R113" s="6" t="s">
        <x:v>81</x:v>
      </x:c>
      <x:c r="S113" s="6" t="s">
        <x:v>82</x:v>
      </x:c>
      <x:c r="T113" s="6" t="s">
        <x:v>459</x:v>
      </x:c>
      <x:c r="U113" s="6" t="s">
        <x:v>63</x:v>
      </x:c>
      <x:c r="V113" s="6" t="s">
        <x:v>44</x:v>
      </x:c>
    </x:row>
    <x:row r="114" ht="22" customHeight="1">
      <x:c r="A114" s="6" t="s">
        <x:v>460</x:v>
      </x:c>
      <x:c r="B114" s="6" t="s">
        <x:v>461</x:v>
      </x:c>
      <x:c r="C114" s="6" t="s">
        <x:v>462</x:v>
      </x:c>
      <x:c r="D114" s="6" t="s">
        <x:v>87</x:v>
      </x:c>
      <x:c r="E114" s="6" t="s">
        <x:v>361</x:v>
      </x:c>
      <x:c r="F114" s="6" t="s">
        <x:v>454</x:v>
      </x:c>
      <x:c r="G114" s="6" t="s">
        <x:v>80</x:v>
      </x:c>
      <x:c r="H114" s="6" t="s">
        <x:v>72</x:v>
      </x:c>
      <x:c r="I114" s="7" t="n">
        <x:f>IFERROR(VLOOKUP($A114,'02_怪物模板_好读版'!$A:$S,15,FALSE),0)+IFERROR(VLOOKUP($A114,'02_怪物模板_好读版'!$A:$S,16,FALSE),0)</x:f>
        <x:v>0</x:v>
      </x:c>
      <x:c r="J114" s="7" t="n">
        <x:f>IFERROR(VLOOKUP($A114,'02_怪物模板_好读版'!$A:$Z,8,FALSE),50)</x:f>
        <x:v>50</x:v>
      </x:c>
      <x:c r="K114" s="7" t="n">
        <x:f>IFERROR(VLOOKUP($A114,'02_怪物模板_好读版'!$A:$Z,9,FALSE),53)</x:f>
        <x:v>53</x:v>
      </x:c>
      <x:c r="L114" s="7" t="n">
        <x:f>IFERROR(VLOOKUP($A114,'02_怪物模板_好读版'!$A:$Z,10,FALSE),0)</x:f>
        <x:v>0</x:v>
      </x:c>
      <x:c r="M114" s="7" t="n">
        <x:f>IFERROR(VLOOKUP($A114,'02_怪物模板_好读版'!$A:$Z,11,FALSE),0)</x:f>
        <x:v>0</x:v>
      </x:c>
      <x:c r="N114" s="7" t="n">
        <x:f>IFERROR(VLOOKUP($A114,'02_怪物模板_好读版'!$A:$Z,12,FALSE),3)</x:f>
        <x:v>3</x:v>
      </x:c>
      <x:c r="O114" s="7" t="str">
        <x:f>IFERROR(VLOOKUP($A114,'02_怪物模板_好读版'!$A:$Z,13,FALSE),"REVIEW")</x:f>
        <x:v>REVIEW</x:v>
      </x:c>
      <x:c r="P114" s="6" t="s">
        <x:v>216</x:v>
      </x:c>
      <x:c r="Q114" s="6" t="s">
        <x:v>217</x:v>
      </x:c>
      <x:c r="R114" s="6" t="s">
        <x:v>73</x:v>
      </x:c>
      <x:c r="S114" s="6" t="s">
        <x:v>74</x:v>
      </x:c>
      <x:c r="T114" s="6" t="s">
        <x:v>88</x:v>
      </x:c>
      <x:c r="U114" s="6" t="s">
        <x:v>63</x:v>
      </x:c>
      <x:c r="V114" s="6" t="s">
        <x:v>218</x:v>
      </x:c>
    </x:row>
    <x:row r="115" ht="22" customHeight="1">
      <x:c r="A115" s="6" t="s">
        <x:v>463</x:v>
      </x:c>
      <x:c r="B115" s="6" t="s">
        <x:v>464</x:v>
      </x:c>
      <x:c r="C115" s="6" t="s">
        <x:v>465</x:v>
      </x:c>
      <x:c r="D115" s="6" t="s">
        <x:v>79</x:v>
      </x:c>
      <x:c r="E115" s="6" t="s">
        <x:v>466</x:v>
      </x:c>
      <x:c r="F115" s="6" t="s">
        <x:v>454</x:v>
      </x:c>
      <x:c r="G115" s="6" t="s">
        <x:v>106</x:v>
      </x:c>
      <x:c r="H115" s="6" t="s">
        <x:v>81</x:v>
      </x:c>
      <x:c r="I115" s="7" t="n">
        <x:f>IFERROR(VLOOKUP($A115,'02_怪物模板_好读版'!$A:$S,15,FALSE),0)+IFERROR(VLOOKUP($A115,'02_怪物模板_好读版'!$A:$S,16,FALSE),0)</x:f>
        <x:v>0</x:v>
      </x:c>
      <x:c r="J115" s="7" t="n">
        <x:f>IFERROR(VLOOKUP($A115,'02_怪物模板_好读版'!$A:$Z,8,FALSE),60)</x:f>
        <x:v>60</x:v>
      </x:c>
      <x:c r="K115" s="7" t="n">
        <x:f>IFERROR(VLOOKUP($A115,'02_怪物模板_好读版'!$A:$Z,9,FALSE),101)</x:f>
        <x:v>101</x:v>
      </x:c>
      <x:c r="L115" s="7" t="n">
        <x:f>IFERROR(VLOOKUP($A115,'02_怪物模板_好读版'!$A:$Z,10,FALSE),0)</x:f>
        <x:v>0</x:v>
      </x:c>
      <x:c r="M115" s="7" t="n">
        <x:f>IFERROR(VLOOKUP($A115,'02_怪物模板_好读版'!$A:$Z,11,FALSE),0)</x:f>
        <x:v>0</x:v>
      </x:c>
      <x:c r="N115" s="7" t="n">
        <x:f>IFERROR(VLOOKUP($A115,'02_怪物模板_好读版'!$A:$Z,12,FALSE),3)</x:f>
        <x:v>3</x:v>
      </x:c>
      <x:c r="O115" s="7" t="str">
        <x:f>IFERROR(VLOOKUP($A115,'02_怪物模板_好读版'!$A:$Z,13,FALSE),"REVIEW")</x:f>
        <x:v>REVIEW</x:v>
      </x:c>
      <x:c r="P115" s="6" t="s">
        <x:v>458</x:v>
      </x:c>
      <x:c r="Q115" s="6" t="s">
        <x:v>59</x:v>
      </x:c>
      <x:c r="R115" s="6" t="s">
        <x:v>81</x:v>
      </x:c>
      <x:c r="S115" s="6" t="s">
        <x:v>82</x:v>
      </x:c>
      <x:c r="T115" s="6" t="s">
        <x:v>83</x:v>
      </x:c>
      <x:c r="U115" s="6" t="s">
        <x:v>63</x:v>
      </x:c>
      <x:c r="V115" s="6" t="s">
        <x:v>44</x:v>
      </x:c>
    </x:row>
    <x:row r="116" ht="22" customHeight="1">
      <x:c r="A116" s="6" t="s">
        <x:v>467</x:v>
      </x:c>
      <x:c r="B116" s="6" t="s">
        <x:v>468</x:v>
      </x:c>
      <x:c r="C116" s="6" t="s">
        <x:v>469</x:v>
      </x:c>
      <x:c r="D116" s="6" t="s">
        <x:v>79</x:v>
      </x:c>
      <x:c r="E116" s="6" t="s">
        <x:v>44</x:v>
      </x:c>
      <x:c r="F116" s="6" t="s">
        <x:v>454</x:v>
      </x:c>
      <x:c r="G116" s="6" t="s">
        <x:v>46</x:v>
      </x:c>
      <x:c r="H116" s="6" t="s">
        <x:v>165</x:v>
      </x:c>
      <x:c r="I116" s="7" t="n">
        <x:f>IFERROR(VLOOKUP($A116,'02_怪物模板_好读版'!$A:$S,15,FALSE),0)+IFERROR(VLOOKUP($A116,'02_怪物模板_好读版'!$A:$S,16,FALSE),0)</x:f>
        <x:v>0</x:v>
      </x:c>
      <x:c r="J116" s="7" t="n">
        <x:f>IFERROR(VLOOKUP($A116,'02_怪物模板_好读版'!$A:$Z,8,FALSE),25)</x:f>
        <x:v>25</x:v>
      </x:c>
      <x:c r="K116" s="7" t="n">
        <x:f>IFERROR(VLOOKUP($A116,'02_怪物模板_好读版'!$A:$Z,9,FALSE),26)</x:f>
        <x:v>26</x:v>
      </x:c>
      <x:c r="L116" s="7" t="n">
        <x:f>IFERROR(VLOOKUP($A116,'02_怪物模板_好读版'!$A:$Z,10,FALSE),0)</x:f>
        <x:v>0</x:v>
      </x:c>
      <x:c r="M116" s="7" t="n">
        <x:f>IFERROR(VLOOKUP($A116,'02_怪物模板_好读版'!$A:$Z,11,FALSE),0)</x:f>
        <x:v>0</x:v>
      </x:c>
      <x:c r="N116" s="7" t="n">
        <x:f>IFERROR(VLOOKUP($A116,'02_怪物模板_好读版'!$A:$Z,12,FALSE),5)</x:f>
        <x:v>5</x:v>
      </x:c>
      <x:c r="O116" s="7" t="str">
        <x:f>IFERROR(VLOOKUP($A116,'02_怪物模板_好读版'!$A:$Z,13,FALSE),"REVIEW")</x:f>
        <x:v>REVIEW</x:v>
      </x:c>
      <x:c r="P116" s="6" t="s">
        <x:v>470</x:v>
      </x:c>
      <x:c r="Q116" s="6" t="s">
        <x:v>471</x:v>
      </x:c>
      <x:c r="R116" s="6" t="s">
        <x:v>113</x:v>
      </x:c>
      <x:c r="S116" s="6" t="s">
        <x:v>114</x:v>
      </x:c>
      <x:c r="T116" s="6" t="s">
        <x:v>325</x:v>
      </x:c>
      <x:c r="U116" s="6" t="s">
        <x:v>63</x:v>
      </x:c>
      <x:c r="V116" s="6" t="s">
        <x:v>44</x:v>
      </x:c>
    </x:row>
    <x:row r="117" ht="22" customHeight="1">
      <x:c r="A117" s="6" t="s">
        <x:v>472</x:v>
      </x:c>
      <x:c r="B117" s="6" t="s">
        <x:v>473</x:v>
      </x:c>
      <x:c r="C117" s="6" t="s">
        <x:v>474</x:v>
      </x:c>
      <x:c r="D117" s="6" t="s">
        <x:v>87</x:v>
      </x:c>
      <x:c r="E117" s="6" t="s">
        <x:v>44</x:v>
      </x:c>
      <x:c r="F117" s="6" t="s">
        <x:v>454</x:v>
      </x:c>
      <x:c r="G117" s="6" t="s">
        <x:v>46</x:v>
      </x:c>
      <x:c r="H117" s="6" t="s">
        <x:v>72</x:v>
      </x:c>
      <x:c r="I117" s="7" t="n">
        <x:f>IFERROR(VLOOKUP($A117,'02_怪物模板_好读版'!$A:$S,15,FALSE),0)+IFERROR(VLOOKUP($A117,'02_怪物模板_好读版'!$A:$S,16,FALSE),0)</x:f>
        <x:v>0</x:v>
      </x:c>
      <x:c r="J117" s="7" t="n">
        <x:f>IFERROR(VLOOKUP($A117,'02_怪物模板_好读版'!$A:$Z,8,FALSE),50)</x:f>
        <x:v>50</x:v>
      </x:c>
      <x:c r="K117" s="7" t="n">
        <x:f>IFERROR(VLOOKUP($A117,'02_怪物模板_好读版'!$A:$Z,9,FALSE),21)</x:f>
        <x:v>21</x:v>
      </x:c>
      <x:c r="L117" s="7" t="n">
        <x:f>IFERROR(VLOOKUP($A117,'02_怪物模板_好读版'!$A:$Z,10,FALSE),0)</x:f>
        <x:v>0</x:v>
      </x:c>
      <x:c r="M117" s="7" t="n">
        <x:f>IFERROR(VLOOKUP($A117,'02_怪物模板_好读版'!$A:$Z,11,FALSE),0)</x:f>
        <x:v>0</x:v>
      </x:c>
      <x:c r="N117" s="7" t="n">
        <x:f>IFERROR(VLOOKUP($A117,'02_怪物模板_好读版'!$A:$Z,12,FALSE),3)</x:f>
        <x:v>3</x:v>
      </x:c>
      <x:c r="O117" s="7" t="str">
        <x:f>IFERROR(VLOOKUP($A117,'02_怪物模板_好读版'!$A:$Z,13,FALSE),"REVIEW")</x:f>
        <x:v>REVIEW</x:v>
      </x:c>
      <x:c r="P117" s="6" t="s">
        <x:v>216</x:v>
      </x:c>
      <x:c r="Q117" s="6" t="s">
        <x:v>217</x:v>
      </x:c>
      <x:c r="R117" s="6" t="s">
        <x:v>73</x:v>
      </x:c>
      <x:c r="S117" s="6" t="s">
        <x:v>74</x:v>
      </x:c>
      <x:c r="T117" s="6" t="s">
        <x:v>88</x:v>
      </x:c>
      <x:c r="U117" s="6" t="s">
        <x:v>63</x:v>
      </x:c>
      <x:c r="V117" s="6" t="s">
        <x:v>218</x:v>
      </x:c>
    </x:row>
    <x:row r="118" ht="22" customHeight="1">
      <x:c r="A118" s="6" t="s">
        <x:v>475</x:v>
      </x:c>
      <x:c r="B118" s="6" t="s">
        <x:v>476</x:v>
      </x:c>
      <x:c r="C118" s="6" t="s">
        <x:v>477</x:v>
      </x:c>
      <x:c r="D118" s="6" t="s">
        <x:v>43</x:v>
      </x:c>
      <x:c r="E118" s="6" t="s">
        <x:v>92</x:v>
      </x:c>
      <x:c r="F118" s="6" t="s">
        <x:v>454</x:v>
      </x:c>
      <x:c r="G118" s="6" t="s">
        <x:v>46</x:v>
      </x:c>
      <x:c r="H118" s="6" t="s">
        <x:v>110</x:v>
      </x:c>
      <x:c r="I118" s="7" t="n">
        <x:f>IFERROR(VLOOKUP($A118,'02_怪物模板_好读版'!$A:$S,15,FALSE),0)+IFERROR(VLOOKUP($A118,'02_怪物模板_好读版'!$A:$S,16,FALSE),0)</x:f>
        <x:v>0</x:v>
      </x:c>
      <x:c r="J118" s="7" t="n">
        <x:f>IFERROR(VLOOKUP($A118,'02_怪物模板_好读版'!$A:$Z,8,FALSE),30)</x:f>
        <x:v>30</x:v>
      </x:c>
      <x:c r="K118" s="7" t="n">
        <x:f>IFERROR(VLOOKUP($A118,'02_怪物模板_好读版'!$A:$Z,9,FALSE),26)</x:f>
        <x:v>26</x:v>
      </x:c>
      <x:c r="L118" s="7" t="n">
        <x:f>IFERROR(VLOOKUP($A118,'02_怪物模板_好读版'!$A:$Z,10,FALSE),0)</x:f>
        <x:v>0</x:v>
      </x:c>
      <x:c r="M118" s="7" t="n">
        <x:f>IFERROR(VLOOKUP($A118,'02_怪物模板_好读版'!$A:$Z,11,FALSE),0)</x:f>
        <x:v>0</x:v>
      </x:c>
      <x:c r="N118" s="7" t="n">
        <x:f>IFERROR(VLOOKUP($A118,'02_怪物模板_好读版'!$A:$Z,12,FALSE),4)</x:f>
        <x:v>4</x:v>
      </x:c>
      <x:c r="O118" s="7" t="str">
        <x:f>IFERROR(VLOOKUP($A118,'02_怪物模板_好读版'!$A:$Z,13,FALSE),"REVIEW")</x:f>
        <x:v>REVIEW</x:v>
      </x:c>
      <x:c r="P118" s="6" t="s">
        <x:v>470</x:v>
      </x:c>
      <x:c r="Q118" s="6" t="s">
        <x:v>471</x:v>
      </x:c>
      <x:c r="R118" s="6" t="s">
        <x:v>113</x:v>
      </x:c>
      <x:c r="S118" s="6" t="s">
        <x:v>114</x:v>
      </x:c>
      <x:c r="T118" s="6" t="s">
        <x:v>115</x:v>
      </x:c>
      <x:c r="U118" s="6" t="s">
        <x:v>63</x:v>
      </x:c>
      <x:c r="V118" s="6" t="s">
        <x:v>260</x:v>
      </x:c>
    </x:row>
    <x:row r="119" ht="22" customHeight="1">
      <x:c r="A119" s="6" t="s">
        <x:v>478</x:v>
      </x:c>
      <x:c r="B119" s="6" t="s">
        <x:v>479</x:v>
      </x:c>
      <x:c r="C119" s="6" t="s">
        <x:v>480</x:v>
      </x:c>
      <x:c r="D119" s="6" t="s">
        <x:v>43</x:v>
      </x:c>
      <x:c r="E119" s="6" t="s">
        <x:v>71</x:v>
      </x:c>
      <x:c r="F119" s="6" t="s">
        <x:v>454</x:v>
      </x:c>
      <x:c r="G119" s="6" t="s">
        <x:v>46</x:v>
      </x:c>
      <x:c r="H119" s="6" t="s">
        <x:v>72</x:v>
      </x:c>
      <x:c r="I119" s="7" t="n">
        <x:f>IFERROR(VLOOKUP($A119,'02_怪物模板_好读版'!$A:$S,15,FALSE),0)+IFERROR(VLOOKUP($A119,'02_怪物模板_好读版'!$A:$S,16,FALSE),0)</x:f>
        <x:v>0</x:v>
      </x:c>
      <x:c r="J119" s="7" t="n">
        <x:f>IFERROR(VLOOKUP($A119,'02_怪物模板_好读版'!$A:$Z,8,FALSE),50)</x:f>
        <x:v>50</x:v>
      </x:c>
      <x:c r="K119" s="7" t="n">
        <x:f>IFERROR(VLOOKUP($A119,'02_怪物模板_好读版'!$A:$Z,9,FALSE),21)</x:f>
        <x:v>21</x:v>
      </x:c>
      <x:c r="L119" s="7" t="n">
        <x:f>IFERROR(VLOOKUP($A119,'02_怪物模板_好读版'!$A:$Z,10,FALSE),0)</x:f>
        <x:v>0</x:v>
      </x:c>
      <x:c r="M119" s="7" t="n">
        <x:f>IFERROR(VLOOKUP($A119,'02_怪物模板_好读版'!$A:$Z,11,FALSE),0)</x:f>
        <x:v>0</x:v>
      </x:c>
      <x:c r="N119" s="7" t="n">
        <x:f>IFERROR(VLOOKUP($A119,'02_怪物模板_好读版'!$A:$Z,12,FALSE),3)</x:f>
        <x:v>3</x:v>
      </x:c>
      <x:c r="O119" s="7" t="str">
        <x:f>IFERROR(VLOOKUP($A119,'02_怪物模板_好读版'!$A:$Z,13,FALSE),"REVIEW")</x:f>
        <x:v>REVIEW</x:v>
      </x:c>
      <x:c r="P119" s="6" t="s">
        <x:v>216</x:v>
      </x:c>
      <x:c r="Q119" s="6" t="s">
        <x:v>217</x:v>
      </x:c>
      <x:c r="R119" s="6" t="s">
        <x:v>73</x:v>
      </x:c>
      <x:c r="S119" s="6" t="s">
        <x:v>74</x:v>
      </x:c>
      <x:c r="T119" s="6" t="s">
        <x:v>75</x:v>
      </x:c>
      <x:c r="U119" s="6" t="s">
        <x:v>63</x:v>
      </x:c>
      <x:c r="V119" s="6" t="s">
        <x:v>218</x:v>
      </x:c>
    </x:row>
    <x:row r="120" ht="22" customHeight="1">
      <x:c r="A120" s="6" t="s">
        <x:v>481</x:v>
      </x:c>
      <x:c r="B120" s="6" t="s">
        <x:v>482</x:v>
      </x:c>
      <x:c r="C120" s="6" t="s">
        <x:v>483</x:v>
      </x:c>
      <x:c r="D120" s="6" t="s">
        <x:v>120</x:v>
      </x:c>
      <x:c r="E120" s="6" t="s">
        <x:v>129</x:v>
      </x:c>
      <x:c r="F120" s="6" t="s">
        <x:v>454</x:v>
      </x:c>
      <x:c r="G120" s="6" t="s">
        <x:v>46</x:v>
      </x:c>
      <x:c r="H120" s="6" t="s">
        <x:v>72</x:v>
      </x:c>
      <x:c r="I120" s="7" t="n">
        <x:f>IFERROR(VLOOKUP($A120,'02_怪物模板_好读版'!$A:$S,15,FALSE),0)+IFERROR(VLOOKUP($A120,'02_怪物模板_好读版'!$A:$S,16,FALSE),0)</x:f>
        <x:v>0</x:v>
      </x:c>
      <x:c r="J120" s="7" t="n">
        <x:f>IFERROR(VLOOKUP($A120,'02_怪物模板_好读版'!$A:$Z,8,FALSE),50)</x:f>
        <x:v>50</x:v>
      </x:c>
      <x:c r="K120" s="7" t="n">
        <x:f>IFERROR(VLOOKUP($A120,'02_怪物模板_好读版'!$A:$Z,9,FALSE),21)</x:f>
        <x:v>21</x:v>
      </x:c>
      <x:c r="L120" s="7" t="n">
        <x:f>IFERROR(VLOOKUP($A120,'02_怪物模板_好读版'!$A:$Z,10,FALSE),0)</x:f>
        <x:v>0</x:v>
      </x:c>
      <x:c r="M120" s="7" t="n">
        <x:f>IFERROR(VLOOKUP($A120,'02_怪物模板_好读版'!$A:$Z,11,FALSE),0)</x:f>
        <x:v>0</x:v>
      </x:c>
      <x:c r="N120" s="7" t="n">
        <x:f>IFERROR(VLOOKUP($A120,'02_怪物模板_好读版'!$A:$Z,12,FALSE),3)</x:f>
        <x:v>3</x:v>
      </x:c>
      <x:c r="O120" s="7" t="str">
        <x:f>IFERROR(VLOOKUP($A120,'02_怪物模板_好读版'!$A:$Z,13,FALSE),"REVIEW")</x:f>
        <x:v>REVIEW</x:v>
      </x:c>
      <x:c r="P120" s="6" t="s">
        <x:v>216</x:v>
      </x:c>
      <x:c r="Q120" s="6" t="s">
        <x:v>217</x:v>
      </x:c>
      <x:c r="R120" s="6" t="s">
        <x:v>73</x:v>
      </x:c>
      <x:c r="S120" s="6" t="s">
        <x:v>74</x:v>
      </x:c>
      <x:c r="T120" s="6" t="s">
        <x:v>225</x:v>
      </x:c>
      <x:c r="U120" s="6" t="s">
        <x:v>63</x:v>
      </x:c>
      <x:c r="V120" s="6" t="s">
        <x:v>218</x:v>
      </x:c>
    </x:row>
    <x:row r="121" ht="22" customHeight="1">
      <x:c r="A121" s="6" t="s">
        <x:v>484</x:v>
      </x:c>
      <x:c r="B121" s="6" t="s">
        <x:v>485</x:v>
      </x:c>
      <x:c r="C121" s="6" t="s">
        <x:v>486</x:v>
      </x:c>
      <x:c r="D121" s="6" t="s">
        <x:v>79</x:v>
      </x:c>
      <x:c r="E121" s="6" t="s">
        <x:v>44</x:v>
      </x:c>
      <x:c r="F121" s="6" t="s">
        <x:v>454</x:v>
      </x:c>
      <x:c r="G121" s="6" t="s">
        <x:v>46</x:v>
      </x:c>
      <x:c r="H121" s="6" t="s">
        <x:v>165</x:v>
      </x:c>
      <x:c r="I121" s="7" t="n">
        <x:f>IFERROR(VLOOKUP($A121,'02_怪物模板_好读版'!$A:$S,15,FALSE),0)+IFERROR(VLOOKUP($A121,'02_怪物模板_好读版'!$A:$S,16,FALSE),0)</x:f>
        <x:v>0</x:v>
      </x:c>
      <x:c r="J121" s="7" t="n">
        <x:f>IFERROR(VLOOKUP($A121,'02_怪物模板_好读版'!$A:$Z,8,FALSE),25)</x:f>
        <x:v>25</x:v>
      </x:c>
      <x:c r="K121" s="7" t="n">
        <x:f>IFERROR(VLOOKUP($A121,'02_怪物模板_好读版'!$A:$Z,9,FALSE),26)</x:f>
        <x:v>26</x:v>
      </x:c>
      <x:c r="L121" s="7" t="n">
        <x:f>IFERROR(VLOOKUP($A121,'02_怪物模板_好读版'!$A:$Z,10,FALSE),0)</x:f>
        <x:v>0</x:v>
      </x:c>
      <x:c r="M121" s="7" t="n">
        <x:f>IFERROR(VLOOKUP($A121,'02_怪物模板_好读版'!$A:$Z,11,FALSE),0)</x:f>
        <x:v>0</x:v>
      </x:c>
      <x:c r="N121" s="7" t="n">
        <x:f>IFERROR(VLOOKUP($A121,'02_怪物模板_好读版'!$A:$Z,12,FALSE),5)</x:f>
        <x:v>5</x:v>
      </x:c>
      <x:c r="O121" s="7" t="str">
        <x:f>IFERROR(VLOOKUP($A121,'02_怪物模板_好读版'!$A:$Z,13,FALSE),"REVIEW")</x:f>
        <x:v>REVIEW</x:v>
      </x:c>
      <x:c r="P121" s="6" t="s">
        <x:v>470</x:v>
      </x:c>
      <x:c r="Q121" s="6" t="s">
        <x:v>471</x:v>
      </x:c>
      <x:c r="R121" s="6" t="s">
        <x:v>113</x:v>
      </x:c>
      <x:c r="S121" s="6" t="s">
        <x:v>114</x:v>
      </x:c>
      <x:c r="T121" s="6" t="s">
        <x:v>325</x:v>
      </x:c>
      <x:c r="U121" s="6" t="s">
        <x:v>63</x:v>
      </x:c>
      <x:c r="V121" s="6" t="s">
        <x:v>44</x:v>
      </x:c>
    </x:row>
    <x:row r="122" ht="22" customHeight="1">
      <x:c r="A122" s="6" t="s">
        <x:v>487</x:v>
      </x:c>
      <x:c r="B122" s="6" t="s">
        <x:v>488</x:v>
      </x:c>
      <x:c r="C122" s="6" t="s">
        <x:v>489</x:v>
      </x:c>
      <x:c r="D122" s="6" t="s">
        <x:v>43</x:v>
      </x:c>
      <x:c r="E122" s="6" t="s">
        <x:v>388</x:v>
      </x:c>
      <x:c r="F122" s="6" t="s">
        <x:v>454</x:v>
      </x:c>
      <x:c r="G122" s="6" t="s">
        <x:v>80</x:v>
      </x:c>
      <x:c r="H122" s="6" t="s">
        <x:v>110</x:v>
      </x:c>
      <x:c r="I122" s="7" t="n">
        <x:f>IFERROR(VLOOKUP($A122,'02_怪物模板_好读版'!$A:$S,15,FALSE),0)+IFERROR(VLOOKUP($A122,'02_怪物模板_好读版'!$A:$S,16,FALSE),0)</x:f>
        <x:v>0</x:v>
      </x:c>
      <x:c r="J122" s="7" t="n">
        <x:f>IFERROR(VLOOKUP($A122,'02_怪物模板_好读版'!$A:$Z,8,FALSE),60)</x:f>
        <x:v>60</x:v>
      </x:c>
      <x:c r="K122" s="7" t="n">
        <x:f>IFERROR(VLOOKUP($A122,'02_怪物模板_好读版'!$A:$Z,9,FALSE),48)</x:f>
        <x:v>48</x:v>
      </x:c>
      <x:c r="L122" s="7" t="n">
        <x:f>IFERROR(VLOOKUP($A122,'02_怪物模板_好读版'!$A:$Z,10,FALSE),0)</x:f>
        <x:v>0</x:v>
      </x:c>
      <x:c r="M122" s="7" t="n">
        <x:f>IFERROR(VLOOKUP($A122,'02_怪物模板_好读版'!$A:$Z,11,FALSE),0)</x:f>
        <x:v>0</x:v>
      </x:c>
      <x:c r="N122" s="7" t="n">
        <x:f>IFERROR(VLOOKUP($A122,'02_怪物模板_好读版'!$A:$Z,12,FALSE),4)</x:f>
        <x:v>4</x:v>
      </x:c>
      <x:c r="O122" s="7" t="str">
        <x:f>IFERROR(VLOOKUP($A122,'02_怪物模板_好读版'!$A:$Z,13,FALSE),"REVIEW")</x:f>
        <x:v>REVIEW</x:v>
      </x:c>
      <x:c r="P122" s="6" t="s">
        <x:v>470</x:v>
      </x:c>
      <x:c r="Q122" s="6" t="s">
        <x:v>471</x:v>
      </x:c>
      <x:c r="R122" s="6" t="s">
        <x:v>113</x:v>
      </x:c>
      <x:c r="S122" s="6" t="s">
        <x:v>114</x:v>
      </x:c>
      <x:c r="T122" s="6" t="s">
        <x:v>115</x:v>
      </x:c>
      <x:c r="U122" s="6" t="s">
        <x:v>63</x:v>
      </x:c>
      <x:c r="V122" s="6" t="s">
        <x:v>260</x:v>
      </x:c>
    </x:row>
    <x:row r="123" ht="22" customHeight="1">
      <x:c r="A123" s="6" t="s">
        <x:v>490</x:v>
      </x:c>
      <x:c r="B123" s="6" t="s">
        <x:v>491</x:v>
      </x:c>
      <x:c r="C123" s="6" t="s">
        <x:v>492</x:v>
      </x:c>
      <x:c r="D123" s="6" t="s">
        <x:v>120</x:v>
      </x:c>
      <x:c r="E123" s="6" t="s">
        <x:v>129</x:v>
      </x:c>
      <x:c r="F123" s="6" t="s">
        <x:v>454</x:v>
      </x:c>
      <x:c r="G123" s="6" t="s">
        <x:v>46</x:v>
      </x:c>
      <x:c r="H123" s="6" t="s">
        <x:v>165</x:v>
      </x:c>
      <x:c r="I123" s="7" t="n">
        <x:f>IFERROR(VLOOKUP($A123,'02_怪物模板_好读版'!$A:$S,15,FALSE),0)+IFERROR(VLOOKUP($A123,'02_怪物模板_好读版'!$A:$S,16,FALSE),0)</x:f>
        <x:v>0</x:v>
      </x:c>
      <x:c r="J123" s="7" t="n">
        <x:f>IFERROR(VLOOKUP($A123,'02_怪物模板_好读版'!$A:$Z,8,FALSE),25)</x:f>
        <x:v>25</x:v>
      </x:c>
      <x:c r="K123" s="7" t="n">
        <x:f>IFERROR(VLOOKUP($A123,'02_怪物模板_好读版'!$A:$Z,9,FALSE),26)</x:f>
        <x:v>26</x:v>
      </x:c>
      <x:c r="L123" s="7" t="n">
        <x:f>IFERROR(VLOOKUP($A123,'02_怪物模板_好读版'!$A:$Z,10,FALSE),0)</x:f>
        <x:v>0</x:v>
      </x:c>
      <x:c r="M123" s="7" t="n">
        <x:f>IFERROR(VLOOKUP($A123,'02_怪物模板_好读版'!$A:$Z,11,FALSE),0)</x:f>
        <x:v>0</x:v>
      </x:c>
      <x:c r="N123" s="7" t="n">
        <x:f>IFERROR(VLOOKUP($A123,'02_怪物模板_好读版'!$A:$Z,12,FALSE),5)</x:f>
        <x:v>5</x:v>
      </x:c>
      <x:c r="O123" s="7" t="str">
        <x:f>IFERROR(VLOOKUP($A123,'02_怪物模板_好读版'!$A:$Z,13,FALSE),"REVIEW")</x:f>
        <x:v>REVIEW</x:v>
      </x:c>
      <x:c r="P123" s="6" t="s">
        <x:v>470</x:v>
      </x:c>
      <x:c r="Q123" s="6" t="s">
        <x:v>471</x:v>
      </x:c>
      <x:c r="R123" s="6" t="s">
        <x:v>113</x:v>
      </x:c>
      <x:c r="S123" s="6" t="s">
        <x:v>114</x:v>
      </x:c>
      <x:c r="T123" s="6" t="s">
        <x:v>445</x:v>
      </x:c>
      <x:c r="U123" s="6" t="s">
        <x:v>63</x:v>
      </x:c>
      <x:c r="V123" s="6" t="s">
        <x:v>44</x:v>
      </x:c>
    </x:row>
    <x:row r="124" ht="22" customHeight="1">
      <x:c r="A124" s="6" t="s">
        <x:v>493</x:v>
      </x:c>
      <x:c r="B124" s="6" t="s">
        <x:v>494</x:v>
      </x:c>
      <x:c r="C124" s="6" t="s">
        <x:v>495</x:v>
      </x:c>
      <x:c r="D124" s="6" t="s">
        <x:v>43</x:v>
      </x:c>
      <x:c r="E124" s="6" t="s">
        <x:v>44</x:v>
      </x:c>
      <x:c r="F124" s="6" t="s">
        <x:v>454</x:v>
      </x:c>
      <x:c r="G124" s="6" t="s">
        <x:v>106</x:v>
      </x:c>
      <x:c r="H124" s="6" t="s">
        <x:v>57</x:v>
      </x:c>
      <x:c r="I124" s="7" t="n">
        <x:f>IFERROR(VLOOKUP($A124,'02_怪物模板_好读版'!$A:$S,15,FALSE),0)+IFERROR(VLOOKUP($A124,'02_怪物模板_好读版'!$A:$S,16,FALSE),0)</x:f>
        <x:v>0</x:v>
      </x:c>
      <x:c r="J124" s="7" t="n">
        <x:f>IFERROR(VLOOKUP($A124,'02_怪物模板_好读版'!$A:$Z,8,FALSE),70)</x:f>
        <x:v>70</x:v>
      </x:c>
      <x:c r="K124" s="7" t="n">
        <x:f>IFERROR(VLOOKUP($A124,'02_怪物模板_好读版'!$A:$Z,9,FALSE),67)</x:f>
        <x:v>67</x:v>
      </x:c>
      <x:c r="L124" s="7" t="n">
        <x:f>IFERROR(VLOOKUP($A124,'02_怪物模板_好读版'!$A:$Z,10,FALSE),0)</x:f>
        <x:v>0</x:v>
      </x:c>
      <x:c r="M124" s="7" t="n">
        <x:f>IFERROR(VLOOKUP($A124,'02_怪物模板_好读版'!$A:$Z,11,FALSE),20)</x:f>
        <x:v>20</x:v>
      </x:c>
      <x:c r="N124" s="7" t="n">
        <x:f>IFERROR(VLOOKUP($A124,'02_怪物模板_好读版'!$A:$Z,12,FALSE),3)</x:f>
        <x:v>3</x:v>
      </x:c>
      <x:c r="O124" s="7" t="str">
        <x:f>IFERROR(VLOOKUP($A124,'02_怪物模板_好读版'!$A:$Z,13,FALSE),"REVIEW")</x:f>
        <x:v>REVIEW</x:v>
      </x:c>
      <x:c r="P124" s="6" t="s">
        <x:v>216</x:v>
      </x:c>
      <x:c r="Q124" s="6" t="s">
        <x:v>217</x:v>
      </x:c>
      <x:c r="R124" s="6" t="s">
        <x:v>60</x:v>
      </x:c>
      <x:c r="S124" s="6" t="s">
        <x:v>61</x:v>
      </x:c>
      <x:c r="T124" s="6" t="s">
        <x:v>62</x:v>
      </x:c>
      <x:c r="U124" s="6" t="s">
        <x:v>63</x:v>
      </x:c>
      <x:c r="V124" s="6" t="s">
        <x:v>64</x:v>
      </x:c>
    </x:row>
    <x:row r="125" ht="22" customHeight="1">
      <x:c r="A125" s="6" t="s">
        <x:v>496</x:v>
      </x:c>
      <x:c r="B125" s="6" t="s">
        <x:v>497</x:v>
      </x:c>
      <x:c r="C125" s="6" t="s">
        <x:v>498</x:v>
      </x:c>
      <x:c r="D125" s="6" t="s">
        <x:v>120</x:v>
      </x:c>
      <x:c r="E125" s="6" t="s">
        <x:v>129</x:v>
      </x:c>
      <x:c r="F125" s="6" t="s">
        <x:v>454</x:v>
      </x:c>
      <x:c r="G125" s="6" t="s">
        <x:v>106</x:v>
      </x:c>
      <x:c r="H125" s="6" t="s">
        <x:v>57</x:v>
      </x:c>
      <x:c r="I125" s="7" t="n">
        <x:f>IFERROR(VLOOKUP($A125,'02_怪物模板_好读版'!$A:$S,15,FALSE),0)+IFERROR(VLOOKUP($A125,'02_怪物模板_好读版'!$A:$S,16,FALSE),0)</x:f>
        <x:v>297</x:v>
      </x:c>
      <x:c r="J125" s="7" t="n">
        <x:f>IFERROR(VLOOKUP($A125,'02_怪物模板_好读版'!$A:$Z,8,FALSE),60)</x:f>
        <x:v>60</x:v>
      </x:c>
      <x:c r="K125" s="7" t="n">
        <x:f>IFERROR(VLOOKUP($A125,'02_怪物模板_好读版'!$A:$Z,9,FALSE),5)</x:f>
        <x:v>5</x:v>
      </x:c>
      <x:c r="L125" s="7" t="n">
        <x:f>IFERROR(VLOOKUP($A125,'02_怪物模板_好读版'!$A:$Z,10,FALSE),6)</x:f>
        <x:v>6</x:v>
      </x:c>
      <x:c r="M125" s="7" t="n">
        <x:f>IFERROR(VLOOKUP($A125,'02_怪物模板_好读版'!$A:$Z,11,FALSE),15)</x:f>
        <x:v>15</x:v>
      </x:c>
      <x:c r="N125" s="7" t="n">
        <x:f>IFERROR(VLOOKUP($A125,'02_怪物模板_好读版'!$A:$Z,12,FALSE),5)</x:f>
        <x:v>5</x:v>
      </x:c>
      <x:c r="O125" s="7" t="str">
        <x:f>IFERROR(VLOOKUP($A125,'02_怪物模板_好读版'!$A:$Z,13,FALSE),"mech_zone_pressure,mech_revive,mech_break_castle")</x:f>
        <x:v>mech_zone_pressure,mech_revive,mech_break_castle</x:v>
      </x:c>
      <x:c r="P125" s="6" t="s">
        <x:v>216</x:v>
      </x:c>
      <x:c r="Q125" s="6" t="s">
        <x:v>217</x:v>
      </x:c>
      <x:c r="R125" s="6" t="s">
        <x:v>60</x:v>
      </x:c>
      <x:c r="S125" s="6" t="s">
        <x:v>61</x:v>
      </x:c>
      <x:c r="T125" s="6" t="s">
        <x:v>122</x:v>
      </x:c>
      <x:c r="U125" s="6" t="s">
        <x:v>63</x:v>
      </x:c>
      <x:c r="V125" s="6" t="s">
        <x:v>64</x:v>
      </x:c>
    </x:row>
    <x:row r="126" ht="22" customHeight="1">
      <x:c r="A126" s="6" t="s">
        <x:v>499</x:v>
      </x:c>
      <x:c r="B126" s="6" t="s">
        <x:v>500</x:v>
      </x:c>
      <x:c r="C126" s="6" t="s">
        <x:v>501</x:v>
      </x:c>
      <x:c r="D126" s="6" t="s">
        <x:v>87</x:v>
      </x:c>
      <x:c r="E126" s="6" t="s">
        <x:v>258</x:v>
      </x:c>
      <x:c r="F126" s="6" t="s">
        <x:v>454</x:v>
      </x:c>
      <x:c r="G126" s="6" t="s">
        <x:v>80</x:v>
      </x:c>
      <x:c r="H126" s="6" t="s">
        <x:v>110</x:v>
      </x:c>
      <x:c r="I126" s="7" t="n">
        <x:f>IFERROR(VLOOKUP($A126,'02_怪物模板_好读版'!$A:$S,15,FALSE),0)+IFERROR(VLOOKUP($A126,'02_怪物模板_好读版'!$A:$S,16,FALSE),0)</x:f>
        <x:v>0</x:v>
      </x:c>
      <x:c r="J126" s="7" t="n">
        <x:f>IFERROR(VLOOKUP($A126,'02_怪物模板_好读版'!$A:$Z,8,FALSE),60)</x:f>
        <x:v>60</x:v>
      </x:c>
      <x:c r="K126" s="7" t="n">
        <x:f>IFERROR(VLOOKUP($A126,'02_怪物模板_好读版'!$A:$Z,9,FALSE),48)</x:f>
        <x:v>48</x:v>
      </x:c>
      <x:c r="L126" s="7" t="n">
        <x:f>IFERROR(VLOOKUP($A126,'02_怪物模板_好读版'!$A:$Z,10,FALSE),0)</x:f>
        <x:v>0</x:v>
      </x:c>
      <x:c r="M126" s="7" t="n">
        <x:f>IFERROR(VLOOKUP($A126,'02_怪物模板_好读版'!$A:$Z,11,FALSE),0)</x:f>
        <x:v>0</x:v>
      </x:c>
      <x:c r="N126" s="7" t="n">
        <x:f>IFERROR(VLOOKUP($A126,'02_怪物模板_好读版'!$A:$Z,12,FALSE),4)</x:f>
        <x:v>4</x:v>
      </x:c>
      <x:c r="O126" s="7" t="str">
        <x:f>IFERROR(VLOOKUP($A126,'02_怪物模板_好读版'!$A:$Z,13,FALSE),"REVIEW")</x:f>
        <x:v>REVIEW</x:v>
      </x:c>
      <x:c r="P126" s="6" t="s">
        <x:v>470</x:v>
      </x:c>
      <x:c r="Q126" s="6" t="s">
        <x:v>471</x:v>
      </x:c>
      <x:c r="R126" s="6" t="s">
        <x:v>113</x:v>
      </x:c>
      <x:c r="S126" s="6" t="s">
        <x:v>114</x:v>
      </x:c>
      <x:c r="T126" s="6" t="s">
        <x:v>259</x:v>
      </x:c>
      <x:c r="U126" s="6" t="s">
        <x:v>63</x:v>
      </x:c>
      <x:c r="V126" s="6" t="s">
        <x:v>260</x:v>
      </x:c>
    </x:row>
    <x:row r="127" ht="22" customHeight="1">
      <x:c r="A127" s="6" t="s">
        <x:v>502</x:v>
      </x:c>
      <x:c r="B127" s="6" t="s">
        <x:v>503</x:v>
      </x:c>
      <x:c r="C127" s="6" t="s">
        <x:v>504</x:v>
      </x:c>
      <x:c r="D127" s="6" t="s">
        <x:v>120</x:v>
      </x:c>
      <x:c r="E127" s="6" t="s">
        <x:v>129</x:v>
      </x:c>
      <x:c r="F127" s="6" t="s">
        <x:v>454</x:v>
      </x:c>
      <x:c r="G127" s="6" t="s">
        <x:v>80</x:v>
      </x:c>
      <x:c r="H127" s="6" t="s">
        <x:v>110</x:v>
      </x:c>
      <x:c r="I127" s="7" t="n">
        <x:f>IFERROR(VLOOKUP($A127,'02_怪物模板_好读版'!$A:$S,15,FALSE),0)+IFERROR(VLOOKUP($A127,'02_怪物模板_好读版'!$A:$S,16,FALSE),0)</x:f>
        <x:v>0</x:v>
      </x:c>
      <x:c r="J127" s="7" t="n">
        <x:f>IFERROR(VLOOKUP($A127,'02_怪物模板_好读版'!$A:$Z,8,FALSE),60)</x:f>
        <x:v>60</x:v>
      </x:c>
      <x:c r="K127" s="7" t="n">
        <x:f>IFERROR(VLOOKUP($A127,'02_怪物模板_好读版'!$A:$Z,9,FALSE),48)</x:f>
        <x:v>48</x:v>
      </x:c>
      <x:c r="L127" s="7" t="n">
        <x:f>IFERROR(VLOOKUP($A127,'02_怪物模板_好读版'!$A:$Z,10,FALSE),0)</x:f>
        <x:v>0</x:v>
      </x:c>
      <x:c r="M127" s="7" t="n">
        <x:f>IFERROR(VLOOKUP($A127,'02_怪物模板_好读版'!$A:$Z,11,FALSE),0)</x:f>
        <x:v>0</x:v>
      </x:c>
      <x:c r="N127" s="7" t="n">
        <x:f>IFERROR(VLOOKUP($A127,'02_怪物模板_好读版'!$A:$Z,12,FALSE),4)</x:f>
        <x:v>4</x:v>
      </x:c>
      <x:c r="O127" s="7" t="str">
        <x:f>IFERROR(VLOOKUP($A127,'02_怪物模板_好读版'!$A:$Z,13,FALSE),"REVIEW")</x:f>
        <x:v>REVIEW</x:v>
      </x:c>
      <x:c r="P127" s="6" t="s">
        <x:v>216</x:v>
      </x:c>
      <x:c r="Q127" s="6" t="s">
        <x:v>217</x:v>
      </x:c>
      <x:c r="R127" s="6" t="s">
        <x:v>113</x:v>
      </x:c>
      <x:c r="S127" s="6" t="s">
        <x:v>74</x:v>
      </x:c>
      <x:c r="T127" s="6" t="s">
        <x:v>505</x:v>
      </x:c>
      <x:c r="U127" s="6" t="s">
        <x:v>63</x:v>
      </x:c>
      <x:c r="V127" s="6" t="s">
        <x:v>260</x:v>
      </x:c>
    </x:row>
    <x:row r="128" ht="22" customHeight="1">
      <x:c r="A128" s="6" t="s">
        <x:v>506</x:v>
      </x:c>
      <x:c r="B128" s="6" t="s">
        <x:v>507</x:v>
      </x:c>
      <x:c r="C128" s="6" t="s">
        <x:v>508</x:v>
      </x:c>
      <x:c r="D128" s="6" t="s">
        <x:v>43</x:v>
      </x:c>
      <x:c r="E128" s="6" t="s">
        <x:v>357</x:v>
      </x:c>
      <x:c r="F128" s="6" t="s">
        <x:v>454</x:v>
      </x:c>
      <x:c r="G128" s="6" t="s">
        <x:v>80</x:v>
      </x:c>
      <x:c r="H128" s="6" t="s">
        <x:v>165</x:v>
      </x:c>
      <x:c r="I128" s="7" t="n">
        <x:f>IFERROR(VLOOKUP($A128,'02_怪物模板_好读版'!$A:$S,15,FALSE),0)+IFERROR(VLOOKUP($A128,'02_怪物模板_好读版'!$A:$S,16,FALSE),0)</x:f>
        <x:v>0</x:v>
      </x:c>
      <x:c r="J128" s="7" t="n">
        <x:f>IFERROR(VLOOKUP($A128,'02_怪物模板_好读版'!$A:$Z,8,FALSE),50)</x:f>
        <x:v>50</x:v>
      </x:c>
      <x:c r="K128" s="7" t="n">
        <x:f>IFERROR(VLOOKUP($A128,'02_怪物模板_好读版'!$A:$Z,9,FALSE),53)</x:f>
        <x:v>53</x:v>
      </x:c>
      <x:c r="L128" s="7" t="n">
        <x:f>IFERROR(VLOOKUP($A128,'02_怪物模板_好读版'!$A:$Z,10,FALSE),0)</x:f>
        <x:v>0</x:v>
      </x:c>
      <x:c r="M128" s="7" t="n">
        <x:f>IFERROR(VLOOKUP($A128,'02_怪物模板_好读版'!$A:$Z,11,FALSE),0)</x:f>
        <x:v>0</x:v>
      </x:c>
      <x:c r="N128" s="7" t="n">
        <x:f>IFERROR(VLOOKUP($A128,'02_怪物模板_好读版'!$A:$Z,12,FALSE),3)</x:f>
        <x:v>3</x:v>
      </x:c>
      <x:c r="O128" s="7" t="str">
        <x:f>IFERROR(VLOOKUP($A128,'02_怪物模板_好读版'!$A:$Z,13,FALSE),"REVIEW")</x:f>
        <x:v>REVIEW</x:v>
      </x:c>
      <x:c r="P128" s="6" t="s">
        <x:v>470</x:v>
      </x:c>
      <x:c r="Q128" s="6" t="s">
        <x:v>471</x:v>
      </x:c>
      <x:c r="R128" s="6" t="s">
        <x:v>113</x:v>
      </x:c>
      <x:c r="S128" s="6" t="s">
        <x:v>114</x:v>
      </x:c>
      <x:c r="T128" s="6" t="s">
        <x:v>166</x:v>
      </x:c>
      <x:c r="U128" s="6" t="s">
        <x:v>63</x:v>
      </x:c>
      <x:c r="V128" s="6" t="s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715cc691ab0f4067"/>
  </x:tableParts>
</x:worksheet>
</file>

<file path=xl/worksheets/sheet3.xml><?xml version="1.0" encoding="utf-8"?>
<x:worksheet xmlns:x="http://schemas.openxmlformats.org/spreadsheetml/2006/main">
  <x:sheetFormatPr defaultColWidth="9" defaultRowHeight="14.100000381469727"/>
  <x:cols>
    <x:col min="1" max="1" width="12" customWidth="1"/>
    <x:col min="2" max="2" width="14" customWidth="1"/>
    <x:col min="3" max="4" width="8" customWidth="1"/>
    <x:col min="5" max="6" width="10" customWidth="1"/>
    <x:col min="7" max="11" width="8" customWidth="1"/>
    <x:col min="12" max="13" width="12" customWidth="1"/>
    <x:col min="14" max="15" width="18" customWidth="1"/>
    <x:col min="16" max="16" width="22" customWidth="1"/>
    <x:col min="17" max="17" width="14" customWidth="1"/>
    <x:col min="18" max="18" width="26" customWidth="1"/>
    <x:col min="19" max="19" width="16" customWidth="1"/>
  </x:cols>
  <x:sheetData>
    <x:row r="1" ht="28" customHeight="1">
      <x:c r="A1" s="4" t="s">
        <x:v>18</x:v>
      </x:c>
      <x:c r="B1" s="4" t="s">
        <x:v>509</x:v>
      </x:c>
      <x:c r="C1" s="4" t="s">
        <x:v>510</x:v>
      </x:c>
      <x:c r="D1" s="4" t="s">
        <x:v>511</x:v>
      </x:c>
      <x:c r="E1" s="4" t="s">
        <x:v>512</x:v>
      </x:c>
      <x:c r="F1" s="4" t="s">
        <x:v>513</x:v>
      </x:c>
      <x:c r="G1" s="4" t="s">
        <x:v>514</x:v>
      </x:c>
      <x:c r="H1" s="4" t="s">
        <x:v>27</x:v>
      </x:c>
      <x:c r="I1" s="4" t="s">
        <x:v>28</x:v>
      </x:c>
      <x:c r="J1" s="4" t="s">
        <x:v>29</x:v>
      </x:c>
      <x:c r="K1" s="4" t="s">
        <x:v>30</x:v>
      </x:c>
      <x:c r="L1" s="4" t="s">
        <x:v>31</x:v>
      </x:c>
      <x:c r="M1" s="4" t="s">
        <x:v>32</x:v>
      </x:c>
      <x:c r="N1" s="4" t="s">
        <x:v>515</x:v>
      </x:c>
      <x:c r="O1" s="4" t="s">
        <x:v>516</x:v>
      </x:c>
      <x:c r="P1" s="4" t="s">
        <x:v>517</x:v>
      </x:c>
      <x:c r="Q1" s="4" t="s">
        <x:v>518</x:v>
      </x:c>
      <x:c r="R1" s="4" t="s">
        <x:v>519</x:v>
      </x:c>
      <x:c r="S1" s="4" t="s">
        <x:v>39</x:v>
      </x:c>
    </x:row>
    <x:row r="2" ht="22" customHeight="1">
      <x:c r="A2" s="6" t="s">
        <x:v>40</x:v>
      </x:c>
      <x:c r="B2" s="7" t="str">
        <x:f>IFERROR(VLOOKUP($A2,'01_宠物主表_好读版'!$A:$Z,3,FALSE),"")</x:f>
        <x:v>棉悠悠</x:v>
      </x:c>
      <x:c r="C2" s="7" t="str">
        <x:f>IFERROR(VLOOKUP($A2,'01_宠物主表_好读版'!$A:$Z,4,FALSE),"")</x:f>
        <x:v>风</x:v>
      </x:c>
      <x:c r="D2" s="7" t="str">
        <x:f>IFERROR(VLOOKUP($A2,'01_宠物主表_好读版'!$A:$Z,7,FALSE),"")</x:f>
        <x:v>小型</x:v>
      </x:c>
      <x:c r="E2" s="7" t="str">
        <x:f>IFERROR(VLOOKUP($A2,'01_宠物主表_好读版'!$A:$Z,8,FALSE),"")</x:f>
        <x:v>经济</x:v>
      </x:c>
      <x:c r="F2" s="6" t="s">
        <x:v>520</x:v>
      </x:c>
      <x:c r="G2" s="6" t="s">
        <x:v>521</x:v>
      </x:c>
      <x:c r="H2" s="6">
        <x:v>6</x:v>
      </x:c>
      <x:c r="I2" s="6">
        <x:v>1</x:v>
      </x:c>
      <x:c r="J2" s="6">
        <x:v>0</x:v>
      </x:c>
      <x:c r="K2" s="6">
        <x:v>0</x:v>
      </x:c>
      <x:c r="L2" s="6">
        <x:v>3</x:v>
      </x:c>
      <x:c r="M2" s="6" t="s">
        <x:v>522</x:v>
      </x:c>
      <x:c r="N2" s="6" t="s">
        <x:v>44</x:v>
      </x:c>
      <x:c r="O2" s="6">
        <x:v>24</x:v>
      </x:c>
      <x:c r="P2" s="6">
        <x:v>0</x:v>
      </x:c>
      <x:c r="Q2" s="6" t="s">
        <x:v>44</x:v>
      </x:c>
      <x:c r="R2" s="6" t="s">
        <x:v>44</x:v>
      </x:c>
      <x:c r="S2" s="6" t="s">
        <x:v>44</x:v>
      </x:c>
    </x:row>
    <x:row r="3" ht="22" customHeight="1">
      <x:c r="A3" s="6" t="s">
        <x:v>219</x:v>
      </x:c>
      <x:c r="B3" s="7" t="str">
        <x:f>IFERROR(VLOOKUP($A3,'01_宠物主表_好读版'!$A:$Z,3,FALSE),"")</x:f>
        <x:v>炽焰牛</x:v>
      </x:c>
      <x:c r="C3" s="7" t="str">
        <x:f>IFERROR(VLOOKUP($A3,'01_宠物主表_好读版'!$A:$Z,4,FALSE),"")</x:f>
        <x:v>火</x:v>
      </x:c>
      <x:c r="D3" s="7" t="str">
        <x:f>IFERROR(VLOOKUP($A3,'01_宠物主表_好读版'!$A:$Z,7,FALSE),"")</x:f>
        <x:v>小型</x:v>
      </x:c>
      <x:c r="E3" s="7" t="str">
        <x:f>IFERROR(VLOOKUP($A3,'01_宠物主表_好读版'!$A:$Z,8,FALSE),"")</x:f>
        <x:v>输出</x:v>
      </x:c>
      <x:c r="F3" s="6" t="s">
        <x:v>523</x:v>
      </x:c>
      <x:c r="G3" s="6" t="s">
        <x:v>521</x:v>
      </x:c>
      <x:c r="H3" s="6">
        <x:v>10</x:v>
      </x:c>
      <x:c r="I3" s="6">
        <x:v>2</x:v>
      </x:c>
      <x:c r="J3" s="6">
        <x:v>0</x:v>
      </x:c>
      <x:c r="K3" s="6">
        <x:v>0</x:v>
      </x:c>
      <x:c r="L3" s="6">
        <x:v>3</x:v>
      </x:c>
      <x:c r="M3" s="6" t="s">
        <x:v>524</x:v>
      </x:c>
      <x:c r="N3" s="6" t="s">
        <x:v>44</x:v>
      </x:c>
      <x:c r="O3" s="6">
        <x:v>31</x:v>
      </x:c>
      <x:c r="P3" s="6">
        <x:v>16</x:v>
      </x:c>
      <x:c r="Q3" s="6" t="s">
        <x:v>44</x:v>
      </x:c>
      <x:c r="R3" s="6" t="s">
        <x:v>44</x:v>
      </x:c>
      <x:c r="S3" s="6" t="s">
        <x:v>44</x:v>
      </x:c>
    </x:row>
    <x:row r="4" ht="22" customHeight="1">
      <x:c r="A4" s="6" t="s">
        <x:v>84</x:v>
      </x:c>
      <x:c r="B4" s="7" t="str">
        <x:f>IFERROR(VLOOKUP($A4,'01_宠物主表_好读版'!$A:$Z,3,FALSE),"")</x:f>
        <x:v>冲浪鸭</x:v>
      </x:c>
      <x:c r="C4" s="7" t="str">
        <x:f>IFERROR(VLOOKUP($A4,'01_宠物主表_好读版'!$A:$Z,4,FALSE),"")</x:f>
        <x:v>水</x:v>
      </x:c>
      <x:c r="D4" s="7" t="str">
        <x:f>IFERROR(VLOOKUP($A4,'01_宠物主表_好读版'!$A:$Z,7,FALSE),"")</x:f>
        <x:v>小型</x:v>
      </x:c>
      <x:c r="E4" s="7" t="str">
        <x:f>IFERROR(VLOOKUP($A4,'01_宠物主表_好读版'!$A:$Z,8,FALSE),"")</x:f>
        <x:v>治疗</x:v>
      </x:c>
      <x:c r="F4" s="6" t="s">
        <x:v>523</x:v>
      </x:c>
      <x:c r="G4" s="6" t="s">
        <x:v>521</x:v>
      </x:c>
      <x:c r="H4" s="6">
        <x:v>10</x:v>
      </x:c>
      <x:c r="I4" s="6">
        <x:v>2</x:v>
      </x:c>
      <x:c r="J4" s="6">
        <x:v>0</x:v>
      </x:c>
      <x:c r="K4" s="6">
        <x:v>0</x:v>
      </x:c>
      <x:c r="L4" s="6">
        <x:v>3</x:v>
      </x:c>
      <x:c r="M4" s="6" t="s">
        <x:v>525</x:v>
      </x:c>
      <x:c r="N4" s="6" t="s">
        <x:v>44</x:v>
      </x:c>
      <x:c r="O4" s="6">
        <x:v>31</x:v>
      </x:c>
      <x:c r="P4" s="6">
        <x:v>16</x:v>
      </x:c>
      <x:c r="Q4" s="6" t="s">
        <x:v>44</x:v>
      </x:c>
      <x:c r="R4" s="6" t="s">
        <x:v>44</x:v>
      </x:c>
      <x:c r="S4" s="6" t="s">
        <x:v>44</x:v>
      </x:c>
    </x:row>
    <x:row r="5" ht="22" customHeight="1">
      <x:c r="A5" s="6" t="s">
        <x:v>65</x:v>
      </x:c>
      <x:c r="B5" s="7" t="str">
        <x:f>IFERROR(VLOOKUP($A5,'01_宠物主表_好读版'!$A:$Z,3,FALSE),"")</x:f>
        <x:v>皮皮鸡</x:v>
      </x:c>
      <x:c r="C5" s="7" t="str">
        <x:f>IFERROR(VLOOKUP($A5,'01_宠物主表_好读版'!$A:$Z,4,FALSE),"")</x:f>
        <x:v>风</x:v>
      </x:c>
      <x:c r="D5" s="7" t="str">
        <x:f>IFERROR(VLOOKUP($A5,'01_宠物主表_好读版'!$A:$Z,7,FALSE),"")</x:f>
        <x:v>小型</x:v>
      </x:c>
      <x:c r="E5" s="7" t="str">
        <x:f>IFERROR(VLOOKUP($A5,'01_宠物主表_好读版'!$A:$Z,8,FALSE),"")</x:f>
        <x:v>经济</x:v>
      </x:c>
      <x:c r="F5" s="6" t="s">
        <x:v>523</x:v>
      </x:c>
      <x:c r="G5" s="6" t="s">
        <x:v>521</x:v>
      </x:c>
      <x:c r="H5" s="6">
        <x:v>10</x:v>
      </x:c>
      <x:c r="I5" s="6">
        <x:v>3</x:v>
      </x:c>
      <x:c r="J5" s="6">
        <x:v>0</x:v>
      </x:c>
      <x:c r="K5" s="6">
        <x:v>0</x:v>
      </x:c>
      <x:c r="L5" s="6">
        <x:v>3</x:v>
      </x:c>
      <x:c r="M5" s="6" t="s">
        <x:v>526</x:v>
      </x:c>
      <x:c r="N5" s="6" t="s">
        <x:v>44</x:v>
      </x:c>
      <x:c r="O5" s="6">
        <x:v>34</x:v>
      </x:c>
      <x:c r="P5" s="6">
        <x:v>16</x:v>
      </x:c>
      <x:c r="Q5" s="6" t="s">
        <x:v>44</x:v>
      </x:c>
      <x:c r="R5" s="6" t="s">
        <x:v>44</x:v>
      </x:c>
      <x:c r="S5" s="6" t="s">
        <x:v>44</x:v>
      </x:c>
    </x:row>
    <x:row r="6" ht="22" customHeight="1">
      <x:c r="A6" s="6" t="s">
        <x:v>149</x:v>
      </x:c>
      <x:c r="B6" s="7" t="str">
        <x:f>IFERROR(VLOOKUP($A6,'01_宠物主表_好读版'!$A:$Z,3,FALSE),"")</x:f>
        <x:v>遁地鼠</x:v>
      </x:c>
      <x:c r="C6" s="7" t="str">
        <x:f>IFERROR(VLOOKUP($A6,'01_宠物主表_好读版'!$A:$Z,4,FALSE),"")</x:f>
        <x:v>土</x:v>
      </x:c>
      <x:c r="D6" s="7" t="str">
        <x:f>IFERROR(VLOOKUP($A6,'01_宠物主表_好读版'!$A:$Z,7,FALSE),"")</x:f>
        <x:v>中型</x:v>
      </x:c>
      <x:c r="E6" s="7" t="str">
        <x:f>IFERROR(VLOOKUP($A6,'01_宠物主表_好读版'!$A:$Z,8,FALSE),"")</x:f>
        <x:v>坦克</x:v>
      </x:c>
      <x:c r="F6" s="6" t="s">
        <x:v>520</x:v>
      </x:c>
      <x:c r="G6" s="6" t="s">
        <x:v>527</x:v>
      </x:c>
      <x:c r="H6" s="6">
        <x:v>25</x:v>
      </x:c>
      <x:c r="I6" s="6">
        <x:v>1</x:v>
      </x:c>
      <x:c r="J6" s="6">
        <x:v>0</x:v>
      </x:c>
      <x:c r="K6" s="6">
        <x:v>0</x:v>
      </x:c>
      <x:c r="L6" s="6">
        <x:v>2</x:v>
      </x:c>
      <x:c r="M6" s="6" t="s">
        <x:v>522</x:v>
      </x:c>
      <x:c r="N6" s="6" t="s">
        <x:v>44</x:v>
      </x:c>
      <x:c r="O6" s="6">
        <x:v>38</x:v>
      </x:c>
      <x:c r="P6" s="6">
        <x:v>0</x:v>
      </x:c>
      <x:c r="Q6" s="6" t="s">
        <x:v>44</x:v>
      </x:c>
      <x:c r="R6" s="6" t="s">
        <x:v>44</x:v>
      </x:c>
      <x:c r="S6" s="6" t="s">
        <x:v>44</x:v>
      </x:c>
    </x:row>
    <x:row r="7" ht="22" customHeight="1">
      <x:c r="A7" s="6" t="s">
        <x:v>133</x:v>
      </x:c>
      <x:c r="B7" s="7" t="str">
        <x:f>IFERROR(VLOOKUP($A7,'01_宠物主表_好读版'!$A:$Z,3,FALSE),"")</x:f>
        <x:v>瞅什魔</x:v>
      </x:c>
      <x:c r="C7" s="7" t="str">
        <x:f>IFERROR(VLOOKUP($A7,'01_宠物主表_好读版'!$A:$Z,4,FALSE),"")</x:f>
        <x:v>土</x:v>
      </x:c>
      <x:c r="D7" s="7" t="str">
        <x:f>IFERROR(VLOOKUP($A7,'01_宠物主表_好读版'!$A:$Z,7,FALSE),"")</x:f>
        <x:v>大型</x:v>
      </x:c>
      <x:c r="E7" s="7" t="str">
        <x:f>IFERROR(VLOOKUP($A7,'01_宠物主表_好读版'!$A:$Z,8,FALSE),"")</x:f>
        <x:v>坦克</x:v>
      </x:c>
      <x:c r="F7" s="6" t="s">
        <x:v>528</x:v>
      </x:c>
      <x:c r="G7" s="6" t="s">
        <x:v>527</x:v>
      </x:c>
      <x:c r="H7" s="6">
        <x:v>40</x:v>
      </x:c>
      <x:c r="I7" s="6">
        <x:v>3</x:v>
      </x:c>
      <x:c r="J7" s="6">
        <x:v>0</x:v>
      </x:c>
      <x:c r="K7" s="6">
        <x:v>0</x:v>
      </x:c>
      <x:c r="L7" s="6">
        <x:v>2</x:v>
      </x:c>
      <x:c r="M7" s="6" t="s">
        <x:v>529</x:v>
      </x:c>
      <x:c r="N7" s="6" t="s">
        <x:v>44</x:v>
      </x:c>
      <x:c r="O7" s="6">
        <x:v>59</x:v>
      </x:c>
      <x:c r="P7" s="6">
        <x:v>32</x:v>
      </x:c>
      <x:c r="Q7" s="6" t="s">
        <x:v>44</x:v>
      </x:c>
      <x:c r="R7" s="6" t="s">
        <x:v>44</x:v>
      </x:c>
      <x:c r="S7" s="6" t="s">
        <x:v>44</x:v>
      </x:c>
    </x:row>
    <x:row r="8" ht="22" customHeight="1">
      <x:c r="A8" s="6" t="s">
        <x:v>382</x:v>
      </x:c>
      <x:c r="B8" s="7" t="str">
        <x:f>IFERROR(VLOOKUP($A8,'01_宠物主表_好读版'!$A:$Z,3,FALSE),"")</x:f>
        <x:v>佩克龙</x:v>
      </x:c>
      <x:c r="C8" s="7" t="str">
        <x:f>IFERROR(VLOOKUP($A8,'01_宠物主表_好读版'!$A:$Z,4,FALSE),"")</x:f>
        <x:v>水</x:v>
      </x:c>
      <x:c r="D8" s="7" t="str">
        <x:f>IFERROR(VLOOKUP($A8,'01_宠物主表_好读版'!$A:$Z,7,FALSE),"")</x:f>
        <x:v>大型</x:v>
      </x:c>
      <x:c r="E8" s="7" t="str">
        <x:f>IFERROR(VLOOKUP($A8,'01_宠物主表_好读版'!$A:$Z,8,FALSE),"")</x:f>
        <x:v>坦克</x:v>
      </x:c>
      <x:c r="F8" s="6" t="s">
        <x:v>528</x:v>
      </x:c>
      <x:c r="G8" s="6" t="s">
        <x:v>527</x:v>
      </x:c>
      <x:c r="H8" s="6">
        <x:v>35</x:v>
      </x:c>
      <x:c r="I8" s="6">
        <x:v>2</x:v>
      </x:c>
      <x:c r="J8" s="6">
        <x:v>0</x:v>
      </x:c>
      <x:c r="K8" s="6">
        <x:v>6</x:v>
      </x:c>
      <x:c r="L8" s="6">
        <x:v>2</x:v>
      </x:c>
      <x:c r="M8" s="6" t="s">
        <x:v>530</x:v>
      </x:c>
      <x:c r="N8" s="6" t="s">
        <x:v>44</x:v>
      </x:c>
      <x:c r="O8" s="6">
        <x:v>81</x:v>
      </x:c>
      <x:c r="P8" s="6">
        <x:v>40</x:v>
      </x:c>
      <x:c r="Q8" s="6" t="s">
        <x:v>44</x:v>
      </x:c>
      <x:c r="R8" s="6" t="s">
        <x:v>44</x:v>
      </x:c>
      <x:c r="S8" s="6" t="s">
        <x:v>44</x:v>
      </x:c>
    </x:row>
    <x:row r="9" ht="22" customHeight="1">
      <x:c r="A9" s="6" t="s">
        <x:v>76</x:v>
      </x:c>
      <x:c r="B9" s="7" t="str">
        <x:f>IFERROR(VLOOKUP($A9,'01_宠物主表_好读版'!$A:$Z,3,FALSE),"")</x:f>
        <x:v>火绒狐</x:v>
      </x:c>
      <x:c r="C9" s="7" t="str">
        <x:f>IFERROR(VLOOKUP($A9,'01_宠物主表_好读版'!$A:$Z,4,FALSE),"")</x:f>
        <x:v>火</x:v>
      </x:c>
      <x:c r="D9" s="7" t="str">
        <x:f>IFERROR(VLOOKUP($A9,'01_宠物主表_好读版'!$A:$Z,7,FALSE),"")</x:f>
        <x:v>中型</x:v>
      </x:c>
      <x:c r="E9" s="7" t="str">
        <x:f>IFERROR(VLOOKUP($A9,'01_宠物主表_好读版'!$A:$Z,8,FALSE),"")</x:f>
        <x:v>输出</x:v>
      </x:c>
      <x:c r="F9" s="6" t="s">
        <x:v>531</x:v>
      </x:c>
      <x:c r="G9" s="6" t="s">
        <x:v>532</x:v>
      </x:c>
      <x:c r="H9" s="6">
        <x:v>10</x:v>
      </x:c>
      <x:c r="I9" s="6">
        <x:v>2</x:v>
      </x:c>
      <x:c r="J9" s="6">
        <x:v>0</x:v>
      </x:c>
      <x:c r="K9" s="6">
        <x:v>6</x:v>
      </x:c>
      <x:c r="L9" s="6">
        <x:v>3</x:v>
      </x:c>
      <x:c r="M9" s="6" t="s">
        <x:v>533</x:v>
      </x:c>
      <x:c r="N9" s="6" t="s">
        <x:v>44</x:v>
      </x:c>
      <x:c r="O9" s="6">
        <x:v>61</x:v>
      </x:c>
      <x:c r="P9" s="6">
        <x:v>32</x:v>
      </x:c>
      <x:c r="Q9" s="6" t="s">
        <x:v>44</x:v>
      </x:c>
      <x:c r="R9" s="6" t="s">
        <x:v>44</x:v>
      </x:c>
      <x:c r="S9" s="6" t="s">
        <x:v>44</x:v>
      </x:c>
    </x:row>
    <x:row r="10" ht="22" customHeight="1">
      <x:c r="A10" s="6" t="s">
        <x:v>372</x:v>
      </x:c>
      <x:c r="B10" s="7" t="str">
        <x:f>IFERROR(VLOOKUP($A10,'01_宠物主表_好读版'!$A:$Z,3,FALSE),"")</x:f>
        <x:v>冰棘兽</x:v>
      </x:c>
      <x:c r="C10" s="7" t="str">
        <x:f>IFERROR(VLOOKUP($A10,'01_宠物主表_好读版'!$A:$Z,4,FALSE),"")</x:f>
        <x:v>水</x:v>
      </x:c>
      <x:c r="D10" s="7" t="str">
        <x:f>IFERROR(VLOOKUP($A10,'01_宠物主表_好读版'!$A:$Z,7,FALSE),"")</x:f>
        <x:v>中型</x:v>
      </x:c>
      <x:c r="E10" s="7" t="str">
        <x:f>IFERROR(VLOOKUP($A10,'01_宠物主表_好读版'!$A:$Z,8,FALSE),"")</x:f>
        <x:v>坦克</x:v>
      </x:c>
      <x:c r="F10" s="6" t="s">
        <x:v>531</x:v>
      </x:c>
      <x:c r="G10" s="6" t="s">
        <x:v>532</x:v>
      </x:c>
      <x:c r="H10" s="6">
        <x:v>15</x:v>
      </x:c>
      <x:c r="I10" s="6">
        <x:v>2</x:v>
      </x:c>
      <x:c r="J10" s="6">
        <x:v>0</x:v>
      </x:c>
      <x:c r="K10" s="6">
        <x:v>6</x:v>
      </x:c>
      <x:c r="L10" s="6">
        <x:v>3</x:v>
      </x:c>
      <x:c r="M10" s="6" t="s">
        <x:v>534</x:v>
      </x:c>
      <x:c r="N10" s="6" t="s">
        <x:v>44</x:v>
      </x:c>
      <x:c r="O10" s="6">
        <x:v>66</x:v>
      </x:c>
      <x:c r="P10" s="6">
        <x:v>16</x:v>
      </x:c>
      <x:c r="Q10" s="6" t="s">
        <x:v>44</x:v>
      </x:c>
      <x:c r="R10" s="6" t="s">
        <x:v>44</x:v>
      </x:c>
      <x:c r="S10" s="6" t="s">
        <x:v>44</x:v>
      </x:c>
    </x:row>
    <x:row r="11" ht="22" customHeight="1">
      <x:c r="A11" s="6" t="s">
        <x:v>152</x:v>
      </x:c>
      <x:c r="B11" s="7" t="str">
        <x:f>IFERROR(VLOOKUP($A11,'01_宠物主表_好读版'!$A:$Z,3,FALSE),"")</x:f>
        <x:v>勾魂鱿</x:v>
      </x:c>
      <x:c r="C11" s="7" t="str">
        <x:f>IFERROR(VLOOKUP($A11,'01_宠物主表_好读版'!$A:$Z,4,FALSE),"")</x:f>
        <x:v>土</x:v>
      </x:c>
      <x:c r="D11" s="7" t="str">
        <x:f>IFERROR(VLOOKUP($A11,'01_宠物主表_好读版'!$A:$Z,7,FALSE),"")</x:f>
        <x:v>中型</x:v>
      </x:c>
      <x:c r="E11" s="7" t="str">
        <x:f>IFERROR(VLOOKUP($A11,'01_宠物主表_好读版'!$A:$Z,8,FALSE),"")</x:f>
        <x:v>坦克</x:v>
      </x:c>
      <x:c r="F11" s="6" t="s">
        <x:v>523</x:v>
      </x:c>
      <x:c r="G11" s="6" t="s">
        <x:v>532</x:v>
      </x:c>
      <x:c r="H11" s="6">
        <x:v>25</x:v>
      </x:c>
      <x:c r="I11" s="6">
        <x:v>2</x:v>
      </x:c>
      <x:c r="J11" s="6">
        <x:v>0</x:v>
      </x:c>
      <x:c r="K11" s="6">
        <x:v>6</x:v>
      </x:c>
      <x:c r="L11" s="6">
        <x:v>3</x:v>
      </x:c>
      <x:c r="M11" s="6" t="s">
        <x:v>535</x:v>
      </x:c>
      <x:c r="N11" s="6" t="s">
        <x:v>44</x:v>
      </x:c>
      <x:c r="O11" s="6">
        <x:v>76</x:v>
      </x:c>
      <x:c r="P11" s="6">
        <x:v>24</x:v>
      </x:c>
      <x:c r="Q11" s="6" t="s">
        <x:v>44</x:v>
      </x:c>
      <x:c r="R11" s="6" t="s">
        <x:v>44</x:v>
      </x:c>
      <x:c r="S11" s="6" t="s">
        <x:v>44</x:v>
      </x:c>
    </x:row>
    <x:row r="12" ht="22" customHeight="1">
      <x:c r="A12" s="6" t="s">
        <x:v>183</x:v>
      </x:c>
      <x:c r="B12" s="7" t="str">
        <x:f>IFERROR(VLOOKUP($A12,'01_宠物主表_好读版'!$A:$Z,3,FALSE),"")</x:f>
        <x:v>吊缚灵</x:v>
      </x:c>
      <x:c r="C12" s="7" t="str">
        <x:f>IFERROR(VLOOKUP($A12,'01_宠物主表_好读版'!$A:$Z,4,FALSE),"")</x:f>
        <x:v>土</x:v>
      </x:c>
      <x:c r="D12" s="7" t="str">
        <x:f>IFERROR(VLOOKUP($A12,'01_宠物主表_好读版'!$A:$Z,7,FALSE),"")</x:f>
        <x:v>中型</x:v>
      </x:c>
      <x:c r="E12" s="7" t="str">
        <x:f>IFERROR(VLOOKUP($A12,'01_宠物主表_好读版'!$A:$Z,8,FALSE),"")</x:f>
        <x:v>坦克</x:v>
      </x:c>
      <x:c r="F12" s="6" t="s">
        <x:v>536</x:v>
      </x:c>
      <x:c r="G12" s="6" t="s">
        <x:v>537</x:v>
      </x:c>
      <x:c r="H12" s="6">
        <x:v>30</x:v>
      </x:c>
      <x:c r="I12" s="6">
        <x:v>3</x:v>
      </x:c>
      <x:c r="J12" s="6">
        <x:v>0</x:v>
      </x:c>
      <x:c r="K12" s="6">
        <x:v>0</x:v>
      </x:c>
      <x:c r="L12" s="6">
        <x:v>3</x:v>
      </x:c>
      <x:c r="M12" s="6" t="s">
        <x:v>538</x:v>
      </x:c>
      <x:c r="N12" s="6" t="s">
        <x:v>44</x:v>
      </x:c>
      <x:c r="O12" s="6">
        <x:v>54</x:v>
      </x:c>
      <x:c r="P12" s="6">
        <x:v>40</x:v>
      </x:c>
      <x:c r="Q12" s="6" t="s">
        <x:v>44</x:v>
      </x:c>
      <x:c r="R12" s="6" t="s">
        <x:v>44</x:v>
      </x:c>
      <x:c r="S12" s="6" t="s">
        <x:v>44</x:v>
      </x:c>
    </x:row>
    <x:row r="13" ht="22" customHeight="1">
      <x:c r="A13" s="6" t="s">
        <x:v>404</x:v>
      </x:c>
      <x:c r="B13" s="7" t="str">
        <x:f>IFERROR(VLOOKUP($A13,'01_宠物主表_好读版'!$A:$Z,3,FALSE),"")</x:f>
        <x:v>寒霜兽</x:v>
      </x:c>
      <x:c r="C13" s="7" t="str">
        <x:f>IFERROR(VLOOKUP($A13,'01_宠物主表_好读版'!$A:$Z,4,FALSE),"")</x:f>
        <x:v>水</x:v>
      </x:c>
      <x:c r="D13" s="7" t="str">
        <x:f>IFERROR(VLOOKUP($A13,'01_宠物主表_好读版'!$A:$Z,7,FALSE),"")</x:f>
        <x:v>大型</x:v>
      </x:c>
      <x:c r="E13" s="7" t="str">
        <x:f>IFERROR(VLOOKUP($A13,'01_宠物主表_好读版'!$A:$Z,8,FALSE),"")</x:f>
        <x:v>坦克</x:v>
      </x:c>
      <x:c r="F13" s="6" t="s">
        <x:v>528</x:v>
      </x:c>
      <x:c r="G13" s="6" t="s">
        <x:v>537</x:v>
      </x:c>
      <x:c r="H13" s="6">
        <x:v>40</x:v>
      </x:c>
      <x:c r="I13" s="6">
        <x:v>3</x:v>
      </x:c>
      <x:c r="J13" s="6">
        <x:v>0</x:v>
      </x:c>
      <x:c r="K13" s="6">
        <x:v>6</x:v>
      </x:c>
      <x:c r="L13" s="6">
        <x:v>3</x:v>
      </x:c>
      <x:c r="M13" s="6" t="s">
        <x:v>538</x:v>
      </x:c>
      <x:c r="N13" s="6" t="s">
        <x:v>44</x:v>
      </x:c>
      <x:c r="O13" s="6">
        <x:v>94</x:v>
      </x:c>
      <x:c r="P13" s="6">
        <x:v>40</x:v>
      </x:c>
      <x:c r="Q13" s="6" t="s">
        <x:v>44</x:v>
      </x:c>
      <x:c r="R13" s="6" t="s">
        <x:v>44</x:v>
      </x:c>
      <x:c r="S13" s="6" t="s">
        <x:v>44</x:v>
      </x:c>
    </x:row>
    <x:row r="14" ht="22" customHeight="1">
      <x:c r="A14" s="6" t="s">
        <x:v>54</x:v>
      </x:c>
      <x:c r="B14" s="7" t="str">
        <x:f>IFERROR(VLOOKUP($A14,'01_宠物主表_好读版'!$A:$Z,3,FALSE),"")</x:f>
        <x:v>捣蛋猫</x:v>
      </x:c>
      <x:c r="C14" s="7" t="str">
        <x:f>IFERROR(VLOOKUP($A14,'01_宠物主表_好读版'!$A:$Z,4,FALSE),"")</x:f>
        <x:v>风</x:v>
      </x:c>
      <x:c r="D14" s="7" t="str">
        <x:f>IFERROR(VLOOKUP($A14,'01_宠物主表_好读版'!$A:$Z,7,FALSE),"")</x:f>
        <x:v>小型</x:v>
      </x:c>
      <x:c r="E14" s="7" t="str">
        <x:f>IFERROR(VLOOKUP($A14,'01_宠物主表_好读版'!$A:$Z,8,FALSE),"")</x:f>
        <x:v>坦克</x:v>
      </x:c>
      <x:c r="F14" s="6" t="s">
        <x:v>536</x:v>
      </x:c>
      <x:c r="G14" s="6" t="s">
        <x:v>539</x:v>
      </x:c>
      <x:c r="H14" s="6">
        <x:v>20</x:v>
      </x:c>
      <x:c r="I14" s="6">
        <x:v>3</x:v>
      </x:c>
      <x:c r="J14" s="6">
        <x:v>0</x:v>
      </x:c>
      <x:c r="K14" s="6">
        <x:v>0</x:v>
      </x:c>
      <x:c r="L14" s="6">
        <x:v>3</x:v>
      </x:c>
      <x:c r="M14" s="6" t="s">
        <x:v>540</x:v>
      </x:c>
      <x:c r="N14" s="6" t="s">
        <x:v>44</x:v>
      </x:c>
      <x:c r="O14" s="6">
        <x:v>44</x:v>
      </x:c>
      <x:c r="P14" s="6">
        <x:v>24</x:v>
      </x:c>
      <x:c r="Q14" s="6" t="s">
        <x:v>44</x:v>
      </x:c>
      <x:c r="R14" s="6" t="s">
        <x:v>44</x:v>
      </x:c>
      <x:c r="S14" s="6" t="s">
        <x:v>44</x:v>
      </x:c>
    </x:row>
    <x:row r="15" ht="22" customHeight="1">
      <x:c r="A15" s="6" t="s">
        <x:v>96</x:v>
      </x:c>
      <x:c r="B15" s="7" t="str">
        <x:f>IFERROR(VLOOKUP($A15,'01_宠物主表_好读版'!$A:$Z,3,FALSE),"")</x:f>
        <x:v>燎火鹿</x:v>
      </x:c>
      <x:c r="C15" s="7" t="str">
        <x:f>IFERROR(VLOOKUP($A15,'01_宠物主表_好读版'!$A:$Z,4,FALSE),"")</x:f>
        <x:v>火</x:v>
      </x:c>
      <x:c r="D15" s="7" t="str">
        <x:f>IFERROR(VLOOKUP($A15,'01_宠物主表_好读版'!$A:$Z,7,FALSE),"")</x:f>
        <x:v>中型</x:v>
      </x:c>
      <x:c r="E15" s="7" t="str">
        <x:f>IFERROR(VLOOKUP($A15,'01_宠物主表_好读版'!$A:$Z,8,FALSE),"")</x:f>
        <x:v>输出</x:v>
      </x:c>
      <x:c r="F15" s="6" t="s">
        <x:v>541</x:v>
      </x:c>
      <x:c r="G15" s="6" t="s">
        <x:v>539</x:v>
      </x:c>
      <x:c r="H15" s="6">
        <x:v>25</x:v>
      </x:c>
      <x:c r="I15" s="6">
        <x:v>3</x:v>
      </x:c>
      <x:c r="J15" s="6">
        <x:v>0</x:v>
      </x:c>
      <x:c r="K15" s="6">
        <x:v>6</x:v>
      </x:c>
      <x:c r="L15" s="6">
        <x:v>3</x:v>
      </x:c>
      <x:c r="M15" s="6" t="s">
        <x:v>540</x:v>
      </x:c>
      <x:c r="N15" s="6" t="s">
        <x:v>44</x:v>
      </x:c>
      <x:c r="O15" s="6">
        <x:v>79</x:v>
      </x:c>
      <x:c r="P15" s="6">
        <x:v>24</x:v>
      </x:c>
      <x:c r="Q15" s="6" t="s">
        <x:v>44</x:v>
      </x:c>
      <x:c r="R15" s="6" t="s">
        <x:v>44</x:v>
      </x:c>
      <x:c r="S15" s="6" t="s">
        <x:v>44</x:v>
      </x:c>
    </x:row>
    <x:row r="16" ht="22" customHeight="1">
      <x:c r="A16" s="6" t="s">
        <x:v>209</x:v>
      </x:c>
      <x:c r="B16" s="7" t="str">
        <x:f>IFERROR(VLOOKUP($A16,'01_宠物主表_好读版'!$A:$Z,3,FALSE),"")</x:f>
        <x:v>炎魔羊</x:v>
      </x:c>
      <x:c r="C16" s="7" t="str">
        <x:f>IFERROR(VLOOKUP($A16,'01_宠物主表_好读版'!$A:$Z,4,FALSE),"")</x:f>
        <x:v>火</x:v>
      </x:c>
      <x:c r="D16" s="7" t="str">
        <x:f>IFERROR(VLOOKUP($A16,'01_宠物主表_好读版'!$A:$Z,7,FALSE),"")</x:f>
        <x:v>中型</x:v>
      </x:c>
      <x:c r="E16" s="7" t="str">
        <x:f>IFERROR(VLOOKUP($A16,'01_宠物主表_好读版'!$A:$Z,8,FALSE),"")</x:f>
        <x:v>输出</x:v>
      </x:c>
      <x:c r="F16" s="6" t="s">
        <x:v>536</x:v>
      </x:c>
      <x:c r="G16" s="6" t="s">
        <x:v>542</x:v>
      </x:c>
      <x:c r="H16" s="6">
        <x:v>25</x:v>
      </x:c>
      <x:c r="I16" s="6">
        <x:v>4</x:v>
      </x:c>
      <x:c r="J16" s="6">
        <x:v>0</x:v>
      </x:c>
      <x:c r="K16" s="6">
        <x:v>0</x:v>
      </x:c>
      <x:c r="L16" s="6">
        <x:v>3</x:v>
      </x:c>
      <x:c r="M16" s="6" t="s">
        <x:v>543</x:v>
      </x:c>
      <x:c r="N16" s="6" t="s">
        <x:v>44</x:v>
      </x:c>
      <x:c r="O16" s="6">
        <x:v>52</x:v>
      </x:c>
      <x:c r="P16" s="6">
        <x:v>24</x:v>
      </x:c>
      <x:c r="Q16" s="6" t="s">
        <x:v>44</x:v>
      </x:c>
      <x:c r="R16" s="6" t="s">
        <x:v>44</x:v>
      </x:c>
      <x:c r="S16" s="6" t="s">
        <x:v>44</x:v>
      </x:c>
    </x:row>
    <x:row r="17" ht="22" customHeight="1">
      <x:c r="A17" s="6" t="s">
        <x:v>232</x:v>
      </x:c>
      <x:c r="B17" s="7" t="str">
        <x:f>IFERROR(VLOOKUP($A17,'01_宠物主表_好读版'!$A:$Z,3,FALSE),"")</x:f>
        <x:v>月镰魔</x:v>
      </x:c>
      <x:c r="C17" s="7" t="str">
        <x:f>IFERROR(VLOOKUP($A17,'01_宠物主表_好读版'!$A:$Z,4,FALSE),"")</x:f>
        <x:v>土</x:v>
      </x:c>
      <x:c r="D17" s="7" t="str">
        <x:f>IFERROR(VLOOKUP($A17,'01_宠物主表_好读版'!$A:$Z,7,FALSE),"")</x:f>
        <x:v>中型</x:v>
      </x:c>
      <x:c r="E17" s="7" t="str">
        <x:f>IFERROR(VLOOKUP($A17,'01_宠物主表_好读版'!$A:$Z,8,FALSE),"")</x:f>
        <x:v>坦克</x:v>
      </x:c>
      <x:c r="F17" s="6" t="s">
        <x:v>541</x:v>
      </x:c>
      <x:c r="G17" s="6" t="s">
        <x:v>542</x:v>
      </x:c>
      <x:c r="H17" s="6">
        <x:v>30</x:v>
      </x:c>
      <x:c r="I17" s="6">
        <x:v>4</x:v>
      </x:c>
      <x:c r="J17" s="6">
        <x:v>0</x:v>
      </x:c>
      <x:c r="K17" s="6">
        <x:v>6</x:v>
      </x:c>
      <x:c r="L17" s="6">
        <x:v>3</x:v>
      </x:c>
      <x:c r="M17" s="6" t="s">
        <x:v>543</x:v>
      </x:c>
      <x:c r="N17" s="6" t="s">
        <x:v>44</x:v>
      </x:c>
      <x:c r="O17" s="6">
        <x:v>87</x:v>
      </x:c>
      <x:c r="P17" s="6">
        <x:v>24</x:v>
      </x:c>
      <x:c r="Q17" s="6" t="s">
        <x:v>44</x:v>
      </x:c>
      <x:c r="R17" s="6" t="s">
        <x:v>44</x:v>
      </x:c>
      <x:c r="S17" s="6" t="s">
        <x:v>44</x:v>
      </x:c>
    </x:row>
    <x:row r="18" ht="22" customHeight="1">
      <x:c r="A18" s="6" t="s">
        <x:v>283</x:v>
      </x:c>
      <x:c r="B18" s="7" t="str">
        <x:f>IFERROR(VLOOKUP($A18,'01_宠物主表_好读版'!$A:$Z,3,FALSE),"")</x:f>
        <x:v>苍焰狼</x:v>
      </x:c>
      <x:c r="C18" s="7" t="str">
        <x:f>IFERROR(VLOOKUP($A18,'01_宠物主表_好读版'!$A:$Z,4,FALSE),"")</x:f>
        <x:v>火</x:v>
      </x:c>
      <x:c r="D18" s="7" t="str">
        <x:f>IFERROR(VLOOKUP($A18,'01_宠物主表_好读版'!$A:$Z,7,FALSE),"")</x:f>
        <x:v>中型</x:v>
      </x:c>
      <x:c r="E18" s="7" t="str">
        <x:f>IFERROR(VLOOKUP($A18,'01_宠物主表_好读版'!$A:$Z,8,FALSE),"")</x:f>
        <x:v>输出</x:v>
      </x:c>
      <x:c r="F18" s="6" t="s">
        <x:v>536</x:v>
      </x:c>
      <x:c r="G18" s="6" t="s">
        <x:v>544</x:v>
      </x:c>
      <x:c r="H18" s="6">
        <x:v>25</x:v>
      </x:c>
      <x:c r="I18" s="6">
        <x:v>2</x:v>
      </x:c>
      <x:c r="J18" s="6">
        <x:v>0</x:v>
      </x:c>
      <x:c r="K18" s="6">
        <x:v>0</x:v>
      </x:c>
      <x:c r="L18" s="6">
        <x:v>3</x:v>
      </x:c>
      <x:c r="M18" s="6" t="s">
        <x:v>545</x:v>
      </x:c>
      <x:c r="N18" s="6" t="s">
        <x:v>44</x:v>
      </x:c>
      <x:c r="O18" s="6">
        <x:v>46</x:v>
      </x:c>
      <x:c r="P18" s="6">
        <x:v>24</x:v>
      </x:c>
      <x:c r="Q18" s="6" t="s">
        <x:v>44</x:v>
      </x:c>
      <x:c r="R18" s="6" t="s">
        <x:v>44</x:v>
      </x:c>
      <x:c r="S18" s="6" t="s">
        <x:v>44</x:v>
      </x:c>
    </x:row>
    <x:row r="19" ht="22" customHeight="1">
      <x:c r="A19" s="6" t="s">
        <x:v>342</x:v>
      </x:c>
      <x:c r="B19" s="7" t="str">
        <x:f>IFERROR(VLOOKUP($A19,'01_宠物主表_好读版'!$A:$Z,3,FALSE),"")</x:f>
        <x:v>焰巫狐</x:v>
      </x:c>
      <x:c r="C19" s="7" t="str">
        <x:f>IFERROR(VLOOKUP($A19,'01_宠物主表_好读版'!$A:$Z,4,FALSE),"")</x:f>
        <x:v>火</x:v>
      </x:c>
      <x:c r="D19" s="7" t="str">
        <x:f>IFERROR(VLOOKUP($A19,'01_宠物主表_好读版'!$A:$Z,7,FALSE),"")</x:f>
        <x:v>中型</x:v>
      </x:c>
      <x:c r="E19" s="7" t="str">
        <x:f>IFERROR(VLOOKUP($A19,'01_宠物主表_好读版'!$A:$Z,8,FALSE),"")</x:f>
        <x:v>输出</x:v>
      </x:c>
      <x:c r="F19" s="6" t="s">
        <x:v>523</x:v>
      </x:c>
      <x:c r="G19" s="6" t="s">
        <x:v>544</x:v>
      </x:c>
      <x:c r="H19" s="6">
        <x:v>35</x:v>
      </x:c>
      <x:c r="I19" s="6">
        <x:v>3</x:v>
      </x:c>
      <x:c r="J19" s="6">
        <x:v>0</x:v>
      </x:c>
      <x:c r="K19" s="6">
        <x:v>0</x:v>
      </x:c>
      <x:c r="L19" s="6">
        <x:v>3</x:v>
      </x:c>
      <x:c r="M19" s="6" t="s">
        <x:v>545</x:v>
      </x:c>
      <x:c r="N19" s="6" t="s">
        <x:v>44</x:v>
      </x:c>
      <x:c r="O19" s="6">
        <x:v>59</x:v>
      </x:c>
      <x:c r="P19" s="6">
        <x:v>24</x:v>
      </x:c>
      <x:c r="Q19" s="6" t="s">
        <x:v>44</x:v>
      </x:c>
      <x:c r="R19" s="6" t="s">
        <x:v>44</x:v>
      </x:c>
      <x:c r="S19" s="6" t="s">
        <x:v>44</x:v>
      </x:c>
    </x:row>
    <x:row r="20" ht="22" customHeight="1">
      <x:c r="A20" s="6" t="s">
        <x:v>180</x:v>
      </x:c>
      <x:c r="B20" s="7" t="str">
        <x:f>IFERROR(VLOOKUP($A20,'01_宠物主表_好读版'!$A:$Z,3,FALSE),"")</x:f>
        <x:v>鲨小子</x:v>
      </x:c>
      <x:c r="C20" s="7" t="str">
        <x:f>IFERROR(VLOOKUP($A20,'01_宠物主表_好读版'!$A:$Z,4,FALSE),"")</x:f>
        <x:v>水</x:v>
      </x:c>
      <x:c r="D20" s="7" t="str">
        <x:f>IFERROR(VLOOKUP($A20,'01_宠物主表_好读版'!$A:$Z,7,FALSE),"")</x:f>
        <x:v>中型</x:v>
      </x:c>
      <x:c r="E20" s="7" t="str">
        <x:f>IFERROR(VLOOKUP($A20,'01_宠物主表_好读版'!$A:$Z,8,FALSE),"")</x:f>
        <x:v>治疗</x:v>
      </x:c>
      <x:c r="F20" s="6" t="s">
        <x:v>536</x:v>
      </x:c>
      <x:c r="G20" s="6" t="s">
        <x:v>544</x:v>
      </x:c>
      <x:c r="H20" s="6">
        <x:v>25</x:v>
      </x:c>
      <x:c r="I20" s="6">
        <x:v>2</x:v>
      </x:c>
      <x:c r="J20" s="6">
        <x:v>0</x:v>
      </x:c>
      <x:c r="K20" s="6">
        <x:v>6</x:v>
      </x:c>
      <x:c r="L20" s="6">
        <x:v>3</x:v>
      </x:c>
      <x:c r="M20" s="6" t="s">
        <x:v>546</x:v>
      </x:c>
      <x:c r="N20" s="6" t="s">
        <x:v>44</x:v>
      </x:c>
      <x:c r="O20" s="6">
        <x:v>76</x:v>
      </x:c>
      <x:c r="P20" s="6">
        <x:v>24</x:v>
      </x:c>
      <x:c r="Q20" s="6" t="s">
        <x:v>44</x:v>
      </x:c>
      <x:c r="R20" s="6" t="s">
        <x:v>44</x:v>
      </x:c>
      <x:c r="S20" s="6" t="s">
        <x:v>44</x:v>
      </x:c>
    </x:row>
    <x:row r="21" ht="22" customHeight="1">
      <x:c r="A21" s="6" t="s">
        <x:v>139</x:v>
      </x:c>
      <x:c r="B21" s="7" t="str">
        <x:f>IFERROR(VLOOKUP($A21,'01_宠物主表_好读版'!$A:$Z,3,FALSE),"")</x:f>
        <x:v>寐魔</x:v>
      </x:c>
      <x:c r="C21" s="7" t="str">
        <x:f>IFERROR(VLOOKUP($A21,'01_宠物主表_好读版'!$A:$Z,4,FALSE),"")</x:f>
        <x:v>土</x:v>
      </x:c>
      <x:c r="D21" s="7" t="str">
        <x:f>IFERROR(VLOOKUP($A21,'01_宠物主表_好读版'!$A:$Z,7,FALSE),"")</x:f>
        <x:v>大型</x:v>
      </x:c>
      <x:c r="E21" s="7" t="str">
        <x:f>IFERROR(VLOOKUP($A21,'01_宠物主表_好读版'!$A:$Z,8,FALSE),"")</x:f>
        <x:v>坦克</x:v>
      </x:c>
      <x:c r="F21" s="6" t="s">
        <x:v>541</x:v>
      </x:c>
      <x:c r="G21" s="6" t="s">
        <x:v>544</x:v>
      </x:c>
      <x:c r="H21" s="6">
        <x:v>30</x:v>
      </x:c>
      <x:c r="I21" s="6">
        <x:v>3</x:v>
      </x:c>
      <x:c r="J21" s="6">
        <x:v>0</x:v>
      </x:c>
      <x:c r="K21" s="6">
        <x:v>10</x:v>
      </x:c>
      <x:c r="L21" s="6">
        <x:v>3</x:v>
      </x:c>
      <x:c r="M21" s="6" t="s">
        <x:v>546</x:v>
      </x:c>
      <x:c r="N21" s="6" t="s">
        <x:v>44</x:v>
      </x:c>
      <x:c r="O21" s="6">
        <x:v>104</x:v>
      </x:c>
      <x:c r="P21" s="6">
        <x:v>24</x:v>
      </x:c>
      <x:c r="Q21" s="6" t="s">
        <x:v>44</x:v>
      </x:c>
      <x:c r="R21" s="6" t="s">
        <x:v>44</x:v>
      </x:c>
      <x:c r="S21" s="6" t="s">
        <x:v>44</x:v>
      </x:c>
    </x:row>
    <x:row r="22" ht="22" customHeight="1">
      <x:c r="A22" s="6" t="s">
        <x:v>303</x:v>
      </x:c>
      <x:c r="B22" s="7" t="str">
        <x:f>IFERROR(VLOOKUP($A22,'01_宠物主表_好读版'!$A:$Z,3,FALSE),"")</x:f>
        <x:v>流沙蛇</x:v>
      </x:c>
      <x:c r="C22" s="7" t="str">
        <x:f>IFERROR(VLOOKUP($A22,'01_宠物主表_好读版'!$A:$Z,4,FALSE),"")</x:f>
        <x:v>土</x:v>
      </x:c>
      <x:c r="D22" s="7" t="str">
        <x:f>IFERROR(VLOOKUP($A22,'01_宠物主表_好读版'!$A:$Z,7,FALSE),"")</x:f>
        <x:v>中型</x:v>
      </x:c>
      <x:c r="E22" s="7" t="str">
        <x:f>IFERROR(VLOOKUP($A22,'01_宠物主表_好读版'!$A:$Z,8,FALSE),"")</x:f>
        <x:v>坦克</x:v>
      </x:c>
      <x:c r="F22" s="6" t="s">
        <x:v>531</x:v>
      </x:c>
      <x:c r="G22" s="6" t="s">
        <x:v>547</x:v>
      </x:c>
      <x:c r="H22" s="6">
        <x:v>20</x:v>
      </x:c>
      <x:c r="I22" s="6">
        <x:v>1</x:v>
      </x:c>
      <x:c r="J22" s="6">
        <x:v>0</x:v>
      </x:c>
      <x:c r="K22" s="6">
        <x:v>0</x:v>
      </x:c>
      <x:c r="L22" s="6">
        <x:v>3</x:v>
      </x:c>
      <x:c r="M22" s="6" t="s">
        <x:v>548</x:v>
      </x:c>
      <x:c r="N22" s="6" t="s">
        <x:v>44</x:v>
      </x:c>
      <x:c r="O22" s="6">
        <x:v>38</x:v>
      </x:c>
      <x:c r="P22" s="6">
        <x:v>32</x:v>
      </x:c>
      <x:c r="Q22" s="6" t="s">
        <x:v>44</x:v>
      </x:c>
      <x:c r="R22" s="6" t="s">
        <x:v>44</x:v>
      </x:c>
      <x:c r="S22" s="6" t="s">
        <x:v>44</x:v>
      </x:c>
    </x:row>
    <x:row r="23" ht="22" customHeight="1">
      <x:c r="A23" s="6" t="s">
        <x:v>264</x:v>
      </x:c>
      <x:c r="B23" s="7" t="str">
        <x:f>IFERROR(VLOOKUP($A23,'01_宠物主表_好读版'!$A:$Z,3,FALSE),"")</x:f>
        <x:v>疾旋鼬</x:v>
      </x:c>
      <x:c r="C23" s="7" t="str">
        <x:f>IFERROR(VLOOKUP($A23,'01_宠物主表_好读版'!$A:$Z,4,FALSE),"")</x:f>
        <x:v>水</x:v>
      </x:c>
      <x:c r="D23" s="7" t="str">
        <x:f>IFERROR(VLOOKUP($A23,'01_宠物主表_好读版'!$A:$Z,7,FALSE),"")</x:f>
        <x:v>中型</x:v>
      </x:c>
      <x:c r="E23" s="7" t="str">
        <x:f>IFERROR(VLOOKUP($A23,'01_宠物主表_好读版'!$A:$Z,8,FALSE),"")</x:f>
        <x:v>控制</x:v>
      </x:c>
      <x:c r="F23" s="6" t="s">
        <x:v>523</x:v>
      </x:c>
      <x:c r="G23" s="6" t="s">
        <x:v>547</x:v>
      </x:c>
      <x:c r="H23" s="6">
        <x:v>30</x:v>
      </x:c>
      <x:c r="I23" s="6">
        <x:v>2</x:v>
      </x:c>
      <x:c r="J23" s="6">
        <x:v>0</x:v>
      </x:c>
      <x:c r="K23" s="6">
        <x:v>6</x:v>
      </x:c>
      <x:c r="L23" s="6">
        <x:v>3</x:v>
      </x:c>
      <x:c r="M23" s="6" t="s">
        <x:v>548</x:v>
      </x:c>
      <x:c r="N23" s="6" t="s">
        <x:v>44</x:v>
      </x:c>
      <x:c r="O23" s="6">
        <x:v>81</x:v>
      </x:c>
      <x:c r="P23" s="6">
        <x:v>32</x:v>
      </x:c>
      <x:c r="Q23" s="6" t="s">
        <x:v>44</x:v>
      </x:c>
      <x:c r="R23" s="6" t="s">
        <x:v>44</x:v>
      </x:c>
      <x:c r="S23" s="6" t="s">
        <x:v>44</x:v>
      </x:c>
    </x:row>
    <x:row r="24" ht="22" customHeight="1">
      <x:c r="A24" s="6" t="s">
        <x:v>433</x:v>
      </x:c>
      <x:c r="B24" s="7" t="str">
        <x:f>IFERROR(VLOOKUP($A24,'01_宠物主表_好读版'!$A:$Z,3,FALSE),"")</x:f>
        <x:v>夜幕魔蝠</x:v>
      </x:c>
      <x:c r="C24" s="7" t="str">
        <x:f>IFERROR(VLOOKUP($A24,'01_宠物主表_好读版'!$A:$Z,4,FALSE),"")</x:f>
        <x:v>土</x:v>
      </x:c>
      <x:c r="D24" s="7" t="str">
        <x:f>IFERROR(VLOOKUP($A24,'01_宠物主表_好读版'!$A:$Z,7,FALSE),"")</x:f>
        <x:v>大型</x:v>
      </x:c>
      <x:c r="E24" s="7" t="str">
        <x:f>IFERROR(VLOOKUP($A24,'01_宠物主表_好读版'!$A:$Z,8,FALSE),"")</x:f>
        <x:v>坦克</x:v>
      </x:c>
      <x:c r="F24" s="6" t="s">
        <x:v>528</x:v>
      </x:c>
      <x:c r="G24" s="6" t="s">
        <x:v>547</x:v>
      </x:c>
      <x:c r="H24" s="6">
        <x:v>35</x:v>
      </x:c>
      <x:c r="I24" s="6">
        <x:v>3</x:v>
      </x:c>
      <x:c r="J24" s="6">
        <x:v>0</x:v>
      </x:c>
      <x:c r="K24" s="6">
        <x:v>6</x:v>
      </x:c>
      <x:c r="L24" s="6">
        <x:v>3</x:v>
      </x:c>
      <x:c r="M24" s="6" t="s">
        <x:v>549</x:v>
      </x:c>
      <x:c r="N24" s="6" t="s">
        <x:v>44</x:v>
      </x:c>
      <x:c r="O24" s="6">
        <x:v>89</x:v>
      </x:c>
      <x:c r="P24" s="6">
        <x:v>72</x:v>
      </x:c>
      <x:c r="Q24" s="6" t="s">
        <x:v>44</x:v>
      </x:c>
      <x:c r="R24" s="6" t="s">
        <x:v>44</x:v>
      </x:c>
      <x:c r="S24" s="6" t="s">
        <x:v>44</x:v>
      </x:c>
    </x:row>
    <x:row r="25" ht="22" customHeight="1">
      <x:c r="A25" s="6" t="s">
        <x:v>318</x:v>
      </x:c>
      <x:c r="B25" s="7" t="str">
        <x:f>IFERROR(VLOOKUP($A25,'01_宠物主表_好读版'!$A:$Z,3,FALSE),"")</x:f>
        <x:v>融焰娘</x:v>
      </x:c>
      <x:c r="C25" s="7" t="str">
        <x:f>IFERROR(VLOOKUP($A25,'01_宠物主表_好读版'!$A:$Z,4,FALSE),"")</x:f>
        <x:v>火</x:v>
      </x:c>
      <x:c r="D25" s="7" t="str">
        <x:f>IFERROR(VLOOKUP($A25,'01_宠物主表_好读版'!$A:$Z,7,FALSE),"")</x:f>
        <x:v>小型</x:v>
      </x:c>
      <x:c r="E25" s="7" t="str">
        <x:f>IFERROR(VLOOKUP($A25,'01_宠物主表_好读版'!$A:$Z,8,FALSE),"")</x:f>
        <x:v>召唤</x:v>
      </x:c>
      <x:c r="F25" s="6" t="s">
        <x:v>523</x:v>
      </x:c>
      <x:c r="G25" s="6" t="s">
        <x:v>550</x:v>
      </x:c>
      <x:c r="H25" s="6">
        <x:v>20</x:v>
      </x:c>
      <x:c r="I25" s="6">
        <x:v>2</x:v>
      </x:c>
      <x:c r="J25" s="6">
        <x:v>0</x:v>
      </x:c>
      <x:c r="K25" s="6">
        <x:v>0</x:v>
      </x:c>
      <x:c r="L25" s="6">
        <x:v>3</x:v>
      </x:c>
      <x:c r="M25" s="6" t="s">
        <x:v>551</x:v>
      </x:c>
      <x:c r="N25" s="6" t="s">
        <x:v>44</x:v>
      </x:c>
      <x:c r="O25" s="6">
        <x:v>41</x:v>
      </x:c>
      <x:c r="P25" s="6">
        <x:v>32</x:v>
      </x:c>
      <x:c r="Q25" s="6" t="s">
        <x:v>44</x:v>
      </x:c>
      <x:c r="R25" s="6" t="s">
        <x:v>44</x:v>
      </x:c>
      <x:c r="S25" s="6" t="s">
        <x:v>44</x:v>
      </x:c>
    </x:row>
    <x:row r="26" ht="22" customHeight="1">
      <x:c r="A26" s="6" t="s">
        <x:v>173</x:v>
      </x:c>
      <x:c r="B26" s="7" t="str">
        <x:f>IFERROR(VLOOKUP($A26,'01_宠物主表_好读版'!$A:$Z,3,FALSE),"")</x:f>
        <x:v>波霸牛</x:v>
      </x:c>
      <x:c r="C26" s="7" t="str">
        <x:f>IFERROR(VLOOKUP($A26,'01_宠物主表_好读版'!$A:$Z,4,FALSE),"")</x:f>
        <x:v>风</x:v>
      </x:c>
      <x:c r="D26" s="7" t="str">
        <x:f>IFERROR(VLOOKUP($A26,'01_宠物主表_好读版'!$A:$Z,7,FALSE),"")</x:f>
        <x:v>中型</x:v>
      </x:c>
      <x:c r="E26" s="7" t="str">
        <x:f>IFERROR(VLOOKUP($A26,'01_宠物主表_好读版'!$A:$Z,8,FALSE),"")</x:f>
        <x:v>经济</x:v>
      </x:c>
      <x:c r="F26" s="6" t="s">
        <x:v>528</x:v>
      </x:c>
      <x:c r="G26" s="6" t="s">
        <x:v>550</x:v>
      </x:c>
      <x:c r="H26" s="6">
        <x:v>25</x:v>
      </x:c>
      <x:c r="I26" s="6">
        <x:v>2</x:v>
      </x:c>
      <x:c r="J26" s="6">
        <x:v>0</x:v>
      </x:c>
      <x:c r="K26" s="6">
        <x:v>6</x:v>
      </x:c>
      <x:c r="L26" s="6">
        <x:v>3</x:v>
      </x:c>
      <x:c r="M26" s="6" t="s">
        <x:v>552</x:v>
      </x:c>
      <x:c r="N26" s="6" t="s">
        <x:v>44</x:v>
      </x:c>
      <x:c r="O26" s="6">
        <x:v>76</x:v>
      </x:c>
      <x:c r="P26" s="6">
        <x:v>56</x:v>
      </x:c>
      <x:c r="Q26" s="6" t="s">
        <x:v>44</x:v>
      </x:c>
      <x:c r="R26" s="6" t="s">
        <x:v>44</x:v>
      </x:c>
      <x:c r="S26" s="6" t="s">
        <x:v>44</x:v>
      </x:c>
    </x:row>
    <x:row r="27" ht="22" customHeight="1">
      <x:c r="A27" s="6" t="s">
        <x:v>306</x:v>
      </x:c>
      <x:c r="B27" s="7" t="str">
        <x:f>IFERROR(VLOOKUP($A27,'01_宠物主表_好读版'!$A:$Z,3,FALSE),"")</x:f>
        <x:v>噬魂兽</x:v>
      </x:c>
      <x:c r="C27" s="7" t="str">
        <x:f>IFERROR(VLOOKUP($A27,'01_宠物主表_好读版'!$A:$Z,4,FALSE),"")</x:f>
        <x:v>土</x:v>
      </x:c>
      <x:c r="D27" s="7" t="str">
        <x:f>IFERROR(VLOOKUP($A27,'01_宠物主表_好读版'!$A:$Z,7,FALSE),"")</x:f>
        <x:v>中型</x:v>
      </x:c>
      <x:c r="E27" s="7" t="str">
        <x:f>IFERROR(VLOOKUP($A27,'01_宠物主表_好读版'!$A:$Z,8,FALSE),"")</x:f>
        <x:v>坦克</x:v>
      </x:c>
      <x:c r="F27" s="6" t="s">
        <x:v>523</x:v>
      </x:c>
      <x:c r="G27" s="6" t="s">
        <x:v>553</x:v>
      </x:c>
      <x:c r="H27" s="6">
        <x:v>25</x:v>
      </x:c>
      <x:c r="I27" s="6">
        <x:v>3</x:v>
      </x:c>
      <x:c r="J27" s="6">
        <x:v>0</x:v>
      </x:c>
      <x:c r="K27" s="6">
        <x:v>0</x:v>
      </x:c>
      <x:c r="L27" s="6">
        <x:v>2</x:v>
      </x:c>
      <x:c r="M27" s="6" t="s">
        <x:v>554</x:v>
      </x:c>
      <x:c r="N27" s="6" t="s">
        <x:v>44</x:v>
      </x:c>
      <x:c r="O27" s="6">
        <x:v>44</x:v>
      </x:c>
      <x:c r="P27" s="6">
        <x:v>32</x:v>
      </x:c>
      <x:c r="Q27" s="6" t="s">
        <x:v>44</x:v>
      </x:c>
      <x:c r="R27" s="6" t="s">
        <x:v>44</x:v>
      </x:c>
      <x:c r="S27" s="6" t="s">
        <x:v>44</x:v>
      </x:c>
    </x:row>
    <x:row r="28" ht="22" customHeight="1">
      <x:c r="A28" s="6" t="s">
        <x:v>322</x:v>
      </x:c>
      <x:c r="B28" s="7" t="str">
        <x:f>IFERROR(VLOOKUP($A28,'01_宠物主表_好读版'!$A:$Z,3,FALSE),"")</x:f>
        <x:v>烽歌龙</x:v>
      </x:c>
      <x:c r="C28" s="7" t="str">
        <x:f>IFERROR(VLOOKUP($A28,'01_宠物主表_好读版'!$A:$Z,4,FALSE),"")</x:f>
        <x:v>火</x:v>
      </x:c>
      <x:c r="D28" s="7" t="str">
        <x:f>IFERROR(VLOOKUP($A28,'01_宠物主表_好读版'!$A:$Z,7,FALSE),"")</x:f>
        <x:v>中型</x:v>
      </x:c>
      <x:c r="E28" s="7" t="str">
        <x:f>IFERROR(VLOOKUP($A28,'01_宠物主表_好读版'!$A:$Z,8,FALSE),"")</x:f>
        <x:v>机动</x:v>
      </x:c>
      <x:c r="F28" s="6" t="s">
        <x:v>541</x:v>
      </x:c>
      <x:c r="G28" s="6" t="s">
        <x:v>553</x:v>
      </x:c>
      <x:c r="H28" s="6">
        <x:v>30</x:v>
      </x:c>
      <x:c r="I28" s="6">
        <x:v>4</x:v>
      </x:c>
      <x:c r="J28" s="6">
        <x:v>0</x:v>
      </x:c>
      <x:c r="K28" s="6">
        <x:v>0</x:v>
      </x:c>
      <x:c r="L28" s="6">
        <x:v>3</x:v>
      </x:c>
      <x:c r="M28" s="6" t="s">
        <x:v>555</x:v>
      </x:c>
      <x:c r="N28" s="6" t="s">
        <x:v>44</x:v>
      </x:c>
      <x:c r="O28" s="6">
        <x:v>57</x:v>
      </x:c>
      <x:c r="P28" s="6">
        <x:v>56</x:v>
      </x:c>
      <x:c r="Q28" s="6" t="s">
        <x:v>44</x:v>
      </x:c>
      <x:c r="R28" s="6" t="s">
        <x:v>44</x:v>
      </x:c>
      <x:c r="S28" s="6" t="s">
        <x:v>44</x:v>
      </x:c>
    </x:row>
    <x:row r="29" ht="22" customHeight="1">
      <x:c r="A29" s="6" t="s">
        <x:v>123</x:v>
      </x:c>
      <x:c r="B29" s="7" t="str">
        <x:f>IFERROR(VLOOKUP($A29,'01_宠物主表_好读版'!$A:$Z,3,FALSE),"")</x:f>
        <x:v>玉藻狐</x:v>
      </x:c>
      <x:c r="C29" s="7" t="str">
        <x:f>IFERROR(VLOOKUP($A29,'01_宠物主表_好读版'!$A:$Z,4,FALSE),"")</x:f>
        <x:v>风</x:v>
      </x:c>
      <x:c r="D29" s="7" t="str">
        <x:f>IFERROR(VLOOKUP($A29,'01_宠物主表_好读版'!$A:$Z,7,FALSE),"")</x:f>
        <x:v>小型</x:v>
      </x:c>
      <x:c r="E29" s="7" t="str">
        <x:f>IFERROR(VLOOKUP($A29,'01_宠物主表_好读版'!$A:$Z,8,FALSE),"")</x:f>
        <x:v>经济</x:v>
      </x:c>
      <x:c r="F29" s="6" t="s">
        <x:v>536</x:v>
      </x:c>
      <x:c r="G29" s="6" t="s">
        <x:v>556</x:v>
      </x:c>
      <x:c r="H29" s="6">
        <x:v>15</x:v>
      </x:c>
      <x:c r="I29" s="6">
        <x:v>2</x:v>
      </x:c>
      <x:c r="J29" s="6">
        <x:v>0</x:v>
      </x:c>
      <x:c r="K29" s="6">
        <x:v>0</x:v>
      </x:c>
      <x:c r="L29" s="6">
        <x:v>4</x:v>
      </x:c>
      <x:c r="M29" s="6" t="s">
        <x:v>557</x:v>
      </x:c>
      <x:c r="N29" s="6" t="s">
        <x:v>44</x:v>
      </x:c>
      <x:c r="O29" s="6">
        <x:v>41</x:v>
      </x:c>
      <x:c r="P29" s="6">
        <x:v>24</x:v>
      </x:c>
      <x:c r="Q29" s="6" t="s">
        <x:v>44</x:v>
      </x:c>
      <x:c r="R29" s="6" t="s">
        <x:v>44</x:v>
      </x:c>
      <x:c r="S29" s="6" t="s">
        <x:v>44</x:v>
      </x:c>
    </x:row>
    <x:row r="30" ht="22" customHeight="1">
      <x:c r="A30" s="6" t="s">
        <x:v>162</x:v>
      </x:c>
      <x:c r="B30" s="7" t="str">
        <x:f>IFERROR(VLOOKUP($A30,'01_宠物主表_好读版'!$A:$Z,3,FALSE),"")</x:f>
        <x:v>猎狼</x:v>
      </x:c>
      <x:c r="C30" s="7" t="str">
        <x:f>IFERROR(VLOOKUP($A30,'01_宠物主表_好读版'!$A:$Z,4,FALSE),"")</x:f>
        <x:v>风</x:v>
      </x:c>
      <x:c r="D30" s="7" t="str">
        <x:f>IFERROR(VLOOKUP($A30,'01_宠物主表_好读版'!$A:$Z,7,FALSE),"")</x:f>
        <x:v>中型</x:v>
      </x:c>
      <x:c r="E30" s="7" t="str">
        <x:f>IFERROR(VLOOKUP($A30,'01_宠物主表_好读版'!$A:$Z,8,FALSE),"")</x:f>
        <x:v>机动</x:v>
      </x:c>
      <x:c r="F30" s="6" t="s">
        <x:v>528</x:v>
      </x:c>
      <x:c r="G30" s="6" t="s">
        <x:v>556</x:v>
      </x:c>
      <x:c r="H30" s="6">
        <x:v>20</x:v>
      </x:c>
      <x:c r="I30" s="6">
        <x:v>3</x:v>
      </x:c>
      <x:c r="J30" s="6">
        <x:v>0</x:v>
      </x:c>
      <x:c r="K30" s="6">
        <x:v>6</x:v>
      </x:c>
      <x:c r="L30" s="6">
        <x:v>4</x:v>
      </x:c>
      <x:c r="M30" s="6" t="s">
        <x:v>558</x:v>
      </x:c>
      <x:c r="N30" s="6" t="s">
        <x:v>44</x:v>
      </x:c>
      <x:c r="O30" s="6">
        <x:v>79</x:v>
      </x:c>
      <x:c r="P30" s="6">
        <x:v>48</x:v>
      </x:c>
      <x:c r="Q30" s="6" t="s">
        <x:v>44</x:v>
      </x:c>
      <x:c r="R30" s="6" t="s">
        <x:v>44</x:v>
      </x:c>
      <x:c r="S30" s="6" t="s">
        <x:v>44</x:v>
      </x:c>
    </x:row>
    <x:row r="31" ht="22" customHeight="1">
      <x:c r="A31" s="6" t="s">
        <x:v>376</x:v>
      </x:c>
      <x:c r="B31" s="7" t="str">
        <x:f>IFERROR(VLOOKUP($A31,'01_宠物主表_好读版'!$A:$Z,3,FALSE),"")</x:f>
        <x:v>狱焰王</x:v>
      </x:c>
      <x:c r="C31" s="7" t="str">
        <x:f>IFERROR(VLOOKUP($A31,'01_宠物主表_好读版'!$A:$Z,4,FALSE),"")</x:f>
        <x:v>火</x:v>
      </x:c>
      <x:c r="D31" s="7" t="str">
        <x:f>IFERROR(VLOOKUP($A31,'01_宠物主表_好读版'!$A:$Z,7,FALSE),"")</x:f>
        <x:v>大型</x:v>
      </x:c>
      <x:c r="E31" s="7" t="str">
        <x:f>IFERROR(VLOOKUP($A31,'01_宠物主表_好读版'!$A:$Z,8,FALSE),"")</x:f>
        <x:v>输出</x:v>
      </x:c>
      <x:c r="F31" s="6" t="s">
        <x:v>541</x:v>
      </x:c>
      <x:c r="G31" s="6" t="s">
        <x:v>559</x:v>
      </x:c>
      <x:c r="H31" s="6">
        <x:v>40</x:v>
      </x:c>
      <x:c r="I31" s="6">
        <x:v>5</x:v>
      </x:c>
      <x:c r="J31" s="6">
        <x:v>0</x:v>
      </x:c>
      <x:c r="K31" s="6">
        <x:v>10</x:v>
      </x:c>
      <x:c r="L31" s="6">
        <x:v>4</x:v>
      </x:c>
      <x:c r="M31" s="6" t="s">
        <x:v>560</x:v>
      </x:c>
      <x:c r="N31" s="6" t="s">
        <x:v>44</x:v>
      </x:c>
      <x:c r="O31" s="6">
        <x:v>125</x:v>
      </x:c>
      <x:c r="P31" s="6">
        <x:v>48</x:v>
      </x:c>
      <x:c r="Q31" s="6" t="s">
        <x:v>44</x:v>
      </x:c>
      <x:c r="R31" s="6" t="s">
        <x:v>44</x:v>
      </x:c>
      <x:c r="S31" s="6" t="s">
        <x:v>44</x:v>
      </x:c>
    </x:row>
    <x:row r="32" ht="22" customHeight="1">
      <x:c r="A32" s="6" t="s">
        <x:v>417</x:v>
      </x:c>
      <x:c r="B32" s="7" t="str">
        <x:f>IFERROR(VLOOKUP($A32,'01_宠物主表_好读版'!$A:$Z,3,FALSE),"")</x:f>
        <x:v>雪猛犸</x:v>
      </x:c>
      <x:c r="C32" s="7" t="str">
        <x:f>IFERROR(VLOOKUP($A32,'01_宠物主表_好读版'!$A:$Z,4,FALSE),"")</x:f>
        <x:v>水</x:v>
      </x:c>
      <x:c r="D32" s="7" t="str">
        <x:f>IFERROR(VLOOKUP($A32,'01_宠物主表_好读版'!$A:$Z,7,FALSE),"")</x:f>
        <x:v>大型</x:v>
      </x:c>
      <x:c r="E32" s="7" t="str">
        <x:f>IFERROR(VLOOKUP($A32,'01_宠物主表_好读版'!$A:$Z,8,FALSE),"")</x:f>
        <x:v>坦克</x:v>
      </x:c>
      <x:c r="F32" s="6" t="s">
        <x:v>528</x:v>
      </x:c>
      <x:c r="G32" s="6" t="s">
        <x:v>559</x:v>
      </x:c>
      <x:c r="H32" s="6">
        <x:v>35</x:v>
      </x:c>
      <x:c r="I32" s="6">
        <x:v>4</x:v>
      </x:c>
      <x:c r="J32" s="6">
        <x:v>0</x:v>
      </x:c>
      <x:c r="K32" s="6">
        <x:v>15</x:v>
      </x:c>
      <x:c r="L32" s="6">
        <x:v>4</x:v>
      </x:c>
      <x:c r="M32" s="6" t="s">
        <x:v>561</x:v>
      </x:c>
      <x:c r="N32" s="6" t="s">
        <x:v>44</x:v>
      </x:c>
      <x:c r="O32" s="6">
        <x:v>142</x:v>
      </x:c>
      <x:c r="P32" s="6">
        <x:v>48</x:v>
      </x:c>
      <x:c r="Q32" s="6" t="s">
        <x:v>44</x:v>
      </x:c>
      <x:c r="R32" s="6" t="s">
        <x:v>44</x:v>
      </x:c>
      <x:c r="S32" s="6" t="s">
        <x:v>44</x:v>
      </x:c>
    </x:row>
    <x:row r="33" ht="22" customHeight="1">
      <x:c r="A33" s="6" t="s">
        <x:v>446</x:v>
      </x:c>
      <x:c r="B33" s="7" t="str">
        <x:f>IFERROR(VLOOKUP($A33,'01_宠物主表_好读版'!$A:$Z,3,FALSE),"")</x:f>
        <x:v>魔渊龙</x:v>
      </x:c>
      <x:c r="C33" s="7" t="str">
        <x:f>IFERROR(VLOOKUP($A33,'01_宠物主表_好读版'!$A:$Z,4,FALSE),"")</x:f>
        <x:v>土</x:v>
      </x:c>
      <x:c r="D33" s="7" t="str">
        <x:f>IFERROR(VLOOKUP($A33,'01_宠物主表_好读版'!$A:$Z,7,FALSE),"")</x:f>
        <x:v>大型</x:v>
      </x:c>
      <x:c r="E33" s="7" t="str">
        <x:f>IFERROR(VLOOKUP($A33,'01_宠物主表_好读版'!$A:$Z,8,FALSE),"")</x:f>
        <x:v>坦克</x:v>
      </x:c>
      <x:c r="F33" s="6" t="s">
        <x:v>528</x:v>
      </x:c>
      <x:c r="G33" s="6" t="s">
        <x:v>559</x:v>
      </x:c>
      <x:c r="H33" s="6">
        <x:v>50</x:v>
      </x:c>
      <x:c r="I33" s="6">
        <x:v>4</x:v>
      </x:c>
      <x:c r="J33" s="6">
        <x:v>6</x:v>
      </x:c>
      <x:c r="K33" s="6">
        <x:v>6</x:v>
      </x:c>
      <x:c r="L33" s="6">
        <x:v>4</x:v>
      </x:c>
      <x:c r="M33" s="6" t="s">
        <x:v>562</x:v>
      </x:c>
      <x:c r="N33" s="6" t="s">
        <x:v>44</x:v>
      </x:c>
      <x:c r="O33" s="6">
        <x:v>130</x:v>
      </x:c>
      <x:c r="P33" s="6">
        <x:v>56</x:v>
      </x:c>
      <x:c r="Q33" s="6" t="s">
        <x:v>44</x:v>
      </x:c>
      <x:c r="R33" s="6" t="s">
        <x:v>44</x:v>
      </x:c>
      <x:c r="S33" s="6" t="s">
        <x:v>44</x:v>
      </x:c>
    </x:row>
    <x:row r="34" ht="22" customHeight="1">
      <x:c r="A34" s="6" t="s">
        <x:v>496</x:v>
      </x:c>
      <x:c r="B34" s="7" t="str">
        <x:f>IFERROR(VLOOKUP($A34,'01_宠物主表_好读版'!$A:$Z,3,FALSE),"")</x:f>
        <x:v>混沌骑士</x:v>
      </x:c>
      <x:c r="C34" s="7" t="str">
        <x:f>IFERROR(VLOOKUP($A34,'01_宠物主表_好读版'!$A:$Z,4,FALSE),"")</x:f>
        <x:v>土</x:v>
      </x:c>
      <x:c r="D34" s="7" t="str">
        <x:f>IFERROR(VLOOKUP($A34,'01_宠物主表_好读版'!$A:$Z,7,FALSE),"")</x:f>
        <x:v>大型</x:v>
      </x:c>
      <x:c r="E34" s="7" t="str">
        <x:f>IFERROR(VLOOKUP($A34,'01_宠物主表_好读版'!$A:$Z,8,FALSE),"")</x:f>
        <x:v>坦克</x:v>
      </x:c>
      <x:c r="F34" s="6" t="s">
        <x:v>563</x:v>
      </x:c>
      <x:c r="G34" s="6" t="s">
        <x:v>564</x:v>
      </x:c>
      <x:c r="H34" s="6">
        <x:v>60</x:v>
      </x:c>
      <x:c r="I34" s="6">
        <x:v>5</x:v>
      </x:c>
      <x:c r="J34" s="6">
        <x:v>6</x:v>
      </x:c>
      <x:c r="K34" s="6">
        <x:v>15</x:v>
      </x:c>
      <x:c r="L34" s="6">
        <x:v>5</x:v>
      </x:c>
      <x:c r="M34" s="6" t="s">
        <x:v>565</x:v>
      </x:c>
      <x:c r="N34" s="6" t="s">
        <x:v>44</x:v>
      </x:c>
      <x:c r="O34" s="6">
        <x:v>193</x:v>
      </x:c>
      <x:c r="P34" s="6">
        <x:v>104</x:v>
      </x:c>
      <x:c r="Q34" s="6" t="s">
        <x:v>44</x:v>
      </x:c>
      <x:c r="R34" s="6" t="s">
        <x:v>44</x:v>
      </x:c>
      <x:c r="S34" s="6" t="s">
        <x:v>44</x:v>
      </x:c>
    </x:row>
    <x:row r="35" ht="22" customHeight="1">
      <x:c r="A35" s="6" t="s">
        <x:v>379</x:v>
      </x:c>
      <x:c r="B35" s="7" t="str">
        <x:f>IFERROR(VLOOKUP($A35,'01_宠物主表_好读版'!$A:$Z,3,FALSE),"")</x:f>
        <x:v>狱阎王</x:v>
      </x:c>
      <x:c r="C35" s="7" t="str">
        <x:f>IFERROR(VLOOKUP($A35,'01_宠物主表_好读版'!$A:$Z,4,FALSE),"")</x:f>
        <x:v>火</x:v>
      </x:c>
      <x:c r="D35" s="7" t="str">
        <x:f>IFERROR(VLOOKUP($A35,'01_宠物主表_好读版'!$A:$Z,7,FALSE),"")</x:f>
        <x:v>大型</x:v>
      </x:c>
      <x:c r="E35" s="7" t="str">
        <x:f>IFERROR(VLOOKUP($A35,'01_宠物主表_好读版'!$A:$Z,8,FALSE),"")</x:f>
        <x:v>输出</x:v>
      </x:c>
      <x:c r="F35" s="6" t="s">
        <x:v>563</x:v>
      </x:c>
      <x:c r="G35" s="6" t="s">
        <x:v>564</x:v>
      </x:c>
      <x:c r="H35" s="6">
        <x:v>70</x:v>
      </x:c>
      <x:c r="I35" s="6">
        <x:v>5</x:v>
      </x:c>
      <x:c r="J35" s="6">
        <x:v>10</x:v>
      </x:c>
      <x:c r="K35" s="6">
        <x:v>10</x:v>
      </x:c>
      <x:c r="L35" s="6">
        <x:v>5</x:v>
      </x:c>
      <x:c r="M35" s="6" t="s">
        <x:v>566</x:v>
      </x:c>
      <x:c r="N35" s="6" t="s">
        <x:v>44</x:v>
      </x:c>
      <x:c r="O35" s="6">
        <x:v>190</x:v>
      </x:c>
      <x:c r="P35" s="6">
        <x:v>104</x:v>
      </x:c>
      <x:c r="Q35" s="6" t="s">
        <x:v>44</x:v>
      </x:c>
      <x:c r="R35" s="6" t="s">
        <x:v>44</x:v>
      </x:c>
      <x:c r="S35" s="6" t="s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16df7ed1bcab46b4"/>
  </x:tableParts>
</x:worksheet>
</file>

<file path=xl/worksheets/sheet4.xml><?xml version="1.0" encoding="utf-8"?>
<x:worksheet xmlns:x="http://schemas.openxmlformats.org/spreadsheetml/2006/main">
  <x:sheetFormatPr defaultColWidth="9" defaultRowHeight="14.100000381469727"/>
  <x:cols>
    <x:col min="1" max="1" width="20" hidden="0" customWidth="1"/>
    <x:col min="2" max="4" width="8" customWidth="1"/>
    <x:col min="5" max="6" width="12" customWidth="1"/>
    <x:col min="7" max="12" width="41" customWidth="1"/>
    <x:col min="2" max="2" width="8" hidden="0" customWidth="1"/>
    <x:col min="3" max="3" width="8" hidden="0" customWidth="1"/>
    <x:col min="4" max="4" width="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45" hidden="0" customWidth="1"/>
  </x:cols>
  <x:sheetData>
    <x:row r="1" ht="28" customHeight="1">
      <x:c r="A1" s="69" t="str">
        <x:v>波次ID</x:v>
      </x:c>
      <x:c r="B1" s="70" t="str">
        <x:v>天数</x:v>
      </x:c>
      <x:c r="C1" s="69" t="str">
        <x:v>时段</x:v>
      </x:c>
      <x:c r="D1" s="70" t="str">
        <x:v>回合</x:v>
      </x:c>
      <x:c r="E1" s="69" t="str">
        <x:v>宠物池-数量</x:v>
      </x:c>
      <x:c r="F1" s="71" t="str">
        <x:v>品质权重</x:v>
      </x:c>
      <x:c r="G1" s="70" t="str">
        <x:v>本行威胁(当前计算值)</x:v>
      </x:c>
      <x:c r="H1" s="69" t="str">
        <x:v>填写说明</x:v>
      </x:c>
      <x:c r="I1" s="77" t="str">
        <x:v>出怪数(当前计算值)</x:v>
      </x:c>
      <x:c r="J1" s="77" t="str">
        <x:v>品质期望倍率(当前计算值)</x:v>
      </x:c>
      <x:c r="K1" s="77" t="str">
        <x:v>候选池平均效果分(当前计算值)</x:v>
      </x:c>
      <x:c r="L1" s="77" t="str">
        <x:v>威胁计算说明</x:v>
      </x:c>
    </x:row>
    <x:row r="2" ht="22" customHeight="1">
      <x:c r="A2" s="42" t="str">
        <x:v>wave_d01_morning</x:v>
      </x:c>
      <x:c r="B2" s="42" t="n">
        <x:v>1</x:v>
      </x:c>
      <x:c r="C2" s="42" t="str">
        <x:v>上午</x:v>
      </x:c>
      <x:c r="D2" s="42" t="n">
        <x:v>1</x:v>
      </x:c>
      <x:c r="E2" s="42" t="str">
        <x:v>1,2,3,4,5-2</x:v>
      </x:c>
      <x:c r="F2" s="42" t="str">
        <x:v>90,10,0,0</x:v>
      </x:c>
      <x:c r="G2" s="78" t="n">
        <x:v>98.7</x:v>
      </x:c>
      <x:c r="H2" s="79" t="str">
        <x:v>池-数量；品质权重=青铜,白银,黄金,钻石</x:v>
      </x:c>
      <x:c r="I2" s="80" t="n">
        <x:v>2</x:v>
      </x:c>
      <x:c r="J2" s="80" t="n">
        <x:v>1.05</x:v>
      </x:c>
      <x:c r="K2" s="80" t="n">
        <x:v>47</x:v>
      </x:c>
      <x:c r="L2" t="str">
        <x:v>本行威胁=候选池平均效果分×出怪数×品质期望倍率；品质权重顺序=青铜,白银,黄金,钻石</x:v>
      </x:c>
    </x:row>
    <x:row r="3" ht="22" customHeight="1">
      <x:c r="A3" s="42" t="str">
        <x:v>wave_d01_morning</x:v>
      </x:c>
      <x:c r="B3" s="42" t="n">
        <x:v>1</x:v>
      </x:c>
      <x:c r="C3" s="42" t="str">
        <x:v>上午</x:v>
      </x:c>
      <x:c r="D3" s="42" t="n">
        <x:v>2</x:v>
      </x:c>
      <x:c r="E3" s="42" t="str">
        <x:v>1,2,3,4,5-3</x:v>
      </x:c>
      <x:c r="F3" s="42" t="str">
        <x:v>90,10,0,1</x:v>
      </x:c>
      <x:c r="G3" s="78" t="n">
        <x:v>150.1</x:v>
      </x:c>
      <x:c r="H3" s="79" t="str">
        <x:v>池-数量；品质权重=青铜,白银,黄金,钻石</x:v>
      </x:c>
      <x:c r="I3" s="80" t="n">
        <x:v>3</x:v>
      </x:c>
      <x:c r="J3" s="80" t="n">
        <x:v>1.0644</x:v>
      </x:c>
      <x:c r="K3" s="80" t="n">
        <x:v>47</x:v>
      </x:c>
      <x:c r="L3" t="str">
        <x:v>本行威胁=候选池平均效果分×出怪数×品质期望倍率；品质权重顺序=青铜,白银,黄金,钻石</x:v>
      </x:c>
    </x:row>
    <x:row r="4" ht="22" customHeight="1">
      <x:c r="A4" s="42" t="str">
        <x:v>wave_d01_morning</x:v>
      </x:c>
      <x:c r="B4" s="42" t="n">
        <x:v>1</x:v>
      </x:c>
      <x:c r="C4" s="42" t="str">
        <x:v>上午</x:v>
      </x:c>
      <x:c r="D4" s="42" t="n">
        <x:v>3</x:v>
      </x:c>
      <x:c r="E4" s="42" t="str">
        <x:v>1,2,3,4,5-4</x:v>
      </x:c>
      <x:c r="F4" s="42" t="str">
        <x:v>90,10,0,2</x:v>
      </x:c>
      <x:c r="G4" s="78" t="n">
        <x:v>202.7</x:v>
      </x:c>
      <x:c r="H4" s="79" t="str">
        <x:v>池-数量；品质权重=青铜,白银,黄金,钻石</x:v>
      </x:c>
      <x:c r="I4" s="80" t="n">
        <x:v>4</x:v>
      </x:c>
      <x:c r="J4" s="80" t="n">
        <x:v>1.0784</x:v>
      </x:c>
      <x:c r="K4" s="80" t="n">
        <x:v>47</x:v>
      </x:c>
      <x:c r="L4" t="str">
        <x:v>本行威胁=候选池平均效果分×出怪数×品质期望倍率；品质权重顺序=青铜,白银,黄金,钻石</x:v>
      </x:c>
    </x:row>
    <x:row r="5" ht="22" customHeight="1">
      <x:c r="A5" s="42" t="str">
        <x:v>wave_d01_morning</x:v>
      </x:c>
      <x:c r="B5" s="42" t="n">
        <x:v>1</x:v>
      </x:c>
      <x:c r="C5" s="42" t="str">
        <x:v>上午</x:v>
      </x:c>
      <x:c r="D5" s="42" t="n">
        <x:v>4</x:v>
      </x:c>
      <x:c r="E5" s="42" t="str">
        <x:v>1,2,3,4,5-5</x:v>
      </x:c>
      <x:c r="F5" s="42" t="str">
        <x:v>90,10,0,3</x:v>
      </x:c>
      <x:c r="G5" s="78" t="n">
        <x:v>256.7</x:v>
      </x:c>
      <x:c r="H5" s="79" t="str">
        <x:v>池-数量；品质权重=青铜,白银,黄金,钻石</x:v>
      </x:c>
      <x:c r="I5" s="80" t="n">
        <x:v>5</x:v>
      </x:c>
      <x:c r="J5" s="80" t="n">
        <x:v>1.0922</x:v>
      </x:c>
      <x:c r="K5" s="80" t="n">
        <x:v>47</x:v>
      </x:c>
      <x:c r="L5" t="str">
        <x:v>本行威胁=候选池平均效果分×出怪数×品质期望倍率；品质权重顺序=青铜,白银,黄金,钻石</x:v>
      </x:c>
    </x:row>
    <x:row r="6" ht="22" customHeight="1">
      <x:c r="A6" s="42" t="str">
        <x:v>wave_d01_morning</x:v>
      </x:c>
      <x:c r="B6" s="42" t="n">
        <x:v>1</x:v>
      </x:c>
      <x:c r="C6" s="42" t="str">
        <x:v>上午</x:v>
      </x:c>
      <x:c r="D6" s="42" t="n">
        <x:v>5</x:v>
      </x:c>
      <x:c r="E6" s="42" t="str">
        <x:v>1,2,3,4,5-6</x:v>
      </x:c>
      <x:c r="F6" s="42" t="str">
        <x:v>90,10,0,4</x:v>
      </x:c>
      <x:c r="G6" s="78" t="n">
        <x:v>311.8</x:v>
      </x:c>
      <x:c r="H6" s="79" t="str">
        <x:v>池-数量；品质权重=青铜,白银,黄金,钻石</x:v>
      </x:c>
      <x:c r="I6" s="80" t="n">
        <x:v>6</x:v>
      </x:c>
      <x:c r="J6" s="80" t="n">
        <x:v>1.1058</x:v>
      </x:c>
      <x:c r="K6" s="80" t="n">
        <x:v>47</x:v>
      </x:c>
      <x:c r="L6" t="str">
        <x:v>本行威胁=候选池平均效果分×出怪数×品质期望倍率；品质权重顺序=青铜,白银,黄金,钻石</x:v>
      </x:c>
    </x:row>
    <x:row r="7" ht="22" customHeight="1">
      <x:c r="A7" s="42" t="str">
        <x:v>wave_d01_afternoon</x:v>
      </x:c>
      <x:c r="B7" s="42" t="n">
        <x:v>1</x:v>
      </x:c>
      <x:c r="C7" s="42" t="str">
        <x:v>下午</x:v>
      </x:c>
      <x:c r="D7" s="42" t="n">
        <x:v>1</x:v>
      </x:c>
      <x:c r="E7" s="42" t="str">
        <x:v>1,2,3,4,5-2</x:v>
      </x:c>
      <x:c r="F7" s="42" t="str">
        <x:v>90,10,0,0</x:v>
      </x:c>
      <x:c r="G7" s="78" t="n">
        <x:v>98.7</x:v>
      </x:c>
      <x:c r="H7" s="79" t="str">
        <x:v>池-数量；品质权重=青铜,白银,黄金,钻石</x:v>
      </x:c>
      <x:c r="I7" s="80" t="n">
        <x:v>2</x:v>
      </x:c>
      <x:c r="J7" s="80" t="n">
        <x:v>1.05</x:v>
      </x:c>
      <x:c r="K7" s="80" t="n">
        <x:v>47</x:v>
      </x:c>
      <x:c r="L7" t="str">
        <x:v>本行威胁=候选池平均效果分×出怪数×品质期望倍率；品质权重顺序=青铜,白银,黄金,钻石</x:v>
      </x:c>
    </x:row>
    <x:row r="8" ht="22" customHeight="1">
      <x:c r="A8" s="42" t="str">
        <x:v>wave_d01_afternoon</x:v>
      </x:c>
      <x:c r="B8" s="42" t="n">
        <x:v>1</x:v>
      </x:c>
      <x:c r="C8" s="42" t="str">
        <x:v>下午</x:v>
      </x:c>
      <x:c r="D8" s="42" t="n">
        <x:v>2</x:v>
      </x:c>
      <x:c r="E8" s="42" t="str">
        <x:v>1,2,3,4,5-3</x:v>
      </x:c>
      <x:c r="F8" s="42" t="str">
        <x:v>90,10,0,1</x:v>
      </x:c>
      <x:c r="G8" s="78" t="n">
        <x:v>150.1</x:v>
      </x:c>
      <x:c r="H8" s="79" t="str">
        <x:v>池-数量；品质权重=青铜,白银,黄金,钻石</x:v>
      </x:c>
      <x:c r="I8" s="80" t="n">
        <x:v>3</x:v>
      </x:c>
      <x:c r="J8" s="80" t="n">
        <x:v>1.0644</x:v>
      </x:c>
      <x:c r="K8" s="80" t="n">
        <x:v>47</x:v>
      </x:c>
      <x:c r="L8" t="str">
        <x:v>本行威胁=候选池平均效果分×出怪数×品质期望倍率；品质权重顺序=青铜,白银,黄金,钻石</x:v>
      </x:c>
    </x:row>
    <x:row r="9" ht="22" customHeight="1">
      <x:c r="A9" s="42" t="str">
        <x:v>wave_d01_afternoon</x:v>
      </x:c>
      <x:c r="B9" s="42" t="n">
        <x:v>1</x:v>
      </x:c>
      <x:c r="C9" s="42" t="str">
        <x:v>下午</x:v>
      </x:c>
      <x:c r="D9" s="42" t="n">
        <x:v>3</x:v>
      </x:c>
      <x:c r="E9" s="42" t="str">
        <x:v>1,2,3,4,5-4</x:v>
      </x:c>
      <x:c r="F9" s="42" t="str">
        <x:v>90,10,0,2</x:v>
      </x:c>
      <x:c r="G9" s="78" t="n">
        <x:v>202.7</x:v>
      </x:c>
      <x:c r="H9" s="79" t="str">
        <x:v>池-数量；品质权重=青铜,白银,黄金,钻石</x:v>
      </x:c>
      <x:c r="I9" s="80" t="n">
        <x:v>4</x:v>
      </x:c>
      <x:c r="J9" s="80" t="n">
        <x:v>1.0784</x:v>
      </x:c>
      <x:c r="K9" s="80" t="n">
        <x:v>47</x:v>
      </x:c>
      <x:c r="L9" t="str">
        <x:v>本行威胁=候选池平均效果分×出怪数×品质期望倍率；品质权重顺序=青铜,白银,黄金,钻石</x:v>
      </x:c>
    </x:row>
    <x:row r="10" ht="22" customHeight="1">
      <x:c r="A10" s="42" t="str">
        <x:v>wave_d01_afternoon</x:v>
      </x:c>
      <x:c r="B10" s="42" t="n">
        <x:v>1</x:v>
      </x:c>
      <x:c r="C10" s="42" t="str">
        <x:v>下午</x:v>
      </x:c>
      <x:c r="D10" s="42" t="n">
        <x:v>4</x:v>
      </x:c>
      <x:c r="E10" s="42" t="str">
        <x:v>1,2,3,4,5-5</x:v>
      </x:c>
      <x:c r="F10" s="42" t="str">
        <x:v>90,10,0,3</x:v>
      </x:c>
      <x:c r="G10" s="78" t="n">
        <x:v>256.7</x:v>
      </x:c>
      <x:c r="H10" s="79" t="str">
        <x:v>池-数量；品质权重=青铜,白银,黄金,钻石</x:v>
      </x:c>
      <x:c r="I10" s="80" t="n">
        <x:v>5</x:v>
      </x:c>
      <x:c r="J10" s="80" t="n">
        <x:v>1.0922</x:v>
      </x:c>
      <x:c r="K10" s="80" t="n">
        <x:v>47</x:v>
      </x:c>
      <x:c r="L10" t="str">
        <x:v>本行威胁=候选池平均效果分×出怪数×品质期望倍率；品质权重顺序=青铜,白银,黄金,钻石</x:v>
      </x:c>
    </x:row>
    <x:row r="11" ht="22" customHeight="1">
      <x:c r="A11" s="42" t="str">
        <x:v>wave_d01_afternoon</x:v>
      </x:c>
      <x:c r="B11" s="42" t="n">
        <x:v>1</x:v>
      </x:c>
      <x:c r="C11" s="42" t="str">
        <x:v>下午</x:v>
      </x:c>
      <x:c r="D11" s="42" t="n">
        <x:v>5</x:v>
      </x:c>
      <x:c r="E11" s="42" t="str">
        <x:v>1,2,3,4,5-6</x:v>
      </x:c>
      <x:c r="F11" s="42" t="str">
        <x:v>90,10,0,4</x:v>
      </x:c>
      <x:c r="G11" s="78" t="n">
        <x:v>311.8</x:v>
      </x:c>
      <x:c r="H11" s="79" t="str">
        <x:v>池-数量；品质权重=青铜,白银,黄金,钻石</x:v>
      </x:c>
      <x:c r="I11" s="80" t="n">
        <x:v>6</x:v>
      </x:c>
      <x:c r="J11" s="80" t="n">
        <x:v>1.1058</x:v>
      </x:c>
      <x:c r="K11" s="80" t="n">
        <x:v>47</x:v>
      </x:c>
      <x:c r="L11" t="str">
        <x:v>本行威胁=候选池平均效果分×出怪数×品质期望倍率；品质权重顺序=青铜,白银,黄金,钻石</x:v>
      </x:c>
    </x:row>
    <x:row r="12" ht="22" customHeight="1">
      <x:c r="A12" s="42" t="str">
        <x:v>wave_d02_morning</x:v>
      </x:c>
      <x:c r="B12" s="42" t="n">
        <x:v>2</x:v>
      </x:c>
      <x:c r="C12" s="42" t="str">
        <x:v>上午</x:v>
      </x:c>
      <x:c r="D12" s="42" t="n">
        <x:v>1</x:v>
      </x:c>
      <x:c r="E12" s="42" t="str">
        <x:v>1,2,3,4,5-2</x:v>
      </x:c>
      <x:c r="F12" s="42" t="str">
        <x:v>90,10,0,0</x:v>
      </x:c>
      <x:c r="G12" s="78" t="n">
        <x:v>98.7</x:v>
      </x:c>
      <x:c r="H12" s="79" t="str">
        <x:v>池-数量；品质权重=青铜,白银,黄金,钻石</x:v>
      </x:c>
      <x:c r="I12" s="80" t="n">
        <x:v>2</x:v>
      </x:c>
      <x:c r="J12" s="80" t="n">
        <x:v>1.05</x:v>
      </x:c>
      <x:c r="K12" s="80" t="n">
        <x:v>47</x:v>
      </x:c>
      <x:c r="L12" t="str">
        <x:v>本行威胁=候选池平均效果分×出怪数×品质期望倍率；品质权重顺序=青铜,白银,黄金,钻石</x:v>
      </x:c>
    </x:row>
    <x:row r="13" ht="22" customHeight="1">
      <x:c r="A13" s="42" t="str">
        <x:v>wave_d02_morning</x:v>
      </x:c>
      <x:c r="B13" s="42" t="n">
        <x:v>2</x:v>
      </x:c>
      <x:c r="C13" s="42" t="str">
        <x:v>上午</x:v>
      </x:c>
      <x:c r="D13" s="42" t="n">
        <x:v>2</x:v>
      </x:c>
      <x:c r="E13" s="42" t="str">
        <x:v>1,2,3,4,5-3</x:v>
      </x:c>
      <x:c r="F13" s="42" t="str">
        <x:v>90,10,0,1</x:v>
      </x:c>
      <x:c r="G13" s="78" t="n">
        <x:v>150.1</x:v>
      </x:c>
      <x:c r="H13" s="79" t="str">
        <x:v>池-数量；品质权重=青铜,白银,黄金,钻石</x:v>
      </x:c>
      <x:c r="I13" s="80" t="n">
        <x:v>3</x:v>
      </x:c>
      <x:c r="J13" s="80" t="n">
        <x:v>1.0644</x:v>
      </x:c>
      <x:c r="K13" s="80" t="n">
        <x:v>47</x:v>
      </x:c>
      <x:c r="L13" t="str">
        <x:v>本行威胁=候选池平均效果分×出怪数×品质期望倍率；品质权重顺序=青铜,白银,黄金,钻石</x:v>
      </x:c>
    </x:row>
    <x:row r="14" ht="22" customHeight="1">
      <x:c r="A14" s="42" t="str">
        <x:v>wave_d02_morning</x:v>
      </x:c>
      <x:c r="B14" s="42" t="n">
        <x:v>2</x:v>
      </x:c>
      <x:c r="C14" s="42" t="str">
        <x:v>上午</x:v>
      </x:c>
      <x:c r="D14" s="42" t="n">
        <x:v>3</x:v>
      </x:c>
      <x:c r="E14" s="42" t="str">
        <x:v>1,2,3,4,5-4</x:v>
      </x:c>
      <x:c r="F14" s="42" t="str">
        <x:v>90,10,0,2</x:v>
      </x:c>
      <x:c r="G14" s="78" t="n">
        <x:v>202.7</x:v>
      </x:c>
      <x:c r="H14" s="79" t="str">
        <x:v>池-数量；品质权重=青铜,白银,黄金,钻石</x:v>
      </x:c>
      <x:c r="I14" s="80" t="n">
        <x:v>4</x:v>
      </x:c>
      <x:c r="J14" s="80" t="n">
        <x:v>1.0784</x:v>
      </x:c>
      <x:c r="K14" s="80" t="n">
        <x:v>47</x:v>
      </x:c>
      <x:c r="L14" t="str">
        <x:v>本行威胁=候选池平均效果分×出怪数×品质期望倍率；品质权重顺序=青铜,白银,黄金,钻石</x:v>
      </x:c>
    </x:row>
    <x:row r="15" ht="22" customHeight="1">
      <x:c r="A15" s="42" t="str">
        <x:v>wave_d02_morning</x:v>
      </x:c>
      <x:c r="B15" s="42" t="n">
        <x:v>2</x:v>
      </x:c>
      <x:c r="C15" s="42" t="str">
        <x:v>上午</x:v>
      </x:c>
      <x:c r="D15" s="42" t="n">
        <x:v>4</x:v>
      </x:c>
      <x:c r="E15" s="42" t="str">
        <x:v>1,2,3,4,5-5</x:v>
      </x:c>
      <x:c r="F15" s="42" t="str">
        <x:v>90,10,0,3</x:v>
      </x:c>
      <x:c r="G15" s="78" t="n">
        <x:v>256.7</x:v>
      </x:c>
      <x:c r="H15" s="79" t="str">
        <x:v>池-数量；品质权重=青铜,白银,黄金,钻石</x:v>
      </x:c>
      <x:c r="I15" s="80" t="n">
        <x:v>5</x:v>
      </x:c>
      <x:c r="J15" s="80" t="n">
        <x:v>1.0922</x:v>
      </x:c>
      <x:c r="K15" s="80" t="n">
        <x:v>47</x:v>
      </x:c>
      <x:c r="L15" t="str">
        <x:v>本行威胁=候选池平均效果分×出怪数×品质期望倍率；品质权重顺序=青铜,白银,黄金,钻石</x:v>
      </x:c>
    </x:row>
    <x:row r="16" ht="22" customHeight="1">
      <x:c r="A16" s="42" t="str">
        <x:v>wave_d02_morning</x:v>
      </x:c>
      <x:c r="B16" s="42" t="n">
        <x:v>2</x:v>
      </x:c>
      <x:c r="C16" s="42" t="str">
        <x:v>上午</x:v>
      </x:c>
      <x:c r="D16" s="42" t="n">
        <x:v>5</x:v>
      </x:c>
      <x:c r="E16" s="42" t="str">
        <x:v>1,2,3,4,5-6</x:v>
      </x:c>
      <x:c r="F16" s="42" t="str">
        <x:v>90,10,0,4</x:v>
      </x:c>
      <x:c r="G16" s="78" t="n">
        <x:v>311.8</x:v>
      </x:c>
      <x:c r="H16" s="79" t="str">
        <x:v>池-数量；品质权重=青铜,白银,黄金,钻石</x:v>
      </x:c>
      <x:c r="I16" s="80" t="n">
        <x:v>6</x:v>
      </x:c>
      <x:c r="J16" s="80" t="n">
        <x:v>1.1058</x:v>
      </x:c>
      <x:c r="K16" s="80" t="n">
        <x:v>47</x:v>
      </x:c>
      <x:c r="L16" t="str">
        <x:v>本行威胁=候选池平均效果分×出怪数×品质期望倍率；品质权重顺序=青铜,白银,黄金,钻石</x:v>
      </x:c>
    </x:row>
    <x:row r="17" ht="22" customHeight="1">
      <x:c r="A17" s="42" t="str">
        <x:v>wave_d02_afternoon</x:v>
      </x:c>
      <x:c r="B17" s="42" t="n">
        <x:v>2</x:v>
      </x:c>
      <x:c r="C17" s="42" t="str">
        <x:v>下午</x:v>
      </x:c>
      <x:c r="D17" s="42" t="n">
        <x:v>1</x:v>
      </x:c>
      <x:c r="E17" s="42" t="str">
        <x:v>1,2,3,4,5-2</x:v>
      </x:c>
      <x:c r="F17" s="42" t="str">
        <x:v>90,10,0,0</x:v>
      </x:c>
      <x:c r="G17" s="78" t="n">
        <x:v>98.7</x:v>
      </x:c>
      <x:c r="H17" s="79" t="str">
        <x:v>池-数量；品质权重=青铜,白银,黄金,钻石</x:v>
      </x:c>
      <x:c r="I17" s="80" t="n">
        <x:v>2</x:v>
      </x:c>
      <x:c r="J17" s="80" t="n">
        <x:v>1.05</x:v>
      </x:c>
      <x:c r="K17" s="80" t="n">
        <x:v>47</x:v>
      </x:c>
      <x:c r="L17" t="str">
        <x:v>本行威胁=候选池平均效果分×出怪数×品质期望倍率；品质权重顺序=青铜,白银,黄金,钻石</x:v>
      </x:c>
    </x:row>
    <x:row r="18" ht="22" customHeight="1">
      <x:c r="A18" s="42" t="str">
        <x:v>wave_d02_afternoon</x:v>
      </x:c>
      <x:c r="B18" s="42" t="n">
        <x:v>2</x:v>
      </x:c>
      <x:c r="C18" s="42" t="str">
        <x:v>下午</x:v>
      </x:c>
      <x:c r="D18" s="42" t="n">
        <x:v>2</x:v>
      </x:c>
      <x:c r="E18" s="42" t="str">
        <x:v>1,2,3,4,5-3</x:v>
      </x:c>
      <x:c r="F18" s="42" t="str">
        <x:v>90,10,0,1</x:v>
      </x:c>
      <x:c r="G18" s="78" t="n">
        <x:v>150.1</x:v>
      </x:c>
      <x:c r="H18" s="79" t="str">
        <x:v>池-数量；品质权重=青铜,白银,黄金,钻石</x:v>
      </x:c>
      <x:c r="I18" s="80" t="n">
        <x:v>3</x:v>
      </x:c>
      <x:c r="J18" s="80" t="n">
        <x:v>1.0644</x:v>
      </x:c>
      <x:c r="K18" s="80" t="n">
        <x:v>47</x:v>
      </x:c>
      <x:c r="L18" t="str">
        <x:v>本行威胁=候选池平均效果分×出怪数×品质期望倍率；品质权重顺序=青铜,白银,黄金,钻石</x:v>
      </x:c>
    </x:row>
    <x:row r="19" ht="22" customHeight="1">
      <x:c r="A19" s="42" t="str">
        <x:v>wave_d02_afternoon</x:v>
      </x:c>
      <x:c r="B19" s="42" t="n">
        <x:v>2</x:v>
      </x:c>
      <x:c r="C19" s="42" t="str">
        <x:v>下午</x:v>
      </x:c>
      <x:c r="D19" s="42" t="n">
        <x:v>2</x:v>
      </x:c>
      <x:c r="E19" s="42" t="str">
        <x:v>1,2,3,4,5-3</x:v>
      </x:c>
      <x:c r="F19" s="42" t="str">
        <x:v>90,10,0,1</x:v>
      </x:c>
      <x:c r="G19" s="78" t="n">
        <x:v>150.1</x:v>
      </x:c>
      <x:c r="H19" s="79" t="str">
        <x:v>池-数量；品质权重=青铜,白银,黄金,钻石</x:v>
      </x:c>
      <x:c r="I19" s="80" t="n">
        <x:v>3</x:v>
      </x:c>
      <x:c r="J19" s="80" t="n">
        <x:v>1.0644</x:v>
      </x:c>
      <x:c r="K19" s="80" t="n">
        <x:v>47</x:v>
      </x:c>
      <x:c r="L19" t="str">
        <x:v>本行威胁=候选池平均效果分×出怪数×品质期望倍率；品质权重顺序=青铜,白银,黄金,钻石</x:v>
      </x:c>
    </x:row>
    <x:row r="20" ht="22" customHeight="1">
      <x:c r="A20" s="42" t="str">
        <x:v>wave_d02_afternoon</x:v>
      </x:c>
      <x:c r="B20" s="42" t="n">
        <x:v>2</x:v>
      </x:c>
      <x:c r="C20" s="42" t="str">
        <x:v>下午</x:v>
      </x:c>
      <x:c r="D20" s="42" t="n">
        <x:v>3</x:v>
      </x:c>
      <x:c r="E20" s="42" t="str">
        <x:v>1,2,3,4,5-4</x:v>
      </x:c>
      <x:c r="F20" s="42" t="str">
        <x:v>90,10,0,2</x:v>
      </x:c>
      <x:c r="G20" s="78" t="n">
        <x:v>202.7</x:v>
      </x:c>
      <x:c r="H20" s="79" t="str">
        <x:v>池-数量；品质权重=青铜,白银,黄金,钻石</x:v>
      </x:c>
      <x:c r="I20" s="80" t="n">
        <x:v>4</x:v>
      </x:c>
      <x:c r="J20" s="80" t="n">
        <x:v>1.0784</x:v>
      </x:c>
      <x:c r="K20" s="80" t="n">
        <x:v>47</x:v>
      </x:c>
      <x:c r="L20" t="str">
        <x:v>本行威胁=候选池平均效果分×出怪数×品质期望倍率；品质权重顺序=青铜,白银,黄金,钻石</x:v>
      </x:c>
    </x:row>
    <x:row r="21" ht="22" customHeight="1">
      <x:c r="A21" s="42" t="str">
        <x:v>wave_d02_afternoon</x:v>
      </x:c>
      <x:c r="B21" s="42" t="n">
        <x:v>2</x:v>
      </x:c>
      <x:c r="C21" s="42" t="str">
        <x:v>下午</x:v>
      </x:c>
      <x:c r="D21" s="42" t="n">
        <x:v>4</x:v>
      </x:c>
      <x:c r="E21" s="42" t="str">
        <x:v>1,2,3,4,5-5</x:v>
      </x:c>
      <x:c r="F21" s="42" t="str">
        <x:v>90,10,0,3</x:v>
      </x:c>
      <x:c r="G21" s="78" t="n">
        <x:v>256.7</x:v>
      </x:c>
      <x:c r="H21" s="79" t="str">
        <x:v>池-数量；品质权重=青铜,白银,黄金,钻石</x:v>
      </x:c>
      <x:c r="I21" s="80" t="n">
        <x:v>5</x:v>
      </x:c>
      <x:c r="J21" s="80" t="n">
        <x:v>1.0922</x:v>
      </x:c>
      <x:c r="K21" s="80" t="n">
        <x:v>47</x:v>
      </x:c>
      <x:c r="L21" t="str">
        <x:v>本行威胁=候选池平均效果分×出怪数×品质期望倍率；品质权重顺序=青铜,白银,黄金,钻石</x:v>
      </x:c>
    </x:row>
    <x:row r="22" ht="22" customHeight="1">
      <x:c r="A22" s="42" t="str">
        <x:v>wave_d02_afternoon</x:v>
      </x:c>
      <x:c r="B22" s="42" t="n">
        <x:v>2</x:v>
      </x:c>
      <x:c r="C22" s="42" t="str">
        <x:v>下午</x:v>
      </x:c>
      <x:c r="D22" s="42" t="n">
        <x:v>5</x:v>
      </x:c>
      <x:c r="E22" s="42" t="str">
        <x:v>1,2,3,4,5-6</x:v>
      </x:c>
      <x:c r="F22" s="42" t="str">
        <x:v>90,10,0,4</x:v>
      </x:c>
      <x:c r="G22" s="78" t="n">
        <x:v>311.8</x:v>
      </x:c>
      <x:c r="H22" s="79" t="str">
        <x:v>池-数量；品质权重=青铜,白银,黄金,钻石</x:v>
      </x:c>
      <x:c r="I22" s="80" t="n">
        <x:v>6</x:v>
      </x:c>
      <x:c r="J22" s="80" t="n">
        <x:v>1.1058</x:v>
      </x:c>
      <x:c r="K22" s="80" t="n">
        <x:v>47</x:v>
      </x:c>
      <x:c r="L22" t="str">
        <x:v>本行威胁=候选池平均效果分×出怪数×品质期望倍率；品质权重顺序=青铜,白银,黄金,钻石</x:v>
      </x:c>
    </x:row>
    <x:row r="23" ht="22" customHeight="1">
      <x:c r="A23" s="42" t="str">
        <x:v>wave_d03_morning</x:v>
      </x:c>
      <x:c r="B23" s="42" t="n">
        <x:v>3</x:v>
      </x:c>
      <x:c r="C23" s="42" t="str">
        <x:v>上午</x:v>
      </x:c>
      <x:c r="D23" s="42" t="n">
        <x:v>1</x:v>
      </x:c>
      <x:c r="E23" s="42" t="str">
        <x:v>1,2,3,4,5-2</x:v>
      </x:c>
      <x:c r="F23" s="42" t="str">
        <x:v>90,10,0,0</x:v>
      </x:c>
      <x:c r="G23" s="78" t="n">
        <x:v>98.7</x:v>
      </x:c>
      <x:c r="H23" s="79" t="str">
        <x:v>池-数量；品质权重=青铜,白银,黄金,钻石</x:v>
      </x:c>
      <x:c r="I23" s="80" t="n">
        <x:v>2</x:v>
      </x:c>
      <x:c r="J23" s="80" t="n">
        <x:v>1.05</x:v>
      </x:c>
      <x:c r="K23" s="80" t="n">
        <x:v>47</x:v>
      </x:c>
      <x:c r="L23" t="str">
        <x:v>本行威胁=候选池平均效果分×出怪数×品质期望倍率；品质权重顺序=青铜,白银,黄金,钻石</x:v>
      </x:c>
    </x:row>
    <x:row r="24" ht="22" customHeight="1">
      <x:c r="A24" s="42" t="str">
        <x:v>wave_d03_morning</x:v>
      </x:c>
      <x:c r="B24" s="42" t="n">
        <x:v>3</x:v>
      </x:c>
      <x:c r="C24" s="42" t="str">
        <x:v>上午</x:v>
      </x:c>
      <x:c r="D24" s="42" t="n">
        <x:v>2</x:v>
      </x:c>
      <x:c r="E24" s="42" t="str">
        <x:v>1,2,3,4,5-3</x:v>
      </x:c>
      <x:c r="F24" s="42" t="str">
        <x:v>90,10,0,1</x:v>
      </x:c>
      <x:c r="G24" s="78" t="n">
        <x:v>150.1</x:v>
      </x:c>
      <x:c r="H24" s="79" t="str">
        <x:v>池-数量；品质权重=青铜,白银,黄金,钻石</x:v>
      </x:c>
      <x:c r="I24" s="80" t="n">
        <x:v>3</x:v>
      </x:c>
      <x:c r="J24" s="80" t="n">
        <x:v>1.0644</x:v>
      </x:c>
      <x:c r="K24" s="80" t="n">
        <x:v>47</x:v>
      </x:c>
      <x:c r="L24" t="str">
        <x:v>本行威胁=候选池平均效果分×出怪数×品质期望倍率；品质权重顺序=青铜,白银,黄金,钻石</x:v>
      </x:c>
    </x:row>
    <x:row r="25" ht="22" customHeight="1">
      <x:c r="A25" s="42" t="str">
        <x:v>wave_d03_morning</x:v>
      </x:c>
      <x:c r="B25" s="42" t="n">
        <x:v>3</x:v>
      </x:c>
      <x:c r="C25" s="42" t="str">
        <x:v>上午</x:v>
      </x:c>
      <x:c r="D25" s="42" t="n">
        <x:v>3</x:v>
      </x:c>
      <x:c r="E25" s="42" t="str">
        <x:v>1,2,3,4,5-4</x:v>
      </x:c>
      <x:c r="F25" s="42" t="str">
        <x:v>90,10,0,2</x:v>
      </x:c>
      <x:c r="G25" s="78" t="n">
        <x:v>202.7</x:v>
      </x:c>
      <x:c r="H25" s="79" t="str">
        <x:v>池-数量；品质权重=青铜,白银,黄金,钻石</x:v>
      </x:c>
      <x:c r="I25" s="80" t="n">
        <x:v>4</x:v>
      </x:c>
      <x:c r="J25" s="80" t="n">
        <x:v>1.0784</x:v>
      </x:c>
      <x:c r="K25" s="80" t="n">
        <x:v>47</x:v>
      </x:c>
      <x:c r="L25" t="str">
        <x:v>本行威胁=候选池平均效果分×出怪数×品质期望倍率；品质权重顺序=青铜,白银,黄金,钻石</x:v>
      </x:c>
    </x:row>
    <x:row r="26" ht="22" customHeight="1">
      <x:c r="A26" s="42" t="str">
        <x:v>wave_d03_morning</x:v>
      </x:c>
      <x:c r="B26" s="42" t="n">
        <x:v>3</x:v>
      </x:c>
      <x:c r="C26" s="42" t="str">
        <x:v>上午</x:v>
      </x:c>
      <x:c r="D26" s="42" t="n">
        <x:v>4</x:v>
      </x:c>
      <x:c r="E26" s="42" t="str">
        <x:v>1,2,3,4,5-5</x:v>
      </x:c>
      <x:c r="F26" s="42" t="str">
        <x:v>90,10,0,3</x:v>
      </x:c>
      <x:c r="G26" s="78" t="n">
        <x:v>256.7</x:v>
      </x:c>
      <x:c r="H26" s="79" t="str">
        <x:v>池-数量；品质权重=青铜,白银,黄金,钻石</x:v>
      </x:c>
      <x:c r="I26" s="80" t="n">
        <x:v>5</x:v>
      </x:c>
      <x:c r="J26" s="80" t="n">
        <x:v>1.0922</x:v>
      </x:c>
      <x:c r="K26" s="80" t="n">
        <x:v>47</x:v>
      </x:c>
      <x:c r="L26" t="str">
        <x:v>本行威胁=候选池平均效果分×出怪数×品质期望倍率；品质权重顺序=青铜,白银,黄金,钻石</x:v>
      </x:c>
    </x:row>
    <x:row r="27" ht="22" customHeight="1">
      <x:c r="A27" s="42" t="str">
        <x:v>wave_d03_morning</x:v>
      </x:c>
      <x:c r="B27" s="42" t="n">
        <x:v>3</x:v>
      </x:c>
      <x:c r="C27" s="42" t="str">
        <x:v>上午</x:v>
      </x:c>
      <x:c r="D27" s="42" t="n">
        <x:v>5</x:v>
      </x:c>
      <x:c r="E27" s="42" t="str">
        <x:v>1,2,3,4,5-6</x:v>
      </x:c>
      <x:c r="F27" s="42" t="str">
        <x:v>90,10,0,4</x:v>
      </x:c>
      <x:c r="G27" s="78" t="n">
        <x:v>311.8</x:v>
      </x:c>
      <x:c r="H27" s="79" t="str">
        <x:v>池-数量；品质权重=青铜,白银,黄金,钻石</x:v>
      </x:c>
      <x:c r="I27" s="80" t="n">
        <x:v>6</x:v>
      </x:c>
      <x:c r="J27" s="80" t="n">
        <x:v>1.1058</x:v>
      </x:c>
      <x:c r="K27" s="80" t="n">
        <x:v>47</x:v>
      </x:c>
      <x:c r="L27" t="str">
        <x:v>本行威胁=候选池平均效果分×出怪数×品质期望倍率；品质权重顺序=青铜,白银,黄金,钻石</x:v>
      </x:c>
    </x:row>
    <x:row r="28" ht="22" customHeight="1">
      <x:c r="A28" s="42" t="str">
        <x:v>wave_d03_afternoon</x:v>
      </x:c>
      <x:c r="B28" s="42" t="n">
        <x:v>3</x:v>
      </x:c>
      <x:c r="C28" s="42" t="str">
        <x:v>下午</x:v>
      </x:c>
      <x:c r="D28" s="42" t="n">
        <x:v>1</x:v>
      </x:c>
      <x:c r="E28" s="42" t="str">
        <x:v>1,2,3,4,5-2</x:v>
      </x:c>
      <x:c r="F28" s="42" t="str">
        <x:v>90,10,0,0</x:v>
      </x:c>
      <x:c r="G28" s="78" t="n">
        <x:v>98.7</x:v>
      </x:c>
      <x:c r="H28" s="79" t="str">
        <x:v>池-数量；品质权重=青铜,白银,黄金,钻石</x:v>
      </x:c>
      <x:c r="I28" s="80" t="n">
        <x:v>2</x:v>
      </x:c>
      <x:c r="J28" s="80" t="n">
        <x:v>1.05</x:v>
      </x:c>
      <x:c r="K28" s="80" t="n">
        <x:v>47</x:v>
      </x:c>
      <x:c r="L28" t="str">
        <x:v>本行威胁=候选池平均效果分×出怪数×品质期望倍率；品质权重顺序=青铜,白银,黄金,钻石</x:v>
      </x:c>
    </x:row>
    <x:row r="29" ht="22" customHeight="1">
      <x:c r="A29" s="42" t="str">
        <x:v>wave_d03_afternoon</x:v>
      </x:c>
      <x:c r="B29" s="42" t="n">
        <x:v>3</x:v>
      </x:c>
      <x:c r="C29" s="42" t="str">
        <x:v>下午</x:v>
      </x:c>
      <x:c r="D29" s="42" t="n">
        <x:v>2</x:v>
      </x:c>
      <x:c r="E29" s="42" t="str">
        <x:v>1,2,3,4,5-3</x:v>
      </x:c>
      <x:c r="F29" s="42" t="str">
        <x:v>90,10,0,1</x:v>
      </x:c>
      <x:c r="G29" s="78" t="n">
        <x:v>150.1</x:v>
      </x:c>
      <x:c r="H29" s="79" t="str">
        <x:v>池-数量；品质权重=青铜,白银,黄金,钻石</x:v>
      </x:c>
      <x:c r="I29" s="80" t="n">
        <x:v>3</x:v>
      </x:c>
      <x:c r="J29" s="80" t="n">
        <x:v>1.0644</x:v>
      </x:c>
      <x:c r="K29" s="80" t="n">
        <x:v>47</x:v>
      </x:c>
      <x:c r="L29" t="str">
        <x:v>本行威胁=候选池平均效果分×出怪数×品质期望倍率；品质权重顺序=青铜,白银,黄金,钻石</x:v>
      </x:c>
    </x:row>
    <x:row r="30" ht="22" customHeight="1">
      <x:c r="A30" s="42" t="str">
        <x:v>wave_d03_afternoon</x:v>
      </x:c>
      <x:c r="B30" s="42" t="n">
        <x:v>3</x:v>
      </x:c>
      <x:c r="C30" s="42" t="str">
        <x:v>下午</x:v>
      </x:c>
      <x:c r="D30" s="42" t="n">
        <x:v>3</x:v>
      </x:c>
      <x:c r="E30" s="42" t="str">
        <x:v>1,2,3,4,5-4</x:v>
      </x:c>
      <x:c r="F30" s="42" t="str">
        <x:v>90,10,0,2</x:v>
      </x:c>
      <x:c r="G30" s="78" t="n">
        <x:v>202.7</x:v>
      </x:c>
      <x:c r="H30" s="79" t="str">
        <x:v>池-数量；品质权重=青铜,白银,黄金,钻石</x:v>
      </x:c>
      <x:c r="I30" s="80" t="n">
        <x:v>4</x:v>
      </x:c>
      <x:c r="J30" s="80" t="n">
        <x:v>1.0784</x:v>
      </x:c>
      <x:c r="K30" s="80" t="n">
        <x:v>47</x:v>
      </x:c>
      <x:c r="L30" t="str">
        <x:v>本行威胁=候选池平均效果分×出怪数×品质期望倍率；品质权重顺序=青铜,白银,黄金,钻石</x:v>
      </x:c>
    </x:row>
    <x:row r="31" ht="22" customHeight="1">
      <x:c r="A31" s="42" t="str">
        <x:v>wave_d03_afternoon</x:v>
      </x:c>
      <x:c r="B31" s="42" t="n">
        <x:v>3</x:v>
      </x:c>
      <x:c r="C31" s="42" t="str">
        <x:v>下午</x:v>
      </x:c>
      <x:c r="D31" s="42" t="n">
        <x:v>4</x:v>
      </x:c>
      <x:c r="E31" s="42" t="str">
        <x:v>1,2,3,4,5-5</x:v>
      </x:c>
      <x:c r="F31" s="42" t="str">
        <x:v>90,10,0,3</x:v>
      </x:c>
      <x:c r="G31" s="78" t="n">
        <x:v>256.7</x:v>
      </x:c>
      <x:c r="H31" s="79" t="str">
        <x:v>池-数量；品质权重=青铜,白银,黄金,钻石</x:v>
      </x:c>
      <x:c r="I31" s="80" t="n">
        <x:v>5</x:v>
      </x:c>
      <x:c r="J31" s="80" t="n">
        <x:v>1.0922</x:v>
      </x:c>
      <x:c r="K31" s="80" t="n">
        <x:v>47</x:v>
      </x:c>
      <x:c r="L31" t="str">
        <x:v>本行威胁=候选池平均效果分×出怪数×品质期望倍率；品质权重顺序=青铜,白银,黄金,钻石</x:v>
      </x:c>
    </x:row>
    <x:row r="32" ht="22" customHeight="1">
      <x:c r="A32" s="42" t="str">
        <x:v>wave_d03_afternoon</x:v>
      </x:c>
      <x:c r="B32" s="42" t="n">
        <x:v>3</x:v>
      </x:c>
      <x:c r="C32" s="42" t="str">
        <x:v>下午</x:v>
      </x:c>
      <x:c r="D32" s="42" t="n">
        <x:v>5</x:v>
      </x:c>
      <x:c r="E32" s="42" t="str">
        <x:v>1,2,3,4,5-6</x:v>
      </x:c>
      <x:c r="F32" s="42" t="str">
        <x:v>90,10,0,4</x:v>
      </x:c>
      <x:c r="G32" s="78" t="n">
        <x:v>311.8</x:v>
      </x:c>
      <x:c r="H32" s="79" t="str">
        <x:v>池-数量；品质权重=青铜,白银,黄金,钻石</x:v>
      </x:c>
      <x:c r="I32" s="80" t="n">
        <x:v>6</x:v>
      </x:c>
      <x:c r="J32" s="80" t="n">
        <x:v>1.1058</x:v>
      </x:c>
      <x:c r="K32" s="80" t="n">
        <x:v>47</x:v>
      </x:c>
      <x:c r="L32" t="str">
        <x:v>本行威胁=候选池平均效果分×出怪数×品质期望倍率；品质权重顺序=青铜,白银,黄金,钻石</x:v>
      </x:c>
    </x:row>
    <x:row r="33" ht="22" customHeight="1">
      <x:c r="A33" s="42" t="str">
        <x:v>wave_d04_morning</x:v>
      </x:c>
      <x:c r="B33" s="42" t="n">
        <x:v>4</x:v>
      </x:c>
      <x:c r="C33" s="42" t="str">
        <x:v>上午</x:v>
      </x:c>
      <x:c r="D33" s="42" t="n">
        <x:v>1</x:v>
      </x:c>
      <x:c r="E33" s="42" t="str">
        <x:v>1,2,3,4,5-2</x:v>
      </x:c>
      <x:c r="F33" s="42" t="str">
        <x:v>90,10,0,0</x:v>
      </x:c>
      <x:c r="G33" s="78" t="n">
        <x:v>98.7</x:v>
      </x:c>
      <x:c r="H33" s="79" t="str">
        <x:v>池-数量；品质权重=青铜,白银,黄金,钻石</x:v>
      </x:c>
      <x:c r="I33" s="80" t="n">
        <x:v>2</x:v>
      </x:c>
      <x:c r="J33" s="80" t="n">
        <x:v>1.05</x:v>
      </x:c>
      <x:c r="K33" s="80" t="n">
        <x:v>47</x:v>
      </x:c>
      <x:c r="L33" t="str">
        <x:v>本行威胁=候选池平均效果分×出怪数×品质期望倍率；品质权重顺序=青铜,白银,黄金,钻石</x:v>
      </x:c>
    </x:row>
    <x:row r="34" ht="22" customHeight="1">
      <x:c r="A34" s="42" t="str">
        <x:v>wave_d04_morning</x:v>
      </x:c>
      <x:c r="B34" s="42" t="n">
        <x:v>4</x:v>
      </x:c>
      <x:c r="C34" s="42" t="str">
        <x:v>上午</x:v>
      </x:c>
      <x:c r="D34" s="42" t="n">
        <x:v>2</x:v>
      </x:c>
      <x:c r="E34" s="42" t="str">
        <x:v>1,2,3,4,5-3</x:v>
      </x:c>
      <x:c r="F34" s="42" t="str">
        <x:v>90,10,0,1</x:v>
      </x:c>
      <x:c r="G34" s="78" t="n">
        <x:v>150.1</x:v>
      </x:c>
      <x:c r="H34" s="79" t="str">
        <x:v>池-数量；品质权重=青铜,白银,黄金,钻石</x:v>
      </x:c>
      <x:c r="I34" s="80" t="n">
        <x:v>3</x:v>
      </x:c>
      <x:c r="J34" s="80" t="n">
        <x:v>1.0644</x:v>
      </x:c>
      <x:c r="K34" s="80" t="n">
        <x:v>47</x:v>
      </x:c>
      <x:c r="L34" t="str">
        <x:v>本行威胁=候选池平均效果分×出怪数×品质期望倍率；品质权重顺序=青铜,白银,黄金,钻石</x:v>
      </x:c>
    </x:row>
    <x:row r="35" ht="22" customHeight="1">
      <x:c r="A35" s="42" t="str">
        <x:v>wave_d04_morning</x:v>
      </x:c>
      <x:c r="B35" s="42" t="n">
        <x:v>4</x:v>
      </x:c>
      <x:c r="C35" s="42" t="str">
        <x:v>上午</x:v>
      </x:c>
      <x:c r="D35" s="42" t="n">
        <x:v>3</x:v>
      </x:c>
      <x:c r="E35" s="42" t="str">
        <x:v>1,2,3,4,5-4</x:v>
      </x:c>
      <x:c r="F35" s="42" t="str">
        <x:v>90,10,0,2</x:v>
      </x:c>
      <x:c r="G35" s="78" t="n">
        <x:v>202.7</x:v>
      </x:c>
      <x:c r="H35" s="79" t="str">
        <x:v>池-数量；品质权重=青铜,白银,黄金,钻石</x:v>
      </x:c>
      <x:c r="I35" s="80" t="n">
        <x:v>4</x:v>
      </x:c>
      <x:c r="J35" s="80" t="n">
        <x:v>1.0784</x:v>
      </x:c>
      <x:c r="K35" s="80" t="n">
        <x:v>47</x:v>
      </x:c>
      <x:c r="L35" t="str">
        <x:v>本行威胁=候选池平均效果分×出怪数×品质期望倍率；品质权重顺序=青铜,白银,黄金,钻石</x:v>
      </x:c>
    </x:row>
    <x:row r="36" ht="22" customHeight="1">
      <x:c r="A36" s="42" t="str">
        <x:v>wave_d04_morning</x:v>
      </x:c>
      <x:c r="B36" s="42" t="n">
        <x:v>4</x:v>
      </x:c>
      <x:c r="C36" s="42" t="str">
        <x:v>上午</x:v>
      </x:c>
      <x:c r="D36" s="42" t="n">
        <x:v>4</x:v>
      </x:c>
      <x:c r="E36" s="42" t="str">
        <x:v>1,2,3,4,5-5</x:v>
      </x:c>
      <x:c r="F36" s="42" t="str">
        <x:v>90,10,0,3</x:v>
      </x:c>
      <x:c r="G36" s="78" t="n">
        <x:v>256.7</x:v>
      </x:c>
      <x:c r="H36" s="79" t="str">
        <x:v>池-数量；品质权重=青铜,白银,黄金,钻石</x:v>
      </x:c>
      <x:c r="I36" s="80" t="n">
        <x:v>5</x:v>
      </x:c>
      <x:c r="J36" s="80" t="n">
        <x:v>1.0922</x:v>
      </x:c>
      <x:c r="K36" s="80" t="n">
        <x:v>47</x:v>
      </x:c>
      <x:c r="L36" t="str">
        <x:v>本行威胁=候选池平均效果分×出怪数×品质期望倍率；品质权重顺序=青铜,白银,黄金,钻石</x:v>
      </x:c>
    </x:row>
    <x:row r="37" ht="22" customHeight="1">
      <x:c r="A37" s="42" t="str">
        <x:v>wave_d04_morning</x:v>
      </x:c>
      <x:c r="B37" s="42" t="n">
        <x:v>4</x:v>
      </x:c>
      <x:c r="C37" s="42" t="str">
        <x:v>上午</x:v>
      </x:c>
      <x:c r="D37" s="42" t="n">
        <x:v>5</x:v>
      </x:c>
      <x:c r="E37" s="42" t="str">
        <x:v>1,2,3,4,5-6</x:v>
      </x:c>
      <x:c r="F37" s="42" t="str">
        <x:v>90,10,0,4</x:v>
      </x:c>
      <x:c r="G37" s="78" t="n">
        <x:v>311.8</x:v>
      </x:c>
      <x:c r="H37" s="79" t="str">
        <x:v>池-数量；品质权重=青铜,白银,黄金,钻石</x:v>
      </x:c>
      <x:c r="I37" s="80" t="n">
        <x:v>6</x:v>
      </x:c>
      <x:c r="J37" s="80" t="n">
        <x:v>1.1058</x:v>
      </x:c>
      <x:c r="K37" s="80" t="n">
        <x:v>47</x:v>
      </x:c>
      <x:c r="L37" t="str">
        <x:v>本行威胁=候选池平均效果分×出怪数×品质期望倍率；品质权重顺序=青铜,白银,黄金,钻石</x:v>
      </x:c>
    </x:row>
    <x:row r="38" ht="22" customHeight="1">
      <x:c r="A38" s="42" t="str">
        <x:v>wave_d04_afternoon</x:v>
      </x:c>
      <x:c r="B38" s="42" t="n">
        <x:v>4</x:v>
      </x:c>
      <x:c r="C38" s="42" t="str">
        <x:v>下午</x:v>
      </x:c>
      <x:c r="D38" s="42" t="n">
        <x:v>1</x:v>
      </x:c>
      <x:c r="E38" s="42" t="str">
        <x:v>1,2,3,4,5-2</x:v>
      </x:c>
      <x:c r="F38" s="42" t="str">
        <x:v>90,10,0,0</x:v>
      </x:c>
      <x:c r="G38" s="78" t="n">
        <x:v>98.7</x:v>
      </x:c>
      <x:c r="H38" s="79" t="str">
        <x:v>池-数量；品质权重=青铜,白银,黄金,钻石</x:v>
      </x:c>
      <x:c r="I38" s="80" t="n">
        <x:v>2</x:v>
      </x:c>
      <x:c r="J38" s="80" t="n">
        <x:v>1.05</x:v>
      </x:c>
      <x:c r="K38" s="80" t="n">
        <x:v>47</x:v>
      </x:c>
      <x:c r="L38" t="str">
        <x:v>本行威胁=候选池平均效果分×出怪数×品质期望倍率；品质权重顺序=青铜,白银,黄金,钻石</x:v>
      </x:c>
    </x:row>
    <x:row r="39" ht="22" customHeight="1">
      <x:c r="A39" s="42" t="str">
        <x:v>wave_d04_afternoon</x:v>
      </x:c>
      <x:c r="B39" s="42" t="n">
        <x:v>4</x:v>
      </x:c>
      <x:c r="C39" s="42" t="str">
        <x:v>下午</x:v>
      </x:c>
      <x:c r="D39" s="42" t="n">
        <x:v>2</x:v>
      </x:c>
      <x:c r="E39" s="42" t="str">
        <x:v>1,2,3,4,5-3</x:v>
      </x:c>
      <x:c r="F39" s="42" t="str">
        <x:v>90,10,0,1</x:v>
      </x:c>
      <x:c r="G39" s="78" t="n">
        <x:v>150.1</x:v>
      </x:c>
      <x:c r="H39" s="79" t="str">
        <x:v>池-数量；品质权重=青铜,白银,黄金,钻石</x:v>
      </x:c>
      <x:c r="I39" s="80" t="n">
        <x:v>3</x:v>
      </x:c>
      <x:c r="J39" s="80" t="n">
        <x:v>1.0644</x:v>
      </x:c>
      <x:c r="K39" s="80" t="n">
        <x:v>47</x:v>
      </x:c>
      <x:c r="L39" t="str">
        <x:v>本行威胁=候选池平均效果分×出怪数×品质期望倍率；品质权重顺序=青铜,白银,黄金,钻石</x:v>
      </x:c>
    </x:row>
    <x:row r="40" ht="22" customHeight="1">
      <x:c r="A40" s="42" t="str">
        <x:v>wave_d04_afternoon</x:v>
      </x:c>
      <x:c r="B40" s="42" t="n">
        <x:v>4</x:v>
      </x:c>
      <x:c r="C40" s="42" t="str">
        <x:v>下午</x:v>
      </x:c>
      <x:c r="D40" s="42" t="n">
        <x:v>2</x:v>
      </x:c>
      <x:c r="E40" s="42" t="str">
        <x:v>1,2,3,4,5-3</x:v>
      </x:c>
      <x:c r="F40" s="42" t="str">
        <x:v>90,10,0,1</x:v>
      </x:c>
      <x:c r="G40" s="78" t="n">
        <x:v>150.1</x:v>
      </x:c>
      <x:c r="H40" s="79" t="str">
        <x:v>池-数量；品质权重=青铜,白银,黄金,钻石</x:v>
      </x:c>
      <x:c r="I40" s="80" t="n">
        <x:v>3</x:v>
      </x:c>
      <x:c r="J40" s="80" t="n">
        <x:v>1.0644</x:v>
      </x:c>
      <x:c r="K40" s="80" t="n">
        <x:v>47</x:v>
      </x:c>
      <x:c r="L40" t="str">
        <x:v>本行威胁=候选池平均效果分×出怪数×品质期望倍率；品质权重顺序=青铜,白银,黄金,钻石</x:v>
      </x:c>
    </x:row>
    <x:row r="41" ht="22" customHeight="1">
      <x:c r="A41" s="42" t="str">
        <x:v>wave_d04_afternoon</x:v>
      </x:c>
      <x:c r="B41" s="42" t="n">
        <x:v>4</x:v>
      </x:c>
      <x:c r="C41" s="42" t="str">
        <x:v>下午</x:v>
      </x:c>
      <x:c r="D41" s="42" t="n">
        <x:v>3</x:v>
      </x:c>
      <x:c r="E41" s="42" t="str">
        <x:v>1,2,3,4,5-4</x:v>
      </x:c>
      <x:c r="F41" s="42" t="str">
        <x:v>90,10,0,2</x:v>
      </x:c>
      <x:c r="G41" s="78" t="n">
        <x:v>202.7</x:v>
      </x:c>
      <x:c r="H41" s="79" t="str">
        <x:v>池-数量；品质权重=青铜,白银,黄金,钻石</x:v>
      </x:c>
      <x:c r="I41" s="80" t="n">
        <x:v>4</x:v>
      </x:c>
      <x:c r="J41" s="80" t="n">
        <x:v>1.0784</x:v>
      </x:c>
      <x:c r="K41" s="80" t="n">
        <x:v>47</x:v>
      </x:c>
      <x:c r="L41" t="str">
        <x:v>本行威胁=候选池平均效果分×出怪数×品质期望倍率；品质权重顺序=青铜,白银,黄金,钻石</x:v>
      </x:c>
    </x:row>
    <x:row r="42" ht="22" customHeight="1">
      <x:c r="A42" s="42" t="str">
        <x:v>wave_d04_afternoon</x:v>
      </x:c>
      <x:c r="B42" s="42" t="n">
        <x:v>4</x:v>
      </x:c>
      <x:c r="C42" s="42" t="str">
        <x:v>下午</x:v>
      </x:c>
      <x:c r="D42" s="42" t="n">
        <x:v>4</x:v>
      </x:c>
      <x:c r="E42" s="42" t="str">
        <x:v>1,2,3,4,5-5</x:v>
      </x:c>
      <x:c r="F42" s="42" t="str">
        <x:v>90,10,0,3</x:v>
      </x:c>
      <x:c r="G42" s="78" t="n">
        <x:v>256.7</x:v>
      </x:c>
      <x:c r="H42" s="79" t="str">
        <x:v>池-数量；品质权重=青铜,白银,黄金,钻石</x:v>
      </x:c>
      <x:c r="I42" s="80" t="n">
        <x:v>5</x:v>
      </x:c>
      <x:c r="J42" s="80" t="n">
        <x:v>1.0922</x:v>
      </x:c>
      <x:c r="K42" s="80" t="n">
        <x:v>47</x:v>
      </x:c>
      <x:c r="L42" t="str">
        <x:v>本行威胁=候选池平均效果分×出怪数×品质期望倍率；品质权重顺序=青铜,白银,黄金,钻石</x:v>
      </x:c>
    </x:row>
    <x:row r="43" ht="22" customHeight="1">
      <x:c r="A43" s="42" t="str">
        <x:v>wave_d04_afternoon</x:v>
      </x:c>
      <x:c r="B43" s="42" t="n">
        <x:v>4</x:v>
      </x:c>
      <x:c r="C43" s="42" t="str">
        <x:v>下午</x:v>
      </x:c>
      <x:c r="D43" s="42" t="n">
        <x:v>5</x:v>
      </x:c>
      <x:c r="E43" s="42" t="str">
        <x:v>1,2,3,4,5-6</x:v>
      </x:c>
      <x:c r="F43" s="42" t="str">
        <x:v>90,10,0,4</x:v>
      </x:c>
      <x:c r="G43" s="78" t="n">
        <x:v>311.8</x:v>
      </x:c>
      <x:c r="H43" s="79" t="str">
        <x:v>池-数量；品质权重=青铜,白银,黄金,钻石</x:v>
      </x:c>
      <x:c r="I43" s="80" t="n">
        <x:v>6</x:v>
      </x:c>
      <x:c r="J43" s="80" t="n">
        <x:v>1.1058</x:v>
      </x:c>
      <x:c r="K43" s="80" t="n">
        <x:v>47</x:v>
      </x:c>
      <x:c r="L43" t="str">
        <x:v>本行威胁=候选池平均效果分×出怪数×品质期望倍率；品质权重顺序=青铜,白银,黄金,钻石</x:v>
      </x:c>
    </x:row>
    <x:row r="44" ht="22" customHeight="1">
      <x:c r="A44" s="42" t="str">
        <x:v>wave_d05_morning</x:v>
      </x:c>
      <x:c r="B44" s="42" t="n">
        <x:v>5</x:v>
      </x:c>
      <x:c r="C44" s="42" t="str">
        <x:v>上午</x:v>
      </x:c>
      <x:c r="D44" s="42" t="n">
        <x:v>1</x:v>
      </x:c>
      <x:c r="E44" s="42" t="str">
        <x:v>1,2,3,4,5-2</x:v>
      </x:c>
      <x:c r="F44" s="42" t="str">
        <x:v>90,10,0,0</x:v>
      </x:c>
      <x:c r="G44" s="78" t="n">
        <x:v>98.7</x:v>
      </x:c>
      <x:c r="H44" s="79" t="str">
        <x:v>池-数量；品质权重=青铜,白银,黄金,钻石</x:v>
      </x:c>
      <x:c r="I44" s="80" t="n">
        <x:v>2</x:v>
      </x:c>
      <x:c r="J44" s="80" t="n">
        <x:v>1.05</x:v>
      </x:c>
      <x:c r="K44" s="80" t="n">
        <x:v>47</x:v>
      </x:c>
      <x:c r="L44" t="str">
        <x:v>本行威胁=候选池平均效果分×出怪数×品质期望倍率；品质权重顺序=青铜,白银,黄金,钻石</x:v>
      </x:c>
    </x:row>
    <x:row r="45" ht="22" customHeight="1">
      <x:c r="A45" s="42" t="str">
        <x:v>wave_d05_morning</x:v>
      </x:c>
      <x:c r="B45" s="42" t="n">
        <x:v>5</x:v>
      </x:c>
      <x:c r="C45" s="42" t="str">
        <x:v>上午</x:v>
      </x:c>
      <x:c r="D45" s="42" t="n">
        <x:v>2</x:v>
      </x:c>
      <x:c r="E45" s="42" t="str">
        <x:v>1,2,3,4,5-3</x:v>
      </x:c>
      <x:c r="F45" s="42" t="str">
        <x:v>90,10,0,1</x:v>
      </x:c>
      <x:c r="G45" s="78" t="n">
        <x:v>150.1</x:v>
      </x:c>
      <x:c r="H45" s="79" t="str">
        <x:v>池-数量；品质权重=青铜,白银,黄金,钻石</x:v>
      </x:c>
      <x:c r="I45" s="80" t="n">
        <x:v>3</x:v>
      </x:c>
      <x:c r="J45" s="80" t="n">
        <x:v>1.0644</x:v>
      </x:c>
      <x:c r="K45" s="80" t="n">
        <x:v>47</x:v>
      </x:c>
      <x:c r="L45" t="str">
        <x:v>本行威胁=候选池平均效果分×出怪数×品质期望倍率；品质权重顺序=青铜,白银,黄金,钻石</x:v>
      </x:c>
    </x:row>
    <x:row r="46" ht="22" customHeight="1">
      <x:c r="A46" s="42" t="str">
        <x:v>wave_d05_morning</x:v>
      </x:c>
      <x:c r="B46" s="42" t="n">
        <x:v>5</x:v>
      </x:c>
      <x:c r="C46" s="42" t="str">
        <x:v>上午</x:v>
      </x:c>
      <x:c r="D46" s="42" t="n">
        <x:v>3</x:v>
      </x:c>
      <x:c r="E46" s="42" t="str">
        <x:v>1,2,3,4,5-4</x:v>
      </x:c>
      <x:c r="F46" s="42" t="str">
        <x:v>90,10,0,2</x:v>
      </x:c>
      <x:c r="G46" s="78" t="n">
        <x:v>202.7</x:v>
      </x:c>
      <x:c r="H46" s="79" t="str">
        <x:v>池-数量；品质权重=青铜,白银,黄金,钻石</x:v>
      </x:c>
      <x:c r="I46" s="80" t="n">
        <x:v>4</x:v>
      </x:c>
      <x:c r="J46" s="80" t="n">
        <x:v>1.0784</x:v>
      </x:c>
      <x:c r="K46" s="80" t="n">
        <x:v>47</x:v>
      </x:c>
      <x:c r="L46" t="str">
        <x:v>本行威胁=候选池平均效果分×出怪数×品质期望倍率；品质权重顺序=青铜,白银,黄金,钻石</x:v>
      </x:c>
    </x:row>
    <x:row r="47" ht="22" customHeight="1">
      <x:c r="A47" s="42" t="str">
        <x:v>wave_d05_morning</x:v>
      </x:c>
      <x:c r="B47" s="42" t="n">
        <x:v>5</x:v>
      </x:c>
      <x:c r="C47" s="42" t="str">
        <x:v>上午</x:v>
      </x:c>
      <x:c r="D47" s="42" t="n">
        <x:v>4</x:v>
      </x:c>
      <x:c r="E47" s="42" t="str">
        <x:v>1,2,3,4,5-5</x:v>
      </x:c>
      <x:c r="F47" s="42" t="str">
        <x:v>90,10,0,3</x:v>
      </x:c>
      <x:c r="G47" s="78" t="n">
        <x:v>256.7</x:v>
      </x:c>
      <x:c r="H47" s="79" t="str">
        <x:v>池-数量；品质权重=青铜,白银,黄金,钻石</x:v>
      </x:c>
      <x:c r="I47" s="80" t="n">
        <x:v>5</x:v>
      </x:c>
      <x:c r="J47" s="80" t="n">
        <x:v>1.0922</x:v>
      </x:c>
      <x:c r="K47" s="80" t="n">
        <x:v>47</x:v>
      </x:c>
      <x:c r="L47" t="str">
        <x:v>本行威胁=候选池平均效果分×出怪数×品质期望倍率；品质权重顺序=青铜,白银,黄金,钻石</x:v>
      </x:c>
    </x:row>
    <x:row r="48" ht="22" customHeight="1">
      <x:c r="A48" s="42" t="str">
        <x:v>wave_d05_morning</x:v>
      </x:c>
      <x:c r="B48" s="42" t="n">
        <x:v>5</x:v>
      </x:c>
      <x:c r="C48" s="42" t="str">
        <x:v>上午</x:v>
      </x:c>
      <x:c r="D48" s="42" t="n">
        <x:v>4</x:v>
      </x:c>
      <x:c r="E48" s="42" t="str">
        <x:v>1,2,3,4,5-5</x:v>
      </x:c>
      <x:c r="F48" s="42" t="str">
        <x:v>90,10,0,3</x:v>
      </x:c>
      <x:c r="G48" s="78" t="n">
        <x:v>256.7</x:v>
      </x:c>
      <x:c r="H48" s="79" t="str">
        <x:v>池-数量；品质权重=青铜,白银,黄金,钻石</x:v>
      </x:c>
      <x:c r="I48" s="80" t="n">
        <x:v>5</x:v>
      </x:c>
      <x:c r="J48" s="80" t="n">
        <x:v>1.0922</x:v>
      </x:c>
      <x:c r="K48" s="80" t="n">
        <x:v>47</x:v>
      </x:c>
      <x:c r="L48" t="str">
        <x:v>本行威胁=候选池平均效果分×出怪数×品质期望倍率；品质权重顺序=青铜,白银,黄金,钻石</x:v>
      </x:c>
    </x:row>
    <x:row r="49" ht="22" customHeight="1">
      <x:c r="A49" s="42" t="str">
        <x:v>wave_d05_morning</x:v>
      </x:c>
      <x:c r="B49" s="42" t="n">
        <x:v>5</x:v>
      </x:c>
      <x:c r="C49" s="42" t="str">
        <x:v>上午</x:v>
      </x:c>
      <x:c r="D49" s="42" t="n">
        <x:v>5</x:v>
      </x:c>
      <x:c r="E49" s="42" t="str">
        <x:v>1,2,3,4,5-6</x:v>
      </x:c>
      <x:c r="F49" s="42" t="str">
        <x:v>90,10,0,4</x:v>
      </x:c>
      <x:c r="G49" s="78" t="n">
        <x:v>311.8</x:v>
      </x:c>
      <x:c r="H49" s="79" t="str">
        <x:v>池-数量；品质权重=青铜,白银,黄金,钻石</x:v>
      </x:c>
      <x:c r="I49" s="80" t="n">
        <x:v>6</x:v>
      </x:c>
      <x:c r="J49" s="80" t="n">
        <x:v>1.1058</x:v>
      </x:c>
      <x:c r="K49" s="80" t="n">
        <x:v>47</x:v>
      </x:c>
      <x:c r="L49" t="str">
        <x:v>本行威胁=候选池平均效果分×出怪数×品质期望倍率；品质权重顺序=青铜,白银,黄金,钻石</x:v>
      </x:c>
    </x:row>
    <x:row r="50" ht="22" customHeight="1">
      <x:c r="A50" s="42" t="str">
        <x:v>wave_d05_morning</x:v>
      </x:c>
      <x:c r="B50" s="42" t="n">
        <x:v>5</x:v>
      </x:c>
      <x:c r="C50" s="42" t="str">
        <x:v>上午</x:v>
      </x:c>
      <x:c r="D50" s="42" t="n">
        <x:v>5</x:v>
      </x:c>
      <x:c r="E50" s="42" t="str">
        <x:v>1,2,3,4,5-6</x:v>
      </x:c>
      <x:c r="F50" s="42" t="str">
        <x:v>90,10,0,4</x:v>
      </x:c>
      <x:c r="G50" s="78" t="n">
        <x:v>311.8</x:v>
      </x:c>
      <x:c r="H50" s="79" t="str">
        <x:v>池-数量；品质权重=青铜,白银,黄金,钻石</x:v>
      </x:c>
      <x:c r="I50" s="80" t="n">
        <x:v>6</x:v>
      </x:c>
      <x:c r="J50" s="80" t="n">
        <x:v>1.1058</x:v>
      </x:c>
      <x:c r="K50" s="80" t="n">
        <x:v>47</x:v>
      </x:c>
      <x:c r="L50" t="str">
        <x:v>本行威胁=候选池平均效果分×出怪数×品质期望倍率；品质权重顺序=青铜,白银,黄金,钻石</x:v>
      </x:c>
    </x:row>
    <x:row r="51" ht="22" customHeight="1">
      <x:c r="A51" s="42" t="str">
        <x:v>wave_d05_afternoon</x:v>
      </x:c>
      <x:c r="B51" s="42" t="n">
        <x:v>5</x:v>
      </x:c>
      <x:c r="C51" s="42" t="str">
        <x:v>下午</x:v>
      </x:c>
      <x:c r="D51" s="42" t="n">
        <x:v>1</x:v>
      </x:c>
      <x:c r="E51" s="42" t="str">
        <x:v>1,2,3,4,5-2</x:v>
      </x:c>
      <x:c r="F51" s="42" t="str">
        <x:v>90,10,0,0</x:v>
      </x:c>
      <x:c r="G51" s="78" t="n">
        <x:v>98.7</x:v>
      </x:c>
      <x:c r="H51" s="79" t="str">
        <x:v>池-数量；品质权重=青铜,白银,黄金,钻石</x:v>
      </x:c>
      <x:c r="I51" s="80" t="n">
        <x:v>2</x:v>
      </x:c>
      <x:c r="J51" s="80" t="n">
        <x:v>1.05</x:v>
      </x:c>
      <x:c r="K51" s="80" t="n">
        <x:v>47</x:v>
      </x:c>
      <x:c r="L51" t="str">
        <x:v>本行威胁=候选池平均效果分×出怪数×品质期望倍率；品质权重顺序=青铜,白银,黄金,钻石</x:v>
      </x:c>
    </x:row>
    <x:row r="52" ht="22" customHeight="1">
      <x:c r="A52" s="42" t="str">
        <x:v>wave_d05_afternoon</x:v>
      </x:c>
      <x:c r="B52" s="42" t="n">
        <x:v>5</x:v>
      </x:c>
      <x:c r="C52" s="42" t="str">
        <x:v>下午</x:v>
      </x:c>
      <x:c r="D52" s="42" t="n">
        <x:v>2</x:v>
      </x:c>
      <x:c r="E52" s="42" t="str">
        <x:v>1,2,3,4,5-3</x:v>
      </x:c>
      <x:c r="F52" s="42" t="str">
        <x:v>90,10,0,1</x:v>
      </x:c>
      <x:c r="G52" s="78" t="n">
        <x:v>150.1</x:v>
      </x:c>
      <x:c r="H52" s="79" t="str">
        <x:v>池-数量；品质权重=青铜,白银,黄金,钻石</x:v>
      </x:c>
      <x:c r="I52" s="80" t="n">
        <x:v>3</x:v>
      </x:c>
      <x:c r="J52" s="80" t="n">
        <x:v>1.0644</x:v>
      </x:c>
      <x:c r="K52" s="80" t="n">
        <x:v>47</x:v>
      </x:c>
      <x:c r="L52" t="str">
        <x:v>本行威胁=候选池平均效果分×出怪数×品质期望倍率；品质权重顺序=青铜,白银,黄金,钻石</x:v>
      </x:c>
    </x:row>
    <x:row r="53" ht="22" customHeight="1">
      <x:c r="A53" s="42" t="str">
        <x:v>wave_d05_afternoon</x:v>
      </x:c>
      <x:c r="B53" s="42" t="n">
        <x:v>5</x:v>
      </x:c>
      <x:c r="C53" s="42" t="str">
        <x:v>下午</x:v>
      </x:c>
      <x:c r="D53" s="42" t="n">
        <x:v>3</x:v>
      </x:c>
      <x:c r="E53" s="42" t="str">
        <x:v>1,2,3,4,5-4</x:v>
      </x:c>
      <x:c r="F53" s="42" t="str">
        <x:v>90,10,0,2</x:v>
      </x:c>
      <x:c r="G53" s="78" t="n">
        <x:v>202.7</x:v>
      </x:c>
      <x:c r="H53" s="79" t="str">
        <x:v>池-数量；品质权重=青铜,白银,黄金,钻石</x:v>
      </x:c>
      <x:c r="I53" s="80" t="n">
        <x:v>4</x:v>
      </x:c>
      <x:c r="J53" s="80" t="n">
        <x:v>1.0784</x:v>
      </x:c>
      <x:c r="K53" s="80" t="n">
        <x:v>47</x:v>
      </x:c>
      <x:c r="L53" t="str">
        <x:v>本行威胁=候选池平均效果分×出怪数×品质期望倍率；品质权重顺序=青铜,白银,黄金,钻石</x:v>
      </x:c>
    </x:row>
    <x:row r="54" ht="22" customHeight="1">
      <x:c r="A54" s="42" t="str">
        <x:v>wave_d05_afternoon</x:v>
      </x:c>
      <x:c r="B54" s="42" t="n">
        <x:v>5</x:v>
      </x:c>
      <x:c r="C54" s="42" t="str">
        <x:v>下午</x:v>
      </x:c>
      <x:c r="D54" s="42" t="n">
        <x:v>4</x:v>
      </x:c>
      <x:c r="E54" s="42" t="str">
        <x:v>1,2,3,4,5-5</x:v>
      </x:c>
      <x:c r="F54" s="42" t="str">
        <x:v>90,10,0,3</x:v>
      </x:c>
      <x:c r="G54" s="78" t="n">
        <x:v>256.7</x:v>
      </x:c>
      <x:c r="H54" s="79" t="str">
        <x:v>池-数量；品质权重=青铜,白银,黄金,钻石</x:v>
      </x:c>
      <x:c r="I54" s="80" t="n">
        <x:v>5</x:v>
      </x:c>
      <x:c r="J54" s="80" t="n">
        <x:v>1.0922</x:v>
      </x:c>
      <x:c r="K54" s="80" t="n">
        <x:v>47</x:v>
      </x:c>
      <x:c r="L54" t="str">
        <x:v>本行威胁=候选池平均效果分×出怪数×品质期望倍率；品质权重顺序=青铜,白银,黄金,钻石</x:v>
      </x:c>
    </x:row>
    <x:row r="55" ht="22" customHeight="1">
      <x:c r="A55" s="42" t="str">
        <x:v>wave_d05_afternoon</x:v>
      </x:c>
      <x:c r="B55" s="42" t="n">
        <x:v>5</x:v>
      </x:c>
      <x:c r="C55" s="42" t="str">
        <x:v>下午</x:v>
      </x:c>
      <x:c r="D55" s="42" t="n">
        <x:v>5</x:v>
      </x:c>
      <x:c r="E55" s="42" t="str">
        <x:v>1,2,3,4,5-6</x:v>
      </x:c>
      <x:c r="F55" s="42" t="str">
        <x:v>90,10,0,4</x:v>
      </x:c>
      <x:c r="G55" s="78" t="n">
        <x:v>311.8</x:v>
      </x:c>
      <x:c r="H55" s="79" t="str">
        <x:v>池-数量；品质权重=青铜,白银,黄金,钻石</x:v>
      </x:c>
      <x:c r="I55" s="80" t="n">
        <x:v>6</x:v>
      </x:c>
      <x:c r="J55" s="80" t="n">
        <x:v>1.1058</x:v>
      </x:c>
      <x:c r="K55" s="80" t="n">
        <x:v>47</x:v>
      </x:c>
      <x:c r="L55" t="str">
        <x:v>本行威胁=候选池平均效果分×出怪数×品质期望倍率；品质权重顺序=青铜,白银,黄金,钻石</x:v>
      </x:c>
    </x:row>
    <x:row r="56" ht="22" customHeight="1">
      <x:c r="A56" s="42" t="str">
        <x:v>wave_d05_afternoon</x:v>
      </x:c>
      <x:c r="B56" s="42" t="n">
        <x:v>5</x:v>
      </x:c>
      <x:c r="C56" s="42" t="str">
        <x:v>下午</x:v>
      </x:c>
      <x:c r="D56" s="42" t="n">
        <x:v>5</x:v>
      </x:c>
      <x:c r="E56" s="42" t="str">
        <x:v>1,2,3,4,5-6</x:v>
      </x:c>
      <x:c r="F56" s="42" t="str">
        <x:v>90,10,0,4</x:v>
      </x:c>
      <x:c r="G56" s="78" t="n">
        <x:v>311.8</x:v>
      </x:c>
      <x:c r="H56" s="79" t="str">
        <x:v>池-数量；品质权重=青铜,白银,黄金,钻石</x:v>
      </x:c>
      <x:c r="I56" s="80" t="n">
        <x:v>6</x:v>
      </x:c>
      <x:c r="J56" s="80" t="n">
        <x:v>1.1058</x:v>
      </x:c>
      <x:c r="K56" s="80" t="n">
        <x:v>47</x:v>
      </x:c>
      <x:c r="L56" t="str">
        <x:v>本行威胁=候选池平均效果分×出怪数×品质期望倍率；品质权重顺序=青铜,白银,黄金,钻石</x:v>
      </x:c>
    </x:row>
    <x:row r="57" ht="22" customHeight="1">
      <x:c r="A57" s="42" t="str">
        <x:v>wave_d06_morning</x:v>
      </x:c>
      <x:c r="B57" s="42" t="n">
        <x:v>6</x:v>
      </x:c>
      <x:c r="C57" s="42" t="str">
        <x:v>上午</x:v>
      </x:c>
      <x:c r="D57" s="42" t="n">
        <x:v>1</x:v>
      </x:c>
      <x:c r="E57" s="42" t="str">
        <x:v>1,2,3,4,5-2</x:v>
      </x:c>
      <x:c r="F57" s="42" t="str">
        <x:v>90,10,0,0</x:v>
      </x:c>
      <x:c r="G57" s="78" t="n">
        <x:v>98.7</x:v>
      </x:c>
      <x:c r="H57" s="79" t="str">
        <x:v>池-数量；品质权重=青铜,白银,黄金,钻石</x:v>
      </x:c>
      <x:c r="I57" s="80" t="n">
        <x:v>2</x:v>
      </x:c>
      <x:c r="J57" s="80" t="n">
        <x:v>1.05</x:v>
      </x:c>
      <x:c r="K57" s="80" t="n">
        <x:v>47</x:v>
      </x:c>
      <x:c r="L57" t="str">
        <x:v>本行威胁=候选池平均效果分×出怪数×品质期望倍率；品质权重顺序=青铜,白银,黄金,钻石</x:v>
      </x:c>
    </x:row>
    <x:row r="58" ht="22" customHeight="1">
      <x:c r="A58" s="42" t="str">
        <x:v>wave_d06_morning</x:v>
      </x:c>
      <x:c r="B58" s="42" t="n">
        <x:v>6</x:v>
      </x:c>
      <x:c r="C58" s="42" t="str">
        <x:v>上午</x:v>
      </x:c>
      <x:c r="D58" s="42" t="n">
        <x:v>1</x:v>
      </x:c>
      <x:c r="E58" s="42" t="str">
        <x:v>1,2,3,4,5-2</x:v>
      </x:c>
      <x:c r="F58" s="42" t="str">
        <x:v>90,10,0,0</x:v>
      </x:c>
      <x:c r="G58" s="78" t="n">
        <x:v>98.7</x:v>
      </x:c>
      <x:c r="H58" s="79" t="str">
        <x:v>池-数量；品质权重=青铜,白银,黄金,钻石</x:v>
      </x:c>
      <x:c r="I58" s="80" t="n">
        <x:v>2</x:v>
      </x:c>
      <x:c r="J58" s="80" t="n">
        <x:v>1.05</x:v>
      </x:c>
      <x:c r="K58" s="80" t="n">
        <x:v>47</x:v>
      </x:c>
      <x:c r="L58" t="str">
        <x:v>本行威胁=候选池平均效果分×出怪数×品质期望倍率；品质权重顺序=青铜,白银,黄金,钻石</x:v>
      </x:c>
    </x:row>
    <x:row r="59" ht="22" customHeight="1">
      <x:c r="A59" s="42" t="str">
        <x:v>wave_d06_morning</x:v>
      </x:c>
      <x:c r="B59" s="42" t="n">
        <x:v>6</x:v>
      </x:c>
      <x:c r="C59" s="42" t="str">
        <x:v>上午</x:v>
      </x:c>
      <x:c r="D59" s="42" t="n">
        <x:v>2</x:v>
      </x:c>
      <x:c r="E59" s="42" t="str">
        <x:v>1,2,3,4,5-3</x:v>
      </x:c>
      <x:c r="F59" s="42" t="str">
        <x:v>90,10,0,1</x:v>
      </x:c>
      <x:c r="G59" s="78" t="n">
        <x:v>150.1</x:v>
      </x:c>
      <x:c r="H59" s="79" t="str">
        <x:v>池-数量；品质权重=青铜,白银,黄金,钻石</x:v>
      </x:c>
      <x:c r="I59" s="80" t="n">
        <x:v>3</x:v>
      </x:c>
      <x:c r="J59" s="80" t="n">
        <x:v>1.0644</x:v>
      </x:c>
      <x:c r="K59" s="80" t="n">
        <x:v>47</x:v>
      </x:c>
      <x:c r="L59" t="str">
        <x:v>本行威胁=候选池平均效果分×出怪数×品质期望倍率；品质权重顺序=青铜,白银,黄金,钻石</x:v>
      </x:c>
    </x:row>
    <x:row r="60" ht="22" customHeight="1">
      <x:c r="A60" s="42" t="str">
        <x:v>wave_d06_morning</x:v>
      </x:c>
      <x:c r="B60" s="42" t="n">
        <x:v>6</x:v>
      </x:c>
      <x:c r="C60" s="42" t="str">
        <x:v>上午</x:v>
      </x:c>
      <x:c r="D60" s="42" t="n">
        <x:v>3</x:v>
      </x:c>
      <x:c r="E60" s="42" t="str">
        <x:v>1,2,3,4,5-4</x:v>
      </x:c>
      <x:c r="F60" s="42" t="str">
        <x:v>90,10,0,2</x:v>
      </x:c>
      <x:c r="G60" s="78" t="n">
        <x:v>202.7</x:v>
      </x:c>
      <x:c r="H60" s="79" t="str">
        <x:v>池-数量；品质权重=青铜,白银,黄金,钻石</x:v>
      </x:c>
      <x:c r="I60" s="80" t="n">
        <x:v>4</x:v>
      </x:c>
      <x:c r="J60" s="80" t="n">
        <x:v>1.0784</x:v>
      </x:c>
      <x:c r="K60" s="80" t="n">
        <x:v>47</x:v>
      </x:c>
      <x:c r="L60" t="str">
        <x:v>本行威胁=候选池平均效果分×出怪数×品质期望倍率；品质权重顺序=青铜,白银,黄金,钻石</x:v>
      </x:c>
    </x:row>
    <x:row r="61" ht="22" customHeight="1">
      <x:c r="A61" s="42" t="str">
        <x:v>wave_d06_morning</x:v>
      </x:c>
      <x:c r="B61" s="42" t="n">
        <x:v>6</x:v>
      </x:c>
      <x:c r="C61" s="42" t="str">
        <x:v>上午</x:v>
      </x:c>
      <x:c r="D61" s="42" t="n">
        <x:v>4</x:v>
      </x:c>
      <x:c r="E61" s="42" t="str">
        <x:v>1,2,3,4,5-5</x:v>
      </x:c>
      <x:c r="F61" s="42" t="str">
        <x:v>90,10,0,3</x:v>
      </x:c>
      <x:c r="G61" s="78" t="n">
        <x:v>256.7</x:v>
      </x:c>
      <x:c r="H61" s="79" t="str">
        <x:v>池-数量；品质权重=青铜,白银,黄金,钻石</x:v>
      </x:c>
      <x:c r="I61" s="80" t="n">
        <x:v>5</x:v>
      </x:c>
      <x:c r="J61" s="80" t="n">
        <x:v>1.0922</x:v>
      </x:c>
      <x:c r="K61" s="80" t="n">
        <x:v>47</x:v>
      </x:c>
      <x:c r="L61" t="str">
        <x:v>本行威胁=候选池平均效果分×出怪数×品质期望倍率；品质权重顺序=青铜,白银,黄金,钻石</x:v>
      </x:c>
    </x:row>
    <x:row r="62" ht="22" customHeight="1">
      <x:c r="A62" s="42" t="str">
        <x:v>wave_d06_morning</x:v>
      </x:c>
      <x:c r="B62" s="42" t="n">
        <x:v>6</x:v>
      </x:c>
      <x:c r="C62" s="42" t="str">
        <x:v>上午</x:v>
      </x:c>
      <x:c r="D62" s="42" t="n">
        <x:v>4</x:v>
      </x:c>
      <x:c r="E62" s="42" t="str">
        <x:v>1,2,3,4,5-5</x:v>
      </x:c>
      <x:c r="F62" s="42" t="str">
        <x:v>90,10,0,3</x:v>
      </x:c>
      <x:c r="G62" s="78" t="n">
        <x:v>256.7</x:v>
      </x:c>
      <x:c r="H62" s="79" t="str">
        <x:v>池-数量；品质权重=青铜,白银,黄金,钻石</x:v>
      </x:c>
      <x:c r="I62" s="80" t="n">
        <x:v>5</x:v>
      </x:c>
      <x:c r="J62" s="80" t="n">
        <x:v>1.0922</x:v>
      </x:c>
      <x:c r="K62" s="80" t="n">
        <x:v>47</x:v>
      </x:c>
      <x:c r="L62" t="str">
        <x:v>本行威胁=候选池平均效果分×出怪数×品质期望倍率；品质权重顺序=青铜,白银,黄金,钻石</x:v>
      </x:c>
    </x:row>
    <x:row r="63" ht="22" customHeight="1">
      <x:c r="A63" s="42" t="str">
        <x:v>wave_d06_morning</x:v>
      </x:c>
      <x:c r="B63" s="42" t="n">
        <x:v>6</x:v>
      </x:c>
      <x:c r="C63" s="42" t="str">
        <x:v>上午</x:v>
      </x:c>
      <x:c r="D63" s="42" t="n">
        <x:v>5</x:v>
      </x:c>
      <x:c r="E63" s="42" t="str">
        <x:v>1,2,3,4,5-6</x:v>
      </x:c>
      <x:c r="F63" s="42" t="str">
        <x:v>90,10,0,4</x:v>
      </x:c>
      <x:c r="G63" s="78" t="n">
        <x:v>311.8</x:v>
      </x:c>
      <x:c r="H63" s="79" t="str">
        <x:v>池-数量；品质权重=青铜,白银,黄金,钻石</x:v>
      </x:c>
      <x:c r="I63" s="80" t="n">
        <x:v>6</x:v>
      </x:c>
      <x:c r="J63" s="80" t="n">
        <x:v>1.1058</x:v>
      </x:c>
      <x:c r="K63" s="80" t="n">
        <x:v>47</x:v>
      </x:c>
      <x:c r="L63" t="str">
        <x:v>本行威胁=候选池平均效果分×出怪数×品质期望倍率；品质权重顺序=青铜,白银,黄金,钻石</x:v>
      </x:c>
    </x:row>
    <x:row r="64" ht="22" customHeight="1">
      <x:c r="A64" s="42" t="str">
        <x:v>wave_d06_afternoon</x:v>
      </x:c>
      <x:c r="B64" s="42" t="n">
        <x:v>6</x:v>
      </x:c>
      <x:c r="C64" s="42" t="str">
        <x:v>下午</x:v>
      </x:c>
      <x:c r="D64" s="42" t="n">
        <x:v>1</x:v>
      </x:c>
      <x:c r="E64" s="42" t="str">
        <x:v>1,2,3,4,5-2</x:v>
      </x:c>
      <x:c r="F64" s="42" t="str">
        <x:v>90,10,0,0</x:v>
      </x:c>
      <x:c r="G64" s="78" t="n">
        <x:v>98.7</x:v>
      </x:c>
      <x:c r="H64" s="79" t="str">
        <x:v>池-数量；品质权重=青铜,白银,黄金,钻石</x:v>
      </x:c>
      <x:c r="I64" s="80" t="n">
        <x:v>2</x:v>
      </x:c>
      <x:c r="J64" s="80" t="n">
        <x:v>1.05</x:v>
      </x:c>
      <x:c r="K64" s="80" t="n">
        <x:v>47</x:v>
      </x:c>
      <x:c r="L64" t="str">
        <x:v>本行威胁=候选池平均效果分×出怪数×品质期望倍率；品质权重顺序=青铜,白银,黄金,钻石</x:v>
      </x:c>
    </x:row>
    <x:row r="65" ht="22" customHeight="1">
      <x:c r="A65" s="42" t="str">
        <x:v>wave_d06_afternoon</x:v>
      </x:c>
      <x:c r="B65" s="42" t="n">
        <x:v>6</x:v>
      </x:c>
      <x:c r="C65" s="42" t="str">
        <x:v>下午</x:v>
      </x:c>
      <x:c r="D65" s="42" t="n">
        <x:v>2</x:v>
      </x:c>
      <x:c r="E65" s="42" t="str">
        <x:v>1,2,3,4,5-3</x:v>
      </x:c>
      <x:c r="F65" s="42" t="str">
        <x:v>90,10,0,1</x:v>
      </x:c>
      <x:c r="G65" s="78" t="n">
        <x:v>150.1</x:v>
      </x:c>
      <x:c r="H65" s="79" t="str">
        <x:v>池-数量；品质权重=青铜,白银,黄金,钻石</x:v>
      </x:c>
      <x:c r="I65" s="80" t="n">
        <x:v>3</x:v>
      </x:c>
      <x:c r="J65" s="80" t="n">
        <x:v>1.0644</x:v>
      </x:c>
      <x:c r="K65" s="80" t="n">
        <x:v>47</x:v>
      </x:c>
      <x:c r="L65" t="str">
        <x:v>本行威胁=候选池平均效果分×出怪数×品质期望倍率；品质权重顺序=青铜,白银,黄金,钻石</x:v>
      </x:c>
    </x:row>
    <x:row r="66" ht="22" customHeight="1">
      <x:c r="A66" s="42" t="str">
        <x:v>wave_d06_afternoon</x:v>
      </x:c>
      <x:c r="B66" s="42" t="n">
        <x:v>6</x:v>
      </x:c>
      <x:c r="C66" s="42" t="str">
        <x:v>下午</x:v>
      </x:c>
      <x:c r="D66" s="42" t="n">
        <x:v>3</x:v>
      </x:c>
      <x:c r="E66" s="42" t="str">
        <x:v>1,2,3,4,5-4</x:v>
      </x:c>
      <x:c r="F66" s="42" t="str">
        <x:v>90,10,0,2</x:v>
      </x:c>
      <x:c r="G66" s="78" t="n">
        <x:v>202.7</x:v>
      </x:c>
      <x:c r="H66" s="79" t="str">
        <x:v>池-数量；品质权重=青铜,白银,黄金,钻石</x:v>
      </x:c>
      <x:c r="I66" s="80" t="n">
        <x:v>4</x:v>
      </x:c>
      <x:c r="J66" s="80" t="n">
        <x:v>1.0784</x:v>
      </x:c>
      <x:c r="K66" s="80" t="n">
        <x:v>47</x:v>
      </x:c>
      <x:c r="L66" t="str">
        <x:v>本行威胁=候选池平均效果分×出怪数×品质期望倍率；品质权重顺序=青铜,白银,黄金,钻石</x:v>
      </x:c>
    </x:row>
    <x:row r="67" ht="22" customHeight="1">
      <x:c r="A67" s="42" t="str">
        <x:v>wave_d06_afternoon</x:v>
      </x:c>
      <x:c r="B67" s="42" t="n">
        <x:v>6</x:v>
      </x:c>
      <x:c r="C67" s="42" t="str">
        <x:v>下午</x:v>
      </x:c>
      <x:c r="D67" s="42" t="n">
        <x:v>3</x:v>
      </x:c>
      <x:c r="E67" s="42" t="str">
        <x:v>1,2,3,4,5-4</x:v>
      </x:c>
      <x:c r="F67" s="42" t="str">
        <x:v>90,10,0,2</x:v>
      </x:c>
      <x:c r="G67" s="78" t="n">
        <x:v>202.7</x:v>
      </x:c>
      <x:c r="H67" s="79" t="str">
        <x:v>池-数量；品质权重=青铜,白银,黄金,钻石</x:v>
      </x:c>
      <x:c r="I67" s="80" t="n">
        <x:v>4</x:v>
      </x:c>
      <x:c r="J67" s="80" t="n">
        <x:v>1.0784</x:v>
      </x:c>
      <x:c r="K67" s="80" t="n">
        <x:v>47</x:v>
      </x:c>
      <x:c r="L67" t="str">
        <x:v>本行威胁=候选池平均效果分×出怪数×品质期望倍率；品质权重顺序=青铜,白银,黄金,钻石</x:v>
      </x:c>
    </x:row>
    <x:row r="68" ht="22" customHeight="1">
      <x:c r="A68" s="42" t="str">
        <x:v>wave_d06_afternoon</x:v>
      </x:c>
      <x:c r="B68" s="42" t="n">
        <x:v>6</x:v>
      </x:c>
      <x:c r="C68" s="42" t="str">
        <x:v>下午</x:v>
      </x:c>
      <x:c r="D68" s="42" t="n">
        <x:v>4</x:v>
      </x:c>
      <x:c r="E68" s="42" t="str">
        <x:v>1,2,3,4,5-5</x:v>
      </x:c>
      <x:c r="F68" s="42" t="str">
        <x:v>90,10,0,3</x:v>
      </x:c>
      <x:c r="G68" s="78" t="n">
        <x:v>256.7</x:v>
      </x:c>
      <x:c r="H68" s="79" t="str">
        <x:v>池-数量；品质权重=青铜,白银,黄金,钻石</x:v>
      </x:c>
      <x:c r="I68" s="80" t="n">
        <x:v>5</x:v>
      </x:c>
      <x:c r="J68" s="80" t="n">
        <x:v>1.0922</x:v>
      </x:c>
      <x:c r="K68" s="80" t="n">
        <x:v>47</x:v>
      </x:c>
      <x:c r="L68" t="str">
        <x:v>本行威胁=候选池平均效果分×出怪数×品质期望倍率；品质权重顺序=青铜,白银,黄金,钻石</x:v>
      </x:c>
    </x:row>
    <x:row r="69" ht="22" customHeight="1">
      <x:c r="A69" s="42" t="str">
        <x:v>wave_d06_afternoon</x:v>
      </x:c>
      <x:c r="B69" s="42" t="n">
        <x:v>6</x:v>
      </x:c>
      <x:c r="C69" s="42" t="str">
        <x:v>下午</x:v>
      </x:c>
      <x:c r="D69" s="42" t="n">
        <x:v>4</x:v>
      </x:c>
      <x:c r="E69" s="42" t="str">
        <x:v>1,2,3,4,5-5</x:v>
      </x:c>
      <x:c r="F69" s="42" t="str">
        <x:v>90,10,0,3</x:v>
      </x:c>
      <x:c r="G69" s="78" t="n">
        <x:v>256.7</x:v>
      </x:c>
      <x:c r="H69" s="79" t="str">
        <x:v>池-数量；品质权重=青铜,白银,黄金,钻石</x:v>
      </x:c>
      <x:c r="I69" s="80" t="n">
        <x:v>5</x:v>
      </x:c>
      <x:c r="J69" s="80" t="n">
        <x:v>1.0922</x:v>
      </x:c>
      <x:c r="K69" s="80" t="n">
        <x:v>47</x:v>
      </x:c>
      <x:c r="L69" t="str">
        <x:v>本行威胁=候选池平均效果分×出怪数×品质期望倍率；品质权重顺序=青铜,白银,黄金,钻石</x:v>
      </x:c>
    </x:row>
    <x:row r="70" ht="22" customHeight="1">
      <x:c r="A70" s="42" t="str">
        <x:v>wave_d06_afternoon</x:v>
      </x:c>
      <x:c r="B70" s="42" t="n">
        <x:v>6</x:v>
      </x:c>
      <x:c r="C70" s="42" t="str">
        <x:v>下午</x:v>
      </x:c>
      <x:c r="D70" s="42" t="n">
        <x:v>5</x:v>
      </x:c>
      <x:c r="E70" s="42" t="str">
        <x:v>1,2,3,4,5-6</x:v>
      </x:c>
      <x:c r="F70" s="42" t="str">
        <x:v>90,10,0,4</x:v>
      </x:c>
      <x:c r="G70" s="78" t="n">
        <x:v>311.8</x:v>
      </x:c>
      <x:c r="H70" s="79" t="str">
        <x:v>池-数量；品质权重=青铜,白银,黄金,钻石</x:v>
      </x:c>
      <x:c r="I70" s="80" t="n">
        <x:v>6</x:v>
      </x:c>
      <x:c r="J70" s="80" t="n">
        <x:v>1.1058</x:v>
      </x:c>
      <x:c r="K70" s="80" t="n">
        <x:v>47</x:v>
      </x:c>
      <x:c r="L70" t="str">
        <x:v>本行威胁=候选池平均效果分×出怪数×品质期望倍率；品质权重顺序=青铜,白银,黄金,钻石</x:v>
      </x:c>
    </x:row>
    <x:row r="71" ht="22" customHeight="1">
      <x:c r="A71" s="42" t="str">
        <x:v>wave_d07_morning</x:v>
      </x:c>
      <x:c r="B71" s="42" t="n">
        <x:v>7</x:v>
      </x:c>
      <x:c r="C71" s="42" t="str">
        <x:v>上午</x:v>
      </x:c>
      <x:c r="D71" s="42" t="n">
        <x:v>1</x:v>
      </x:c>
      <x:c r="E71" s="42" t="str">
        <x:v>1,2,3,4,5-2</x:v>
      </x:c>
      <x:c r="F71" s="42" t="str">
        <x:v>90,10,0,0</x:v>
      </x:c>
      <x:c r="G71" s="78" t="n">
        <x:v>98.7</x:v>
      </x:c>
      <x:c r="H71" s="79" t="str">
        <x:v>池-数量；品质权重=青铜,白银,黄金,钻石</x:v>
      </x:c>
      <x:c r="I71" s="80" t="n">
        <x:v>2</x:v>
      </x:c>
      <x:c r="J71" s="80" t="n">
        <x:v>1.05</x:v>
      </x:c>
      <x:c r="K71" s="80" t="n">
        <x:v>47</x:v>
      </x:c>
      <x:c r="L71" t="str">
        <x:v>本行威胁=候选池平均效果分×出怪数×品质期望倍率；品质权重顺序=青铜,白银,黄金,钻石</x:v>
      </x:c>
    </x:row>
    <x:row r="72" ht="22" customHeight="1">
      <x:c r="A72" s="42" t="str">
        <x:v>wave_d07_morning</x:v>
      </x:c>
      <x:c r="B72" s="42" t="n">
        <x:v>7</x:v>
      </x:c>
      <x:c r="C72" s="42" t="str">
        <x:v>上午</x:v>
      </x:c>
      <x:c r="D72" s="42" t="n">
        <x:v>2</x:v>
      </x:c>
      <x:c r="E72" s="42" t="str">
        <x:v>1,2,3,4,5-3</x:v>
      </x:c>
      <x:c r="F72" s="42" t="str">
        <x:v>90,10,0,1</x:v>
      </x:c>
      <x:c r="G72" s="78" t="n">
        <x:v>150.1</x:v>
      </x:c>
      <x:c r="H72" s="79" t="str">
        <x:v>池-数量；品质权重=青铜,白银,黄金,钻石</x:v>
      </x:c>
      <x:c r="I72" s="80" t="n">
        <x:v>3</x:v>
      </x:c>
      <x:c r="J72" s="80" t="n">
        <x:v>1.0644</x:v>
      </x:c>
      <x:c r="K72" s="80" t="n">
        <x:v>47</x:v>
      </x:c>
      <x:c r="L72" t="str">
        <x:v>本行威胁=候选池平均效果分×出怪数×品质期望倍率；品质权重顺序=青铜,白银,黄金,钻石</x:v>
      </x:c>
    </x:row>
    <x:row r="73" ht="22" customHeight="1">
      <x:c r="A73" s="42" t="str">
        <x:v>wave_d07_morning</x:v>
      </x:c>
      <x:c r="B73" s="42" t="n">
        <x:v>7</x:v>
      </x:c>
      <x:c r="C73" s="42" t="str">
        <x:v>上午</x:v>
      </x:c>
      <x:c r="D73" s="42" t="n">
        <x:v>3</x:v>
      </x:c>
      <x:c r="E73" s="42" t="str">
        <x:v>1,2,3,4,5-4</x:v>
      </x:c>
      <x:c r="F73" s="42" t="str">
        <x:v>90,10,0,2</x:v>
      </x:c>
      <x:c r="G73" s="78" t="n">
        <x:v>202.7</x:v>
      </x:c>
      <x:c r="H73" s="79" t="str">
        <x:v>池-数量；品质权重=青铜,白银,黄金,钻石</x:v>
      </x:c>
      <x:c r="I73" s="80" t="n">
        <x:v>4</x:v>
      </x:c>
      <x:c r="J73" s="80" t="n">
        <x:v>1.0784</x:v>
      </x:c>
      <x:c r="K73" s="80" t="n">
        <x:v>47</x:v>
      </x:c>
      <x:c r="L73" t="str">
        <x:v>本行威胁=候选池平均效果分×出怪数×品质期望倍率；品质权重顺序=青铜,白银,黄金,钻石</x:v>
      </x:c>
    </x:row>
    <x:row r="74" ht="22" customHeight="1">
      <x:c r="A74" s="42" t="str">
        <x:v>wave_d07_morning</x:v>
      </x:c>
      <x:c r="B74" s="42" t="n">
        <x:v>7</x:v>
      </x:c>
      <x:c r="C74" s="42" t="str">
        <x:v>上午</x:v>
      </x:c>
      <x:c r="D74" s="42" t="n">
        <x:v>4</x:v>
      </x:c>
      <x:c r="E74" s="42" t="str">
        <x:v>1,2,3,4,5-5</x:v>
      </x:c>
      <x:c r="F74" s="42" t="str">
        <x:v>90,10,0,3</x:v>
      </x:c>
      <x:c r="G74" s="78" t="n">
        <x:v>256.7</x:v>
      </x:c>
      <x:c r="H74" s="79" t="str">
        <x:v>池-数量；品质权重=青铜,白银,黄金,钻石</x:v>
      </x:c>
      <x:c r="I74" s="80" t="n">
        <x:v>5</x:v>
      </x:c>
      <x:c r="J74" s="80" t="n">
        <x:v>1.0922</x:v>
      </x:c>
      <x:c r="K74" s="80" t="n">
        <x:v>47</x:v>
      </x:c>
      <x:c r="L74" t="str">
        <x:v>本行威胁=候选池平均效果分×出怪数×品质期望倍率；品质权重顺序=青铜,白银,黄金,钻石</x:v>
      </x:c>
    </x:row>
    <x:row r="75" ht="22" customHeight="1">
      <x:c r="A75" s="42" t="str">
        <x:v>wave_d07_morning</x:v>
      </x:c>
      <x:c r="B75" s="42" t="n">
        <x:v>7</x:v>
      </x:c>
      <x:c r="C75" s="42" t="str">
        <x:v>上午</x:v>
      </x:c>
      <x:c r="D75" s="42" t="n">
        <x:v>4</x:v>
      </x:c>
      <x:c r="E75" s="42" t="str">
        <x:v>1,2,3,4,5-5</x:v>
      </x:c>
      <x:c r="F75" s="42" t="str">
        <x:v>90,10,0,3</x:v>
      </x:c>
      <x:c r="G75" s="78" t="n">
        <x:v>256.7</x:v>
      </x:c>
      <x:c r="H75" s="79" t="str">
        <x:v>池-数量；品质权重=青铜,白银,黄金,钻石</x:v>
      </x:c>
      <x:c r="I75" s="80" t="n">
        <x:v>5</x:v>
      </x:c>
      <x:c r="J75" s="80" t="n">
        <x:v>1.0922</x:v>
      </x:c>
      <x:c r="K75" s="80" t="n">
        <x:v>47</x:v>
      </x:c>
      <x:c r="L75" t="str">
        <x:v>本行威胁=候选池平均效果分×出怪数×品质期望倍率；品质权重顺序=青铜,白银,黄金,钻石</x:v>
      </x:c>
    </x:row>
    <x:row r="76" ht="22" customHeight="1">
      <x:c r="A76" s="42" t="str">
        <x:v>wave_d07_morning</x:v>
      </x:c>
      <x:c r="B76" s="42" t="n">
        <x:v>7</x:v>
      </x:c>
      <x:c r="C76" s="42" t="str">
        <x:v>上午</x:v>
      </x:c>
      <x:c r="D76" s="42" t="n">
        <x:v>5</x:v>
      </x:c>
      <x:c r="E76" s="42" t="str">
        <x:v>1,2,3,4,5-6</x:v>
      </x:c>
      <x:c r="F76" s="42" t="str">
        <x:v>90,10,0,4</x:v>
      </x:c>
      <x:c r="G76" s="78" t="n">
        <x:v>311.8</x:v>
      </x:c>
      <x:c r="H76" s="79" t="str">
        <x:v>池-数量；品质权重=青铜,白银,黄金,钻石</x:v>
      </x:c>
      <x:c r="I76" s="80" t="n">
        <x:v>6</x:v>
      </x:c>
      <x:c r="J76" s="80" t="n">
        <x:v>1.1058</x:v>
      </x:c>
      <x:c r="K76" s="80" t="n">
        <x:v>47</x:v>
      </x:c>
      <x:c r="L76" t="str">
        <x:v>本行威胁=候选池平均效果分×出怪数×品质期望倍率；品质权重顺序=青铜,白银,黄金,钻石</x:v>
      </x:c>
    </x:row>
    <x:row r="77" ht="22" customHeight="1">
      <x:c r="A77" s="42" t="str">
        <x:v>wave_d07_afternoon</x:v>
      </x:c>
      <x:c r="B77" s="42" t="n">
        <x:v>7</x:v>
      </x:c>
      <x:c r="C77" s="42" t="str">
        <x:v>下午</x:v>
      </x:c>
      <x:c r="D77" s="42" t="n">
        <x:v>1</x:v>
      </x:c>
      <x:c r="E77" s="42" t="str">
        <x:v>1,2,3,4,5-2</x:v>
      </x:c>
      <x:c r="F77" s="42" t="str">
        <x:v>90,10,0,0</x:v>
      </x:c>
      <x:c r="G77" s="78" t="n">
        <x:v>98.7</x:v>
      </x:c>
      <x:c r="H77" s="79" t="str">
        <x:v>池-数量；品质权重=青铜,白银,黄金,钻石</x:v>
      </x:c>
      <x:c r="I77" s="80" t="n">
        <x:v>2</x:v>
      </x:c>
      <x:c r="J77" s="80" t="n">
        <x:v>1.05</x:v>
      </x:c>
      <x:c r="K77" s="80" t="n">
        <x:v>47</x:v>
      </x:c>
      <x:c r="L77" t="str">
        <x:v>本行威胁=候选池平均效果分×出怪数×品质期望倍率；品质权重顺序=青铜,白银,黄金,钻石</x:v>
      </x:c>
    </x:row>
    <x:row r="78" ht="22" customHeight="1">
      <x:c r="A78" s="42" t="str">
        <x:v>wave_d07_afternoon</x:v>
      </x:c>
      <x:c r="B78" s="42" t="n">
        <x:v>7</x:v>
      </x:c>
      <x:c r="C78" s="42" t="str">
        <x:v>下午</x:v>
      </x:c>
      <x:c r="D78" s="42" t="n">
        <x:v>2</x:v>
      </x:c>
      <x:c r="E78" s="42" t="str">
        <x:v>1,2,3,4,5-3</x:v>
      </x:c>
      <x:c r="F78" s="42" t="str">
        <x:v>90,10,0,1</x:v>
      </x:c>
      <x:c r="G78" s="78" t="n">
        <x:v>150.1</x:v>
      </x:c>
      <x:c r="H78" s="79" t="str">
        <x:v>池-数量；品质权重=青铜,白银,黄金,钻石</x:v>
      </x:c>
      <x:c r="I78" s="80" t="n">
        <x:v>3</x:v>
      </x:c>
      <x:c r="J78" s="80" t="n">
        <x:v>1.0644</x:v>
      </x:c>
      <x:c r="K78" s="80" t="n">
        <x:v>47</x:v>
      </x:c>
      <x:c r="L78" t="str">
        <x:v>本行威胁=候选池平均效果分×出怪数×品质期望倍率；品质权重顺序=青铜,白银,黄金,钻石</x:v>
      </x:c>
    </x:row>
    <x:row r="79" ht="22" customHeight="1">
      <x:c r="A79" s="42" t="str">
        <x:v>wave_d07_afternoon</x:v>
      </x:c>
      <x:c r="B79" s="42" t="n">
        <x:v>7</x:v>
      </x:c>
      <x:c r="C79" s="42" t="str">
        <x:v>下午</x:v>
      </x:c>
      <x:c r="D79" s="42" t="n">
        <x:v>2</x:v>
      </x:c>
      <x:c r="E79" s="42" t="str">
        <x:v>1,2,3,4,5-3</x:v>
      </x:c>
      <x:c r="F79" s="42" t="str">
        <x:v>90,10,0,1</x:v>
      </x:c>
      <x:c r="G79" s="78" t="n">
        <x:v>150.1</x:v>
      </x:c>
      <x:c r="H79" s="79" t="str">
        <x:v>池-数量；品质权重=青铜,白银,黄金,钻石</x:v>
      </x:c>
      <x:c r="I79" s="80" t="n">
        <x:v>3</x:v>
      </x:c>
      <x:c r="J79" s="80" t="n">
        <x:v>1.0644</x:v>
      </x:c>
      <x:c r="K79" s="80" t="n">
        <x:v>47</x:v>
      </x:c>
      <x:c r="L79" t="str">
        <x:v>本行威胁=候选池平均效果分×出怪数×品质期望倍率；品质权重顺序=青铜,白银,黄金,钻石</x:v>
      </x:c>
    </x:row>
    <x:row r="80" ht="22" customHeight="1">
      <x:c r="A80" s="42" t="str">
        <x:v>wave_d07_afternoon</x:v>
      </x:c>
      <x:c r="B80" s="42" t="n">
        <x:v>7</x:v>
      </x:c>
      <x:c r="C80" s="42" t="str">
        <x:v>下午</x:v>
      </x:c>
      <x:c r="D80" s="42" t="n">
        <x:v>3</x:v>
      </x:c>
      <x:c r="E80" s="42" t="str">
        <x:v>1,2,3,4,5-4</x:v>
      </x:c>
      <x:c r="F80" s="42" t="str">
        <x:v>90,10,0,2</x:v>
      </x:c>
      <x:c r="G80" s="78" t="n">
        <x:v>202.7</x:v>
      </x:c>
      <x:c r="H80" s="79" t="str">
        <x:v>池-数量；品质权重=青铜,白银,黄金,钻石</x:v>
      </x:c>
      <x:c r="I80" s="80" t="n">
        <x:v>4</x:v>
      </x:c>
      <x:c r="J80" s="80" t="n">
        <x:v>1.0784</x:v>
      </x:c>
      <x:c r="K80" s="80" t="n">
        <x:v>47</x:v>
      </x:c>
      <x:c r="L80" t="str">
        <x:v>本行威胁=候选池平均效果分×出怪数×品质期望倍率；品质权重顺序=青铜,白银,黄金,钻石</x:v>
      </x:c>
    </x:row>
    <x:row r="81" ht="22" customHeight="1">
      <x:c r="A81" s="42" t="str">
        <x:v>wave_d07_afternoon</x:v>
      </x:c>
      <x:c r="B81" s="42" t="n">
        <x:v>7</x:v>
      </x:c>
      <x:c r="C81" s="42" t="str">
        <x:v>下午</x:v>
      </x:c>
      <x:c r="D81" s="42" t="n">
        <x:v>3</x:v>
      </x:c>
      <x:c r="E81" s="42" t="str">
        <x:v>1,2,3,4,5-4</x:v>
      </x:c>
      <x:c r="F81" s="42" t="str">
        <x:v>90,10,0,2</x:v>
      </x:c>
      <x:c r="G81" s="78" t="n">
        <x:v>202.7</x:v>
      </x:c>
      <x:c r="H81" s="79" t="str">
        <x:v>池-数量；品质权重=青铜,白银,黄金,钻石</x:v>
      </x:c>
      <x:c r="I81" s="80" t="n">
        <x:v>4</x:v>
      </x:c>
      <x:c r="J81" s="80" t="n">
        <x:v>1.0784</x:v>
      </x:c>
      <x:c r="K81" s="80" t="n">
        <x:v>47</x:v>
      </x:c>
      <x:c r="L81" t="str">
        <x:v>本行威胁=候选池平均效果分×出怪数×品质期望倍率；品质权重顺序=青铜,白银,黄金,钻石</x:v>
      </x:c>
    </x:row>
    <x:row r="82" ht="22" customHeight="1">
      <x:c r="A82" s="42" t="str">
        <x:v>wave_d07_afternoon</x:v>
      </x:c>
      <x:c r="B82" s="42" t="n">
        <x:v>7</x:v>
      </x:c>
      <x:c r="C82" s="42" t="str">
        <x:v>下午</x:v>
      </x:c>
      <x:c r="D82" s="42" t="n">
        <x:v>4</x:v>
      </x:c>
      <x:c r="E82" s="42" t="str">
        <x:v>1,2,3,4,5-5</x:v>
      </x:c>
      <x:c r="F82" s="42" t="str">
        <x:v>90,10,0,3</x:v>
      </x:c>
      <x:c r="G82" s="78" t="n">
        <x:v>256.7</x:v>
      </x:c>
      <x:c r="H82" s="79" t="str">
        <x:v>池-数量；品质权重=青铜,白银,黄金,钻石</x:v>
      </x:c>
      <x:c r="I82" s="80" t="n">
        <x:v>5</x:v>
      </x:c>
      <x:c r="J82" s="80" t="n">
        <x:v>1.0922</x:v>
      </x:c>
      <x:c r="K82" s="80" t="n">
        <x:v>47</x:v>
      </x:c>
      <x:c r="L82" t="str">
        <x:v>本行威胁=候选池平均效果分×出怪数×品质期望倍率；品质权重顺序=青铜,白银,黄金,钻石</x:v>
      </x:c>
    </x:row>
    <x:row r="83" ht="22" customHeight="1">
      <x:c r="A83" s="42" t="str">
        <x:v>wave_d07_afternoon</x:v>
      </x:c>
      <x:c r="B83" s="42" t="n">
        <x:v>7</x:v>
      </x:c>
      <x:c r="C83" s="42" t="str">
        <x:v>下午</x:v>
      </x:c>
      <x:c r="D83" s="42" t="n">
        <x:v>4</x:v>
      </x:c>
      <x:c r="E83" s="42" t="str">
        <x:v>1,2,3,4,5-5</x:v>
      </x:c>
      <x:c r="F83" s="42" t="str">
        <x:v>90,10,0,3</x:v>
      </x:c>
      <x:c r="G83" s="78" t="n">
        <x:v>256.7</x:v>
      </x:c>
      <x:c r="H83" s="79" t="str">
        <x:v>池-数量；品质权重=青铜,白银,黄金,钻石</x:v>
      </x:c>
      <x:c r="I83" s="80" t="n">
        <x:v>5</x:v>
      </x:c>
      <x:c r="J83" s="80" t="n">
        <x:v>1.0922</x:v>
      </x:c>
      <x:c r="K83" s="80" t="n">
        <x:v>47</x:v>
      </x:c>
      <x:c r="L83" t="str">
        <x:v>本行威胁=候选池平均效果分×出怪数×品质期望倍率；品质权重顺序=青铜,白银,黄金,钻石</x:v>
      </x:c>
    </x:row>
    <x:row r="84" ht="22" customHeight="1">
      <x:c r="A84" s="42" t="str">
        <x:v>wave_d07_afternoon</x:v>
      </x:c>
      <x:c r="B84" s="42" t="n">
        <x:v>7</x:v>
      </x:c>
      <x:c r="C84" s="42" t="str">
        <x:v>下午</x:v>
      </x:c>
      <x:c r="D84" s="42" t="n">
        <x:v>5</x:v>
      </x:c>
      <x:c r="E84" s="42" t="str">
        <x:v>1,2,3,4,5-6</x:v>
      </x:c>
      <x:c r="F84" s="42" t="str">
        <x:v>90,10,0,4</x:v>
      </x:c>
      <x:c r="G84" s="78" t="n">
        <x:v>311.8</x:v>
      </x:c>
      <x:c r="H84" s="79" t="str">
        <x:v>池-数量；品质权重=青铜,白银,黄金,钻石</x:v>
      </x:c>
      <x:c r="I84" s="80" t="n">
        <x:v>6</x:v>
      </x:c>
      <x:c r="J84" s="80" t="n">
        <x:v>1.1058</x:v>
      </x:c>
      <x:c r="K84" s="80" t="n">
        <x:v>47</x:v>
      </x:c>
      <x:c r="L84" t="str">
        <x:v>本行威胁=候选池平均效果分×出怪数×品质期望倍率；品质权重顺序=青铜,白银,黄金,钻石</x:v>
      </x:c>
    </x:row>
    <x:row r="85" ht="22" customHeight="1">
      <x:c r="A85" s="42" t="str">
        <x:v>wave_d08_morning</x:v>
      </x:c>
      <x:c r="B85" s="42" t="n">
        <x:v>8</x:v>
      </x:c>
      <x:c r="C85" s="42" t="str">
        <x:v>上午</x:v>
      </x:c>
      <x:c r="D85" s="42" t="n">
        <x:v>1</x:v>
      </x:c>
      <x:c r="E85" s="42" t="str">
        <x:v>1,2,3,4,5-2</x:v>
      </x:c>
      <x:c r="F85" s="42" t="str">
        <x:v>90,10,0,0</x:v>
      </x:c>
      <x:c r="G85" s="78" t="n">
        <x:v>98.7</x:v>
      </x:c>
      <x:c r="H85" s="79" t="str">
        <x:v>池-数量；品质权重=青铜,白银,黄金,钻石</x:v>
      </x:c>
      <x:c r="I85" s="80" t="n">
        <x:v>2</x:v>
      </x:c>
      <x:c r="J85" s="80" t="n">
        <x:v>1.05</x:v>
      </x:c>
      <x:c r="K85" s="80" t="n">
        <x:v>47</x:v>
      </x:c>
      <x:c r="L85" t="str">
        <x:v>本行威胁=候选池平均效果分×出怪数×品质期望倍率；品质权重顺序=青铜,白银,黄金,钻石</x:v>
      </x:c>
    </x:row>
    <x:row r="86" ht="22" customHeight="1">
      <x:c r="A86" s="42" t="str">
        <x:v>wave_d08_morning</x:v>
      </x:c>
      <x:c r="B86" s="42" t="n">
        <x:v>8</x:v>
      </x:c>
      <x:c r="C86" s="42" t="str">
        <x:v>上午</x:v>
      </x:c>
      <x:c r="D86" s="42" t="n">
        <x:v>2</x:v>
      </x:c>
      <x:c r="E86" s="42" t="str">
        <x:v>1,2,3,4,5-3</x:v>
      </x:c>
      <x:c r="F86" s="42" t="str">
        <x:v>90,10,0,1</x:v>
      </x:c>
      <x:c r="G86" s="78" t="n">
        <x:v>150.1</x:v>
      </x:c>
      <x:c r="H86" s="79" t="str">
        <x:v>池-数量；品质权重=青铜,白银,黄金,钻石</x:v>
      </x:c>
      <x:c r="I86" s="80" t="n">
        <x:v>3</x:v>
      </x:c>
      <x:c r="J86" s="80" t="n">
        <x:v>1.0644</x:v>
      </x:c>
      <x:c r="K86" s="80" t="n">
        <x:v>47</x:v>
      </x:c>
      <x:c r="L86" t="str">
        <x:v>本行威胁=候选池平均效果分×出怪数×品质期望倍率；品质权重顺序=青铜,白银,黄金,钻石</x:v>
      </x:c>
    </x:row>
    <x:row r="87" ht="22" customHeight="1">
      <x:c r="A87" s="42" t="str">
        <x:v>wave_d08_morning</x:v>
      </x:c>
      <x:c r="B87" s="42" t="n">
        <x:v>8</x:v>
      </x:c>
      <x:c r="C87" s="42" t="str">
        <x:v>上午</x:v>
      </x:c>
      <x:c r="D87" s="42" t="n">
        <x:v>2</x:v>
      </x:c>
      <x:c r="E87" s="42" t="str">
        <x:v>1,2,3,4,5-3</x:v>
      </x:c>
      <x:c r="F87" s="42" t="str">
        <x:v>90,10,0,1</x:v>
      </x:c>
      <x:c r="G87" s="78" t="n">
        <x:v>150.1</x:v>
      </x:c>
      <x:c r="H87" s="79" t="str">
        <x:v>池-数量；品质权重=青铜,白银,黄金,钻石</x:v>
      </x:c>
      <x:c r="I87" s="80" t="n">
        <x:v>3</x:v>
      </x:c>
      <x:c r="J87" s="80" t="n">
        <x:v>1.0644</x:v>
      </x:c>
      <x:c r="K87" s="80" t="n">
        <x:v>47</x:v>
      </x:c>
      <x:c r="L87" t="str">
        <x:v>本行威胁=候选池平均效果分×出怪数×品质期望倍率；品质权重顺序=青铜,白银,黄金,钻石</x:v>
      </x:c>
    </x:row>
    <x:row r="88" ht="22" customHeight="1">
      <x:c r="A88" s="42" t="str">
        <x:v>wave_d08_morning</x:v>
      </x:c>
      <x:c r="B88" s="42" t="n">
        <x:v>8</x:v>
      </x:c>
      <x:c r="C88" s="42" t="str">
        <x:v>上午</x:v>
      </x:c>
      <x:c r="D88" s="42" t="n">
        <x:v>3</x:v>
      </x:c>
      <x:c r="E88" s="42" t="str">
        <x:v>1,2,3,4,5-4</x:v>
      </x:c>
      <x:c r="F88" s="42" t="str">
        <x:v>90,10,0,2</x:v>
      </x:c>
      <x:c r="G88" s="78" t="n">
        <x:v>202.7</x:v>
      </x:c>
      <x:c r="H88" s="79" t="str">
        <x:v>池-数量；品质权重=青铜,白银,黄金,钻石</x:v>
      </x:c>
      <x:c r="I88" s="80" t="n">
        <x:v>4</x:v>
      </x:c>
      <x:c r="J88" s="80" t="n">
        <x:v>1.0784</x:v>
      </x:c>
      <x:c r="K88" s="80" t="n">
        <x:v>47</x:v>
      </x:c>
      <x:c r="L88" t="str">
        <x:v>本行威胁=候选池平均效果分×出怪数×品质期望倍率；品质权重顺序=青铜,白银,黄金,钻石</x:v>
      </x:c>
    </x:row>
    <x:row r="89" ht="22" customHeight="1">
      <x:c r="A89" s="42" t="str">
        <x:v>wave_d08_morning</x:v>
      </x:c>
      <x:c r="B89" s="42" t="n">
        <x:v>8</x:v>
      </x:c>
      <x:c r="C89" s="42" t="str">
        <x:v>上午</x:v>
      </x:c>
      <x:c r="D89" s="42" t="n">
        <x:v>3</x:v>
      </x:c>
      <x:c r="E89" s="42" t="str">
        <x:v>1,2,3,4,5-4</x:v>
      </x:c>
      <x:c r="F89" s="42" t="str">
        <x:v>90,10,0,2</x:v>
      </x:c>
      <x:c r="G89" s="78" t="n">
        <x:v>202.7</x:v>
      </x:c>
      <x:c r="H89" s="79" t="str">
        <x:v>池-数量；品质权重=青铜,白银,黄金,钻石</x:v>
      </x:c>
      <x:c r="I89" s="80" t="n">
        <x:v>4</x:v>
      </x:c>
      <x:c r="J89" s="80" t="n">
        <x:v>1.0784</x:v>
      </x:c>
      <x:c r="K89" s="80" t="n">
        <x:v>47</x:v>
      </x:c>
      <x:c r="L89" t="str">
        <x:v>本行威胁=候选池平均效果分×出怪数×品质期望倍率；品质权重顺序=青铜,白银,黄金,钻石</x:v>
      </x:c>
    </x:row>
    <x:row r="90" ht="22" customHeight="1">
      <x:c r="A90" s="42" t="str">
        <x:v>wave_d08_morning</x:v>
      </x:c>
      <x:c r="B90" s="42" t="n">
        <x:v>8</x:v>
      </x:c>
      <x:c r="C90" s="42" t="str">
        <x:v>上午</x:v>
      </x:c>
      <x:c r="D90" s="42" t="n">
        <x:v>4</x:v>
      </x:c>
      <x:c r="E90" s="42" t="str">
        <x:v>1,2,3,4,5-5</x:v>
      </x:c>
      <x:c r="F90" s="42" t="str">
        <x:v>90,10,0,3</x:v>
      </x:c>
      <x:c r="G90" s="78" t="n">
        <x:v>256.7</x:v>
      </x:c>
      <x:c r="H90" s="79" t="str">
        <x:v>池-数量；品质权重=青铜,白银,黄金,钻石</x:v>
      </x:c>
      <x:c r="I90" s="80" t="n">
        <x:v>5</x:v>
      </x:c>
      <x:c r="J90" s="80" t="n">
        <x:v>1.0922</x:v>
      </x:c>
      <x:c r="K90" s="80" t="n">
        <x:v>47</x:v>
      </x:c>
      <x:c r="L90" t="str">
        <x:v>本行威胁=候选池平均效果分×出怪数×品质期望倍率；品质权重顺序=青铜,白银,黄金,钻石</x:v>
      </x:c>
    </x:row>
    <x:row r="91" ht="22" customHeight="1">
      <x:c r="A91" s="42" t="str">
        <x:v>wave_d08_morning</x:v>
      </x:c>
      <x:c r="B91" s="42" t="n">
        <x:v>8</x:v>
      </x:c>
      <x:c r="C91" s="42" t="str">
        <x:v>上午</x:v>
      </x:c>
      <x:c r="D91" s="42" t="n">
        <x:v>4</x:v>
      </x:c>
      <x:c r="E91" s="42" t="str">
        <x:v>1,2,3,4,5-5</x:v>
      </x:c>
      <x:c r="F91" s="42" t="str">
        <x:v>90,10,0,3</x:v>
      </x:c>
      <x:c r="G91" s="78" t="n">
        <x:v>256.7</x:v>
      </x:c>
      <x:c r="H91" s="79" t="str">
        <x:v>池-数量；品质权重=青铜,白银,黄金,钻石</x:v>
      </x:c>
      <x:c r="I91" s="80" t="n">
        <x:v>5</x:v>
      </x:c>
      <x:c r="J91" s="80" t="n">
        <x:v>1.0922</x:v>
      </x:c>
      <x:c r="K91" s="80" t="n">
        <x:v>47</x:v>
      </x:c>
      <x:c r="L91" t="str">
        <x:v>本行威胁=候选池平均效果分×出怪数×品质期望倍率；品质权重顺序=青铜,白银,黄金,钻石</x:v>
      </x:c>
    </x:row>
    <x:row r="92" ht="22" customHeight="1">
      <x:c r="A92" s="42" t="str">
        <x:v>wave_d08_morning</x:v>
      </x:c>
      <x:c r="B92" s="42" t="n">
        <x:v>8</x:v>
      </x:c>
      <x:c r="C92" s="42" t="str">
        <x:v>上午</x:v>
      </x:c>
      <x:c r="D92" s="42" t="n">
        <x:v>5</x:v>
      </x:c>
      <x:c r="E92" s="42" t="str">
        <x:v>1,2,3,4,5-6</x:v>
      </x:c>
      <x:c r="F92" s="42" t="str">
        <x:v>90,10,0,4</x:v>
      </x:c>
      <x:c r="G92" s="78" t="n">
        <x:v>311.8</x:v>
      </x:c>
      <x:c r="H92" s="79" t="str">
        <x:v>池-数量；品质权重=青铜,白银,黄金,钻石</x:v>
      </x:c>
      <x:c r="I92" s="80" t="n">
        <x:v>6</x:v>
      </x:c>
      <x:c r="J92" s="80" t="n">
        <x:v>1.1058</x:v>
      </x:c>
      <x:c r="K92" s="80" t="n">
        <x:v>47</x:v>
      </x:c>
      <x:c r="L92" t="str">
        <x:v>本行威胁=候选池平均效果分×出怪数×品质期望倍率；品质权重顺序=青铜,白银,黄金,钻石</x:v>
      </x:c>
    </x:row>
    <x:row r="93" ht="22" customHeight="1">
      <x:c r="A93" s="42" t="str">
        <x:v>wave_d08_afternoon</x:v>
      </x:c>
      <x:c r="B93" s="42" t="n">
        <x:v>8</x:v>
      </x:c>
      <x:c r="C93" s="42" t="str">
        <x:v>下午</x:v>
      </x:c>
      <x:c r="D93" s="42" t="n">
        <x:v>1</x:v>
      </x:c>
      <x:c r="E93" s="42" t="str">
        <x:v>1,2,3,4,5-2</x:v>
      </x:c>
      <x:c r="F93" s="42" t="str">
        <x:v>90,10,0,0</x:v>
      </x:c>
      <x:c r="G93" s="78" t="n">
        <x:v>98.7</x:v>
      </x:c>
      <x:c r="H93" s="79" t="str">
        <x:v>池-数量；品质权重=青铜,白银,黄金,钻石</x:v>
      </x:c>
      <x:c r="I93" s="80" t="n">
        <x:v>2</x:v>
      </x:c>
      <x:c r="J93" s="80" t="n">
        <x:v>1.05</x:v>
      </x:c>
      <x:c r="K93" s="80" t="n">
        <x:v>47</x:v>
      </x:c>
      <x:c r="L93" t="str">
        <x:v>本行威胁=候选池平均效果分×出怪数×品质期望倍率；品质权重顺序=青铜,白银,黄金,钻石</x:v>
      </x:c>
    </x:row>
    <x:row r="94" ht="22" customHeight="1">
      <x:c r="A94" s="42" t="str">
        <x:v>wave_d08_afternoon</x:v>
      </x:c>
      <x:c r="B94" s="42" t="n">
        <x:v>8</x:v>
      </x:c>
      <x:c r="C94" s="42" t="str">
        <x:v>下午</x:v>
      </x:c>
      <x:c r="D94" s="42" t="n">
        <x:v>2</x:v>
      </x:c>
      <x:c r="E94" s="42" t="str">
        <x:v>1,2,3,4,5-3</x:v>
      </x:c>
      <x:c r="F94" s="42" t="str">
        <x:v>90,10,0,1</x:v>
      </x:c>
      <x:c r="G94" s="78" t="n">
        <x:v>150.1</x:v>
      </x:c>
      <x:c r="H94" s="79" t="str">
        <x:v>池-数量；品质权重=青铜,白银,黄金,钻石</x:v>
      </x:c>
      <x:c r="I94" s="80" t="n">
        <x:v>3</x:v>
      </x:c>
      <x:c r="J94" s="80" t="n">
        <x:v>1.0644</x:v>
      </x:c>
      <x:c r="K94" s="80" t="n">
        <x:v>47</x:v>
      </x:c>
      <x:c r="L94" t="str">
        <x:v>本行威胁=候选池平均效果分×出怪数×品质期望倍率；品质权重顺序=青铜,白银,黄金,钻石</x:v>
      </x:c>
    </x:row>
    <x:row r="95" ht="22" customHeight="1">
      <x:c r="A95" s="42" t="str">
        <x:v>wave_d08_afternoon</x:v>
      </x:c>
      <x:c r="B95" s="42" t="n">
        <x:v>8</x:v>
      </x:c>
      <x:c r="C95" s="42" t="str">
        <x:v>下午</x:v>
      </x:c>
      <x:c r="D95" s="42" t="n">
        <x:v>2</x:v>
      </x:c>
      <x:c r="E95" s="42" t="str">
        <x:v>1,2,3,4,5-3</x:v>
      </x:c>
      <x:c r="F95" s="42" t="str">
        <x:v>90,10,0,1</x:v>
      </x:c>
      <x:c r="G95" s="78" t="n">
        <x:v>150.1</x:v>
      </x:c>
      <x:c r="H95" s="79" t="str">
        <x:v>池-数量；品质权重=青铜,白银,黄金,钻石</x:v>
      </x:c>
      <x:c r="I95" s="80" t="n">
        <x:v>3</x:v>
      </x:c>
      <x:c r="J95" s="80" t="n">
        <x:v>1.0644</x:v>
      </x:c>
      <x:c r="K95" s="80" t="n">
        <x:v>47</x:v>
      </x:c>
      <x:c r="L95" t="str">
        <x:v>本行威胁=候选池平均效果分×出怪数×品质期望倍率；品质权重顺序=青铜,白银,黄金,钻石</x:v>
      </x:c>
    </x:row>
    <x:row r="96" ht="22" customHeight="1">
      <x:c r="A96" s="42" t="str">
        <x:v>wave_d08_afternoon</x:v>
      </x:c>
      <x:c r="B96" s="42" t="n">
        <x:v>8</x:v>
      </x:c>
      <x:c r="C96" s="42" t="str">
        <x:v>下午</x:v>
      </x:c>
      <x:c r="D96" s="42" t="n">
        <x:v>3</x:v>
      </x:c>
      <x:c r="E96" s="42" t="str">
        <x:v>1,2,3,4,5-4</x:v>
      </x:c>
      <x:c r="F96" s="42" t="str">
        <x:v>90,10,0,2</x:v>
      </x:c>
      <x:c r="G96" s="78" t="n">
        <x:v>202.7</x:v>
      </x:c>
      <x:c r="H96" s="79" t="str">
        <x:v>池-数量；品质权重=青铜,白银,黄金,钻石</x:v>
      </x:c>
      <x:c r="I96" s="80" t="n">
        <x:v>4</x:v>
      </x:c>
      <x:c r="J96" s="80" t="n">
        <x:v>1.0784</x:v>
      </x:c>
      <x:c r="K96" s="80" t="n">
        <x:v>47</x:v>
      </x:c>
      <x:c r="L96" t="str">
        <x:v>本行威胁=候选池平均效果分×出怪数×品质期望倍率；品质权重顺序=青铜,白银,黄金,钻石</x:v>
      </x:c>
    </x:row>
    <x:row r="97" ht="22" customHeight="1">
      <x:c r="A97" s="42" t="str">
        <x:v>wave_d08_afternoon</x:v>
      </x:c>
      <x:c r="B97" s="42" t="n">
        <x:v>8</x:v>
      </x:c>
      <x:c r="C97" s="42" t="str">
        <x:v>下午</x:v>
      </x:c>
      <x:c r="D97" s="42" t="n">
        <x:v>3</x:v>
      </x:c>
      <x:c r="E97" s="42" t="str">
        <x:v>1,2,3,4,5-4</x:v>
      </x:c>
      <x:c r="F97" s="42" t="str">
        <x:v>90,10,0,2</x:v>
      </x:c>
      <x:c r="G97" s="78" t="n">
        <x:v>202.7</x:v>
      </x:c>
      <x:c r="H97" s="79" t="str">
        <x:v>池-数量；品质权重=青铜,白银,黄金,钻石</x:v>
      </x:c>
      <x:c r="I97" s="80" t="n">
        <x:v>4</x:v>
      </x:c>
      <x:c r="J97" s="80" t="n">
        <x:v>1.0784</x:v>
      </x:c>
      <x:c r="K97" s="80" t="n">
        <x:v>47</x:v>
      </x:c>
      <x:c r="L97" t="str">
        <x:v>本行威胁=候选池平均效果分×出怪数×品质期望倍率；品质权重顺序=青铜,白银,黄金,钻石</x:v>
      </x:c>
    </x:row>
    <x:row r="98" ht="22" customHeight="1">
      <x:c r="A98" s="42" t="str">
        <x:v>wave_d08_afternoon</x:v>
      </x:c>
      <x:c r="B98" s="42" t="n">
        <x:v>8</x:v>
      </x:c>
      <x:c r="C98" s="42" t="str">
        <x:v>下午</x:v>
      </x:c>
      <x:c r="D98" s="42" t="n">
        <x:v>4</x:v>
      </x:c>
      <x:c r="E98" s="42" t="str">
        <x:v>1,2,3,4,5-5</x:v>
      </x:c>
      <x:c r="F98" s="42" t="str">
        <x:v>90,10,0,3</x:v>
      </x:c>
      <x:c r="G98" s="78" t="n">
        <x:v>256.7</x:v>
      </x:c>
      <x:c r="H98" s="79" t="str">
        <x:v>池-数量；品质权重=青铜,白银,黄金,钻石</x:v>
      </x:c>
      <x:c r="I98" s="80" t="n">
        <x:v>5</x:v>
      </x:c>
      <x:c r="J98" s="80" t="n">
        <x:v>1.0922</x:v>
      </x:c>
      <x:c r="K98" s="80" t="n">
        <x:v>47</x:v>
      </x:c>
      <x:c r="L98" t="str">
        <x:v>本行威胁=候选池平均效果分×出怪数×品质期望倍率；品质权重顺序=青铜,白银,黄金,钻石</x:v>
      </x:c>
    </x:row>
    <x:row r="99" ht="22" customHeight="1">
      <x:c r="A99" s="42" t="str">
        <x:v>wave_d08_afternoon</x:v>
      </x:c>
      <x:c r="B99" s="42" t="n">
        <x:v>8</x:v>
      </x:c>
      <x:c r="C99" s="42" t="str">
        <x:v>下午</x:v>
      </x:c>
      <x:c r="D99" s="42" t="n">
        <x:v>4</x:v>
      </x:c>
      <x:c r="E99" s="42" t="str">
        <x:v>1,2,3,4,5-5</x:v>
      </x:c>
      <x:c r="F99" s="42" t="str">
        <x:v>90,10,0,3</x:v>
      </x:c>
      <x:c r="G99" s="78" t="n">
        <x:v>256.7</x:v>
      </x:c>
      <x:c r="H99" s="79" t="str">
        <x:v>池-数量；品质权重=青铜,白银,黄金,钻石</x:v>
      </x:c>
      <x:c r="I99" s="80" t="n">
        <x:v>5</x:v>
      </x:c>
      <x:c r="J99" s="80" t="n">
        <x:v>1.0922</x:v>
      </x:c>
      <x:c r="K99" s="80" t="n">
        <x:v>47</x:v>
      </x:c>
      <x:c r="L99" t="str">
        <x:v>本行威胁=候选池平均效果分×出怪数×品质期望倍率；品质权重顺序=青铜,白银,黄金,钻石</x:v>
      </x:c>
    </x:row>
    <x:row r="100" ht="22" customHeight="1">
      <x:c r="A100" s="42" t="str">
        <x:v>wave_d08_afternoon</x:v>
      </x:c>
      <x:c r="B100" s="42" t="n">
        <x:v>8</x:v>
      </x:c>
      <x:c r="C100" s="42" t="str">
        <x:v>下午</x:v>
      </x:c>
      <x:c r="D100" s="42" t="n">
        <x:v>5</x:v>
      </x:c>
      <x:c r="E100" s="42" t="str">
        <x:v>1,2,3,4,5-6</x:v>
      </x:c>
      <x:c r="F100" s="42" t="str">
        <x:v>90,10,0,4</x:v>
      </x:c>
      <x:c r="G100" s="78" t="n">
        <x:v>311.8</x:v>
      </x:c>
      <x:c r="H100" s="79" t="str">
        <x:v>池-数量；品质权重=青铜,白银,黄金,钻石</x:v>
      </x:c>
      <x:c r="I100" s="80" t="n">
        <x:v>6</x:v>
      </x:c>
      <x:c r="J100" s="80" t="n">
        <x:v>1.1058</x:v>
      </x:c>
      <x:c r="K100" s="80" t="n">
        <x:v>47</x:v>
      </x:c>
      <x:c r="L100" t="str">
        <x:v>本行威胁=候选池平均效果分×出怪数×品质期望倍率；品质权重顺序=青铜,白银,黄金,钻石</x:v>
      </x:c>
    </x:row>
    <x:row r="101" ht="22" customHeight="1">
      <x:c r="A101" s="42" t="str">
        <x:v>wave_d09_morning</x:v>
      </x:c>
      <x:c r="B101" s="42" t="n">
        <x:v>9</x:v>
      </x:c>
      <x:c r="C101" s="42" t="str">
        <x:v>上午</x:v>
      </x:c>
      <x:c r="D101" s="42" t="n">
        <x:v>1</x:v>
      </x:c>
      <x:c r="E101" s="42" t="str">
        <x:v>1,2,3,4,5-2</x:v>
      </x:c>
      <x:c r="F101" s="42" t="str">
        <x:v>90,10,0,0</x:v>
      </x:c>
      <x:c r="G101" s="78" t="n">
        <x:v>98.7</x:v>
      </x:c>
      <x:c r="H101" s="79" t="str">
        <x:v>池-数量；品质权重=青铜,白银,黄金,钻石</x:v>
      </x:c>
      <x:c r="I101" s="80" t="n">
        <x:v>2</x:v>
      </x:c>
      <x:c r="J101" s="80" t="n">
        <x:v>1.05</x:v>
      </x:c>
      <x:c r="K101" s="80" t="n">
        <x:v>47</x:v>
      </x:c>
      <x:c r="L101" t="str">
        <x:v>本行威胁=候选池平均效果分×出怪数×品质期望倍率；品质权重顺序=青铜,白银,黄金,钻石</x:v>
      </x:c>
    </x:row>
    <x:row r="102" ht="22" customHeight="1">
      <x:c r="A102" s="42" t="str">
        <x:v>wave_d09_morning</x:v>
      </x:c>
      <x:c r="B102" s="42" t="n">
        <x:v>9</x:v>
      </x:c>
      <x:c r="C102" s="42" t="str">
        <x:v>上午</x:v>
      </x:c>
      <x:c r="D102" s="42" t="n">
        <x:v>2</x:v>
      </x:c>
      <x:c r="E102" s="42" t="str">
        <x:v>1,2,3,4,5-3</x:v>
      </x:c>
      <x:c r="F102" s="42" t="str">
        <x:v>90,10,0,1</x:v>
      </x:c>
      <x:c r="G102" s="78" t="n">
        <x:v>150.1</x:v>
      </x:c>
      <x:c r="H102" s="79" t="str">
        <x:v>池-数量；品质权重=青铜,白银,黄金,钻石</x:v>
      </x:c>
      <x:c r="I102" s="80" t="n">
        <x:v>3</x:v>
      </x:c>
      <x:c r="J102" s="80" t="n">
        <x:v>1.0644</x:v>
      </x:c>
      <x:c r="K102" s="80" t="n">
        <x:v>47</x:v>
      </x:c>
      <x:c r="L102" t="str">
        <x:v>本行威胁=候选池平均效果分×出怪数×品质期望倍率；品质权重顺序=青铜,白银,黄金,钻石</x:v>
      </x:c>
    </x:row>
    <x:row r="103" ht="22" customHeight="1">
      <x:c r="A103" s="42" t="str">
        <x:v>wave_d09_morning</x:v>
      </x:c>
      <x:c r="B103" s="42" t="n">
        <x:v>9</x:v>
      </x:c>
      <x:c r="C103" s="42" t="str">
        <x:v>上午</x:v>
      </x:c>
      <x:c r="D103" s="42" t="n">
        <x:v>2</x:v>
      </x:c>
      <x:c r="E103" s="42" t="str">
        <x:v>1,2,3,4,5-3</x:v>
      </x:c>
      <x:c r="F103" s="42" t="str">
        <x:v>90,10,0,1</x:v>
      </x:c>
      <x:c r="G103" s="78" t="n">
        <x:v>150.1</x:v>
      </x:c>
      <x:c r="H103" s="79" t="str">
        <x:v>池-数量；品质权重=青铜,白银,黄金,钻石</x:v>
      </x:c>
      <x:c r="I103" s="80" t="n">
        <x:v>3</x:v>
      </x:c>
      <x:c r="J103" s="80" t="n">
        <x:v>1.0644</x:v>
      </x:c>
      <x:c r="K103" s="80" t="n">
        <x:v>47</x:v>
      </x:c>
      <x:c r="L103" t="str">
        <x:v>本行威胁=候选池平均效果分×出怪数×品质期望倍率；品质权重顺序=青铜,白银,黄金,钻石</x:v>
      </x:c>
    </x:row>
    <x:row r="104" ht="22" customHeight="1">
      <x:c r="A104" s="42" t="str">
        <x:v>wave_d09_morning</x:v>
      </x:c>
      <x:c r="B104" s="42" t="n">
        <x:v>9</x:v>
      </x:c>
      <x:c r="C104" s="42" t="str">
        <x:v>上午</x:v>
      </x:c>
      <x:c r="D104" s="42" t="n">
        <x:v>3</x:v>
      </x:c>
      <x:c r="E104" s="42" t="str">
        <x:v>1,2,3,4,5-4</x:v>
      </x:c>
      <x:c r="F104" s="42" t="str">
        <x:v>90,10,0,2</x:v>
      </x:c>
      <x:c r="G104" s="78" t="n">
        <x:v>202.7</x:v>
      </x:c>
      <x:c r="H104" s="79" t="str">
        <x:v>池-数量；品质权重=青铜,白银,黄金,钻石</x:v>
      </x:c>
      <x:c r="I104" s="80" t="n">
        <x:v>4</x:v>
      </x:c>
      <x:c r="J104" s="80" t="n">
        <x:v>1.0784</x:v>
      </x:c>
      <x:c r="K104" s="80" t="n">
        <x:v>47</x:v>
      </x:c>
      <x:c r="L104" t="str">
        <x:v>本行威胁=候选池平均效果分×出怪数×品质期望倍率；品质权重顺序=青铜,白银,黄金,钻石</x:v>
      </x:c>
    </x:row>
    <x:row r="105" ht="22" customHeight="1">
      <x:c r="A105" s="42" t="str">
        <x:v>wave_d09_morning</x:v>
      </x:c>
      <x:c r="B105" s="42" t="n">
        <x:v>9</x:v>
      </x:c>
      <x:c r="C105" s="42" t="str">
        <x:v>上午</x:v>
      </x:c>
      <x:c r="D105" s="42" t="n">
        <x:v>3</x:v>
      </x:c>
      <x:c r="E105" s="42" t="str">
        <x:v>1,2,3,4,5-4</x:v>
      </x:c>
      <x:c r="F105" s="42" t="str">
        <x:v>90,10,0,2</x:v>
      </x:c>
      <x:c r="G105" s="78" t="n">
        <x:v>202.7</x:v>
      </x:c>
      <x:c r="H105" s="79" t="str">
        <x:v>池-数量；品质权重=青铜,白银,黄金,钻石</x:v>
      </x:c>
      <x:c r="I105" s="80" t="n">
        <x:v>4</x:v>
      </x:c>
      <x:c r="J105" s="80" t="n">
        <x:v>1.0784</x:v>
      </x:c>
      <x:c r="K105" s="80" t="n">
        <x:v>47</x:v>
      </x:c>
      <x:c r="L105" t="str">
        <x:v>本行威胁=候选池平均效果分×出怪数×品质期望倍率；品质权重顺序=青铜,白银,黄金,钻石</x:v>
      </x:c>
    </x:row>
    <x:row r="106" ht="22" customHeight="1">
      <x:c r="A106" s="42" t="str">
        <x:v>wave_d09_morning</x:v>
      </x:c>
      <x:c r="B106" s="42" t="n">
        <x:v>9</x:v>
      </x:c>
      <x:c r="C106" s="42" t="str">
        <x:v>上午</x:v>
      </x:c>
      <x:c r="D106" s="42" t="n">
        <x:v>4</x:v>
      </x:c>
      <x:c r="E106" s="42" t="str">
        <x:v>1,2,3,4,5-5</x:v>
      </x:c>
      <x:c r="F106" s="42" t="str">
        <x:v>90,10,0,3</x:v>
      </x:c>
      <x:c r="G106" s="78" t="n">
        <x:v>256.7</x:v>
      </x:c>
      <x:c r="H106" s="79" t="str">
        <x:v>池-数量；品质权重=青铜,白银,黄金,钻石</x:v>
      </x:c>
      <x:c r="I106" s="80" t="n">
        <x:v>5</x:v>
      </x:c>
      <x:c r="J106" s="80" t="n">
        <x:v>1.0922</x:v>
      </x:c>
      <x:c r="K106" s="80" t="n">
        <x:v>47</x:v>
      </x:c>
      <x:c r="L106" t="str">
        <x:v>本行威胁=候选池平均效果分×出怪数×品质期望倍率；品质权重顺序=青铜,白银,黄金,钻石</x:v>
      </x:c>
    </x:row>
    <x:row r="107" ht="22" customHeight="1">
      <x:c r="A107" s="42" t="str">
        <x:v>wave_d09_morning</x:v>
      </x:c>
      <x:c r="B107" s="42" t="n">
        <x:v>9</x:v>
      </x:c>
      <x:c r="C107" s="42" t="str">
        <x:v>上午</x:v>
      </x:c>
      <x:c r="D107" s="42" t="n">
        <x:v>4</x:v>
      </x:c>
      <x:c r="E107" s="42" t="str">
        <x:v>1,2,3,4,5-5</x:v>
      </x:c>
      <x:c r="F107" s="42" t="str">
        <x:v>90,10,0,3</x:v>
      </x:c>
      <x:c r="G107" s="78" t="n">
        <x:v>256.7</x:v>
      </x:c>
      <x:c r="H107" s="79" t="str">
        <x:v>池-数量；品质权重=青铜,白银,黄金,钻石</x:v>
      </x:c>
      <x:c r="I107" s="80" t="n">
        <x:v>5</x:v>
      </x:c>
      <x:c r="J107" s="80" t="n">
        <x:v>1.0922</x:v>
      </x:c>
      <x:c r="K107" s="80" t="n">
        <x:v>47</x:v>
      </x:c>
      <x:c r="L107" t="str">
        <x:v>本行威胁=候选池平均效果分×出怪数×品质期望倍率；品质权重顺序=青铜,白银,黄金,钻石</x:v>
      </x:c>
    </x:row>
    <x:row r="108" ht="22" customHeight="1">
      <x:c r="A108" s="42" t="str">
        <x:v>wave_d09_morning</x:v>
      </x:c>
      <x:c r="B108" s="42" t="n">
        <x:v>9</x:v>
      </x:c>
      <x:c r="C108" s="42" t="str">
        <x:v>上午</x:v>
      </x:c>
      <x:c r="D108" s="42" t="n">
        <x:v>5</x:v>
      </x:c>
      <x:c r="E108" s="42" t="str">
        <x:v>1,2,3,4,5-6</x:v>
      </x:c>
      <x:c r="F108" s="42" t="str">
        <x:v>90,10,0,4</x:v>
      </x:c>
      <x:c r="G108" s="78" t="n">
        <x:v>311.8</x:v>
      </x:c>
      <x:c r="H108" s="79" t="str">
        <x:v>池-数量；品质权重=青铜,白银,黄金,钻石</x:v>
      </x:c>
      <x:c r="I108" s="80" t="n">
        <x:v>6</x:v>
      </x:c>
      <x:c r="J108" s="80" t="n">
        <x:v>1.1058</x:v>
      </x:c>
      <x:c r="K108" s="80" t="n">
        <x:v>47</x:v>
      </x:c>
      <x:c r="L108" t="str">
        <x:v>本行威胁=候选池平均效果分×出怪数×品质期望倍率；品质权重顺序=青铜,白银,黄金,钻石</x:v>
      </x:c>
    </x:row>
    <x:row r="109" ht="22" customHeight="1">
      <x:c r="A109" s="42" t="str">
        <x:v>wave_d09_afternoon</x:v>
      </x:c>
      <x:c r="B109" s="42" t="n">
        <x:v>9</x:v>
      </x:c>
      <x:c r="C109" s="42" t="str">
        <x:v>下午</x:v>
      </x:c>
      <x:c r="D109" s="42" t="n">
        <x:v>1</x:v>
      </x:c>
      <x:c r="E109" s="42" t="str">
        <x:v>1,2,3,4,5-2</x:v>
      </x:c>
      <x:c r="F109" s="42" t="str">
        <x:v>90,10,0,0</x:v>
      </x:c>
      <x:c r="G109" s="78" t="n">
        <x:v>98.7</x:v>
      </x:c>
      <x:c r="H109" s="79" t="str">
        <x:v>池-数量；品质权重=青铜,白银,黄金,钻石</x:v>
      </x:c>
      <x:c r="I109" s="80" t="n">
        <x:v>2</x:v>
      </x:c>
      <x:c r="J109" s="80" t="n">
        <x:v>1.05</x:v>
      </x:c>
      <x:c r="K109" s="80" t="n">
        <x:v>47</x:v>
      </x:c>
      <x:c r="L109" t="str">
        <x:v>本行威胁=候选池平均效果分×出怪数×品质期望倍率；品质权重顺序=青铜,白银,黄金,钻石</x:v>
      </x:c>
    </x:row>
    <x:row r="110" ht="22" customHeight="1">
      <x:c r="A110" s="42" t="str">
        <x:v>wave_d09_afternoon</x:v>
      </x:c>
      <x:c r="B110" s="42" t="n">
        <x:v>9</x:v>
      </x:c>
      <x:c r="C110" s="42" t="str">
        <x:v>下午</x:v>
      </x:c>
      <x:c r="D110" s="42" t="n">
        <x:v>2</x:v>
      </x:c>
      <x:c r="E110" s="42" t="str">
        <x:v>1,2,3,4,5-3</x:v>
      </x:c>
      <x:c r="F110" s="42" t="str">
        <x:v>90,10,0,1</x:v>
      </x:c>
      <x:c r="G110" s="78" t="n">
        <x:v>150.1</x:v>
      </x:c>
      <x:c r="H110" s="79" t="str">
        <x:v>池-数量；品质权重=青铜,白银,黄金,钻石</x:v>
      </x:c>
      <x:c r="I110" s="80" t="n">
        <x:v>3</x:v>
      </x:c>
      <x:c r="J110" s="80" t="n">
        <x:v>1.0644</x:v>
      </x:c>
      <x:c r="K110" s="80" t="n">
        <x:v>47</x:v>
      </x:c>
      <x:c r="L110" t="str">
        <x:v>本行威胁=候选池平均效果分×出怪数×品质期望倍率；品质权重顺序=青铜,白银,黄金,钻石</x:v>
      </x:c>
    </x:row>
    <x:row r="111" ht="22" customHeight="1">
      <x:c r="A111" s="42" t="str">
        <x:v>wave_d09_afternoon</x:v>
      </x:c>
      <x:c r="B111" s="42" t="n">
        <x:v>9</x:v>
      </x:c>
      <x:c r="C111" s="42" t="str">
        <x:v>下午</x:v>
      </x:c>
      <x:c r="D111" s="42" t="n">
        <x:v>2</x:v>
      </x:c>
      <x:c r="E111" s="42" t="str">
        <x:v>1,2,3,4,5-3</x:v>
      </x:c>
      <x:c r="F111" s="42" t="str">
        <x:v>90,10,0,1</x:v>
      </x:c>
      <x:c r="G111" s="78" t="n">
        <x:v>150.1</x:v>
      </x:c>
      <x:c r="H111" s="79" t="str">
        <x:v>池-数量；品质权重=青铜,白银,黄金,钻石</x:v>
      </x:c>
      <x:c r="I111" s="80" t="n">
        <x:v>3</x:v>
      </x:c>
      <x:c r="J111" s="80" t="n">
        <x:v>1.0644</x:v>
      </x:c>
      <x:c r="K111" s="80" t="n">
        <x:v>47</x:v>
      </x:c>
      <x:c r="L111" t="str">
        <x:v>本行威胁=候选池平均效果分×出怪数×品质期望倍率；品质权重顺序=青铜,白银,黄金,钻石</x:v>
      </x:c>
    </x:row>
    <x:row r="112" ht="22" customHeight="1">
      <x:c r="A112" s="42" t="str">
        <x:v>wave_d09_afternoon</x:v>
      </x:c>
      <x:c r="B112" s="42" t="n">
        <x:v>9</x:v>
      </x:c>
      <x:c r="C112" s="42" t="str">
        <x:v>下午</x:v>
      </x:c>
      <x:c r="D112" s="42" t="n">
        <x:v>3</x:v>
      </x:c>
      <x:c r="E112" s="42" t="str">
        <x:v>1,2,3,4,5-4</x:v>
      </x:c>
      <x:c r="F112" s="42" t="str">
        <x:v>90,10,0,2</x:v>
      </x:c>
      <x:c r="G112" s="78" t="n">
        <x:v>202.7</x:v>
      </x:c>
      <x:c r="H112" s="79" t="str">
        <x:v>池-数量；品质权重=青铜,白银,黄金,钻石</x:v>
      </x:c>
      <x:c r="I112" s="80" t="n">
        <x:v>4</x:v>
      </x:c>
      <x:c r="J112" s="80" t="n">
        <x:v>1.0784</x:v>
      </x:c>
      <x:c r="K112" s="80" t="n">
        <x:v>47</x:v>
      </x:c>
      <x:c r="L112" t="str">
        <x:v>本行威胁=候选池平均效果分×出怪数×品质期望倍率；品质权重顺序=青铜,白银,黄金,钻石</x:v>
      </x:c>
    </x:row>
    <x:row r="113" ht="22" customHeight="1">
      <x:c r="A113" s="42" t="str">
        <x:v>wave_d09_afternoon</x:v>
      </x:c>
      <x:c r="B113" s="42" t="n">
        <x:v>9</x:v>
      </x:c>
      <x:c r="C113" s="42" t="str">
        <x:v>下午</x:v>
      </x:c>
      <x:c r="D113" s="42" t="n">
        <x:v>4</x:v>
      </x:c>
      <x:c r="E113" s="42" t="str">
        <x:v>1,2,3,4,5-5</x:v>
      </x:c>
      <x:c r="F113" s="42" t="str">
        <x:v>90,10,0,3</x:v>
      </x:c>
      <x:c r="G113" s="78" t="n">
        <x:v>256.7</x:v>
      </x:c>
      <x:c r="H113" s="79" t="str">
        <x:v>池-数量；品质权重=青铜,白银,黄金,钻石</x:v>
      </x:c>
      <x:c r="I113" s="80" t="n">
        <x:v>5</x:v>
      </x:c>
      <x:c r="J113" s="80" t="n">
        <x:v>1.0922</x:v>
      </x:c>
      <x:c r="K113" s="80" t="n">
        <x:v>47</x:v>
      </x:c>
      <x:c r="L113" t="str">
        <x:v>本行威胁=候选池平均效果分×出怪数×品质期望倍率；品质权重顺序=青铜,白银,黄金,钻石</x:v>
      </x:c>
    </x:row>
    <x:row r="114" ht="22" customHeight="1">
      <x:c r="A114" s="42" t="str">
        <x:v>wave_d09_afternoon</x:v>
      </x:c>
      <x:c r="B114" s="42" t="n">
        <x:v>9</x:v>
      </x:c>
      <x:c r="C114" s="42" t="str">
        <x:v>下午</x:v>
      </x:c>
      <x:c r="D114" s="42" t="n">
        <x:v>4</x:v>
      </x:c>
      <x:c r="E114" s="42" t="str">
        <x:v>1,2,3,4,5-5</x:v>
      </x:c>
      <x:c r="F114" s="42" t="str">
        <x:v>90,10,0,3</x:v>
      </x:c>
      <x:c r="G114" s="78" t="n">
        <x:v>256.7</x:v>
      </x:c>
      <x:c r="H114" s="79" t="str">
        <x:v>池-数量；品质权重=青铜,白银,黄金,钻石</x:v>
      </x:c>
      <x:c r="I114" s="80" t="n">
        <x:v>5</x:v>
      </x:c>
      <x:c r="J114" s="80" t="n">
        <x:v>1.0922</x:v>
      </x:c>
      <x:c r="K114" s="80" t="n">
        <x:v>47</x:v>
      </x:c>
      <x:c r="L114" t="str">
        <x:v>本行威胁=候选池平均效果分×出怪数×品质期望倍率；品质权重顺序=青铜,白银,黄金,钻石</x:v>
      </x:c>
    </x:row>
    <x:row r="115" ht="22" customHeight="1">
      <x:c r="A115" s="42" t="str">
        <x:v>wave_d09_afternoon</x:v>
      </x:c>
      <x:c r="B115" s="42" t="n">
        <x:v>9</x:v>
      </x:c>
      <x:c r="C115" s="42" t="str">
        <x:v>下午</x:v>
      </x:c>
      <x:c r="D115" s="42" t="n">
        <x:v>5</x:v>
      </x:c>
      <x:c r="E115" s="42" t="str">
        <x:v>1,2,3,4,5-6</x:v>
      </x:c>
      <x:c r="F115" s="42" t="str">
        <x:v>90,10,0,4</x:v>
      </x:c>
      <x:c r="G115" s="78" t="n">
        <x:v>311.8</x:v>
      </x:c>
      <x:c r="H115" s="79" t="str">
        <x:v>池-数量；品质权重=青铜,白银,黄金,钻石</x:v>
      </x:c>
      <x:c r="I115" s="80" t="n">
        <x:v>6</x:v>
      </x:c>
      <x:c r="J115" s="80" t="n">
        <x:v>1.1058</x:v>
      </x:c>
      <x:c r="K115" s="80" t="n">
        <x:v>47</x:v>
      </x:c>
      <x:c r="L115" t="str">
        <x:v>本行威胁=候选池平均效果分×出怪数×品质期望倍率；品质权重顺序=青铜,白银,黄金,钻石</x:v>
      </x:c>
    </x:row>
    <x:row r="116" ht="22" customHeight="1">
      <x:c r="A116" s="42" t="str">
        <x:v>wave_d09_afternoon</x:v>
      </x:c>
      <x:c r="B116" s="42" t="n">
        <x:v>9</x:v>
      </x:c>
      <x:c r="C116" s="42" t="str">
        <x:v>下午</x:v>
      </x:c>
      <x:c r="D116" s="42" t="n">
        <x:v>5</x:v>
      </x:c>
      <x:c r="E116" s="42" t="str">
        <x:v>1,2,3,4,5-6</x:v>
      </x:c>
      <x:c r="F116" s="42" t="str">
        <x:v>90,10,0,4</x:v>
      </x:c>
      <x:c r="G116" s="78" t="n">
        <x:v>311.8</x:v>
      </x:c>
      <x:c r="H116" s="79" t="str">
        <x:v>池-数量；品质权重=青铜,白银,黄金,钻石</x:v>
      </x:c>
      <x:c r="I116" s="80" t="n">
        <x:v>6</x:v>
      </x:c>
      <x:c r="J116" s="80" t="n">
        <x:v>1.1058</x:v>
      </x:c>
      <x:c r="K116" s="80" t="n">
        <x:v>47</x:v>
      </x:c>
      <x:c r="L116" t="str">
        <x:v>本行威胁=候选池平均效果分×出怪数×品质期望倍率；品质权重顺序=青铜,白银,黄金,钻石</x:v>
      </x:c>
    </x:row>
    <x:row r="117" ht="22" customHeight="1">
      <x:c r="A117" s="42" t="str">
        <x:v>wave_d10_morning</x:v>
      </x:c>
      <x:c r="B117" s="42" t="n">
        <x:v>10</x:v>
      </x:c>
      <x:c r="C117" s="42" t="str">
        <x:v>上午</x:v>
      </x:c>
      <x:c r="D117" s="42" t="n">
        <x:v>1</x:v>
      </x:c>
      <x:c r="E117" s="42" t="str">
        <x:v>1,2,3,4,5-2</x:v>
      </x:c>
      <x:c r="F117" s="42" t="str">
        <x:v>90,10,0,0</x:v>
      </x:c>
      <x:c r="G117" s="78" t="n">
        <x:v>98.7</x:v>
      </x:c>
      <x:c r="H117" s="79" t="str">
        <x:v>池-数量；品质权重=青铜,白银,黄金,钻石</x:v>
      </x:c>
      <x:c r="I117" s="80" t="n">
        <x:v>2</x:v>
      </x:c>
      <x:c r="J117" s="80" t="n">
        <x:v>1.05</x:v>
      </x:c>
      <x:c r="K117" s="80" t="n">
        <x:v>47</x:v>
      </x:c>
      <x:c r="L117" t="str">
        <x:v>本行威胁=候选池平均效果分×出怪数×品质期望倍率；品质权重顺序=青铜,白银,黄金,钻石</x:v>
      </x:c>
    </x:row>
    <x:row r="118" ht="22" customHeight="1">
      <x:c r="A118" s="42" t="str">
        <x:v>wave_d10_morning</x:v>
      </x:c>
      <x:c r="B118" s="42" t="n">
        <x:v>10</x:v>
      </x:c>
      <x:c r="C118" s="42" t="str">
        <x:v>上午</x:v>
      </x:c>
      <x:c r="D118" s="42" t="n">
        <x:v>2</x:v>
      </x:c>
      <x:c r="E118" s="42" t="str">
        <x:v>1,2,3,4,5-3</x:v>
      </x:c>
      <x:c r="F118" s="42" t="str">
        <x:v>90,10,0,1</x:v>
      </x:c>
      <x:c r="G118" s="78" t="n">
        <x:v>150.1</x:v>
      </x:c>
      <x:c r="H118" s="79" t="str">
        <x:v>池-数量；品质权重=青铜,白银,黄金,钻石</x:v>
      </x:c>
      <x:c r="I118" s="80" t="n">
        <x:v>3</x:v>
      </x:c>
      <x:c r="J118" s="80" t="n">
        <x:v>1.0644</x:v>
      </x:c>
      <x:c r="K118" s="80" t="n">
        <x:v>47</x:v>
      </x:c>
      <x:c r="L118" t="str">
        <x:v>本行威胁=候选池平均效果分×出怪数×品质期望倍率；品质权重顺序=青铜,白银,黄金,钻石</x:v>
      </x:c>
    </x:row>
    <x:row r="119" ht="22" customHeight="1">
      <x:c r="A119" s="42" t="str">
        <x:v>wave_d10_morning</x:v>
      </x:c>
      <x:c r="B119" s="42" t="n">
        <x:v>10</x:v>
      </x:c>
      <x:c r="C119" s="42" t="str">
        <x:v>上午</x:v>
      </x:c>
      <x:c r="D119" s="42" t="n">
        <x:v>2</x:v>
      </x:c>
      <x:c r="E119" s="42" t="str">
        <x:v>1,2,3,4,5-3</x:v>
      </x:c>
      <x:c r="F119" s="42" t="str">
        <x:v>90,10,0,1</x:v>
      </x:c>
      <x:c r="G119" s="78" t="n">
        <x:v>150.1</x:v>
      </x:c>
      <x:c r="H119" s="79" t="str">
        <x:v>池-数量；品质权重=青铜,白银,黄金,钻石</x:v>
      </x:c>
      <x:c r="I119" s="80" t="n">
        <x:v>3</x:v>
      </x:c>
      <x:c r="J119" s="80" t="n">
        <x:v>1.0644</x:v>
      </x:c>
      <x:c r="K119" s="80" t="n">
        <x:v>47</x:v>
      </x:c>
      <x:c r="L119" t="str">
        <x:v>本行威胁=候选池平均效果分×出怪数×品质期望倍率；品质权重顺序=青铜,白银,黄金,钻石</x:v>
      </x:c>
    </x:row>
    <x:row r="120" ht="22" customHeight="1">
      <x:c r="A120" s="42" t="str">
        <x:v>wave_d10_morning</x:v>
      </x:c>
      <x:c r="B120" s="42" t="n">
        <x:v>10</x:v>
      </x:c>
      <x:c r="C120" s="42" t="str">
        <x:v>上午</x:v>
      </x:c>
      <x:c r="D120" s="42" t="n">
        <x:v>3</x:v>
      </x:c>
      <x:c r="E120" s="42" t="str">
        <x:v>1,2,3,4,5-4</x:v>
      </x:c>
      <x:c r="F120" s="42" t="str">
        <x:v>90,10,0,2</x:v>
      </x:c>
      <x:c r="G120" s="78" t="n">
        <x:v>202.7</x:v>
      </x:c>
      <x:c r="H120" s="79" t="str">
        <x:v>池-数量；品质权重=青铜,白银,黄金,钻石</x:v>
      </x:c>
      <x:c r="I120" s="80" t="n">
        <x:v>4</x:v>
      </x:c>
      <x:c r="J120" s="80" t="n">
        <x:v>1.0784</x:v>
      </x:c>
      <x:c r="K120" s="80" t="n">
        <x:v>47</x:v>
      </x:c>
      <x:c r="L120" t="str">
        <x:v>本行威胁=候选池平均效果分×出怪数×品质期望倍率；品质权重顺序=青铜,白银,黄金,钻石</x:v>
      </x:c>
    </x:row>
    <x:row r="121" ht="22" customHeight="1">
      <x:c r="A121" s="42" t="str">
        <x:v>wave_d10_morning</x:v>
      </x:c>
      <x:c r="B121" s="42" t="n">
        <x:v>10</x:v>
      </x:c>
      <x:c r="C121" s="42" t="str">
        <x:v>上午</x:v>
      </x:c>
      <x:c r="D121" s="42" t="n">
        <x:v>3</x:v>
      </x:c>
      <x:c r="E121" s="42" t="str">
        <x:v>1,2,3,4,5-4</x:v>
      </x:c>
      <x:c r="F121" s="42" t="str">
        <x:v>90,10,0,2</x:v>
      </x:c>
      <x:c r="G121" s="78" t="n">
        <x:v>202.7</x:v>
      </x:c>
      <x:c r="H121" s="79" t="str">
        <x:v>池-数量；品质权重=青铜,白银,黄金,钻石</x:v>
      </x:c>
      <x:c r="I121" s="80" t="n">
        <x:v>4</x:v>
      </x:c>
      <x:c r="J121" s="80" t="n">
        <x:v>1.0784</x:v>
      </x:c>
      <x:c r="K121" s="80" t="n">
        <x:v>47</x:v>
      </x:c>
      <x:c r="L121" t="str">
        <x:v>本行威胁=候选池平均效果分×出怪数×品质期望倍率；品质权重顺序=青铜,白银,黄金,钻石</x:v>
      </x:c>
    </x:row>
    <x:row r="122" ht="22" customHeight="1">
      <x:c r="A122" s="42" t="str">
        <x:v>wave_d10_morning</x:v>
      </x:c>
      <x:c r="B122" s="42" t="n">
        <x:v>10</x:v>
      </x:c>
      <x:c r="C122" s="42" t="str">
        <x:v>上午</x:v>
      </x:c>
      <x:c r="D122" s="42" t="n">
        <x:v>4</x:v>
      </x:c>
      <x:c r="E122" s="42" t="str">
        <x:v>1,2,3,4,5-5</x:v>
      </x:c>
      <x:c r="F122" s="42" t="str">
        <x:v>90,10,0,3</x:v>
      </x:c>
      <x:c r="G122" s="78" t="n">
        <x:v>256.7</x:v>
      </x:c>
      <x:c r="H122" s="79" t="str">
        <x:v>池-数量；品质权重=青铜,白银,黄金,钻石</x:v>
      </x:c>
      <x:c r="I122" s="80" t="n">
        <x:v>5</x:v>
      </x:c>
      <x:c r="J122" s="80" t="n">
        <x:v>1.0922</x:v>
      </x:c>
      <x:c r="K122" s="80" t="n">
        <x:v>47</x:v>
      </x:c>
      <x:c r="L122" t="str">
        <x:v>本行威胁=候选池平均效果分×出怪数×品质期望倍率；品质权重顺序=青铜,白银,黄金,钻石</x:v>
      </x:c>
    </x:row>
    <x:row r="123" ht="22" customHeight="1">
      <x:c r="A123" s="42" t="str">
        <x:v>wave_d10_morning</x:v>
      </x:c>
      <x:c r="B123" s="42" t="n">
        <x:v>10</x:v>
      </x:c>
      <x:c r="C123" s="42" t="str">
        <x:v>上午</x:v>
      </x:c>
      <x:c r="D123" s="42" t="n">
        <x:v>4</x:v>
      </x:c>
      <x:c r="E123" s="42" t="str">
        <x:v>1,2,3,4,5-5</x:v>
      </x:c>
      <x:c r="F123" s="42" t="str">
        <x:v>90,10,0,3</x:v>
      </x:c>
      <x:c r="G123" s="78" t="n">
        <x:v>256.7</x:v>
      </x:c>
      <x:c r="H123" s="79" t="str">
        <x:v>池-数量；品质权重=青铜,白银,黄金,钻石</x:v>
      </x:c>
      <x:c r="I123" s="80" t="n">
        <x:v>5</x:v>
      </x:c>
      <x:c r="J123" s="80" t="n">
        <x:v>1.0922</x:v>
      </x:c>
      <x:c r="K123" s="80" t="n">
        <x:v>47</x:v>
      </x:c>
      <x:c r="L123" t="str">
        <x:v>本行威胁=候选池平均效果分×出怪数×品质期望倍率；品质权重顺序=青铜,白银,黄金,钻石</x:v>
      </x:c>
    </x:row>
    <x:row r="124" ht="22" customHeight="1">
      <x:c r="A124" s="42" t="str">
        <x:v>wave_d10_morning</x:v>
      </x:c>
      <x:c r="B124" s="42" t="n">
        <x:v>10</x:v>
      </x:c>
      <x:c r="C124" s="42" t="str">
        <x:v>上午</x:v>
      </x:c>
      <x:c r="D124" s="42" t="n">
        <x:v>5</x:v>
      </x:c>
      <x:c r="E124" s="42" t="str">
        <x:v>1,2,3,4,5-6</x:v>
      </x:c>
      <x:c r="F124" s="42" t="str">
        <x:v>90,10,0,4</x:v>
      </x:c>
      <x:c r="G124" s="78" t="n">
        <x:v>311.8</x:v>
      </x:c>
      <x:c r="H124" s="79" t="str">
        <x:v>池-数量；品质权重=青铜,白银,黄金,钻石</x:v>
      </x:c>
      <x:c r="I124" s="80" t="n">
        <x:v>6</x:v>
      </x:c>
      <x:c r="J124" s="80" t="n">
        <x:v>1.1058</x:v>
      </x:c>
      <x:c r="K124" s="80" t="n">
        <x:v>47</x:v>
      </x:c>
      <x:c r="L124" t="str">
        <x:v>本行威胁=候选池平均效果分×出怪数×品质期望倍率；品质权重顺序=青铜,白银,黄金,钻石</x:v>
      </x:c>
    </x:row>
    <x:row r="125" ht="22" customHeight="1">
      <x:c r="A125" s="42" t="str">
        <x:v>wave_d10_morning</x:v>
      </x:c>
      <x:c r="B125" s="42" t="n">
        <x:v>10</x:v>
      </x:c>
      <x:c r="C125" s="42" t="str">
        <x:v>上午</x:v>
      </x:c>
      <x:c r="D125" s="42" t="n">
        <x:v>5</x:v>
      </x:c>
      <x:c r="E125" s="42" t="str">
        <x:v>1,2,3,4,5-6</x:v>
      </x:c>
      <x:c r="F125" s="42" t="str">
        <x:v>90,10,0,4</x:v>
      </x:c>
      <x:c r="G125" s="78" t="n">
        <x:v>311.8</x:v>
      </x:c>
      <x:c r="H125" s="79" t="str">
        <x:v>池-数量；品质权重=青铜,白银,黄金,钻石</x:v>
      </x:c>
      <x:c r="I125" s="80" t="n">
        <x:v>6</x:v>
      </x:c>
      <x:c r="J125" s="80" t="n">
        <x:v>1.1058</x:v>
      </x:c>
      <x:c r="K125" s="80" t="n">
        <x:v>47</x:v>
      </x:c>
      <x:c r="L125" t="str">
        <x:v>本行威胁=候选池平均效果分×出怪数×品质期望倍率；品质权重顺序=青铜,白银,黄金,钻石</x:v>
      </x:c>
    </x:row>
    <x:row r="126" ht="22" customHeight="1">
      <x:c r="A126" s="42" t="str">
        <x:v>wave_d10_afternoon</x:v>
      </x:c>
      <x:c r="B126" s="42" t="n">
        <x:v>10</x:v>
      </x:c>
      <x:c r="C126" s="42" t="str">
        <x:v>下午</x:v>
      </x:c>
      <x:c r="D126" s="42" t="n">
        <x:v>1</x:v>
      </x:c>
      <x:c r="E126" s="42" t="str">
        <x:v>1,2,3,4,5-2</x:v>
      </x:c>
      <x:c r="F126" s="42" t="str">
        <x:v>90,10,0,0</x:v>
      </x:c>
      <x:c r="G126" s="78" t="n">
        <x:v>98.7</x:v>
      </x:c>
      <x:c r="H126" s="79" t="str">
        <x:v>池-数量；品质权重=青铜,白银,黄金,钻石</x:v>
      </x:c>
      <x:c r="I126" s="80" t="n">
        <x:v>2</x:v>
      </x:c>
      <x:c r="J126" s="80" t="n">
        <x:v>1.05</x:v>
      </x:c>
      <x:c r="K126" s="80" t="n">
        <x:v>47</x:v>
      </x:c>
      <x:c r="L126" t="str">
        <x:v>本行威胁=候选池平均效果分×出怪数×品质期望倍率；品质权重顺序=青铜,白银,黄金,钻石</x:v>
      </x:c>
    </x:row>
    <x:row r="127" ht="22" customHeight="1">
      <x:c r="A127" s="42" t="str">
        <x:v>wave_d10_afternoon</x:v>
      </x:c>
      <x:c r="B127" s="42" t="n">
        <x:v>10</x:v>
      </x:c>
      <x:c r="C127" s="42" t="str">
        <x:v>下午</x:v>
      </x:c>
      <x:c r="D127" s="42" t="n">
        <x:v>2</x:v>
      </x:c>
      <x:c r="E127" s="42" t="str">
        <x:v>1,2,3,4,5-3</x:v>
      </x:c>
      <x:c r="F127" s="42" t="str">
        <x:v>90,10,0,1</x:v>
      </x:c>
      <x:c r="G127" s="78" t="n">
        <x:v>150.1</x:v>
      </x:c>
      <x:c r="H127" s="79" t="str">
        <x:v>池-数量；品质权重=青铜,白银,黄金,钻石</x:v>
      </x:c>
      <x:c r="I127" s="80" t="n">
        <x:v>3</x:v>
      </x:c>
      <x:c r="J127" s="80" t="n">
        <x:v>1.0644</x:v>
      </x:c>
      <x:c r="K127" s="80" t="n">
        <x:v>47</x:v>
      </x:c>
      <x:c r="L127" t="str">
        <x:v>本行威胁=候选池平均效果分×出怪数×品质期望倍率；品质权重顺序=青铜,白银,黄金,钻石</x:v>
      </x:c>
    </x:row>
    <x:row r="128" ht="22" customHeight="1">
      <x:c r="A128" s="42" t="str">
        <x:v>wave_d10_afternoon</x:v>
      </x:c>
      <x:c r="B128" s="42" t="n">
        <x:v>10</x:v>
      </x:c>
      <x:c r="C128" s="42" t="str">
        <x:v>下午</x:v>
      </x:c>
      <x:c r="D128" s="42" t="n">
        <x:v>2</x:v>
      </x:c>
      <x:c r="E128" s="42" t="str">
        <x:v>1,2,3,4,5-3</x:v>
      </x:c>
      <x:c r="F128" s="42" t="str">
        <x:v>90,10,0,1</x:v>
      </x:c>
      <x:c r="G128" s="78" t="n">
        <x:v>150.1</x:v>
      </x:c>
      <x:c r="H128" s="79" t="str">
        <x:v>池-数量；品质权重=青铜,白银,黄金,钻石</x:v>
      </x:c>
      <x:c r="I128" s="80" t="n">
        <x:v>3</x:v>
      </x:c>
      <x:c r="J128" s="80" t="n">
        <x:v>1.0644</x:v>
      </x:c>
      <x:c r="K128" s="80" t="n">
        <x:v>47</x:v>
      </x:c>
      <x:c r="L128" t="str">
        <x:v>本行威胁=候选池平均效果分×出怪数×品质期望倍率；品质权重顺序=青铜,白银,黄金,钻石</x:v>
      </x:c>
    </x:row>
    <x:row r="129" ht="22" customHeight="1">
      <x:c r="A129" s="42" t="str">
        <x:v>wave_d10_afternoon</x:v>
      </x:c>
      <x:c r="B129" s="42" t="n">
        <x:v>10</x:v>
      </x:c>
      <x:c r="C129" s="42" t="str">
        <x:v>下午</x:v>
      </x:c>
      <x:c r="D129" s="42" t="n">
        <x:v>2</x:v>
      </x:c>
      <x:c r="E129" s="42" t="str">
        <x:v>1,2,3,4,5-3</x:v>
      </x:c>
      <x:c r="F129" s="42" t="str">
        <x:v>90,10,0,1</x:v>
      </x:c>
      <x:c r="G129" s="78" t="n">
        <x:v>150.1</x:v>
      </x:c>
      <x:c r="H129" s="79" t="str">
        <x:v>池-数量；品质权重=青铜,白银,黄金,钻石</x:v>
      </x:c>
      <x:c r="I129" s="80" t="n">
        <x:v>3</x:v>
      </x:c>
      <x:c r="J129" s="80" t="n">
        <x:v>1.0644</x:v>
      </x:c>
      <x:c r="K129" s="80" t="n">
        <x:v>47</x:v>
      </x:c>
      <x:c r="L129" t="str">
        <x:v>本行威胁=候选池平均效果分×出怪数×品质期望倍率；品质权重顺序=青铜,白银,黄金,钻石</x:v>
      </x:c>
    </x:row>
    <x:row r="130" ht="22" customHeight="1">
      <x:c r="A130" s="42" t="str">
        <x:v>wave_d10_afternoon</x:v>
      </x:c>
      <x:c r="B130" s="42" t="n">
        <x:v>10</x:v>
      </x:c>
      <x:c r="C130" s="42" t="str">
        <x:v>下午</x:v>
      </x:c>
      <x:c r="D130" s="42" t="n">
        <x:v>3</x:v>
      </x:c>
      <x:c r="E130" s="42" t="str">
        <x:v>1,2,3,4,5-4</x:v>
      </x:c>
      <x:c r="F130" s="42" t="str">
        <x:v>90,10,0,2</x:v>
      </x:c>
      <x:c r="G130" s="78" t="n">
        <x:v>202.7</x:v>
      </x:c>
      <x:c r="H130" s="79" t="str">
        <x:v>池-数量；品质权重=青铜,白银,黄金,钻石</x:v>
      </x:c>
      <x:c r="I130" s="80" t="n">
        <x:v>4</x:v>
      </x:c>
      <x:c r="J130" s="80" t="n">
        <x:v>1.0784</x:v>
      </x:c>
      <x:c r="K130" s="80" t="n">
        <x:v>47</x:v>
      </x:c>
      <x:c r="L130" t="str">
        <x:v>本行威胁=候选池平均效果分×出怪数×品质期望倍率；品质权重顺序=青铜,白银,黄金,钻石</x:v>
      </x:c>
    </x:row>
    <x:row r="131" ht="22" customHeight="1">
      <x:c r="A131" s="42" t="str">
        <x:v>wave_d10_afternoon</x:v>
      </x:c>
      <x:c r="B131" s="42" t="n">
        <x:v>10</x:v>
      </x:c>
      <x:c r="C131" s="42" t="str">
        <x:v>下午</x:v>
      </x:c>
      <x:c r="D131" s="42" t="n">
        <x:v>3</x:v>
      </x:c>
      <x:c r="E131" s="42" t="str">
        <x:v>1,2,3,4,5-4</x:v>
      </x:c>
      <x:c r="F131" s="42" t="str">
        <x:v>90,10,0,2</x:v>
      </x:c>
      <x:c r="G131" s="78" t="n">
        <x:v>202.7</x:v>
      </x:c>
      <x:c r="H131" s="79" t="str">
        <x:v>池-数量；品质权重=青铜,白银,黄金,钻石</x:v>
      </x:c>
      <x:c r="I131" s="80" t="n">
        <x:v>4</x:v>
      </x:c>
      <x:c r="J131" s="80" t="n">
        <x:v>1.0784</x:v>
      </x:c>
      <x:c r="K131" s="80" t="n">
        <x:v>47</x:v>
      </x:c>
      <x:c r="L131" t="str">
        <x:v>本行威胁=候选池平均效果分×出怪数×品质期望倍率；品质权重顺序=青铜,白银,黄金,钻石</x:v>
      </x:c>
    </x:row>
    <x:row r="132" ht="22" customHeight="1">
      <x:c r="A132" s="42" t="str">
        <x:v>wave_d10_afternoon</x:v>
      </x:c>
      <x:c r="B132" s="42" t="n">
        <x:v>10</x:v>
      </x:c>
      <x:c r="C132" s="42" t="str">
        <x:v>下午</x:v>
      </x:c>
      <x:c r="D132" s="42" t="n">
        <x:v>4</x:v>
      </x:c>
      <x:c r="E132" s="42" t="str">
        <x:v>1,2,3,4,5-5</x:v>
      </x:c>
      <x:c r="F132" s="42" t="str">
        <x:v>90,10,0,3</x:v>
      </x:c>
      <x:c r="G132" s="78" t="n">
        <x:v>256.7</x:v>
      </x:c>
      <x:c r="H132" s="79" t="str">
        <x:v>池-数量；品质权重=青铜,白银,黄金,钻石</x:v>
      </x:c>
      <x:c r="I132" s="80" t="n">
        <x:v>5</x:v>
      </x:c>
      <x:c r="J132" s="80" t="n">
        <x:v>1.0922</x:v>
      </x:c>
      <x:c r="K132" s="80" t="n">
        <x:v>47</x:v>
      </x:c>
      <x:c r="L132" t="str">
        <x:v>本行威胁=候选池平均效果分×出怪数×品质期望倍率；品质权重顺序=青铜,白银,黄金,钻石</x:v>
      </x:c>
    </x:row>
    <x:row r="133" ht="22" customHeight="1">
      <x:c r="A133" s="42" t="str">
        <x:v>wave_d10_afternoon</x:v>
      </x:c>
      <x:c r="B133" s="42" t="n">
        <x:v>10</x:v>
      </x:c>
      <x:c r="C133" s="42" t="str">
        <x:v>下午</x:v>
      </x:c>
      <x:c r="D133" s="42" t="n">
        <x:v>4</x:v>
      </x:c>
      <x:c r="E133" s="42" t="str">
        <x:v>1,2,3,4,5-5</x:v>
      </x:c>
      <x:c r="F133" s="42" t="str">
        <x:v>90,10,0,3</x:v>
      </x:c>
      <x:c r="G133" s="78" t="n">
        <x:v>256.7</x:v>
      </x:c>
      <x:c r="H133" s="79" t="str">
        <x:v>池-数量；品质权重=青铜,白银,黄金,钻石</x:v>
      </x:c>
      <x:c r="I133" s="80" t="n">
        <x:v>5</x:v>
      </x:c>
      <x:c r="J133" s="80" t="n">
        <x:v>1.0922</x:v>
      </x:c>
      <x:c r="K133" s="80" t="n">
        <x:v>47</x:v>
      </x:c>
      <x:c r="L133" t="str">
        <x:v>本行威胁=候选池平均效果分×出怪数×品质期望倍率；品质权重顺序=青铜,白银,黄金,钻石</x:v>
      </x:c>
    </x:row>
    <x:row r="134" ht="22" customHeight="1">
      <x:c r="A134" s="42" t="str">
        <x:v>wave_d10_afternoon</x:v>
      </x:c>
      <x:c r="B134" s="42" t="n">
        <x:v>10</x:v>
      </x:c>
      <x:c r="C134" s="42" t="str">
        <x:v>下午</x:v>
      </x:c>
      <x:c r="D134" s="42" t="n">
        <x:v>5</x:v>
      </x:c>
      <x:c r="E134" s="42" t="str">
        <x:v>1,2,3,4,5-6</x:v>
      </x:c>
      <x:c r="F134" s="42" t="str">
        <x:v>90,10,0,4</x:v>
      </x:c>
      <x:c r="G134" s="78" t="n">
        <x:v>311.8</x:v>
      </x:c>
      <x:c r="H134" s="79" t="str">
        <x:v>池-数量；品质权重=青铜,白银,黄金,钻石</x:v>
      </x:c>
      <x:c r="I134" s="80" t="n">
        <x:v>6</x:v>
      </x:c>
      <x:c r="J134" s="80" t="n">
        <x:v>1.1058</x:v>
      </x:c>
      <x:c r="K134" s="80" t="n">
        <x:v>47</x:v>
      </x:c>
      <x:c r="L134" t="str">
        <x:v>本行威胁=候选池平均效果分×出怪数×品质期望倍率；品质权重顺序=青铜,白银,黄金,钻石</x:v>
      </x:c>
    </x:row>
    <x:row r="135" ht="22" customHeight="1">
      <x:c r="A135" s="42" t="str">
        <x:v>wave_d10_afternoon</x:v>
      </x:c>
      <x:c r="B135" s="42" t="n">
        <x:v>10</x:v>
      </x:c>
      <x:c r="C135" s="42" t="str">
        <x:v>下午</x:v>
      </x:c>
      <x:c r="D135" s="42" t="n">
        <x:v>5</x:v>
      </x:c>
      <x:c r="E135" s="42" t="str">
        <x:v>1,2,3,4,5-6</x:v>
      </x:c>
      <x:c r="F135" s="42" t="str">
        <x:v>90,10,0,4</x:v>
      </x:c>
      <x:c r="G135" s="78" t="n">
        <x:v>311.8</x:v>
      </x:c>
      <x:c r="H135" s="79" t="str">
        <x:v>池-数量；品质权重=青铜,白银,黄金,钻石</x:v>
      </x:c>
      <x:c r="I135" s="80" t="n">
        <x:v>6</x:v>
      </x:c>
      <x:c r="J135" s="80" t="n">
        <x:v>1.1058</x:v>
      </x:c>
      <x:c r="K135" s="80" t="n">
        <x:v>47</x:v>
      </x:c>
      <x:c r="L135" t="str">
        <x:v>本行威胁=候选池平均效果分×出怪数×品质期望倍率；品质权重顺序=青铜,白银,黄金,钻石</x:v>
      </x:c>
    </x:row>
  </x:sheetData>
  <x:conditionalFormatting sqref="G2:G135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917823a7e444882"/>
  </x:tableParts>
</x:worksheet>
</file>

<file path=xl/worksheets/sheet5.xml><?xml version="1.0" encoding="utf-8"?>
<x:worksheet xmlns:x="http://schemas.openxmlformats.org/spreadsheetml/2006/main">
  <x:sheetFormatPr defaultColWidth="9" defaultRowHeight="14.100000381469727"/>
  <x:cols>
    <x:col min="1" max="3" width="18" customWidth="1"/>
    <x:col min="4" max="8" width="14" customWidth="1"/>
    <x:col min="9" max="10" width="32" customWidth="1"/>
    <x:col min="11" max="11" width="18" customWidth="1"/>
    <x:col min="12" max="18" width="14" customWidth="1"/>
    <x:col min="19" max="19" width="32" customWidth="1"/>
  </x:cols>
  <x:sheetData>
    <x:row r="1" ht="28" customHeight="1">
      <x:c r="A1" s="1" t="s">
        <x:v>567</x:v>
      </x:c>
      <x:c r="B1" s="1" t="s">
        <x:v>32</x:v>
      </x:c>
      <x:c r="C1" s="1" t="s">
        <x:v>568</x:v>
      </x:c>
      <x:c r="D1" s="1" t="s">
        <x:v>569</x:v>
      </x:c>
      <x:c r="E1" s="1" t="s">
        <x:v>570</x:v>
      </x:c>
      <x:c r="F1" s="1" t="s">
        <x:v>571</x:v>
      </x:c>
      <x:c r="G1" s="1" t="s">
        <x:v>572</x:v>
      </x:c>
      <x:c r="H1" s="1" t="s">
        <x:v>573</x:v>
      </x:c>
      <x:c r="I1" s="1" t="s">
        <x:v>574</x:v>
      </x:c>
      <x:c r="J1" s="1" t="s">
        <x:v>575</x:v>
      </x:c>
      <x:c r="K1" s="1" t="s">
        <x:v>517</x:v>
      </x:c>
      <x:c r="L1" s="1" t="s">
        <x:v>576</x:v>
      </x:c>
      <x:c r="M1" s="1" t="s">
        <x:v>577</x:v>
      </x:c>
      <x:c r="N1" s="1" t="s">
        <x:v>578</x:v>
      </x:c>
      <x:c r="O1" s="1" t="s">
        <x:v>579</x:v>
      </x:c>
      <x:c r="P1" s="1" t="s">
        <x:v>580</x:v>
      </x:c>
      <x:c r="Q1" s="1" t="s">
        <x:v>581</x:v>
      </x:c>
      <x:c r="R1" s="1" t="s">
        <x:v>582</x:v>
      </x:c>
      <x:c r="S1" s="1" t="s">
        <x:v>39</x:v>
      </x:c>
    </x:row>
    <x:row r="2" ht="22" customHeight="1">
      <x:c r="A2" s="2" t="s">
        <x:v>583</x:v>
      </x:c>
      <x:c r="B2" s="2" t="s">
        <x:v>522</x:v>
      </x:c>
      <x:c r="C2" s="2" t="s">
        <x:v>584</x:v>
      </x:c>
      <x:c r="D2" s="2" t="s">
        <x:v>585</x:v>
      </x:c>
      <x:c r="E2" s="2" t="s">
        <x:v>586</x:v>
      </x:c>
      <x:c r="F2" s="2" t="s">
        <x:v>587</x:v>
      </x:c>
      <x:c r="G2" s="2" t="s">
        <x:v>587</x:v>
      </x:c>
      <x:c r="H2" s="2" t="s">
        <x:v>588</x:v>
      </x:c>
      <x:c r="I2" s="2" t="s">
        <x:v>589</x:v>
      </x:c>
      <x:c r="J2" s="2" t="s">
        <x:v>590</x:v>
      </x:c>
      <x:c r="K2" s="2">
        <x:v>0</x:v>
      </x:c>
      <x:c r="L2" s="2" t="s">
        <x:v>587</x:v>
      </x:c>
      <x:c r="M2" s="2" t="s">
        <x:v>591</x:v>
      </x:c>
      <x:c r="N2" s="2" t="s">
        <x:v>592</x:v>
      </x:c>
      <x:c r="O2" s="2">
        <x:v>1</x:v>
      </x:c>
      <x:c r="P2" s="2">
        <x:v>1</x:v>
      </x:c>
      <x:c r="Q2" s="2">
        <x:v>1</x:v>
      </x:c>
      <x:c r="R2" s="2">
        <x:v>1</x:v>
      </x:c>
      <x:c r="S2" s="2" t="s">
        <x:v>593</x:v>
      </x:c>
    </x:row>
    <x:row r="3" ht="22" customHeight="1">
      <x:c r="A3" s="2" t="s">
        <x:v>594</x:v>
      </x:c>
      <x:c r="B3" s="2" t="s">
        <x:v>595</x:v>
      </x:c>
      <x:c r="C3" s="2" t="s">
        <x:v>596</x:v>
      </x:c>
      <x:c r="D3" s="2" t="s">
        <x:v>597</x:v>
      </x:c>
      <x:c r="E3" s="2" t="s">
        <x:v>598</x:v>
      </x:c>
      <x:c r="F3" s="2" t="s">
        <x:v>599</x:v>
      </x:c>
      <x:c r="G3" s="2" t="s">
        <x:v>600</x:v>
      </x:c>
      <x:c r="H3" s="2" t="s">
        <x:v>601</x:v>
      </x:c>
      <x:c r="I3" s="2" t="s">
        <x:v>602</x:v>
      </x:c>
      <x:c r="J3" s="2" t="s">
        <x:v>603</x:v>
      </x:c>
      <x:c r="K3" s="2">
        <x:v>2</x:v>
      </x:c>
      <x:c r="L3" s="2" t="s">
        <x:v>604</x:v>
      </x:c>
      <x:c r="M3" s="2" t="s">
        <x:v>591</x:v>
      </x:c>
      <x:c r="N3" s="2" t="s">
        <x:v>592</x:v>
      </x:c>
      <x:c r="O3" s="2">
        <x:v>1</x:v>
      </x:c>
      <x:c r="P3" s="2">
        <x:v>1</x:v>
      </x:c>
      <x:c r="Q3" s="2">
        <x:v>0</x:v>
      </x:c>
      <x:c r="R3" s="2">
        <x:v>0</x:v>
      </x:c>
      <x:c r="S3" s="2" t="s">
        <x:v>605</x:v>
      </x:c>
    </x:row>
    <x:row r="4" ht="22" customHeight="1">
      <x:c r="A4" s="2" t="s">
        <x:v>606</x:v>
      </x:c>
      <x:c r="B4" s="2" t="s">
        <x:v>607</x:v>
      </x:c>
      <x:c r="C4" s="2" t="s">
        <x:v>608</x:v>
      </x:c>
      <x:c r="D4" s="2" t="s">
        <x:v>597</x:v>
      </x:c>
      <x:c r="E4" s="2" t="s">
        <x:v>598</x:v>
      </x:c>
      <x:c r="F4" s="2" t="s">
        <x:v>609</x:v>
      </x:c>
      <x:c r="G4" s="2" t="s">
        <x:v>610</x:v>
      </x:c>
      <x:c r="H4" s="2" t="s">
        <x:v>611</x:v>
      </x:c>
      <x:c r="I4" s="2" t="s">
        <x:v>612</x:v>
      </x:c>
      <x:c r="J4" s="2" t="s">
        <x:v>613</x:v>
      </x:c>
      <x:c r="K4" s="2">
        <x:v>3</x:v>
      </x:c>
      <x:c r="L4" s="2" t="s">
        <x:v>604</x:v>
      </x:c>
      <x:c r="M4" s="2" t="s">
        <x:v>591</x:v>
      </x:c>
      <x:c r="N4" s="2" t="s">
        <x:v>592</x:v>
      </x:c>
      <x:c r="O4" s="2">
        <x:v>1</x:v>
      </x:c>
      <x:c r="P4" s="2">
        <x:v>1</x:v>
      </x:c>
      <x:c r="Q4" s="2">
        <x:v>0</x:v>
      </x:c>
      <x:c r="R4" s="2">
        <x:v>0</x:v>
      </x:c>
      <x:c r="S4" s="2" t="s">
        <x:v>614</x:v>
      </x:c>
    </x:row>
    <x:row r="5" ht="22" customHeight="1">
      <x:c r="A5" s="2" t="s">
        <x:v>615</x:v>
      </x:c>
      <x:c r="B5" s="2" t="s">
        <x:v>616</x:v>
      </x:c>
      <x:c r="C5" s="2" t="s">
        <x:v>617</x:v>
      </x:c>
      <x:c r="D5" s="2" t="s">
        <x:v>597</x:v>
      </x:c>
      <x:c r="E5" s="2" t="s">
        <x:v>598</x:v>
      </x:c>
      <x:c r="F5" s="2" t="s">
        <x:v>609</x:v>
      </x:c>
      <x:c r="G5" s="2" t="s">
        <x:v>618</x:v>
      </x:c>
      <x:c r="H5" s="2" t="s">
        <x:v>619</x:v>
      </x:c>
      <x:c r="I5" s="2" t="s">
        <x:v>620</x:v>
      </x:c>
      <x:c r="J5" s="2" t="s">
        <x:v>621</x:v>
      </x:c>
      <x:c r="K5" s="2">
        <x:v>5</x:v>
      </x:c>
      <x:c r="L5" s="2" t="s">
        <x:v>622</x:v>
      </x:c>
      <x:c r="M5" s="2" t="s">
        <x:v>591</x:v>
      </x:c>
      <x:c r="N5" s="2" t="s">
        <x:v>623</x:v>
      </x:c>
      <x:c r="O5" s="2">
        <x:v>1</x:v>
      </x:c>
      <x:c r="P5" s="2">
        <x:v>1</x:v>
      </x:c>
      <x:c r="Q5" s="2">
        <x:v>0</x:v>
      </x:c>
      <x:c r="R5" s="2">
        <x:v>0</x:v>
      </x:c>
      <x:c r="S5" s="2" t="s">
        <x:v>624</x:v>
      </x:c>
    </x:row>
    <x:row r="6" ht="22" customHeight="1">
      <x:c r="A6" s="2" t="s">
        <x:v>625</x:v>
      </x:c>
      <x:c r="B6" s="2" t="s">
        <x:v>626</x:v>
      </x:c>
      <x:c r="C6" s="2" t="s">
        <x:v>627</x:v>
      </x:c>
      <x:c r="D6" s="2" t="s">
        <x:v>597</x:v>
      </x:c>
      <x:c r="E6" s="2" t="s">
        <x:v>598</x:v>
      </x:c>
      <x:c r="F6" s="2" t="s">
        <x:v>609</x:v>
      </x:c>
      <x:c r="G6" s="2" t="s">
        <x:v>628</x:v>
      </x:c>
      <x:c r="H6" s="2" t="s">
        <x:v>629</x:v>
      </x:c>
      <x:c r="I6" s="2" t="s">
        <x:v>630</x:v>
      </x:c>
      <x:c r="J6" s="2" t="s">
        <x:v>631</x:v>
      </x:c>
      <x:c r="K6" s="2">
        <x:v>6</x:v>
      </x:c>
      <x:c r="L6" s="2" t="s">
        <x:v>622</x:v>
      </x:c>
      <x:c r="M6" s="2" t="s">
        <x:v>591</x:v>
      </x:c>
      <x:c r="N6" s="2" t="s">
        <x:v>623</x:v>
      </x:c>
      <x:c r="O6" s="2">
        <x:v>1</x:v>
      </x:c>
      <x:c r="P6" s="2">
        <x:v>1</x:v>
      </x:c>
      <x:c r="Q6" s="2">
        <x:v>0</x:v>
      </x:c>
      <x:c r="R6" s="2">
        <x:v>0</x:v>
      </x:c>
      <x:c r="S6" s="2" t="s">
        <x:v>632</x:v>
      </x:c>
    </x:row>
    <x:row r="7" ht="22" customHeight="1">
      <x:c r="A7" s="2" t="s">
        <x:v>633</x:v>
      </x:c>
      <x:c r="B7" s="2" t="s">
        <x:v>634</x:v>
      </x:c>
      <x:c r="C7" s="2" t="s">
        <x:v>635</x:v>
      </x:c>
      <x:c r="D7" s="2" t="s">
        <x:v>597</x:v>
      </x:c>
      <x:c r="E7" s="2" t="s">
        <x:v>636</x:v>
      </x:c>
      <x:c r="F7" s="2" t="s">
        <x:v>609</x:v>
      </x:c>
      <x:c r="G7" s="2" t="s">
        <x:v>637</x:v>
      </x:c>
      <x:c r="H7" s="2" t="s">
        <x:v>638</x:v>
      </x:c>
      <x:c r="I7" s="2" t="s">
        <x:v>639</x:v>
      </x:c>
      <x:c r="J7" s="2" t="s">
        <x:v>640</x:v>
      </x:c>
      <x:c r="K7" s="2">
        <x:v>8</x:v>
      </x:c>
      <x:c r="L7" s="2" t="s">
        <x:v>641</x:v>
      </x:c>
      <x:c r="M7" s="2" t="s">
        <x:v>591</x:v>
      </x:c>
      <x:c r="N7" s="2" t="s">
        <x:v>623</x:v>
      </x:c>
      <x:c r="O7" s="2">
        <x:v>0</x:v>
      </x:c>
      <x:c r="P7" s="2">
        <x:v>1</x:v>
      </x:c>
      <x:c r="Q7" s="2">
        <x:v>0</x:v>
      </x:c>
      <x:c r="R7" s="2">
        <x:v>1</x:v>
      </x:c>
      <x:c r="S7" s="2" t="s">
        <x:v>642</x:v>
      </x:c>
    </x:row>
    <x:row r="8" ht="22" customHeight="1">
      <x:c r="A8" s="2" t="s">
        <x:v>643</x:v>
      </x:c>
      <x:c r="B8" s="2" t="s">
        <x:v>535</x:v>
      </x:c>
      <x:c r="C8" s="2" t="s">
        <x:v>644</x:v>
      </x:c>
      <x:c r="D8" s="2" t="s">
        <x:v>597</x:v>
      </x:c>
      <x:c r="E8" s="2" t="s">
        <x:v>598</x:v>
      </x:c>
      <x:c r="F8" s="2" t="s">
        <x:v>645</x:v>
      </x:c>
      <x:c r="G8" s="2" t="s">
        <x:v>646</x:v>
      </x:c>
      <x:c r="H8" s="2" t="s">
        <x:v>647</x:v>
      </x:c>
      <x:c r="I8" s="2" t="s">
        <x:v>648</x:v>
      </x:c>
      <x:c r="J8" s="2" t="s">
        <x:v>649</x:v>
      </x:c>
      <x:c r="K8" s="2">
        <x:v>4</x:v>
      </x:c>
      <x:c r="L8" s="2" t="s">
        <x:v>622</x:v>
      </x:c>
      <x:c r="M8" s="2" t="s">
        <x:v>591</x:v>
      </x:c>
      <x:c r="N8" s="2" t="s">
        <x:v>592</x:v>
      </x:c>
      <x:c r="O8" s="2">
        <x:v>1</x:v>
      </x:c>
      <x:c r="P8" s="2">
        <x:v>1</x:v>
      </x:c>
      <x:c r="Q8" s="2">
        <x:v>0</x:v>
      </x:c>
      <x:c r="R8" s="2">
        <x:v>0</x:v>
      </x:c>
      <x:c r="S8" s="2" t="s">
        <x:v>650</x:v>
      </x:c>
    </x:row>
    <x:row r="9" ht="22" customHeight="1">
      <x:c r="A9" s="2" t="s">
        <x:v>651</x:v>
      </x:c>
      <x:c r="B9" s="2" t="s">
        <x:v>652</x:v>
      </x:c>
      <x:c r="C9" s="2" t="s">
        <x:v>653</x:v>
      </x:c>
      <x:c r="D9" s="2" t="s">
        <x:v>654</x:v>
      </x:c>
      <x:c r="E9" s="2" t="s">
        <x:v>598</x:v>
      </x:c>
      <x:c r="F9" s="2" t="s">
        <x:v>655</x:v>
      </x:c>
      <x:c r="G9" s="2" t="s">
        <x:v>656</x:v>
      </x:c>
      <x:c r="H9" s="2" t="s">
        <x:v>657</x:v>
      </x:c>
      <x:c r="I9" s="2" t="s">
        <x:v>658</x:v>
      </x:c>
      <x:c r="J9" s="2" t="s">
        <x:v>659</x:v>
      </x:c>
      <x:c r="K9" s="2">
        <x:v>5</x:v>
      </x:c>
      <x:c r="L9" s="2" t="s">
        <x:v>622</x:v>
      </x:c>
      <x:c r="M9" s="2" t="s">
        <x:v>591</x:v>
      </x:c>
      <x:c r="N9" s="2" t="s">
        <x:v>623</x:v>
      </x:c>
      <x:c r="O9" s="2">
        <x:v>1</x:v>
      </x:c>
      <x:c r="P9" s="2">
        <x:v>1</x:v>
      </x:c>
      <x:c r="Q9" s="2">
        <x:v>0</x:v>
      </x:c>
      <x:c r="R9" s="2">
        <x:v>0</x:v>
      </x:c>
      <x:c r="S9" s="2" t="s">
        <x:v>660</x:v>
      </x:c>
    </x:row>
    <x:row r="10" ht="22" customHeight="1">
      <x:c r="A10" s="2" t="s">
        <x:v>661</x:v>
      </x:c>
      <x:c r="B10" s="2" t="s">
        <x:v>662</x:v>
      </x:c>
      <x:c r="C10" s="2" t="s">
        <x:v>663</x:v>
      </x:c>
      <x:c r="D10" s="2" t="s">
        <x:v>664</x:v>
      </x:c>
      <x:c r="E10" s="2" t="s">
        <x:v>598</x:v>
      </x:c>
      <x:c r="F10" s="2" t="s">
        <x:v>609</x:v>
      </x:c>
      <x:c r="G10" s="2" t="s">
        <x:v>665</x:v>
      </x:c>
      <x:c r="H10" s="2" t="s">
        <x:v>666</x:v>
      </x:c>
      <x:c r="I10" s="2" t="s">
        <x:v>667</x:v>
      </x:c>
      <x:c r="J10" s="2" t="s">
        <x:v>668</x:v>
      </x:c>
      <x:c r="K10" s="2">
        <x:v>5</x:v>
      </x:c>
      <x:c r="L10" s="2" t="s">
        <x:v>622</x:v>
      </x:c>
      <x:c r="M10" s="2" t="s">
        <x:v>591</x:v>
      </x:c>
      <x:c r="N10" s="2" t="s">
        <x:v>623</x:v>
      </x:c>
      <x:c r="O10" s="2">
        <x:v>1</x:v>
      </x:c>
      <x:c r="P10" s="2">
        <x:v>1</x:v>
      </x:c>
      <x:c r="Q10" s="2">
        <x:v>0</x:v>
      </x:c>
      <x:c r="R10" s="2">
        <x:v>0</x:v>
      </x:c>
      <x:c r="S10" s="2" t="s">
        <x:v>669</x:v>
      </x:c>
    </x:row>
    <x:row r="11" ht="22" customHeight="1">
      <x:c r="A11" s="2" t="s">
        <x:v>670</x:v>
      </x:c>
      <x:c r="B11" s="2" t="s">
        <x:v>671</x:v>
      </x:c>
      <x:c r="C11" s="2" t="s">
        <x:v>672</x:v>
      </x:c>
      <x:c r="D11" s="2" t="s">
        <x:v>673</x:v>
      </x:c>
      <x:c r="E11" s="2" t="s">
        <x:v>598</x:v>
      </x:c>
      <x:c r="F11" s="2" t="s">
        <x:v>674</x:v>
      </x:c>
      <x:c r="G11" s="2" t="s">
        <x:v>675</x:v>
      </x:c>
      <x:c r="H11" s="2" t="s">
        <x:v>676</x:v>
      </x:c>
      <x:c r="I11" s="2" t="s">
        <x:v>677</x:v>
      </x:c>
      <x:c r="J11" s="2" t="s">
        <x:v>678</x:v>
      </x:c>
      <x:c r="K11" s="2">
        <x:v>4</x:v>
      </x:c>
      <x:c r="L11" s="2" t="s">
        <x:v>622</x:v>
      </x:c>
      <x:c r="M11" s="2" t="s">
        <x:v>591</x:v>
      </x:c>
      <x:c r="N11" s="2" t="s">
        <x:v>623</x:v>
      </x:c>
      <x:c r="O11" s="2">
        <x:v>1</x:v>
      </x:c>
      <x:c r="P11" s="2">
        <x:v>1</x:v>
      </x:c>
      <x:c r="Q11" s="2">
        <x:v>0</x:v>
      </x:c>
      <x:c r="R11" s="2">
        <x:v>0</x:v>
      </x:c>
      <x:c r="S11" s="2" t="s">
        <x:v>679</x:v>
      </x:c>
    </x:row>
    <x:row r="12" ht="22" customHeight="1">
      <x:c r="A12" s="2" t="s">
        <x:v>680</x:v>
      </x:c>
      <x:c r="B12" s="2" t="s">
        <x:v>681</x:v>
      </x:c>
      <x:c r="C12" s="2" t="s">
        <x:v>682</x:v>
      </x:c>
      <x:c r="D12" s="2" t="s">
        <x:v>683</x:v>
      </x:c>
      <x:c r="E12" s="2" t="s">
        <x:v>598</x:v>
      </x:c>
      <x:c r="F12" s="2" t="s">
        <x:v>684</x:v>
      </x:c>
      <x:c r="G12" s="2" t="s">
        <x:v>685</x:v>
      </x:c>
      <x:c r="H12" s="2" t="s">
        <x:v>686</x:v>
      </x:c>
      <x:c r="I12" s="2" t="s">
        <x:v>687</x:v>
      </x:c>
      <x:c r="J12" s="2" t="s">
        <x:v>688</x:v>
      </x:c>
      <x:c r="K12" s="2">
        <x:v>7</x:v>
      </x:c>
      <x:c r="L12" s="2" t="s">
        <x:v>641</x:v>
      </x:c>
      <x:c r="M12" s="2" t="s">
        <x:v>591</x:v>
      </x:c>
      <x:c r="N12" s="2" t="s">
        <x:v>623</x:v>
      </x:c>
      <x:c r="O12" s="2">
        <x:v>1</x:v>
      </x:c>
      <x:c r="P12" s="2">
        <x:v>1</x:v>
      </x:c>
      <x:c r="Q12" s="2">
        <x:v>0</x:v>
      </x:c>
      <x:c r="R12" s="2">
        <x:v>0</x:v>
      </x:c>
      <x:c r="S12" s="2" t="s">
        <x:v>689</x:v>
      </x:c>
    </x:row>
    <x:row r="13" ht="22" customHeight="1">
      <x:c r="A13" s="2" t="s">
        <x:v>690</x:v>
      </x:c>
      <x:c r="B13" s="2" t="s">
        <x:v>691</x:v>
      </x:c>
      <x:c r="C13" s="2" t="s">
        <x:v>692</x:v>
      </x:c>
      <x:c r="D13" s="2" t="s">
        <x:v>693</x:v>
      </x:c>
      <x:c r="E13" s="2" t="s">
        <x:v>598</x:v>
      </x:c>
      <x:c r="F13" s="2" t="s">
        <x:v>655</x:v>
      </x:c>
      <x:c r="G13" s="2" t="s">
        <x:v>694</x:v>
      </x:c>
      <x:c r="H13" s="2" t="s">
        <x:v>695</x:v>
      </x:c>
      <x:c r="I13" s="2" t="s">
        <x:v>696</x:v>
      </x:c>
      <x:c r="J13" s="2" t="s">
        <x:v>697</x:v>
      </x:c>
      <x:c r="K13" s="2">
        <x:v>4</x:v>
      </x:c>
      <x:c r="L13" s="2" t="s">
        <x:v>622</x:v>
      </x:c>
      <x:c r="M13" s="2" t="s">
        <x:v>591</x:v>
      </x:c>
      <x:c r="N13" s="2" t="s">
        <x:v>592</x:v>
      </x:c>
      <x:c r="O13" s="2">
        <x:v>1</x:v>
      </x:c>
      <x:c r="P13" s="2">
        <x:v>1</x:v>
      </x:c>
      <x:c r="Q13" s="2">
        <x:v>0</x:v>
      </x:c>
      <x:c r="R13" s="2">
        <x:v>0</x:v>
      </x:c>
      <x:c r="S13" s="2" t="s">
        <x:v>698</x:v>
      </x:c>
    </x:row>
    <x:row r="14" ht="22" customHeight="1">
      <x:c r="A14" s="2" t="s">
        <x:v>699</x:v>
      </x:c>
      <x:c r="B14" s="2" t="s">
        <x:v>700</x:v>
      </x:c>
      <x:c r="C14" s="2" t="s">
        <x:v>701</x:v>
      </x:c>
      <x:c r="D14" s="2" t="s">
        <x:v>693</x:v>
      </x:c>
      <x:c r="E14" s="2" t="s">
        <x:v>702</x:v>
      </x:c>
      <x:c r="F14" s="2" t="s">
        <x:v>703</x:v>
      </x:c>
      <x:c r="G14" s="2" t="s">
        <x:v>704</x:v>
      </x:c>
      <x:c r="H14" s="2" t="s">
        <x:v>705</x:v>
      </x:c>
      <x:c r="I14" s="2" t="s">
        <x:v>706</x:v>
      </x:c>
      <x:c r="J14" s="2" t="s">
        <x:v>707</x:v>
      </x:c>
      <x:c r="K14" s="2">
        <x:v>6</x:v>
      </x:c>
      <x:c r="L14" s="2" t="s">
        <x:v>622</x:v>
      </x:c>
      <x:c r="M14" s="2" t="s">
        <x:v>591</x:v>
      </x:c>
      <x:c r="N14" s="2" t="s">
        <x:v>592</x:v>
      </x:c>
      <x:c r="O14" s="2">
        <x:v>0</x:v>
      </x:c>
      <x:c r="P14" s="2">
        <x:v>1</x:v>
      </x:c>
      <x:c r="Q14" s="2">
        <x:v>0</x:v>
      </x:c>
      <x:c r="R14" s="2">
        <x:v>1</x:v>
      </x:c>
      <x:c r="S14" s="2" t="s">
        <x:v>708</x:v>
      </x:c>
    </x:row>
    <x:row r="15" ht="22" customHeight="1">
      <x:c r="A15" s="2" t="s">
        <x:v>709</x:v>
      </x:c>
      <x:c r="B15" s="2" t="s">
        <x:v>524</x:v>
      </x:c>
      <x:c r="C15" s="2" t="s">
        <x:v>710</x:v>
      </x:c>
      <x:c r="D15" s="2" t="s">
        <x:v>693</x:v>
      </x:c>
      <x:c r="E15" s="2" t="s">
        <x:v>702</x:v>
      </x:c>
      <x:c r="F15" s="2" t="s">
        <x:v>711</x:v>
      </x:c>
      <x:c r="G15" s="2" t="s">
        <x:v>712</x:v>
      </x:c>
      <x:c r="H15" s="2" t="s">
        <x:v>713</x:v>
      </x:c>
      <x:c r="I15" s="2" t="s">
        <x:v>714</x:v>
      </x:c>
      <x:c r="J15" s="2" t="s">
        <x:v>715</x:v>
      </x:c>
      <x:c r="K15" s="2">
        <x:v>7</x:v>
      </x:c>
      <x:c r="L15" s="2" t="s">
        <x:v>641</x:v>
      </x:c>
      <x:c r="M15" s="2" t="s">
        <x:v>591</x:v>
      </x:c>
      <x:c r="N15" s="2" t="s">
        <x:v>623</x:v>
      </x:c>
      <x:c r="O15" s="2">
        <x:v>0</x:v>
      </x:c>
      <x:c r="P15" s="2">
        <x:v>1</x:v>
      </x:c>
      <x:c r="Q15" s="2">
        <x:v>0</x:v>
      </x:c>
      <x:c r="R15" s="2">
        <x:v>1</x:v>
      </x:c>
      <x:c r="S15" s="2" t="s">
        <x:v>716</x:v>
      </x:c>
    </x:row>
    <x:row r="16" ht="22" customHeight="1">
      <x:c r="A16" s="2" t="s">
        <x:v>717</x:v>
      </x:c>
      <x:c r="B16" s="2" t="s">
        <x:v>718</x:v>
      </x:c>
      <x:c r="C16" s="2" t="s">
        <x:v>719</x:v>
      </x:c>
      <x:c r="D16" s="2" t="s">
        <x:v>693</x:v>
      </x:c>
      <x:c r="E16" s="2" t="s">
        <x:v>598</x:v>
      </x:c>
      <x:c r="F16" s="2" t="s">
        <x:v>655</x:v>
      </x:c>
      <x:c r="G16" s="2" t="s">
        <x:v>720</x:v>
      </x:c>
      <x:c r="H16" s="2" t="s">
        <x:v>721</x:v>
      </x:c>
      <x:c r="I16" s="2" t="s">
        <x:v>722</x:v>
      </x:c>
      <x:c r="J16" s="2" t="s">
        <x:v>723</x:v>
      </x:c>
      <x:c r="K16" s="2">
        <x:v>5</x:v>
      </x:c>
      <x:c r="L16" s="2" t="s">
        <x:v>622</x:v>
      </x:c>
      <x:c r="M16" s="2" t="s">
        <x:v>591</x:v>
      </x:c>
      <x:c r="N16" s="2" t="s">
        <x:v>623</x:v>
      </x:c>
      <x:c r="O16" s="2">
        <x:v>1</x:v>
      </x:c>
      <x:c r="P16" s="2">
        <x:v>1</x:v>
      </x:c>
      <x:c r="Q16" s="2">
        <x:v>0</x:v>
      </x:c>
      <x:c r="R16" s="2">
        <x:v>0</x:v>
      </x:c>
      <x:c r="S16" s="2" t="s">
        <x:v>724</x:v>
      </x:c>
    </x:row>
    <x:row r="17" ht="22" customHeight="1">
      <x:c r="A17" s="2" t="s">
        <x:v>725</x:v>
      </x:c>
      <x:c r="B17" s="2" t="s">
        <x:v>726</x:v>
      </x:c>
      <x:c r="C17" s="2" t="s">
        <x:v>727</x:v>
      </x:c>
      <x:c r="D17" s="2" t="s">
        <x:v>728</x:v>
      </x:c>
      <x:c r="E17" s="2" t="s">
        <x:v>598</x:v>
      </x:c>
      <x:c r="F17" s="2" t="s">
        <x:v>655</x:v>
      </x:c>
      <x:c r="G17" s="2" t="s">
        <x:v>729</x:v>
      </x:c>
      <x:c r="H17" s="2" t="s">
        <x:v>730</x:v>
      </x:c>
      <x:c r="I17" s="2" t="s">
        <x:v>731</x:v>
      </x:c>
      <x:c r="J17" s="2" t="s">
        <x:v>732</x:v>
      </x:c>
      <x:c r="K17" s="2">
        <x:v>6</x:v>
      </x:c>
      <x:c r="L17" s="2" t="s">
        <x:v>622</x:v>
      </x:c>
      <x:c r="M17" s="2" t="s">
        <x:v>591</x:v>
      </x:c>
      <x:c r="N17" s="2" t="s">
        <x:v>623</x:v>
      </x:c>
      <x:c r="O17" s="2">
        <x:v>1</x:v>
      </x:c>
      <x:c r="P17" s="2">
        <x:v>1</x:v>
      </x:c>
      <x:c r="Q17" s="2">
        <x:v>0</x:v>
      </x:c>
      <x:c r="R17" s="2">
        <x:v>0</x:v>
      </x:c>
      <x:c r="S17" s="2" t="s">
        <x:v>733</x:v>
      </x:c>
    </x:row>
    <x:row r="18" ht="22" customHeight="1">
      <x:c r="A18" s="2" t="s">
        <x:v>734</x:v>
      </x:c>
      <x:c r="B18" s="2" t="s">
        <x:v>735</x:v>
      </x:c>
      <x:c r="C18" s="2" t="s">
        <x:v>736</x:v>
      </x:c>
      <x:c r="D18" s="2" t="s">
        <x:v>693</x:v>
      </x:c>
      <x:c r="E18" s="2" t="s">
        <x:v>598</x:v>
      </x:c>
      <x:c r="F18" s="2" t="s">
        <x:v>737</x:v>
      </x:c>
      <x:c r="G18" s="2" t="s">
        <x:v>738</x:v>
      </x:c>
      <x:c r="H18" s="2" t="s">
        <x:v>739</x:v>
      </x:c>
      <x:c r="I18" s="2" t="s">
        <x:v>740</x:v>
      </x:c>
      <x:c r="J18" s="2" t="s">
        <x:v>741</x:v>
      </x:c>
      <x:c r="K18" s="2">
        <x:v>6</x:v>
      </x:c>
      <x:c r="L18" s="2" t="s">
        <x:v>622</x:v>
      </x:c>
      <x:c r="M18" s="2" t="s">
        <x:v>591</x:v>
      </x:c>
      <x:c r="N18" s="2" t="s">
        <x:v>623</x:v>
      </x:c>
      <x:c r="O18" s="2">
        <x:v>1</x:v>
      </x:c>
      <x:c r="P18" s="2">
        <x:v>1</x:v>
      </x:c>
      <x:c r="Q18" s="2">
        <x:v>0</x:v>
      </x:c>
      <x:c r="R18" s="2">
        <x:v>0</x:v>
      </x:c>
      <x:c r="S18" s="2" t="s">
        <x:v>742</x:v>
      </x:c>
    </x:row>
    <x:row r="19" ht="22" customHeight="1">
      <x:c r="A19" s="2" t="s">
        <x:v>743</x:v>
      </x:c>
      <x:c r="B19" s="2" t="s">
        <x:v>744</x:v>
      </x:c>
      <x:c r="C19" s="2" t="s">
        <x:v>745</x:v>
      </x:c>
      <x:c r="D19" s="2" t="s">
        <x:v>746</x:v>
      </x:c>
      <x:c r="E19" s="2" t="s">
        <x:v>636</x:v>
      </x:c>
      <x:c r="F19" s="2" t="s">
        <x:v>655</x:v>
      </x:c>
      <x:c r="G19" s="2" t="s">
        <x:v>747</x:v>
      </x:c>
      <x:c r="H19" s="2" t="s">
        <x:v>748</x:v>
      </x:c>
      <x:c r="I19" s="2" t="s">
        <x:v>749</x:v>
      </x:c>
      <x:c r="J19" s="2" t="s">
        <x:v>750</x:v>
      </x:c>
      <x:c r="K19" s="2">
        <x:v>8</x:v>
      </x:c>
      <x:c r="L19" s="2" t="s">
        <x:v>641</x:v>
      </x:c>
      <x:c r="M19" s="2" t="s">
        <x:v>591</x:v>
      </x:c>
      <x:c r="N19" s="2" t="s">
        <x:v>623</x:v>
      </x:c>
      <x:c r="O19" s="2">
        <x:v>0</x:v>
      </x:c>
      <x:c r="P19" s="2">
        <x:v>1</x:v>
      </x:c>
      <x:c r="Q19" s="2">
        <x:v>0</x:v>
      </x:c>
      <x:c r="R19" s="2">
        <x:v>1</x:v>
      </x:c>
      <x:c r="S19" s="2" t="s">
        <x:v>751</x:v>
      </x:c>
    </x:row>
    <x:row r="20" ht="22" customHeight="1">
      <x:c r="A20" s="2" t="s">
        <x:v>752</x:v>
      </x:c>
      <x:c r="B20" s="2" t="s">
        <x:v>753</x:v>
      </x:c>
      <x:c r="C20" s="2" t="s">
        <x:v>754</x:v>
      </x:c>
      <x:c r="D20" s="2" t="s">
        <x:v>755</x:v>
      </x:c>
      <x:c r="E20" s="2" t="s">
        <x:v>598</x:v>
      </x:c>
      <x:c r="F20" s="2" t="s">
        <x:v>756</x:v>
      </x:c>
      <x:c r="G20" s="2" t="s">
        <x:v>757</x:v>
      </x:c>
      <x:c r="H20" s="2" t="s">
        <x:v>758</x:v>
      </x:c>
      <x:c r="I20" s="2" t="s">
        <x:v>759</x:v>
      </x:c>
      <x:c r="J20" s="2" t="s">
        <x:v>760</x:v>
      </x:c>
      <x:c r="K20" s="2">
        <x:v>6</x:v>
      </x:c>
      <x:c r="L20" s="2" t="s">
        <x:v>622</x:v>
      </x:c>
      <x:c r="M20" s="2" t="s">
        <x:v>591</x:v>
      </x:c>
      <x:c r="N20" s="2" t="s">
        <x:v>623</x:v>
      </x:c>
      <x:c r="O20" s="2">
        <x:v>1</x:v>
      </x:c>
      <x:c r="P20" s="2">
        <x:v>1</x:v>
      </x:c>
      <x:c r="Q20" s="2">
        <x:v>0</x:v>
      </x:c>
      <x:c r="R20" s="2">
        <x:v>1</x:v>
      </x:c>
      <x:c r="S20" s="2" t="s">
        <x:v>761</x:v>
      </x:c>
    </x:row>
    <x:row r="21" ht="22" customHeight="1">
      <x:c r="A21" s="2" t="s">
        <x:v>762</x:v>
      </x:c>
      <x:c r="B21" s="2" t="s">
        <x:v>763</x:v>
      </x:c>
      <x:c r="C21" s="2" t="s">
        <x:v>764</x:v>
      </x:c>
      <x:c r="D21" s="2" t="s">
        <x:v>728</x:v>
      </x:c>
      <x:c r="E21" s="2" t="s">
        <x:v>598</x:v>
      </x:c>
      <x:c r="F21" s="2" t="s">
        <x:v>655</x:v>
      </x:c>
      <x:c r="G21" s="2" t="s">
        <x:v>694</x:v>
      </x:c>
      <x:c r="H21" s="2" t="s">
        <x:v>619</x:v>
      </x:c>
      <x:c r="I21" s="2" t="s">
        <x:v>765</x:v>
      </x:c>
      <x:c r="J21" s="2" t="s">
        <x:v>766</x:v>
      </x:c>
      <x:c r="K21" s="2">
        <x:v>6</x:v>
      </x:c>
      <x:c r="L21" s="2" t="s">
        <x:v>622</x:v>
      </x:c>
      <x:c r="M21" s="2" t="s">
        <x:v>591</x:v>
      </x:c>
      <x:c r="N21" s="2" t="s">
        <x:v>623</x:v>
      </x:c>
      <x:c r="O21" s="2">
        <x:v>1</x:v>
      </x:c>
      <x:c r="P21" s="2">
        <x:v>1</x:v>
      </x:c>
      <x:c r="Q21" s="2">
        <x:v>0</x:v>
      </x:c>
      <x:c r="R21" s="2">
        <x:v>0</x:v>
      </x:c>
      <x:c r="S21" s="2" t="s">
        <x:v>767</x:v>
      </x:c>
    </x:row>
    <x:row r="22" ht="22" customHeight="1">
      <x:c r="A22" s="2" t="s">
        <x:v>768</x:v>
      </x:c>
      <x:c r="B22" s="2" t="s">
        <x:v>769</x:v>
      </x:c>
      <x:c r="C22" s="2" t="s">
        <x:v>770</x:v>
      </x:c>
      <x:c r="D22" s="2" t="s">
        <x:v>771</x:v>
      </x:c>
      <x:c r="E22" s="2" t="s">
        <x:v>598</x:v>
      </x:c>
      <x:c r="F22" s="2" t="s">
        <x:v>655</x:v>
      </x:c>
      <x:c r="G22" s="2" t="s">
        <x:v>772</x:v>
      </x:c>
      <x:c r="H22" s="2" t="s">
        <x:v>773</x:v>
      </x:c>
      <x:c r="I22" s="2" t="s">
        <x:v>774</x:v>
      </x:c>
      <x:c r="J22" s="2" t="s">
        <x:v>775</x:v>
      </x:c>
      <x:c r="K22" s="2">
        <x:v>8</x:v>
      </x:c>
      <x:c r="L22" s="2" t="s">
        <x:v>641</x:v>
      </x:c>
      <x:c r="M22" s="2" t="s">
        <x:v>591</x:v>
      </x:c>
      <x:c r="N22" s="2" t="s">
        <x:v>623</x:v>
      </x:c>
      <x:c r="O22" s="2">
        <x:v>1</x:v>
      </x:c>
      <x:c r="P22" s="2">
        <x:v>1</x:v>
      </x:c>
      <x:c r="Q22" s="2">
        <x:v>0</x:v>
      </x:c>
      <x:c r="R22" s="2">
        <x:v>0</x:v>
      </x:c>
      <x:c r="S22" s="2" t="s">
        <x:v>776</x:v>
      </x:c>
    </x:row>
    <x:row r="23" ht="22" customHeight="1">
      <x:c r="A23" s="2" t="s">
        <x:v>777</x:v>
      </x:c>
      <x:c r="B23" s="2" t="s">
        <x:v>778</x:v>
      </x:c>
      <x:c r="C23" s="2" t="s">
        <x:v>779</x:v>
      </x:c>
      <x:c r="D23" s="2" t="s">
        <x:v>780</x:v>
      </x:c>
      <x:c r="E23" s="2" t="s">
        <x:v>598</x:v>
      </x:c>
      <x:c r="F23" s="2" t="s">
        <x:v>645</x:v>
      </x:c>
      <x:c r="G23" s="2" t="s">
        <x:v>646</x:v>
      </x:c>
      <x:c r="H23" s="2" t="s">
        <x:v>781</x:v>
      </x:c>
      <x:c r="I23" s="2" t="s">
        <x:v>782</x:v>
      </x:c>
      <x:c r="J23" s="2" t="s">
        <x:v>783</x:v>
      </x:c>
      <x:c r="K23" s="2">
        <x:v>4</x:v>
      </x:c>
      <x:c r="L23" s="2" t="s">
        <x:v>622</x:v>
      </x:c>
      <x:c r="M23" s="2" t="s">
        <x:v>591</x:v>
      </x:c>
      <x:c r="N23" s="2" t="s">
        <x:v>592</x:v>
      </x:c>
      <x:c r="O23" s="2">
        <x:v>1</x:v>
      </x:c>
      <x:c r="P23" s="2">
        <x:v>1</x:v>
      </x:c>
      <x:c r="Q23" s="2">
        <x:v>0</x:v>
      </x:c>
      <x:c r="R23" s="2">
        <x:v>1</x:v>
      </x:c>
      <x:c r="S23" s="2" t="s">
        <x:v>784</x:v>
      </x:c>
    </x:row>
    <x:row r="24" ht="22" customHeight="1">
      <x:c r="A24" s="2" t="s">
        <x:v>785</x:v>
      </x:c>
      <x:c r="B24" s="2" t="s">
        <x:v>786</x:v>
      </x:c>
      <x:c r="C24" s="2" t="s">
        <x:v>787</x:v>
      </x:c>
      <x:c r="D24" s="2" t="s">
        <x:v>788</x:v>
      </x:c>
      <x:c r="E24" s="2" t="s">
        <x:v>598</x:v>
      </x:c>
      <x:c r="F24" s="2" t="s">
        <x:v>645</x:v>
      </x:c>
      <x:c r="G24" s="2" t="s">
        <x:v>646</x:v>
      </x:c>
      <x:c r="H24" s="2" t="s">
        <x:v>647</x:v>
      </x:c>
      <x:c r="I24" s="2" t="s">
        <x:v>789</x:v>
      </x:c>
      <x:c r="J24" s="2" t="s">
        <x:v>790</x:v>
      </x:c>
      <x:c r="K24" s="2">
        <x:v>4</x:v>
      </x:c>
      <x:c r="L24" s="2" t="s">
        <x:v>622</x:v>
      </x:c>
      <x:c r="M24" s="2" t="s">
        <x:v>591</x:v>
      </x:c>
      <x:c r="N24" s="2" t="s">
        <x:v>592</x:v>
      </x:c>
      <x:c r="O24" s="2">
        <x:v>1</x:v>
      </x:c>
      <x:c r="P24" s="2">
        <x:v>1</x:v>
      </x:c>
      <x:c r="Q24" s="2">
        <x:v>0</x:v>
      </x:c>
      <x:c r="R24" s="2">
        <x:v>1</x:v>
      </x:c>
      <x:c r="S24" s="2" t="s">
        <x:v>791</x:v>
      </x:c>
    </x:row>
    <x:row r="25" ht="22" customHeight="1">
      <x:c r="A25" s="2" t="s">
        <x:v>792</x:v>
      </x:c>
      <x:c r="B25" s="2" t="s">
        <x:v>793</x:v>
      </x:c>
      <x:c r="C25" s="2" t="s">
        <x:v>794</x:v>
      </x:c>
      <x:c r="D25" s="2" t="s">
        <x:v>780</x:v>
      </x:c>
      <x:c r="E25" s="2" t="s">
        <x:v>598</x:v>
      </x:c>
      <x:c r="F25" s="2" t="s">
        <x:v>684</x:v>
      </x:c>
      <x:c r="G25" s="2" t="s">
        <x:v>795</x:v>
      </x:c>
      <x:c r="H25" s="2" t="s">
        <x:v>796</x:v>
      </x:c>
      <x:c r="I25" s="2" t="s">
        <x:v>797</x:v>
      </x:c>
      <x:c r="J25" s="2" t="s">
        <x:v>798</x:v>
      </x:c>
      <x:c r="K25" s="2">
        <x:v>6</x:v>
      </x:c>
      <x:c r="L25" s="2" t="s">
        <x:v>622</x:v>
      </x:c>
      <x:c r="M25" s="2" t="s">
        <x:v>591</x:v>
      </x:c>
      <x:c r="N25" s="2" t="s">
        <x:v>623</x:v>
      </x:c>
      <x:c r="O25" s="2">
        <x:v>1</x:v>
      </x:c>
      <x:c r="P25" s="2">
        <x:v>1</x:v>
      </x:c>
      <x:c r="Q25" s="2">
        <x:v>0</x:v>
      </x:c>
      <x:c r="R25" s="2">
        <x:v>0</x:v>
      </x:c>
      <x:c r="S25" s="2" t="s">
        <x:v>799</x:v>
      </x:c>
    </x:row>
    <x:row r="26" ht="22" customHeight="1">
      <x:c r="A26" s="2" t="s">
        <x:v>800</x:v>
      </x:c>
      <x:c r="B26" s="2" t="s">
        <x:v>801</x:v>
      </x:c>
      <x:c r="C26" s="2" t="s">
        <x:v>802</x:v>
      </x:c>
      <x:c r="D26" s="2" t="s">
        <x:v>788</x:v>
      </x:c>
      <x:c r="E26" s="2" t="s">
        <x:v>598</x:v>
      </x:c>
      <x:c r="F26" s="2" t="s">
        <x:v>655</x:v>
      </x:c>
      <x:c r="G26" s="2" t="s">
        <x:v>720</x:v>
      </x:c>
      <x:c r="H26" s="2" t="s">
        <x:v>803</x:v>
      </x:c>
      <x:c r="I26" s="2" t="s">
        <x:v>804</x:v>
      </x:c>
      <x:c r="J26" s="2" t="s">
        <x:v>805</x:v>
      </x:c>
      <x:c r="K26" s="2">
        <x:v>6</x:v>
      </x:c>
      <x:c r="L26" s="2" t="s">
        <x:v>622</x:v>
      </x:c>
      <x:c r="M26" s="2" t="s">
        <x:v>591</x:v>
      </x:c>
      <x:c r="N26" s="2" t="s">
        <x:v>623</x:v>
      </x:c>
      <x:c r="O26" s="2">
        <x:v>1</x:v>
      </x:c>
      <x:c r="P26" s="2">
        <x:v>1</x:v>
      </x:c>
      <x:c r="Q26" s="2">
        <x:v>0</x:v>
      </x:c>
      <x:c r="R26" s="2">
        <x:v>0</x:v>
      </x:c>
      <x:c r="S26" s="2" t="s">
        <x:v>806</x:v>
      </x:c>
    </x:row>
    <x:row r="27" ht="22" customHeight="1">
      <x:c r="A27" s="2" t="s">
        <x:v>807</x:v>
      </x:c>
      <x:c r="B27" s="2" t="s">
        <x:v>808</x:v>
      </x:c>
      <x:c r="C27" s="2" t="s">
        <x:v>809</x:v>
      </x:c>
      <x:c r="D27" s="2" t="s">
        <x:v>810</x:v>
      </x:c>
      <x:c r="E27" s="2" t="s">
        <x:v>702</x:v>
      </x:c>
      <x:c r="F27" s="2" t="s">
        <x:v>655</x:v>
      </x:c>
      <x:c r="G27" s="2" t="s">
        <x:v>720</x:v>
      </x:c>
      <x:c r="H27" s="2" t="s">
        <x:v>811</x:v>
      </x:c>
      <x:c r="I27" s="2" t="s">
        <x:v>812</x:v>
      </x:c>
      <x:c r="J27" s="2" t="s">
        <x:v>813</x:v>
      </x:c>
      <x:c r="K27" s="2">
        <x:v>4</x:v>
      </x:c>
      <x:c r="L27" s="2" t="s">
        <x:v>604</x:v>
      </x:c>
      <x:c r="M27" s="2" t="s">
        <x:v>591</x:v>
      </x:c>
      <x:c r="N27" s="2" t="s">
        <x:v>623</x:v>
      </x:c>
      <x:c r="O27" s="2">
        <x:v>0</x:v>
      </x:c>
      <x:c r="P27" s="2">
        <x:v>1</x:v>
      </x:c>
      <x:c r="Q27" s="2">
        <x:v>0</x:v>
      </x:c>
      <x:c r="R27" s="2">
        <x:v>0</x:v>
      </x:c>
      <x:c r="S27" s="2" t="s">
        <x:v>814</x:v>
      </x:c>
    </x:row>
    <x:row r="28" ht="22" customHeight="1">
      <x:c r="A28" s="2" t="s">
        <x:v>815</x:v>
      </x:c>
      <x:c r="B28" s="2" t="s">
        <x:v>816</x:v>
      </x:c>
      <x:c r="C28" s="2" t="s">
        <x:v>817</x:v>
      </x:c>
      <x:c r="D28" s="2" t="s">
        <x:v>818</x:v>
      </x:c>
      <x:c r="E28" s="2" t="s">
        <x:v>636</x:v>
      </x:c>
      <x:c r="F28" s="2" t="s">
        <x:v>645</x:v>
      </x:c>
      <x:c r="G28" s="2" t="s">
        <x:v>819</x:v>
      </x:c>
      <x:c r="H28" s="2" t="s">
        <x:v>820</x:v>
      </x:c>
      <x:c r="I28" s="2" t="s">
        <x:v>821</x:v>
      </x:c>
      <x:c r="J28" s="2" t="s">
        <x:v>822</x:v>
      </x:c>
      <x:c r="K28" s="2">
        <x:v>7</x:v>
      </x:c>
      <x:c r="L28" s="2" t="s">
        <x:v>641</x:v>
      </x:c>
      <x:c r="M28" s="2" t="s">
        <x:v>591</x:v>
      </x:c>
      <x:c r="N28" s="2" t="s">
        <x:v>623</x:v>
      </x:c>
      <x:c r="O28" s="2">
        <x:v>0</x:v>
      </x:c>
      <x:c r="P28" s="2">
        <x:v>1</x:v>
      </x:c>
      <x:c r="Q28" s="2">
        <x:v>0</x:v>
      </x:c>
      <x:c r="R28" s="2">
        <x:v>1</x:v>
      </x:c>
      <x:c r="S28" s="2" t="s">
        <x:v>823</x:v>
      </x:c>
    </x:row>
    <x:row r="29" ht="22" customHeight="1">
      <x:c r="A29" s="2" t="s">
        <x:v>824</x:v>
      </x:c>
      <x:c r="B29" s="2" t="s">
        <x:v>825</x:v>
      </x:c>
      <x:c r="C29" s="2" t="s">
        <x:v>826</x:v>
      </x:c>
      <x:c r="D29" s="2" t="s">
        <x:v>827</x:v>
      </x:c>
      <x:c r="E29" s="2" t="s">
        <x:v>598</x:v>
      </x:c>
      <x:c r="F29" s="2" t="s">
        <x:v>828</x:v>
      </x:c>
      <x:c r="G29" s="2" t="s">
        <x:v>829</x:v>
      </x:c>
      <x:c r="H29" s="2" t="s">
        <x:v>830</x:v>
      </x:c>
      <x:c r="I29" s="2" t="s">
        <x:v>831</x:v>
      </x:c>
      <x:c r="J29" s="2" t="s">
        <x:v>832</x:v>
      </x:c>
      <x:c r="K29" s="2">
        <x:v>8</x:v>
      </x:c>
      <x:c r="L29" s="2" t="s">
        <x:v>641</x:v>
      </x:c>
      <x:c r="M29" s="2" t="s">
        <x:v>591</x:v>
      </x:c>
      <x:c r="N29" s="2" t="s">
        <x:v>623</x:v>
      </x:c>
      <x:c r="O29" s="2">
        <x:v>1</x:v>
      </x:c>
      <x:c r="P29" s="2">
        <x:v>1</x:v>
      </x:c>
      <x:c r="Q29" s="2">
        <x:v>0</x:v>
      </x:c>
      <x:c r="R29" s="2">
        <x:v>0</x:v>
      </x:c>
      <x:c r="S29" s="2" t="s">
        <x:v>833</x:v>
      </x:c>
    </x:row>
    <x:row r="30" ht="22" customHeight="1">
      <x:c r="A30" s="2" t="s">
        <x:v>834</x:v>
      </x:c>
      <x:c r="B30" s="2" t="s">
        <x:v>835</x:v>
      </x:c>
      <x:c r="C30" s="2" t="s">
        <x:v>836</x:v>
      </x:c>
      <x:c r="D30" s="2" t="s">
        <x:v>837</x:v>
      </x:c>
      <x:c r="E30" s="2" t="s">
        <x:v>636</x:v>
      </x:c>
      <x:c r="F30" s="2" t="s">
        <x:v>645</x:v>
      </x:c>
      <x:c r="G30" s="2" t="s">
        <x:v>838</x:v>
      </x:c>
      <x:c r="H30" s="2" t="s">
        <x:v>839</x:v>
      </x:c>
      <x:c r="I30" s="2" t="s">
        <x:v>840</x:v>
      </x:c>
      <x:c r="J30" s="2" t="s">
        <x:v>841</x:v>
      </x:c>
      <x:c r="K30" s="2">
        <x:v>7</x:v>
      </x:c>
      <x:c r="L30" s="2" t="s">
        <x:v>641</x:v>
      </x:c>
      <x:c r="M30" s="2" t="s">
        <x:v>591</x:v>
      </x:c>
      <x:c r="N30" s="2" t="s">
        <x:v>623</x:v>
      </x:c>
      <x:c r="O30" s="2">
        <x:v>0</x:v>
      </x:c>
      <x:c r="P30" s="2">
        <x:v>1</x:v>
      </x:c>
      <x:c r="Q30" s="2">
        <x:v>0</x:v>
      </x:c>
      <x:c r="R30" s="2">
        <x:v>1</x:v>
      </x:c>
      <x:c r="S30" s="2" t="s">
        <x:v>842</x:v>
      </x:c>
    </x:row>
    <x:row r="31" ht="22" customHeight="1">
      <x:c r="A31" s="2" t="s">
        <x:v>843</x:v>
      </x:c>
      <x:c r="B31" s="2" t="s">
        <x:v>844</x:v>
      </x:c>
      <x:c r="C31" s="2" t="s">
        <x:v>845</x:v>
      </x:c>
      <x:c r="D31" s="2" t="s">
        <x:v>846</x:v>
      </x:c>
      <x:c r="E31" s="2" t="s">
        <x:v>847</x:v>
      </x:c>
      <x:c r="F31" s="2" t="s">
        <x:v>684</x:v>
      </x:c>
      <x:c r="G31" s="2" t="s">
        <x:v>795</x:v>
      </x:c>
      <x:c r="H31" s="2" t="s">
        <x:v>848</x:v>
      </x:c>
      <x:c r="I31" s="2" t="s">
        <x:v>849</x:v>
      </x:c>
      <x:c r="J31" s="2" t="s">
        <x:v>850</x:v>
      </x:c>
      <x:c r="K31" s="2">
        <x:v>10</x:v>
      </x:c>
      <x:c r="L31" s="2" t="s">
        <x:v>641</x:v>
      </x:c>
      <x:c r="M31" s="2" t="s">
        <x:v>591</x:v>
      </x:c>
      <x:c r="N31" s="2" t="s">
        <x:v>623</x:v>
      </x:c>
      <x:c r="O31" s="2">
        <x:v>0</x:v>
      </x:c>
      <x:c r="P31" s="2">
        <x:v>1</x:v>
      </x:c>
      <x:c r="Q31" s="2">
        <x:v>0</x:v>
      </x:c>
      <x:c r="R31" s="2">
        <x:v>1</x:v>
      </x:c>
      <x:c r="S31" s="2" t="s">
        <x:v>851</x:v>
      </x:c>
    </x:row>
    <x:row r="32" ht="22" customHeight="1">
      <x:c r="A32" s="2" t="s">
        <x:v>852</x:v>
      </x:c>
      <x:c r="B32" s="2" t="s">
        <x:v>853</x:v>
      </x:c>
      <x:c r="C32" s="2" t="s">
        <x:v>854</x:v>
      </x:c>
      <x:c r="D32" s="2" t="s">
        <x:v>855</x:v>
      </x:c>
      <x:c r="E32" s="2" t="s">
        <x:v>702</x:v>
      </x:c>
      <x:c r="F32" s="2" t="s">
        <x:v>645</x:v>
      </x:c>
      <x:c r="G32" s="2" t="s">
        <x:v>856</x:v>
      </x:c>
      <x:c r="H32" s="2" t="s">
        <x:v>857</x:v>
      </x:c>
      <x:c r="I32" s="2" t="s">
        <x:v>858</x:v>
      </x:c>
      <x:c r="J32" s="2" t="s">
        <x:v>859</x:v>
      </x:c>
      <x:c r="K32" s="2">
        <x:v>7</x:v>
      </x:c>
      <x:c r="L32" s="2" t="s">
        <x:v>622</x:v>
      </x:c>
      <x:c r="M32" s="2" t="s">
        <x:v>591</x:v>
      </x:c>
      <x:c r="N32" s="2" t="s">
        <x:v>623</x:v>
      </x:c>
      <x:c r="O32" s="2">
        <x:v>0</x:v>
      </x:c>
      <x:c r="P32" s="2">
        <x:v>1</x:v>
      </x:c>
      <x:c r="Q32" s="2">
        <x:v>0</x:v>
      </x:c>
      <x:c r="R32" s="2">
        <x:v>1</x:v>
      </x:c>
      <x:c r="S32" s="2" t="s">
        <x:v>860</x:v>
      </x:c>
    </x:row>
    <x:row r="33" ht="22" customHeight="1">
      <x:c r="A33" s="2" t="s">
        <x:v>861</x:v>
      </x:c>
      <x:c r="B33" s="2" t="s">
        <x:v>862</x:v>
      </x:c>
      <x:c r="C33" s="2" t="s">
        <x:v>863</x:v>
      </x:c>
      <x:c r="D33" s="2" t="s">
        <x:v>864</x:v>
      </x:c>
      <x:c r="E33" s="2" t="s">
        <x:v>636</x:v>
      </x:c>
      <x:c r="F33" s="2" t="s">
        <x:v>645</x:v>
      </x:c>
      <x:c r="G33" s="2" t="s">
        <x:v>865</x:v>
      </x:c>
      <x:c r="H33" s="2" t="s">
        <x:v>748</x:v>
      </x:c>
      <x:c r="I33" s="2" t="s">
        <x:v>866</x:v>
      </x:c>
      <x:c r="J33" s="2" t="s">
        <x:v>867</x:v>
      </x:c>
      <x:c r="K33" s="2">
        <x:v>8</x:v>
      </x:c>
      <x:c r="L33" s="2" t="s">
        <x:v>641</x:v>
      </x:c>
      <x:c r="M33" s="2" t="s">
        <x:v>591</x:v>
      </x:c>
      <x:c r="N33" s="2" t="s">
        <x:v>623</x:v>
      </x:c>
      <x:c r="O33" s="2">
        <x:v>0</x:v>
      </x:c>
      <x:c r="P33" s="2">
        <x:v>1</x:v>
      </x:c>
      <x:c r="Q33" s="2">
        <x:v>0</x:v>
      </x:c>
      <x:c r="R33" s="2">
        <x:v>1</x:v>
      </x:c>
      <x:c r="S33" s="2" t="s">
        <x:v>868</x:v>
      </x:c>
    </x:row>
    <x:row r="34" ht="22" customHeight="1">
      <x:c r="A34" s="2" t="s">
        <x:v>869</x:v>
      </x:c>
      <x:c r="B34" s="2" t="s">
        <x:v>870</x:v>
      </x:c>
      <x:c r="C34" s="2" t="s">
        <x:v>871</x:v>
      </x:c>
      <x:c r="D34" s="2" t="s">
        <x:v>864</x:v>
      </x:c>
      <x:c r="E34" s="2" t="s">
        <x:v>598</x:v>
      </x:c>
      <x:c r="F34" s="2" t="s">
        <x:v>703</x:v>
      </x:c>
      <x:c r="G34" s="2" t="s">
        <x:v>872</x:v>
      </x:c>
      <x:c r="H34" s="2" t="s">
        <x:v>873</x:v>
      </x:c>
      <x:c r="I34" s="2" t="s">
        <x:v>874</x:v>
      </x:c>
      <x:c r="J34" s="2" t="s">
        <x:v>875</x:v>
      </x:c>
      <x:c r="K34" s="2">
        <x:v>7</x:v>
      </x:c>
      <x:c r="L34" s="2" t="s">
        <x:v>641</x:v>
      </x:c>
      <x:c r="M34" s="2" t="s">
        <x:v>591</x:v>
      </x:c>
      <x:c r="N34" s="2" t="s">
        <x:v>623</x:v>
      </x:c>
      <x:c r="O34" s="2">
        <x:v>1</x:v>
      </x:c>
      <x:c r="P34" s="2">
        <x:v>1</x:v>
      </x:c>
      <x:c r="Q34" s="2">
        <x:v>0</x:v>
      </x:c>
      <x:c r="R34" s="2">
        <x:v>1</x:v>
      </x:c>
      <x:c r="S34" s="2" t="s">
        <x:v>876</x:v>
      </x:c>
    </x:row>
    <x:row r="35" ht="22" customHeight="1">
      <x:c r="A35" s="2" t="s">
        <x:v>877</x:v>
      </x:c>
      <x:c r="B35" s="2" t="s">
        <x:v>878</x:v>
      </x:c>
      <x:c r="C35" s="2" t="s">
        <x:v>879</x:v>
      </x:c>
      <x:c r="D35" s="2" t="s">
        <x:v>864</x:v>
      </x:c>
      <x:c r="E35" s="2" t="s">
        <x:v>702</x:v>
      </x:c>
      <x:c r="F35" s="2" t="s">
        <x:v>703</x:v>
      </x:c>
      <x:c r="G35" s="2" t="s">
        <x:v>880</x:v>
      </x:c>
      <x:c r="H35" s="2" t="s">
        <x:v>881</x:v>
      </x:c>
      <x:c r="I35" s="2" t="s">
        <x:v>882</x:v>
      </x:c>
      <x:c r="J35" s="2" t="s">
        <x:v>883</x:v>
      </x:c>
      <x:c r="K35" s="2">
        <x:v>8</x:v>
      </x:c>
      <x:c r="L35" s="2" t="s">
        <x:v>641</x:v>
      </x:c>
      <x:c r="M35" s="2" t="s">
        <x:v>591</x:v>
      </x:c>
      <x:c r="N35" s="2" t="s">
        <x:v>623</x:v>
      </x:c>
      <x:c r="O35" s="2">
        <x:v>0</x:v>
      </x:c>
      <x:c r="P35" s="2">
        <x:v>1</x:v>
      </x:c>
      <x:c r="Q35" s="2">
        <x:v>0</x:v>
      </x:c>
      <x:c r="R35" s="2">
        <x:v>1</x:v>
      </x:c>
      <x:c r="S35" s="2" t="s">
        <x:v>884</x:v>
      </x:c>
    </x:row>
    <x:row r="36" ht="22" customHeight="1">
      <x:c r="A36" s="2" t="s">
        <x:v>885</x:v>
      </x:c>
      <x:c r="B36" s="2" t="s">
        <x:v>886</x:v>
      </x:c>
      <x:c r="C36" s="2" t="s">
        <x:v>887</x:v>
      </x:c>
      <x:c r="D36" s="2" t="s">
        <x:v>888</x:v>
      </x:c>
      <x:c r="E36" s="2" t="s">
        <x:v>889</x:v>
      </x:c>
      <x:c r="F36" s="2" t="s">
        <x:v>828</x:v>
      </x:c>
      <x:c r="G36" s="2" t="s">
        <x:v>890</x:v>
      </x:c>
      <x:c r="H36" s="2" t="s">
        <x:v>891</x:v>
      </x:c>
      <x:c r="I36" s="2" t="s">
        <x:v>892</x:v>
      </x:c>
      <x:c r="J36" s="2" t="s">
        <x:v>893</x:v>
      </x:c>
      <x:c r="K36" s="2">
        <x:v>6</x:v>
      </x:c>
      <x:c r="L36" s="2" t="s">
        <x:v>622</x:v>
      </x:c>
      <x:c r="M36" s="2" t="s">
        <x:v>591</x:v>
      </x:c>
      <x:c r="N36" s="2" t="s">
        <x:v>623</x:v>
      </x:c>
      <x:c r="O36" s="2">
        <x:v>1</x:v>
      </x:c>
      <x:c r="P36" s="2">
        <x:v>0</x:v>
      </x:c>
      <x:c r="Q36" s="2">
        <x:v>0</x:v>
      </x:c>
      <x:c r="R36" s="2">
        <x:v>0</x:v>
      </x:c>
      <x:c r="S36" s="2" t="s">
        <x:v>894</x:v>
      </x:c>
    </x:row>
    <x:row r="37" ht="22" customHeight="1">
      <x:c r="A37" s="2" t="s">
        <x:v>895</x:v>
      </x:c>
      <x:c r="B37" s="2" t="s">
        <x:v>896</x:v>
      </x:c>
      <x:c r="C37" s="2" t="s">
        <x:v>897</x:v>
      </x:c>
      <x:c r="D37" s="2" t="s">
        <x:v>898</x:v>
      </x:c>
      <x:c r="E37" s="2" t="s">
        <x:v>598</x:v>
      </x:c>
      <x:c r="F37" s="2" t="s">
        <x:v>899</x:v>
      </x:c>
      <x:c r="G37" s="2" t="s">
        <x:v>900</x:v>
      </x:c>
      <x:c r="H37" s="2" t="s">
        <x:v>901</x:v>
      </x:c>
      <x:c r="I37" s="2" t="s">
        <x:v>902</x:v>
      </x:c>
      <x:c r="J37" s="2" t="s">
        <x:v>903</x:v>
      </x:c>
      <x:c r="K37" s="2">
        <x:v>9</x:v>
      </x:c>
      <x:c r="L37" s="2" t="s">
        <x:v>641</x:v>
      </x:c>
      <x:c r="M37" s="2" t="s">
        <x:v>591</x:v>
      </x:c>
      <x:c r="N37" s="2" t="s">
        <x:v>623</x:v>
      </x:c>
      <x:c r="O37" s="2">
        <x:v>1</x:v>
      </x:c>
      <x:c r="P37" s="2">
        <x:v>1</x:v>
      </x:c>
      <x:c r="Q37" s="2">
        <x:v>0</x:v>
      </x:c>
      <x:c r="R37" s="2">
        <x:v>0</x:v>
      </x:c>
      <x:c r="S37" s="2" t="s">
        <x:v>904</x:v>
      </x:c>
    </x:row>
    <x:row r="38" ht="22" customHeight="1">
      <x:c r="A38" s="2" t="s">
        <x:v>905</x:v>
      </x:c>
      <x:c r="B38" s="2" t="s">
        <x:v>906</x:v>
      </x:c>
      <x:c r="C38" s="2" t="s">
        <x:v>907</x:v>
      </x:c>
      <x:c r="D38" s="2" t="s">
        <x:v>908</x:v>
      </x:c>
      <x:c r="E38" s="2" t="s">
        <x:v>598</x:v>
      </x:c>
      <x:c r="F38" s="2" t="s">
        <x:v>899</x:v>
      </x:c>
      <x:c r="G38" s="2" t="s">
        <x:v>909</x:v>
      </x:c>
      <x:c r="H38" s="2" t="s">
        <x:v>910</x:v>
      </x:c>
      <x:c r="I38" s="2" t="s">
        <x:v>911</x:v>
      </x:c>
      <x:c r="J38" s="2" t="s">
        <x:v>912</x:v>
      </x:c>
      <x:c r="K38" s="2">
        <x:v>6</x:v>
      </x:c>
      <x:c r="L38" s="2" t="s">
        <x:v>622</x:v>
      </x:c>
      <x:c r="M38" s="2" t="s">
        <x:v>591</x:v>
      </x:c>
      <x:c r="N38" s="2" t="s">
        <x:v>623</x:v>
      </x:c>
      <x:c r="O38" s="2">
        <x:v>1</x:v>
      </x:c>
      <x:c r="P38" s="2">
        <x:v>1</x:v>
      </x:c>
      <x:c r="Q38" s="2">
        <x:v>0</x:v>
      </x:c>
      <x:c r="R38" s="2">
        <x:v>0</x:v>
      </x:c>
      <x:c r="S38" s="2" t="s">
        <x:v>913</x:v>
      </x:c>
    </x:row>
    <x:row r="39" ht="22" customHeight="1">
      <x:c r="A39" s="2" t="s">
        <x:v>914</x:v>
      </x:c>
      <x:c r="B39" s="2" t="s">
        <x:v>915</x:v>
      </x:c>
      <x:c r="C39" s="2" t="s">
        <x:v>916</x:v>
      </x:c>
      <x:c r="D39" s="2" t="s">
        <x:v>917</x:v>
      </x:c>
      <x:c r="E39" s="2" t="s">
        <x:v>598</x:v>
      </x:c>
      <x:c r="F39" s="2" t="s">
        <x:v>899</x:v>
      </x:c>
      <x:c r="G39" s="2" t="s">
        <x:v>918</x:v>
      </x:c>
      <x:c r="H39" s="2" t="s">
        <x:v>919</x:v>
      </x:c>
      <x:c r="I39" s="2" t="s">
        <x:v>920</x:v>
      </x:c>
      <x:c r="J39" s="2" t="s">
        <x:v>921</x:v>
      </x:c>
      <x:c r="K39" s="2">
        <x:v>6</x:v>
      </x:c>
      <x:c r="L39" s="2" t="s">
        <x:v>622</x:v>
      </x:c>
      <x:c r="M39" s="2" t="s">
        <x:v>591</x:v>
      </x:c>
      <x:c r="N39" s="2" t="s">
        <x:v>623</x:v>
      </x:c>
      <x:c r="O39" s="2">
        <x:v>1</x:v>
      </x:c>
      <x:c r="P39" s="2">
        <x:v>1</x:v>
      </x:c>
      <x:c r="Q39" s="2">
        <x:v>0</x:v>
      </x:c>
      <x:c r="R39" s="2">
        <x:v>0</x:v>
      </x:c>
      <x:c r="S39" s="2" t="s">
        <x:v>922</x:v>
      </x:c>
    </x:row>
    <x:row r="40" ht="22" customHeight="1">
      <x:c r="A40" s="2" t="s">
        <x:v>923</x:v>
      </x:c>
      <x:c r="B40" s="2" t="s">
        <x:v>924</x:v>
      </x:c>
      <x:c r="C40" s="2" t="s">
        <x:v>925</x:v>
      </x:c>
      <x:c r="D40" s="2" t="s">
        <x:v>926</x:v>
      </x:c>
      <x:c r="E40" s="2" t="s">
        <x:v>702</x:v>
      </x:c>
      <x:c r="F40" s="2" t="s">
        <x:v>655</x:v>
      </x:c>
      <x:c r="G40" s="2" t="s">
        <x:v>927</x:v>
      </x:c>
      <x:c r="H40" s="2" t="s">
        <x:v>748</x:v>
      </x:c>
      <x:c r="I40" s="2" t="s">
        <x:v>928</x:v>
      </x:c>
      <x:c r="J40" s="2" t="s">
        <x:v>929</x:v>
      </x:c>
      <x:c r="K40" s="2">
        <x:v>8</x:v>
      </x:c>
      <x:c r="L40" s="2" t="s">
        <x:v>641</x:v>
      </x:c>
      <x:c r="M40" s="2" t="s">
        <x:v>591</x:v>
      </x:c>
      <x:c r="N40" s="2" t="s">
        <x:v>623</x:v>
      </x:c>
      <x:c r="O40" s="2">
        <x:v>0</x:v>
      </x:c>
      <x:c r="P40" s="2">
        <x:v>1</x:v>
      </x:c>
      <x:c r="Q40" s="2">
        <x:v>0</x:v>
      </x:c>
      <x:c r="R40" s="2">
        <x:v>1</x:v>
      </x:c>
      <x:c r="S40" s="2" t="s">
        <x:v>930</x:v>
      </x:c>
    </x:row>
    <x:row r="41" ht="22" customHeight="1">
      <x:c r="A41" s="2" t="s">
        <x:v>931</x:v>
      </x:c>
      <x:c r="B41" s="2" t="s">
        <x:v>932</x:v>
      </x:c>
      <x:c r="C41" s="2" t="s">
        <x:v>933</x:v>
      </x:c>
      <x:c r="D41" s="2" t="s">
        <x:v>934</x:v>
      </x:c>
      <x:c r="E41" s="2" t="s">
        <x:v>598</x:v>
      </x:c>
      <x:c r="F41" s="2" t="s">
        <x:v>935</x:v>
      </x:c>
      <x:c r="G41" s="2" t="s">
        <x:v>936</x:v>
      </x:c>
      <x:c r="H41" s="2" t="s">
        <x:v>937</x:v>
      </x:c>
      <x:c r="I41" s="2" t="s">
        <x:v>938</x:v>
      </x:c>
      <x:c r="J41" s="2" t="s">
        <x:v>939</x:v>
      </x:c>
      <x:c r="K41" s="2">
        <x:v>7</x:v>
      </x:c>
      <x:c r="L41" s="2" t="s">
        <x:v>622</x:v>
      </x:c>
      <x:c r="M41" s="2" t="s">
        <x:v>591</x:v>
      </x:c>
      <x:c r="N41" s="2" t="s">
        <x:v>623</x:v>
      </x:c>
      <x:c r="O41" s="2">
        <x:v>1</x:v>
      </x:c>
      <x:c r="P41" s="2">
        <x:v>1</x:v>
      </x:c>
      <x:c r="Q41" s="2">
        <x:v>0</x:v>
      </x:c>
      <x:c r="R41" s="2">
        <x:v>0</x:v>
      </x:c>
      <x:c r="S41" s="2" t="s">
        <x:v>940</x:v>
      </x:c>
    </x:row>
    <x:row r="42" ht="22" customHeight="1">
      <x:c r="A42" s="2" t="s">
        <x:v>941</x:v>
      </x:c>
      <x:c r="B42" s="2" t="s">
        <x:v>942</x:v>
      </x:c>
      <x:c r="C42" s="2" t="s">
        <x:v>943</x:v>
      </x:c>
      <x:c r="D42" s="2" t="s">
        <x:v>944</x:v>
      </x:c>
      <x:c r="E42" s="2" t="s">
        <x:v>945</x:v>
      </x:c>
      <x:c r="F42" s="2" t="s">
        <x:v>711</x:v>
      </x:c>
      <x:c r="G42" s="2" t="s">
        <x:v>946</x:v>
      </x:c>
      <x:c r="H42" s="2" t="s">
        <x:v>947</x:v>
      </x:c>
      <x:c r="I42" s="2" t="s">
        <x:v>948</x:v>
      </x:c>
      <x:c r="J42" s="2" t="s">
        <x:v>949</x:v>
      </x:c>
      <x:c r="K42" s="2">
        <x:v>8</x:v>
      </x:c>
      <x:c r="L42" s="2" t="s">
        <x:v>641</x:v>
      </x:c>
      <x:c r="M42" s="2" t="s">
        <x:v>591</x:v>
      </x:c>
      <x:c r="N42" s="2" t="s">
        <x:v>623</x:v>
      </x:c>
      <x:c r="O42" s="2">
        <x:v>0</x:v>
      </x:c>
      <x:c r="P42" s="2">
        <x:v>1</x:v>
      </x:c>
      <x:c r="Q42" s="2">
        <x:v>1</x:v>
      </x:c>
      <x:c r="R42" s="2">
        <x:v>1</x:v>
      </x:c>
      <x:c r="S42" s="2" t="s">
        <x:v>950</x:v>
      </x:c>
    </x:row>
    <x:row r="43" ht="22" customHeight="1">
      <x:c r="A43" s="2" t="s">
        <x:v>951</x:v>
      </x:c>
      <x:c r="B43" s="2" t="s">
        <x:v>952</x:v>
      </x:c>
      <x:c r="C43" s="2" t="s">
        <x:v>953</x:v>
      </x:c>
      <x:c r="D43" s="2" t="s">
        <x:v>954</x:v>
      </x:c>
      <x:c r="E43" s="2" t="s">
        <x:v>598</x:v>
      </x:c>
      <x:c r="F43" s="2" t="s">
        <x:v>955</x:v>
      </x:c>
      <x:c r="G43" s="2" t="s">
        <x:v>956</x:v>
      </x:c>
      <x:c r="H43" s="2" t="s">
        <x:v>957</x:v>
      </x:c>
      <x:c r="I43" s="2" t="s">
        <x:v>958</x:v>
      </x:c>
      <x:c r="J43" s="2" t="s">
        <x:v>959</x:v>
      </x:c>
      <x:c r="K43" s="2">
        <x:v>5</x:v>
      </x:c>
      <x:c r="L43" s="2" t="s">
        <x:v>622</x:v>
      </x:c>
      <x:c r="M43" s="2" t="s">
        <x:v>591</x:v>
      </x:c>
      <x:c r="N43" s="2" t="s">
        <x:v>592</x:v>
      </x:c>
      <x:c r="O43" s="2">
        <x:v>1</x:v>
      </x:c>
      <x:c r="P43" s="2">
        <x:v>1</x:v>
      </x:c>
      <x:c r="Q43" s="2">
        <x:v>0</x:v>
      </x:c>
      <x:c r="R43" s="2">
        <x:v>0</x:v>
      </x:c>
      <x:c r="S43" s="2" t="s">
        <x:v>960</x:v>
      </x:c>
    </x:row>
    <x:row r="44" ht="22" customHeight="1">
      <x:c r="A44" s="2" t="s">
        <x:v>961</x:v>
      </x:c>
      <x:c r="B44" s="2" t="s">
        <x:v>962</x:v>
      </x:c>
      <x:c r="C44" s="2" t="s">
        <x:v>963</x:v>
      </x:c>
      <x:c r="D44" s="2" t="s">
        <x:v>964</x:v>
      </x:c>
      <x:c r="E44" s="2" t="s">
        <x:v>889</x:v>
      </x:c>
      <x:c r="F44" s="2" t="s">
        <x:v>828</x:v>
      </x:c>
      <x:c r="G44" s="2" t="s">
        <x:v>965</x:v>
      </x:c>
      <x:c r="H44" s="2" t="s">
        <x:v>966</x:v>
      </x:c>
      <x:c r="I44" s="2" t="s">
        <x:v>967</x:v>
      </x:c>
      <x:c r="J44" s="2" t="s">
        <x:v>968</x:v>
      </x:c>
      <x:c r="K44" s="2">
        <x:v>5</x:v>
      </x:c>
      <x:c r="L44" s="2" t="s">
        <x:v>622</x:v>
      </x:c>
      <x:c r="M44" s="2" t="s">
        <x:v>591</x:v>
      </x:c>
      <x:c r="N44" s="2" t="s">
        <x:v>623</x:v>
      </x:c>
      <x:c r="O44" s="2">
        <x:v>1</x:v>
      </x:c>
      <x:c r="P44" s="2">
        <x:v>0</x:v>
      </x:c>
      <x:c r="Q44" s="2">
        <x:v>0</x:v>
      </x:c>
      <x:c r="R44" s="2">
        <x:v>0</x:v>
      </x:c>
      <x:c r="S44" s="2" t="s">
        <x:v>969</x:v>
      </x:c>
    </x:row>
    <x:row r="45" ht="22" customHeight="1">
      <x:c r="A45" s="2" t="s">
        <x:v>970</x:v>
      </x:c>
      <x:c r="B45" s="2" t="s">
        <x:v>971</x:v>
      </x:c>
      <x:c r="C45" s="2" t="s">
        <x:v>972</x:v>
      </x:c>
      <x:c r="D45" s="2" t="s">
        <x:v>973</x:v>
      </x:c>
      <x:c r="E45" s="2" t="s">
        <x:v>598</x:v>
      </x:c>
      <x:c r="F45" s="2" t="s">
        <x:v>655</x:v>
      </x:c>
      <x:c r="G45" s="2" t="s">
        <x:v>974</x:v>
      </x:c>
      <x:c r="H45" s="2" t="s">
        <x:v>975</x:v>
      </x:c>
      <x:c r="I45" s="2" t="s">
        <x:v>976</x:v>
      </x:c>
      <x:c r="J45" s="2" t="s">
        <x:v>977</x:v>
      </x:c>
      <x:c r="K45" s="2">
        <x:v>6</x:v>
      </x:c>
      <x:c r="L45" s="2" t="s">
        <x:v>622</x:v>
      </x:c>
      <x:c r="M45" s="2" t="s">
        <x:v>591</x:v>
      </x:c>
      <x:c r="N45" s="2" t="s">
        <x:v>623</x:v>
      </x:c>
      <x:c r="O45" s="2">
        <x:v>1</x:v>
      </x:c>
      <x:c r="P45" s="2">
        <x:v>1</x:v>
      </x:c>
      <x:c r="Q45" s="2">
        <x:v>0</x:v>
      </x:c>
      <x:c r="R45" s="2">
        <x:v>0</x:v>
      </x:c>
      <x:c r="S45" s="2" t="s">
        <x:v>978</x:v>
      </x:c>
    </x:row>
    <x:row r="46" ht="22" customHeight="1">
      <x:c r="A46" s="2" t="s">
        <x:v>979</x:v>
      </x:c>
      <x:c r="B46" s="2" t="s">
        <x:v>980</x:v>
      </x:c>
      <x:c r="C46" s="2" t="s">
        <x:v>981</x:v>
      </x:c>
      <x:c r="D46" s="2" t="s">
        <x:v>982</x:v>
      </x:c>
      <x:c r="E46" s="2" t="s">
        <x:v>889</x:v>
      </x:c>
      <x:c r="F46" s="2" t="s">
        <x:v>828</x:v>
      </x:c>
      <x:c r="G46" s="2" t="s">
        <x:v>983</x:v>
      </x:c>
      <x:c r="H46" s="2" t="s">
        <x:v>984</x:v>
      </x:c>
      <x:c r="I46" s="2" t="s">
        <x:v>985</x:v>
      </x:c>
      <x:c r="J46" s="2" t="s">
        <x:v>986</x:v>
      </x:c>
      <x:c r="K46" s="2">
        <x:v>5</x:v>
      </x:c>
      <x:c r="L46" s="2" t="s">
        <x:v>622</x:v>
      </x:c>
      <x:c r="M46" s="2" t="s">
        <x:v>591</x:v>
      </x:c>
      <x:c r="N46" s="2" t="s">
        <x:v>623</x:v>
      </x:c>
      <x:c r="O46" s="2">
        <x:v>1</x:v>
      </x:c>
      <x:c r="P46" s="2">
        <x:v>0</x:v>
      </x:c>
      <x:c r="Q46" s="2">
        <x:v>0</x:v>
      </x:c>
      <x:c r="R46" s="2">
        <x:v>0</x:v>
      </x:c>
      <x:c r="S46" s="2" t="s">
        <x:v>987</x:v>
      </x:c>
    </x:row>
    <x:row r="47" ht="22" customHeight="1">
      <x:c r="A47" s="2" t="s">
        <x:v>988</x:v>
      </x:c>
      <x:c r="B47" s="2" t="s">
        <x:v>989</x:v>
      </x:c>
      <x:c r="C47" s="2" t="s">
        <x:v>990</x:v>
      </x:c>
      <x:c r="D47" s="2" t="s">
        <x:v>991</x:v>
      </x:c>
      <x:c r="E47" s="2" t="s">
        <x:v>598</x:v>
      </x:c>
      <x:c r="F47" s="2" t="s">
        <x:v>992</x:v>
      </x:c>
      <x:c r="G47" s="2" t="s">
        <x:v>993</x:v>
      </x:c>
      <x:c r="H47" s="2" t="s">
        <x:v>994</x:v>
      </x:c>
      <x:c r="I47" s="2" t="s">
        <x:v>995</x:v>
      </x:c>
      <x:c r="J47" s="2" t="s">
        <x:v>996</x:v>
      </x:c>
      <x:c r="K47" s="2">
        <x:v>7</x:v>
      </x:c>
      <x:c r="L47" s="2" t="s">
        <x:v>641</x:v>
      </x:c>
      <x:c r="M47" s="2" t="s">
        <x:v>591</x:v>
      </x:c>
      <x:c r="N47" s="2" t="s">
        <x:v>623</x:v>
      </x:c>
      <x:c r="O47" s="2">
        <x:v>1</x:v>
      </x:c>
      <x:c r="P47" s="2">
        <x:v>1</x:v>
      </x:c>
      <x:c r="Q47" s="2">
        <x:v>0</x:v>
      </x:c>
      <x:c r="R47" s="2">
        <x:v>0</x:v>
      </x:c>
      <x:c r="S47" s="2" t="s">
        <x:v>997</x:v>
      </x:c>
    </x:row>
    <x:row r="48" ht="22" customHeight="1">
      <x:c r="A48" s="2" t="s">
        <x:v>998</x:v>
      </x:c>
      <x:c r="B48" s="2" t="s">
        <x:v>999</x:v>
      </x:c>
      <x:c r="C48" s="2" t="s">
        <x:v>1000</x:v>
      </x:c>
      <x:c r="D48" s="2" t="s">
        <x:v>1001</x:v>
      </x:c>
      <x:c r="E48" s="2" t="s">
        <x:v>598</x:v>
      </x:c>
      <x:c r="F48" s="2" t="s">
        <x:v>1002</x:v>
      </x:c>
      <x:c r="G48" s="2" t="s">
        <x:v>1003</x:v>
      </x:c>
      <x:c r="H48" s="2" t="s">
        <x:v>1004</x:v>
      </x:c>
      <x:c r="I48" s="2" t="s">
        <x:v>1005</x:v>
      </x:c>
      <x:c r="J48" s="2" t="s">
        <x:v>1006</x:v>
      </x:c>
      <x:c r="K48" s="2">
        <x:v>7</x:v>
      </x:c>
      <x:c r="L48" s="2" t="s">
        <x:v>641</x:v>
      </x:c>
      <x:c r="M48" s="2" t="s">
        <x:v>591</x:v>
      </x:c>
      <x:c r="N48" s="2" t="s">
        <x:v>623</x:v>
      </x:c>
      <x:c r="O48" s="2">
        <x:v>1</x:v>
      </x:c>
      <x:c r="P48" s="2">
        <x:v>1</x:v>
      </x:c>
      <x:c r="Q48" s="2">
        <x:v>0</x:v>
      </x:c>
      <x:c r="R48" s="2">
        <x:v>1</x:v>
      </x:c>
      <x:c r="S48" s="2" t="s">
        <x:v>1007</x:v>
      </x:c>
    </x:row>
    <x:row r="49" ht="22" customHeight="1">
      <x:c r="A49" s="2" t="s">
        <x:v>1008</x:v>
      </x:c>
      <x:c r="B49" s="2" t="s">
        <x:v>1009</x:v>
      </x:c>
      <x:c r="C49" s="2" t="s">
        <x:v>1010</x:v>
      </x:c>
      <x:c r="D49" s="2" t="s">
        <x:v>954</x:v>
      </x:c>
      <x:c r="E49" s="2" t="s">
        <x:v>1011</x:v>
      </x:c>
      <x:c r="F49" s="2" t="s">
        <x:v>1012</x:v>
      </x:c>
      <x:c r="G49" s="2" t="s">
        <x:v>1013</x:v>
      </x:c>
      <x:c r="H49" s="2" t="s">
        <x:v>1014</x:v>
      </x:c>
      <x:c r="I49" s="2" t="s">
        <x:v>1015</x:v>
      </x:c>
      <x:c r="J49" s="2" t="s">
        <x:v>1016</x:v>
      </x:c>
      <x:c r="K49" s="2">
        <x:v>10</x:v>
      </x:c>
      <x:c r="L49" s="2" t="s">
        <x:v>641</x:v>
      </x:c>
      <x:c r="M49" s="2" t="s">
        <x:v>591</x:v>
      </x:c>
      <x:c r="N49" s="2" t="s">
        <x:v>623</x:v>
      </x:c>
      <x:c r="O49" s="2">
        <x:v>1</x:v>
      </x:c>
      <x:c r="P49" s="2">
        <x:v>0</x:v>
      </x:c>
      <x:c r="Q49" s="2">
        <x:v>0</x:v>
      </x:c>
      <x:c r="R49" s="2">
        <x:v>0</x:v>
      </x:c>
      <x:c r="S49" s="2" t="s">
        <x:v>1017</x:v>
      </x:c>
    </x:row>
    <x:row r="50" ht="22" customHeight="1">
      <x:c r="A50" s="2" t="s">
        <x:v>1018</x:v>
      </x:c>
      <x:c r="B50" s="2" t="s">
        <x:v>1019</x:v>
      </x:c>
      <x:c r="C50" s="2" t="s">
        <x:v>1020</x:v>
      </x:c>
      <x:c r="D50" s="2" t="s">
        <x:v>964</x:v>
      </x:c>
      <x:c r="E50" s="2" t="s">
        <x:v>889</x:v>
      </x:c>
      <x:c r="F50" s="2" t="s">
        <x:v>645</x:v>
      </x:c>
      <x:c r="G50" s="2" t="s">
        <x:v>1021</x:v>
      </x:c>
      <x:c r="H50" s="2" t="s">
        <x:v>1022</x:v>
      </x:c>
      <x:c r="I50" s="2" t="s">
        <x:v>1023</x:v>
      </x:c>
      <x:c r="J50" s="2" t="s">
        <x:v>1024</x:v>
      </x:c>
      <x:c r="K50" s="2">
        <x:v>6</x:v>
      </x:c>
      <x:c r="L50" s="2" t="s">
        <x:v>622</x:v>
      </x:c>
      <x:c r="M50" s="2" t="s">
        <x:v>591</x:v>
      </x:c>
      <x:c r="N50" s="2" t="s">
        <x:v>623</x:v>
      </x:c>
      <x:c r="O50" s="2">
        <x:v>1</x:v>
      </x:c>
      <x:c r="P50" s="2">
        <x:v>0</x:v>
      </x:c>
      <x:c r="Q50" s="2">
        <x:v>0</x:v>
      </x:c>
      <x:c r="R50" s="2">
        <x:v>0</x:v>
      </x:c>
      <x:c r="S50" s="2" t="s">
        <x:v>1025</x:v>
      </x:c>
    </x:row>
    <x:row r="51" ht="22" customHeight="1">
      <x:c r="A51" s="2" t="s">
        <x:v>1026</x:v>
      </x:c>
      <x:c r="B51" s="2" t="s">
        <x:v>1027</x:v>
      </x:c>
      <x:c r="C51" s="2" t="s">
        <x:v>1028</x:v>
      </x:c>
      <x:c r="D51" s="2" t="s">
        <x:v>973</x:v>
      </x:c>
      <x:c r="E51" s="2" t="s">
        <x:v>598</x:v>
      </x:c>
      <x:c r="F51" s="2" t="s">
        <x:v>655</x:v>
      </x:c>
      <x:c r="G51" s="2" t="s">
        <x:v>974</x:v>
      </x:c>
      <x:c r="H51" s="2" t="s">
        <x:v>1029</x:v>
      </x:c>
      <x:c r="I51" s="2" t="s">
        <x:v>1030</x:v>
      </x:c>
      <x:c r="J51" s="2" t="s">
        <x:v>1031</x:v>
      </x:c>
      <x:c r="K51" s="2">
        <x:v>6</x:v>
      </x:c>
      <x:c r="L51" s="2" t="s">
        <x:v>622</x:v>
      </x:c>
      <x:c r="M51" s="2" t="s">
        <x:v>591</x:v>
      </x:c>
      <x:c r="N51" s="2" t="s">
        <x:v>623</x:v>
      </x:c>
      <x:c r="O51" s="2">
        <x:v>1</x:v>
      </x:c>
      <x:c r="P51" s="2">
        <x:v>1</x:v>
      </x:c>
      <x:c r="Q51" s="2">
        <x:v>0</x:v>
      </x:c>
      <x:c r="R51" s="2">
        <x:v>0</x:v>
      </x:c>
      <x:c r="S51" s="2" t="s">
        <x:v>1032</x:v>
      </x:c>
    </x:row>
    <x:row r="52" ht="22" customHeight="1">
      <x:c r="A52" s="2" t="s">
        <x:v>1033</x:v>
      </x:c>
      <x:c r="B52" s="2" t="s">
        <x:v>1034</x:v>
      </x:c>
      <x:c r="C52" s="2" t="s">
        <x:v>1035</x:v>
      </x:c>
      <x:c r="D52" s="2" t="s">
        <x:v>982</x:v>
      </x:c>
      <x:c r="E52" s="2" t="s">
        <x:v>598</x:v>
      </x:c>
      <x:c r="F52" s="2" t="s">
        <x:v>828</x:v>
      </x:c>
      <x:c r="G52" s="2" t="s">
        <x:v>1036</x:v>
      </x:c>
      <x:c r="H52" s="2" t="s">
        <x:v>1037</x:v>
      </x:c>
      <x:c r="I52" s="2" t="s">
        <x:v>1038</x:v>
      </x:c>
      <x:c r="J52" s="2" t="s">
        <x:v>1039</x:v>
      </x:c>
      <x:c r="K52" s="2">
        <x:v>7</x:v>
      </x:c>
      <x:c r="L52" s="2" t="s">
        <x:v>641</x:v>
      </x:c>
      <x:c r="M52" s="2" t="s">
        <x:v>591</x:v>
      </x:c>
      <x:c r="N52" s="2" t="s">
        <x:v>623</x:v>
      </x:c>
      <x:c r="O52" s="2">
        <x:v>1</x:v>
      </x:c>
      <x:c r="P52" s="2">
        <x:v>1</x:v>
      </x:c>
      <x:c r="Q52" s="2">
        <x:v>0</x:v>
      </x:c>
      <x:c r="R52" s="2">
        <x:v>0</x:v>
      </x:c>
      <x:c r="S52" s="2" t="s">
        <x:v>1040</x:v>
      </x:c>
    </x:row>
    <x:row r="53" ht="22" customHeight="1">
      <x:c r="A53" s="2" t="s">
        <x:v>1041</x:v>
      </x:c>
      <x:c r="B53" s="2" t="s">
        <x:v>1042</x:v>
      </x:c>
      <x:c r="C53" s="2" t="s">
        <x:v>1043</x:v>
      </x:c>
      <x:c r="D53" s="2" t="s">
        <x:v>1044</x:v>
      </x:c>
      <x:c r="E53" s="2" t="s">
        <x:v>1045</x:v>
      </x:c>
      <x:c r="F53" s="2" t="s">
        <x:v>1046</x:v>
      </x:c>
      <x:c r="G53" s="2" t="s">
        <x:v>1047</x:v>
      </x:c>
      <x:c r="H53" s="2" t="s">
        <x:v>1048</x:v>
      </x:c>
      <x:c r="I53" s="2" t="s">
        <x:v>1049</x:v>
      </x:c>
      <x:c r="J53" s="2" t="s">
        <x:v>1050</x:v>
      </x:c>
      <x:c r="K53" s="2">
        <x:v>4</x:v>
      </x:c>
      <x:c r="L53" s="2" t="s">
        <x:v>622</x:v>
      </x:c>
      <x:c r="M53" s="2" t="s">
        <x:v>591</x:v>
      </x:c>
      <x:c r="N53" s="2" t="s">
        <x:v>623</x:v>
      </x:c>
      <x:c r="O53" s="2">
        <x:v>0</x:v>
      </x:c>
      <x:c r="P53" s="2">
        <x:v>1</x:v>
      </x:c>
      <x:c r="Q53" s="2">
        <x:v>1</x:v>
      </x:c>
      <x:c r="R53" s="2">
        <x:v>1</x:v>
      </x:c>
      <x:c r="S53" s="2" t="s">
        <x:v>1051</x:v>
      </x:c>
    </x:row>
    <x:row r="54" ht="22" customHeight="1">
      <x:c r="A54" s="2" t="s">
        <x:v>1052</x:v>
      </x:c>
      <x:c r="B54" s="2" t="s">
        <x:v>1053</x:v>
      </x:c>
      <x:c r="C54" s="2" t="s">
        <x:v>1054</x:v>
      </x:c>
      <x:c r="D54" s="2" t="s">
        <x:v>1055</x:v>
      </x:c>
      <x:c r="E54" s="2" t="s">
        <x:v>1056</x:v>
      </x:c>
      <x:c r="F54" s="2" t="s">
        <x:v>1046</x:v>
      </x:c>
      <x:c r="G54" s="2" t="s">
        <x:v>1057</x:v>
      </x:c>
      <x:c r="H54" s="2" t="s">
        <x:v>1058</x:v>
      </x:c>
      <x:c r="I54" s="2" t="s">
        <x:v>1059</x:v>
      </x:c>
      <x:c r="J54" s="2" t="s">
        <x:v>1060</x:v>
      </x:c>
      <x:c r="K54" s="2">
        <x:v>5</x:v>
      </x:c>
      <x:c r="L54" s="2" t="s">
        <x:v>622</x:v>
      </x:c>
      <x:c r="M54" s="2" t="s">
        <x:v>591</x:v>
      </x:c>
      <x:c r="N54" s="2" t="s">
        <x:v>623</x:v>
      </x:c>
      <x:c r="O54" s="2">
        <x:v>0</x:v>
      </x:c>
      <x:c r="P54" s="2">
        <x:v>1</x:v>
      </x:c>
      <x:c r="Q54" s="2">
        <x:v>1</x:v>
      </x:c>
      <x:c r="R54" s="2">
        <x:v>1</x:v>
      </x:c>
      <x:c r="S54" s="2" t="s">
        <x:v>1061</x:v>
      </x:c>
    </x:row>
    <x:row r="55" ht="22" customHeight="1">
      <x:c r="A55" s="2" t="s">
        <x:v>1062</x:v>
      </x:c>
      <x:c r="B55" s="2" t="s">
        <x:v>1063</x:v>
      </x:c>
      <x:c r="C55" s="2" t="s">
        <x:v>1064</x:v>
      </x:c>
      <x:c r="D55" s="2" t="s">
        <x:v>1065</x:v>
      </x:c>
      <x:c r="E55" s="2" t="s">
        <x:v>1056</x:v>
      </x:c>
      <x:c r="F55" s="2" t="s">
        <x:v>1066</x:v>
      </x:c>
      <x:c r="G55" s="2" t="s">
        <x:v>1067</x:v>
      </x:c>
      <x:c r="H55" s="2" t="s">
        <x:v>1068</x:v>
      </x:c>
      <x:c r="I55" s="2" t="s">
        <x:v>1069</x:v>
      </x:c>
      <x:c r="J55" s="2" t="s">
        <x:v>1070</x:v>
      </x:c>
      <x:c r="K55" s="2">
        <x:v>5</x:v>
      </x:c>
      <x:c r="L55" s="2" t="s">
        <x:v>622</x:v>
      </x:c>
      <x:c r="M55" s="2" t="s">
        <x:v>591</x:v>
      </x:c>
      <x:c r="N55" s="2" t="s">
        <x:v>592</x:v>
      </x:c>
      <x:c r="O55" s="2">
        <x:v>0</x:v>
      </x:c>
      <x:c r="P55" s="2">
        <x:v>1</x:v>
      </x:c>
      <x:c r="Q55" s="2">
        <x:v>1</x:v>
      </x:c>
      <x:c r="R55" s="2">
        <x:v>1</x:v>
      </x:c>
      <x:c r="S55" s="2" t="s">
        <x:v>1071</x:v>
      </x:c>
    </x:row>
    <x:row r="56" ht="22" customHeight="1">
      <x:c r="A56" s="2" t="s">
        <x:v>1072</x:v>
      </x:c>
      <x:c r="B56" s="2" t="s">
        <x:v>1073</x:v>
      </x:c>
      <x:c r="C56" s="2" t="s">
        <x:v>1074</x:v>
      </x:c>
      <x:c r="D56" s="2" t="s">
        <x:v>1065</x:v>
      </x:c>
      <x:c r="E56" s="2" t="s">
        <x:v>1075</x:v>
      </x:c>
      <x:c r="F56" s="2" t="s">
        <x:v>1066</x:v>
      </x:c>
      <x:c r="G56" s="2" t="s">
        <x:v>1076</x:v>
      </x:c>
      <x:c r="H56" s="2" t="s">
        <x:v>1077</x:v>
      </x:c>
      <x:c r="I56" s="2" t="s">
        <x:v>1078</x:v>
      </x:c>
      <x:c r="J56" s="2" t="s">
        <x:v>1079</x:v>
      </x:c>
      <x:c r="K56" s="2">
        <x:v>6</x:v>
      </x:c>
      <x:c r="L56" s="2" t="s">
        <x:v>622</x:v>
      </x:c>
      <x:c r="M56" s="2" t="s">
        <x:v>591</x:v>
      </x:c>
      <x:c r="N56" s="2" t="s">
        <x:v>623</x:v>
      </x:c>
      <x:c r="O56" s="2">
        <x:v>0</x:v>
      </x:c>
      <x:c r="P56" s="2">
        <x:v>0</x:v>
      </x:c>
      <x:c r="Q56" s="2">
        <x:v>1</x:v>
      </x:c>
      <x:c r="R56" s="2">
        <x:v>1</x:v>
      </x:c>
      <x:c r="S56" s="2" t="s">
        <x:v>1080</x:v>
      </x:c>
    </x:row>
    <x:row r="57" ht="22" customHeight="1">
      <x:c r="A57" s="2" t="s">
        <x:v>1081</x:v>
      </x:c>
      <x:c r="B57" s="2" t="s">
        <x:v>1082</x:v>
      </x:c>
      <x:c r="C57" s="2" t="s">
        <x:v>1083</x:v>
      </x:c>
      <x:c r="D57" s="2" t="s">
        <x:v>1084</x:v>
      </x:c>
      <x:c r="E57" s="2" t="s">
        <x:v>945</x:v>
      </x:c>
      <x:c r="F57" s="2" t="s">
        <x:v>899</x:v>
      </x:c>
      <x:c r="G57" s="2" t="s">
        <x:v>1085</x:v>
      </x:c>
      <x:c r="H57" s="2" t="s">
        <x:v>1086</x:v>
      </x:c>
      <x:c r="I57" s="2" t="s">
        <x:v>1087</x:v>
      </x:c>
      <x:c r="J57" s="2" t="s">
        <x:v>1088</x:v>
      </x:c>
      <x:c r="K57" s="2">
        <x:v>6</x:v>
      </x:c>
      <x:c r="L57" s="2" t="s">
        <x:v>622</x:v>
      </x:c>
      <x:c r="M57" s="2" t="s">
        <x:v>591</x:v>
      </x:c>
      <x:c r="N57" s="2" t="s">
        <x:v>623</x:v>
      </x:c>
      <x:c r="O57" s="2">
        <x:v>0</x:v>
      </x:c>
      <x:c r="P57" s="2">
        <x:v>1</x:v>
      </x:c>
      <x:c r="Q57" s="2">
        <x:v>1</x:v>
      </x:c>
      <x:c r="R57" s="2">
        <x:v>1</x:v>
      </x:c>
      <x:c r="S57" s="2" t="s">
        <x:v>1089</x:v>
      </x:c>
    </x:row>
    <x:row r="58" ht="22" customHeight="1">
      <x:c r="A58" s="2" t="s">
        <x:v>1090</x:v>
      </x:c>
      <x:c r="B58" s="2" t="s">
        <x:v>1091</x:v>
      </x:c>
      <x:c r="C58" s="2" t="s">
        <x:v>1092</x:v>
      </x:c>
      <x:c r="D58" s="2" t="s">
        <x:v>1093</x:v>
      </x:c>
      <x:c r="E58" s="2" t="s">
        <x:v>1075</x:v>
      </x:c>
      <x:c r="F58" s="2" t="s">
        <x:v>645</x:v>
      </x:c>
      <x:c r="G58" s="2" t="s">
        <x:v>1094</x:v>
      </x:c>
      <x:c r="H58" s="2" t="s">
        <x:v>1095</x:v>
      </x:c>
      <x:c r="I58" s="2" t="s">
        <x:v>1096</x:v>
      </x:c>
      <x:c r="J58" s="2" t="s">
        <x:v>1097</x:v>
      </x:c>
      <x:c r="K58" s="2">
        <x:v>7</x:v>
      </x:c>
      <x:c r="L58" s="2" t="s">
        <x:v>641</x:v>
      </x:c>
      <x:c r="M58" s="2" t="s">
        <x:v>591</x:v>
      </x:c>
      <x:c r="N58" s="2" t="s">
        <x:v>623</x:v>
      </x:c>
      <x:c r="O58" s="2">
        <x:v>0</x:v>
      </x:c>
      <x:c r="P58" s="2">
        <x:v>0</x:v>
      </x:c>
      <x:c r="Q58" s="2">
        <x:v>1</x:v>
      </x:c>
      <x:c r="R58" s="2">
        <x:v>1</x:v>
      </x:c>
      <x:c r="S58" s="2" t="s">
        <x:v>842</x:v>
      </x:c>
    </x:row>
    <x:row r="59" ht="22" customHeight="1">
      <x:c r="A59" s="2" t="s">
        <x:v>1098</x:v>
      </x:c>
      <x:c r="B59" s="2" t="s">
        <x:v>1099</x:v>
      </x:c>
      <x:c r="C59" s="2" t="s">
        <x:v>1100</x:v>
      </x:c>
      <x:c r="D59" s="2" t="s">
        <x:v>1101</x:v>
      </x:c>
      <x:c r="E59" s="2" t="s">
        <x:v>1075</x:v>
      </x:c>
      <x:c r="F59" s="2" t="s">
        <x:v>1046</x:v>
      </x:c>
      <x:c r="G59" s="2" t="s">
        <x:v>1102</x:v>
      </x:c>
      <x:c r="H59" s="2" t="s">
        <x:v>1103</x:v>
      </x:c>
      <x:c r="I59" s="2" t="s">
        <x:v>1104</x:v>
      </x:c>
      <x:c r="J59" s="2" t="s">
        <x:v>1105</x:v>
      </x:c>
      <x:c r="K59" s="2">
        <x:v>5</x:v>
      </x:c>
      <x:c r="L59" s="2" t="s">
        <x:v>622</x:v>
      </x:c>
      <x:c r="M59" s="2" t="s">
        <x:v>591</x:v>
      </x:c>
      <x:c r="N59" s="2" t="s">
        <x:v>623</x:v>
      </x:c>
      <x:c r="O59" s="2">
        <x:v>0</x:v>
      </x:c>
      <x:c r="P59" s="2">
        <x:v>0</x:v>
      </x:c>
      <x:c r="Q59" s="2">
        <x:v>1</x:v>
      </x:c>
      <x:c r="R59" s="2">
        <x:v>1</x:v>
      </x:c>
      <x:c r="S59" s="2" t="s">
        <x:v>1106</x:v>
      </x:c>
    </x:row>
    <x:row r="60" ht="22" customHeight="1">
      <x:c r="A60" s="2" t="s">
        <x:v>1107</x:v>
      </x:c>
      <x:c r="B60" s="2" t="s">
        <x:v>1108</x:v>
      </x:c>
      <x:c r="C60" s="2" t="s">
        <x:v>1109</x:v>
      </x:c>
      <x:c r="D60" s="2" t="s">
        <x:v>1110</x:v>
      </x:c>
      <x:c r="E60" s="2" t="s">
        <x:v>1111</x:v>
      </x:c>
      <x:c r="F60" s="2" t="s">
        <x:v>1046</x:v>
      </x:c>
      <x:c r="G60" s="2" t="s">
        <x:v>1112</x:v>
      </x:c>
      <x:c r="H60" s="2" t="s">
        <x:v>1113</x:v>
      </x:c>
      <x:c r="I60" s="2" t="s">
        <x:v>1114</x:v>
      </x:c>
      <x:c r="J60" s="2" t="s">
        <x:v>1115</x:v>
      </x:c>
      <x:c r="K60" s="2">
        <x:v>6</x:v>
      </x:c>
      <x:c r="L60" s="2" t="s">
        <x:v>622</x:v>
      </x:c>
      <x:c r="M60" s="2" t="s">
        <x:v>591</x:v>
      </x:c>
      <x:c r="N60" s="2" t="s">
        <x:v>623</x:v>
      </x:c>
      <x:c r="O60" s="2">
        <x:v>0</x:v>
      </x:c>
      <x:c r="P60" s="2">
        <x:v>0</x:v>
      </x:c>
      <x:c r="Q60" s="2">
        <x:v>1</x:v>
      </x:c>
      <x:c r="R60" s="2">
        <x:v>1</x:v>
      </x:c>
      <x:c r="S60" s="2" t="s">
        <x:v>1116</x:v>
      </x:c>
    </x:row>
    <x:row r="61" ht="22" customHeight="1">
      <x:c r="A61" s="2" t="s">
        <x:v>1117</x:v>
      </x:c>
      <x:c r="B61" s="2" t="s">
        <x:v>1118</x:v>
      </x:c>
      <x:c r="C61" s="2" t="s">
        <x:v>1119</x:v>
      </x:c>
      <x:c r="D61" s="2" t="s">
        <x:v>1120</x:v>
      </x:c>
      <x:c r="E61" s="2" t="s">
        <x:v>1111</x:v>
      </x:c>
      <x:c r="F61" s="2" t="s">
        <x:v>711</x:v>
      </x:c>
      <x:c r="G61" s="2" t="s">
        <x:v>1121</x:v>
      </x:c>
      <x:c r="H61" s="2" t="s">
        <x:v>1122</x:v>
      </x:c>
      <x:c r="I61" s="2" t="s">
        <x:v>1123</x:v>
      </x:c>
      <x:c r="J61" s="2" t="s">
        <x:v>1124</x:v>
      </x:c>
      <x:c r="K61" s="2">
        <x:v>8</x:v>
      </x:c>
      <x:c r="L61" s="2" t="s">
        <x:v>641</x:v>
      </x:c>
      <x:c r="M61" s="2" t="s">
        <x:v>591</x:v>
      </x:c>
      <x:c r="N61" s="2" t="s">
        <x:v>623</x:v>
      </x:c>
      <x:c r="O61" s="2">
        <x:v>0</x:v>
      </x:c>
      <x:c r="P61" s="2">
        <x:v>0</x:v>
      </x:c>
      <x:c r="Q61" s="2">
        <x:v>1</x:v>
      </x:c>
      <x:c r="R61" s="2">
        <x:v>1</x:v>
      </x:c>
      <x:c r="S61" s="2" t="s">
        <x:v>1125</x:v>
      </x:c>
    </x:row>
    <x:row r="62" ht="22" customHeight="1">
      <x:c r="A62" s="2" t="s">
        <x:v>1126</x:v>
      </x:c>
      <x:c r="B62" s="2" t="s">
        <x:v>1127</x:v>
      </x:c>
      <x:c r="C62" s="2" t="s">
        <x:v>1128</x:v>
      </x:c>
      <x:c r="D62" s="2" t="s">
        <x:v>1129</x:v>
      </x:c>
      <x:c r="E62" s="2" t="s">
        <x:v>1130</x:v>
      </x:c>
      <x:c r="F62" s="2" t="s">
        <x:v>1046</x:v>
      </x:c>
      <x:c r="G62" s="2" t="s">
        <x:v>1131</x:v>
      </x:c>
      <x:c r="H62" s="2" t="s">
        <x:v>1132</x:v>
      </x:c>
      <x:c r="I62" s="2" t="s">
        <x:v>1133</x:v>
      </x:c>
      <x:c r="J62" s="2" t="s">
        <x:v>1134</x:v>
      </x:c>
      <x:c r="K62" s="2">
        <x:v>6</x:v>
      </x:c>
      <x:c r="L62" s="2" t="s">
        <x:v>622</x:v>
      </x:c>
      <x:c r="M62" s="2" t="s">
        <x:v>591</x:v>
      </x:c>
      <x:c r="N62" s="2" t="s">
        <x:v>623</x:v>
      </x:c>
      <x:c r="O62" s="2">
        <x:v>0</x:v>
      </x:c>
      <x:c r="P62" s="2">
        <x:v>1</x:v>
      </x:c>
      <x:c r="Q62" s="2">
        <x:v>1</x:v>
      </x:c>
      <x:c r="R62" s="2">
        <x:v>1</x:v>
      </x:c>
      <x:c r="S62" s="2" t="s">
        <x:v>1135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100000381469727"/>
  <x:cols>
    <x:col min="1" max="1" width="18" customWidth="1"/>
    <x:col min="2" max="2" width="14" customWidth="1"/>
    <x:col min="3" max="3" width="18" customWidth="1"/>
    <x:col min="4" max="4" width="14" customWidth="1"/>
    <x:col min="5" max="5" width="10" customWidth="1"/>
    <x:col min="6" max="6" width="18" customWidth="1"/>
    <x:col min="7" max="7" width="32" customWidth="1"/>
    <x:col min="8" max="9" width="18" customWidth="1"/>
    <x:col min="10" max="11" width="14" customWidth="1"/>
    <x:col min="12" max="15" width="18" customWidth="1"/>
    <x:col min="16" max="17" width="14" customWidth="1"/>
    <x:col min="18" max="18" width="10" customWidth="1"/>
    <x:col min="19" max="20" width="14" customWidth="1"/>
    <x:col min="21" max="21" width="32" customWidth="1"/>
  </x:cols>
  <x:sheetData>
    <x:row r="1" ht="28" customHeight="1">
      <x:c r="A1" s="1" t="s">
        <x:v>1136</x:v>
      </x:c>
      <x:c r="B1" s="1" t="s">
        <x:v>1137</x:v>
      </x:c>
      <x:c r="C1" s="1" t="s">
        <x:v>1138</x:v>
      </x:c>
      <x:c r="D1" s="1" t="s">
        <x:v>1139</x:v>
      </x:c>
      <x:c r="E1" s="1" t="s">
        <x:v>1140</x:v>
      </x:c>
      <x:c r="F1" s="1" t="s">
        <x:v>1141</x:v>
      </x:c>
      <x:c r="G1" s="1" t="s">
        <x:v>1142</x:v>
      </x:c>
      <x:c r="H1" s="1" t="s">
        <x:v>18</x:v>
      </x:c>
      <x:c r="I1" s="1" t="s">
        <x:v>509</x:v>
      </x:c>
      <x:c r="J1" s="1" t="s">
        <x:v>510</x:v>
      </x:c>
      <x:c r="K1" s="1" t="s">
        <x:v>1143</x:v>
      </x:c>
      <x:c r="L1" s="1" t="s">
        <x:v>32</x:v>
      </x:c>
      <x:c r="M1" s="1" t="s">
        <x:v>1144</x:v>
      </x:c>
      <x:c r="N1" s="1" t="s">
        <x:v>1145</x:v>
      </x:c>
      <x:c r="O1" s="1" t="s">
        <x:v>1146</x:v>
      </x:c>
      <x:c r="P1" s="1" t="s">
        <x:v>1147</x:v>
      </x:c>
      <x:c r="Q1" s="1" t="s">
        <x:v>1148</x:v>
      </x:c>
      <x:c r="R1" s="1" t="s">
        <x:v>1149</x:v>
      </x:c>
      <x:c r="S1" s="1" t="s">
        <x:v>1150</x:v>
      </x:c>
      <x:c r="T1" s="1" t="s">
        <x:v>577</x:v>
      </x:c>
      <x:c r="U1" s="1" t="s">
        <x:v>39</x:v>
      </x:c>
    </x:row>
    <x:row r="2" ht="22" customHeight="1">
      <x:c r="A2" s="2" t="s">
        <x:v>1151</x:v>
      </x:c>
      <x:c r="B2" s="2" t="s">
        <x:v>1152</x:v>
      </x:c>
      <x:c r="C2" s="2" t="s">
        <x:v>1153</x:v>
      </x:c>
      <x:c r="D2" s="2" t="s">
        <x:v>1154</x:v>
      </x:c>
      <x:c r="E2" s="2" t="s">
        <x:v>1155</x:v>
      </x:c>
      <x:c r="F2" s="2" t="s">
        <x:v>1156</x:v>
      </x:c>
      <x:c r="G2" s="2" t="s">
        <x:v>1157</x:v>
      </x:c>
      <x:c r="H2" s="2" t="s">
        <x:v>76</x:v>
      </x:c>
      <x:c r="I2" s="3" t="str">
        <x:f>IFERROR(VLOOKUP($H2,'01_宠物主表_好读版'!$A:$V,3,FALSE),"")</x:f>
        <x:v>火绒狐</x:v>
      </x:c>
      <x:c r="J2" s="3" t="str">
        <x:f>IFERROR(VLOOKUP($H2,'01_宠物主表_好读版'!$A:$V,4,FALSE),"")</x:f>
        <x:v>火</x:v>
      </x:c>
      <x:c r="K2" s="3" t="str">
        <x:f>IFERROR(VLOOKUP($H2,'01_宠物主表_好读版'!$A:$V,8,FALSE),"")</x:f>
        <x:v>输出</x:v>
      </x:c>
      <x:c r="L2" s="2" t="s">
        <x:v>522</x:v>
      </x:c>
      <x:c r="M2" s="3" t="str">
        <x:f>IFERROR(VLOOKUP($L2,'04_机制词条库_60条'!$B:$S,2,FALSE),"")</x:f>
        <x:v>无机制</x:v>
      </x:c>
      <x:c r="N2" s="2" t="s">
        <x:v>1158</x:v>
      </x:c>
      <x:c r="O2" s="2" t="s">
        <x:v>1159</x:v>
      </x:c>
      <x:c r="P2" s="2" t="s">
        <x:v>1160</x:v>
      </x:c>
      <x:c r="Q2" s="2" t="s">
        <x:v>1161</x:v>
      </x:c>
      <x:c r="R2" s="2">
        <x:v>2</x:v>
      </x:c>
      <x:c r="S2" s="2" t="s">
        <x:v>1162</x:v>
      </x:c>
      <x:c r="T2" s="2" t="s">
        <x:v>591</x:v>
      </x:c>
      <x:c r="U2" s="2" t="s">
        <x:v>1163</x:v>
      </x:c>
    </x:row>
    <x:row r="3" ht="22" customHeight="1">
      <x:c r="A3" s="2" t="s">
        <x:v>1164</x:v>
      </x:c>
      <x:c r="B3" s="2" t="s">
        <x:v>1152</x:v>
      </x:c>
      <x:c r="C3" s="2" t="s">
        <x:v>1165</x:v>
      </x:c>
      <x:c r="D3" s="2" t="s">
        <x:v>1154</x:v>
      </x:c>
      <x:c r="E3" s="2" t="s">
        <x:v>1155</x:v>
      </x:c>
      <x:c r="F3" s="2" t="s">
        <x:v>1156</x:v>
      </x:c>
      <x:c r="G3" s="2" t="s">
        <x:v>1166</x:v>
      </x:c>
      <x:c r="H3" s="2" t="s">
        <x:v>99</x:v>
      </x:c>
      <x:c r="I3" s="3" t="str">
        <x:f>IFERROR(VLOOKUP($H3,'01_宠物主表_好读版'!$A:$V,3,FALSE),"")</x:f>
        <x:v>企丸丸</x:v>
      </x:c>
      <x:c r="J3" s="3" t="str">
        <x:f>IFERROR(VLOOKUP($H3,'01_宠物主表_好读版'!$A:$V,4,FALSE),"")</x:f>
        <x:v>水</x:v>
      </x:c>
      <x:c r="K3" s="3" t="str">
        <x:f>IFERROR(VLOOKUP($H3,'01_宠物主表_好读版'!$A:$V,8,FALSE),"")</x:f>
        <x:v>治疗</x:v>
      </x:c>
      <x:c r="L3" s="2" t="s">
        <x:v>522</x:v>
      </x:c>
      <x:c r="M3" s="3" t="str">
        <x:f>IFERROR(VLOOKUP($L3,'04_机制词条库_60条'!$B:$S,2,FALSE),"")</x:f>
        <x:v>无机制</x:v>
      </x:c>
      <x:c r="N3" s="2" t="s">
        <x:v>1167</x:v>
      </x:c>
      <x:c r="O3" s="2" t="s">
        <x:v>1159</x:v>
      </x:c>
      <x:c r="P3" s="2" t="s">
        <x:v>1160</x:v>
      </x:c>
      <x:c r="Q3" s="2" t="s">
        <x:v>1168</x:v>
      </x:c>
      <x:c r="R3" s="2">
        <x:v>2</x:v>
      </x:c>
      <x:c r="S3" s="2" t="s">
        <x:v>1162</x:v>
      </x:c>
      <x:c r="T3" s="2" t="s">
        <x:v>591</x:v>
      </x:c>
      <x:c r="U3" s="2" t="s">
        <x:v>1163</x:v>
      </x:c>
    </x:row>
    <x:row r="4" ht="22" customHeight="1">
      <x:c r="A4" s="2" t="s">
        <x:v>1169</x:v>
      </x:c>
      <x:c r="B4" s="2" t="s">
        <x:v>1152</x:v>
      </x:c>
      <x:c r="C4" s="2" t="s">
        <x:v>1170</x:v>
      </x:c>
      <x:c r="D4" s="2" t="s">
        <x:v>1154</x:v>
      </x:c>
      <x:c r="E4" s="2" t="s">
        <x:v>1155</x:v>
      </x:c>
      <x:c r="F4" s="2" t="s">
        <x:v>1156</x:v>
      </x:c>
      <x:c r="G4" s="2" t="s">
        <x:v>1171</x:v>
      </x:c>
      <x:c r="H4" s="2" t="s">
        <x:v>65</x:v>
      </x:c>
      <x:c r="I4" s="3" t="str">
        <x:f>IFERROR(VLOOKUP($H4,'01_宠物主表_好读版'!$A:$V,3,FALSE),"")</x:f>
        <x:v>皮皮鸡</x:v>
      </x:c>
      <x:c r="J4" s="3" t="str">
        <x:f>IFERROR(VLOOKUP($H4,'01_宠物主表_好读版'!$A:$V,4,FALSE),"")</x:f>
        <x:v>风</x:v>
      </x:c>
      <x:c r="K4" s="3" t="str">
        <x:f>IFERROR(VLOOKUP($H4,'01_宠物主表_好读版'!$A:$V,8,FALSE),"")</x:f>
        <x:v>经济</x:v>
      </x:c>
      <x:c r="L4" s="2" t="s">
        <x:v>522</x:v>
      </x:c>
      <x:c r="M4" s="3" t="str">
        <x:f>IFERROR(VLOOKUP($L4,'04_机制词条库_60条'!$B:$S,2,FALSE),"")</x:f>
        <x:v>无机制</x:v>
      </x:c>
      <x:c r="N4" s="2" t="s">
        <x:v>1172</x:v>
      </x:c>
      <x:c r="O4" s="2" t="s">
        <x:v>1159</x:v>
      </x:c>
      <x:c r="P4" s="2" t="s">
        <x:v>1160</x:v>
      </x:c>
      <x:c r="Q4" s="2" t="s">
        <x:v>1173</x:v>
      </x:c>
      <x:c r="R4" s="2">
        <x:v>2</x:v>
      </x:c>
      <x:c r="S4" s="2" t="s">
        <x:v>1162</x:v>
      </x:c>
      <x:c r="T4" s="2" t="s">
        <x:v>591</x:v>
      </x:c>
      <x:c r="U4" s="2" t="s">
        <x:v>1163</x:v>
      </x:c>
    </x:row>
    <x:row r="5" ht="22" customHeight="1">
      <x:c r="A5" s="2" t="s">
        <x:v>1174</x:v>
      </x:c>
      <x:c r="B5" s="2" t="s">
        <x:v>1152</x:v>
      </x:c>
      <x:c r="C5" s="2" t="s">
        <x:v>1175</x:v>
      </x:c>
      <x:c r="D5" s="2" t="s">
        <x:v>1154</x:v>
      </x:c>
      <x:c r="E5" s="2" t="s">
        <x:v>1155</x:v>
      </x:c>
      <x:c r="F5" s="2" t="s">
        <x:v>1156</x:v>
      </x:c>
      <x:c r="G5" s="2" t="s">
        <x:v>1176</x:v>
      </x:c>
      <x:c r="H5" s="2" t="s">
        <x:v>139</x:v>
      </x:c>
      <x:c r="I5" s="3" t="str">
        <x:f>IFERROR(VLOOKUP($H5,'01_宠物主表_好读版'!$A:$V,3,FALSE),"")</x:f>
        <x:v>寐魔</x:v>
      </x:c>
      <x:c r="J5" s="3" t="str">
        <x:f>IFERROR(VLOOKUP($H5,'01_宠物主表_好读版'!$A:$V,4,FALSE),"")</x:f>
        <x:v>土</x:v>
      </x:c>
      <x:c r="K5" s="3" t="str">
        <x:f>IFERROR(VLOOKUP($H5,'01_宠物主表_好读版'!$A:$V,8,FALSE),"")</x:f>
        <x:v>坦克</x:v>
      </x:c>
      <x:c r="L5" s="2" t="s">
        <x:v>522</x:v>
      </x:c>
      <x:c r="M5" s="3" t="str">
        <x:f>IFERROR(VLOOKUP($L5,'04_机制词条库_60条'!$B:$S,2,FALSE),"")</x:f>
        <x:v>无机制</x:v>
      </x:c>
      <x:c r="N5" s="2" t="s">
        <x:v>1177</x:v>
      </x:c>
      <x:c r="O5" s="2" t="s">
        <x:v>1159</x:v>
      </x:c>
      <x:c r="P5" s="2" t="s">
        <x:v>1160</x:v>
      </x:c>
      <x:c r="Q5" s="2" t="s">
        <x:v>1178</x:v>
      </x:c>
      <x:c r="R5" s="2">
        <x:v>2</x:v>
      </x:c>
      <x:c r="S5" s="2" t="s">
        <x:v>1162</x:v>
      </x:c>
      <x:c r="T5" s="2" t="s">
        <x:v>591</x:v>
      </x:c>
      <x:c r="U5" s="2" t="s">
        <x:v>1163</x:v>
      </x:c>
    </x:row>
    <x:row r="6" ht="22" customHeight="1">
      <x:c r="A6" s="2" t="s">
        <x:v>1179</x:v>
      </x:c>
      <x:c r="B6" s="2" t="s">
        <x:v>1180</x:v>
      </x:c>
      <x:c r="C6" s="2" t="s">
        <x:v>1181</x:v>
      </x:c>
      <x:c r="D6" s="2" t="s">
        <x:v>1154</x:v>
      </x:c>
      <x:c r="E6" s="2" t="s">
        <x:v>1182</x:v>
      </x:c>
      <x:c r="F6" s="2" t="s">
        <x:v>1156</x:v>
      </x:c>
      <x:c r="G6" s="2" t="s">
        <x:v>1183</x:v>
      </x:c>
      <x:c r="H6" s="2" t="s">
        <x:v>318</x:v>
      </x:c>
      <x:c r="I6" s="3" t="str">
        <x:f>IFERROR(VLOOKUP($H6,'01_宠物主表_好读版'!$A:$V,3,FALSE),"")</x:f>
        <x:v>融焰娘</x:v>
      </x:c>
      <x:c r="J6" s="3" t="str">
        <x:f>IFERROR(VLOOKUP($H6,'01_宠物主表_好读版'!$A:$V,4,FALSE),"")</x:f>
        <x:v>火</x:v>
      </x:c>
      <x:c r="K6" s="3" t="str">
        <x:f>IFERROR(VLOOKUP($H6,'01_宠物主表_好读版'!$A:$V,8,FALSE),"")</x:f>
        <x:v>召唤</x:v>
      </x:c>
      <x:c r="L6" s="2" t="s">
        <x:v>522</x:v>
      </x:c>
      <x:c r="M6" s="3" t="str">
        <x:f>IFERROR(VLOOKUP($L6,'04_机制词条库_60条'!$B:$S,2,FALSE),"")</x:f>
        <x:v>无机制</x:v>
      </x:c>
      <x:c r="N6" s="2" t="s">
        <x:v>1184</x:v>
      </x:c>
      <x:c r="O6" s="2" t="s">
        <x:v>1185</x:v>
      </x:c>
      <x:c r="P6" s="2" t="s">
        <x:v>1186</x:v>
      </x:c>
      <x:c r="Q6" s="2" t="s">
        <x:v>1187</x:v>
      </x:c>
      <x:c r="R6" s="2">
        <x:v>2</x:v>
      </x:c>
      <x:c r="S6" s="2" t="s">
        <x:v>1162</x:v>
      </x:c>
      <x:c r="T6" s="2" t="s">
        <x:v>591</x:v>
      </x:c>
      <x:c r="U6" s="2" t="s">
        <x:v>1188</x:v>
      </x:c>
    </x:row>
    <x:row r="7" ht="22" customHeight="1">
      <x:c r="A7" s="2" t="s">
        <x:v>1189</x:v>
      </x:c>
      <x:c r="B7" s="2" t="s">
        <x:v>1180</x:v>
      </x:c>
      <x:c r="C7" s="2" t="s">
        <x:v>1190</x:v>
      </x:c>
      <x:c r="D7" s="2" t="s">
        <x:v>1154</x:v>
      </x:c>
      <x:c r="E7" s="2" t="s">
        <x:v>1182</x:v>
      </x:c>
      <x:c r="F7" s="2" t="s">
        <x:v>1156</x:v>
      </x:c>
      <x:c r="G7" s="2" t="s">
        <x:v>1191</x:v>
      </x:c>
      <x:c r="H7" s="2" t="s">
        <x:v>133</x:v>
      </x:c>
      <x:c r="I7" s="3" t="str">
        <x:f>IFERROR(VLOOKUP($H7,'01_宠物主表_好读版'!$A:$V,3,FALSE),"")</x:f>
        <x:v>瞅什魔</x:v>
      </x:c>
      <x:c r="J7" s="3" t="str">
        <x:f>IFERROR(VLOOKUP($H7,'01_宠物主表_好读版'!$A:$V,4,FALSE),"")</x:f>
        <x:v>土</x:v>
      </x:c>
      <x:c r="K7" s="3" t="str">
        <x:f>IFERROR(VLOOKUP($H7,'01_宠物主表_好读版'!$A:$V,8,FALSE),"")</x:f>
        <x:v>坦克</x:v>
      </x:c>
      <x:c r="L7" s="2" t="s">
        <x:v>522</x:v>
      </x:c>
      <x:c r="M7" s="3" t="str">
        <x:f>IFERROR(VLOOKUP($L7,'04_机制词条库_60条'!$B:$S,2,FALSE),"")</x:f>
        <x:v>无机制</x:v>
      </x:c>
      <x:c r="N7" s="2" t="s">
        <x:v>1192</x:v>
      </x:c>
      <x:c r="O7" s="2" t="s">
        <x:v>1193</x:v>
      </x:c>
      <x:c r="P7" s="2" t="s">
        <x:v>1186</x:v>
      </x:c>
      <x:c r="Q7" s="2" t="s">
        <x:v>1194</x:v>
      </x:c>
      <x:c r="R7" s="2">
        <x:v>2</x:v>
      </x:c>
      <x:c r="S7" s="2" t="s">
        <x:v>1162</x:v>
      </x:c>
      <x:c r="T7" s="2" t="s">
        <x:v>591</x:v>
      </x:c>
      <x:c r="U7" s="2" t="s">
        <x:v>1188</x:v>
      </x:c>
    </x:row>
    <x:row r="8" ht="22" customHeight="1">
      <x:c r="A8" s="2" t="s">
        <x:v>1195</x:v>
      </x:c>
      <x:c r="B8" s="2" t="s">
        <x:v>1196</x:v>
      </x:c>
      <x:c r="C8" s="2" t="s">
        <x:v>1197</x:v>
      </x:c>
      <x:c r="D8" s="2" t="s">
        <x:v>1154</x:v>
      </x:c>
      <x:c r="E8" s="2" t="s">
        <x:v>1155</x:v>
      </x:c>
      <x:c r="F8" s="2" t="s">
        <x:v>1156</x:v>
      </x:c>
      <x:c r="G8" s="2" t="s">
        <x:v>1198</x:v>
      </x:c>
      <x:c r="H8" s="2" t="s">
        <x:v>89</x:v>
      </x:c>
      <x:c r="I8" s="3" t="str">
        <x:f>IFERROR(VLOOKUP($H8,'01_宠物主表_好读版'!$A:$V,3,FALSE),"")</x:f>
        <x:v>伏特喵</x:v>
      </x:c>
      <x:c r="J8" s="3" t="str">
        <x:f>IFERROR(VLOOKUP($H8,'01_宠物主表_好读版'!$A:$V,4,FALSE),"")</x:f>
        <x:v>风</x:v>
      </x:c>
      <x:c r="K8" s="3" t="str">
        <x:f>IFERROR(VLOOKUP($H8,'01_宠物主表_好读版'!$A:$V,8,FALSE),"")</x:f>
        <x:v>坦克</x:v>
      </x:c>
      <x:c r="L8" s="2" t="s">
        <x:v>522</x:v>
      </x:c>
      <x:c r="M8" s="3" t="str">
        <x:f>IFERROR(VLOOKUP($L8,'04_机制词条库_60条'!$B:$S,2,FALSE),"")</x:f>
        <x:v>无机制</x:v>
      </x:c>
      <x:c r="N8" s="2" t="s">
        <x:v>1199</x:v>
      </x:c>
      <x:c r="O8" s="2" t="s">
        <x:v>1159</x:v>
      </x:c>
      <x:c r="P8" s="2" t="s">
        <x:v>587</x:v>
      </x:c>
      <x:c r="Q8" s="2" t="s">
        <x:v>1200</x:v>
      </x:c>
      <x:c r="R8" s="2">
        <x:v>1</x:v>
      </x:c>
      <x:c r="S8" s="2" t="s">
        <x:v>1162</x:v>
      </x:c>
      <x:c r="T8" s="2" t="s">
        <x:v>591</x:v>
      </x:c>
      <x:c r="U8" s="2" t="s">
        <x:v>1201</x:v>
      </x:c>
    </x:row>
    <x:row r="9" ht="22" customHeight="1">
      <x:c r="A9" s="2" t="s">
        <x:v>1202</x:v>
      </x:c>
      <x:c r="B9" s="2" t="s">
        <x:v>1196</x:v>
      </x:c>
      <x:c r="C9" s="2" t="s">
        <x:v>1203</x:v>
      </x:c>
      <x:c r="D9" s="2" t="s">
        <x:v>1154</x:v>
      </x:c>
      <x:c r="E9" s="2" t="s">
        <x:v>1155</x:v>
      </x:c>
      <x:c r="F9" s="2" t="s">
        <x:v>1156</x:v>
      </x:c>
      <x:c r="G9" s="2" t="s">
        <x:v>1204</x:v>
      </x:c>
      <x:c r="H9" s="2" t="s">
        <x:v>93</x:v>
      </x:c>
      <x:c r="I9" s="3" t="str">
        <x:f>IFERROR(VLOOKUP($H9,'01_宠物主表_好读版'!$A:$V,3,FALSE),"")</x:f>
        <x:v>新叶猿</x:v>
      </x:c>
      <x:c r="J9" s="3" t="str">
        <x:f>IFERROR(VLOOKUP($H9,'01_宠物主表_好读版'!$A:$V,4,FALSE),"")</x:f>
        <x:v>风</x:v>
      </x:c>
      <x:c r="K9" s="3" t="str">
        <x:f>IFERROR(VLOOKUP($H9,'01_宠物主表_好读版'!$A:$V,8,FALSE),"")</x:f>
        <x:v>坦克</x:v>
      </x:c>
      <x:c r="L9" s="2" t="s">
        <x:v>522</x:v>
      </x:c>
      <x:c r="M9" s="3" t="str">
        <x:f>IFERROR(VLOOKUP($L9,'04_机制词条库_60条'!$B:$S,2,FALSE),"")</x:f>
        <x:v>无机制</x:v>
      </x:c>
      <x:c r="N9" s="2" t="s">
        <x:v>1199</x:v>
      </x:c>
      <x:c r="O9" s="2" t="s">
        <x:v>1159</x:v>
      </x:c>
      <x:c r="P9" s="2" t="s">
        <x:v>1160</x:v>
      </x:c>
      <x:c r="Q9" s="2" t="s">
        <x:v>1205</x:v>
      </x:c>
      <x:c r="R9" s="2">
        <x:v>50</x:v>
      </x:c>
      <x:c r="S9" s="2" t="s">
        <x:v>1162</x:v>
      </x:c>
      <x:c r="T9" s="2" t="s">
        <x:v>591</x:v>
      </x:c>
      <x:c r="U9" s="2" t="s">
        <x:v>1206</x:v>
      </x:c>
    </x:row>
    <x:row r="10" ht="22" customHeight="1">
      <x:c r="A10" s="2" t="s">
        <x:v>1207</x:v>
      </x:c>
      <x:c r="B10" s="2" t="s">
        <x:v>1208</x:v>
      </x:c>
      <x:c r="C10" s="2" t="s">
        <x:v>1209</x:v>
      </x:c>
      <x:c r="D10" s="2" t="s">
        <x:v>1154</x:v>
      </x:c>
      <x:c r="E10" s="2" t="s">
        <x:v>1210</x:v>
      </x:c>
      <x:c r="F10" s="2" t="s">
        <x:v>1156</x:v>
      </x:c>
      <x:c r="G10" s="2" t="s">
        <x:v>1211</x:v>
      </x:c>
      <x:c r="H10" s="2" t="s">
        <x:v>96</x:v>
      </x:c>
      <x:c r="I10" s="3" t="str">
        <x:f>IFERROR(VLOOKUP($H10,'01_宠物主表_好读版'!$A:$V,3,FALSE),"")</x:f>
        <x:v>燎火鹿</x:v>
      </x:c>
      <x:c r="J10" s="3" t="str">
        <x:f>IFERROR(VLOOKUP($H10,'01_宠物主表_好读版'!$A:$V,4,FALSE),"")</x:f>
        <x:v>火</x:v>
      </x:c>
      <x:c r="K10" s="3" t="str">
        <x:f>IFERROR(VLOOKUP($H10,'01_宠物主表_好读版'!$A:$V,8,FALSE),"")</x:f>
        <x:v>输出</x:v>
      </x:c>
      <x:c r="L10" s="2" t="s">
        <x:v>522</x:v>
      </x:c>
      <x:c r="M10" s="3" t="str">
        <x:f>IFERROR(VLOOKUP($L10,'04_机制词条库_60条'!$B:$S,2,FALSE),"")</x:f>
        <x:v>无机制</x:v>
      </x:c>
      <x:c r="N10" s="2" t="s">
        <x:v>1212</x:v>
      </x:c>
      <x:c r="O10" s="2" t="s">
        <x:v>1213</x:v>
      </x:c>
      <x:c r="P10" s="2" t="s">
        <x:v>1214</x:v>
      </x:c>
      <x:c r="Q10" s="2" t="s">
        <x:v>1215</x:v>
      </x:c>
      <x:c r="R10" s="2">
        <x:v>1</x:v>
      </x:c>
      <x:c r="S10" s="2" t="s">
        <x:v>1162</x:v>
      </x:c>
      <x:c r="T10" s="2" t="s">
        <x:v>623</x:v>
      </x:c>
      <x:c r="U10" s="2" t="s">
        <x:v>1216</x:v>
      </x:c>
    </x:row>
    <x:row r="11" ht="22" customHeight="1">
      <x:c r="A11" s="2" t="s">
        <x:v>1217</x:v>
      </x:c>
      <x:c r="B11" s="2" t="s">
        <x:v>1208</x:v>
      </x:c>
      <x:c r="C11" s="2" t="s">
        <x:v>1218</x:v>
      </x:c>
      <x:c r="D11" s="2" t="s">
        <x:v>1154</x:v>
      </x:c>
      <x:c r="E11" s="2" t="s">
        <x:v>1219</x:v>
      </x:c>
      <x:c r="F11" s="2" t="s">
        <x:v>1156</x:v>
      </x:c>
      <x:c r="G11" s="2" t="s">
        <x:v>1220</x:v>
      </x:c>
      <x:c r="H11" s="2" t="s">
        <x:v>99</x:v>
      </x:c>
      <x:c r="I11" s="3" t="str">
        <x:f>IFERROR(VLOOKUP($H11,'01_宠物主表_好读版'!$A:$V,3,FALSE),"")</x:f>
        <x:v>企丸丸</x:v>
      </x:c>
      <x:c r="J11" s="3" t="str">
        <x:f>IFERROR(VLOOKUP($H11,'01_宠物主表_好读版'!$A:$V,4,FALSE),"")</x:f>
        <x:v>水</x:v>
      </x:c>
      <x:c r="K11" s="3" t="str">
        <x:f>IFERROR(VLOOKUP($H11,'01_宠物主表_好读版'!$A:$V,8,FALSE),"")</x:f>
        <x:v>治疗</x:v>
      </x:c>
      <x:c r="L11" s="2" t="s">
        <x:v>522</x:v>
      </x:c>
      <x:c r="M11" s="3" t="str">
        <x:f>IFERROR(VLOOKUP($L11,'04_机制词条库_60条'!$B:$S,2,FALSE),"")</x:f>
        <x:v>无机制</x:v>
      </x:c>
      <x:c r="N11" s="2" t="s">
        <x:v>1212</x:v>
      </x:c>
      <x:c r="O11" s="2" t="s">
        <x:v>1221</x:v>
      </x:c>
      <x:c r="P11" s="2" t="s">
        <x:v>1222</x:v>
      </x:c>
      <x:c r="Q11" s="2" t="s">
        <x:v>1223</x:v>
      </x:c>
      <x:c r="R11" s="2">
        <x:v>1</x:v>
      </x:c>
      <x:c r="S11" s="2" t="s">
        <x:v>1162</x:v>
      </x:c>
      <x:c r="T11" s="2" t="s">
        <x:v>623</x:v>
      </x:c>
      <x:c r="U11" s="2" t="s">
        <x:v>1224</x:v>
      </x:c>
    </x:row>
    <x:row r="12" ht="22" customHeight="1">
      <x:c r="A12" s="2" t="s">
        <x:v>1225</x:v>
      </x:c>
      <x:c r="B12" s="2" t="s">
        <x:v>1226</x:v>
      </x:c>
      <x:c r="C12" s="2" t="s">
        <x:v>1227</x:v>
      </x:c>
      <x:c r="D12" s="2" t="s">
        <x:v>1228</x:v>
      </x:c>
      <x:c r="E12" s="2" t="s">
        <x:v>1155</x:v>
      </x:c>
      <x:c r="F12" s="2" t="s">
        <x:v>1156</x:v>
      </x:c>
      <x:c r="G12" s="2" t="s">
        <x:v>1229</x:v>
      </x:c>
      <x:c r="H12" s="2" t="s">
        <x:v>103</x:v>
      </x:c>
      <x:c r="I12" s="3" t="str">
        <x:f>IFERROR(VLOOKUP($H12,'01_宠物主表_好读版'!$A:$V,3,FALSE),"")</x:f>
        <x:v>企丸王</x:v>
      </x:c>
      <x:c r="J12" s="3" t="str">
        <x:f>IFERROR(VLOOKUP($H12,'01_宠物主表_好读版'!$A:$V,4,FALSE),"")</x:f>
        <x:v>水</x:v>
      </x:c>
      <x:c r="K12" s="3" t="str">
        <x:f>IFERROR(VLOOKUP($H12,'01_宠物主表_好读版'!$A:$V,8,FALSE),"")</x:f>
        <x:v>治疗</x:v>
      </x:c>
      <x:c r="L12" s="2" t="s">
        <x:v>522</x:v>
      </x:c>
      <x:c r="M12" s="3" t="str">
        <x:f>IFERROR(VLOOKUP($L12,'04_机制词条库_60条'!$B:$S,2,FALSE),"")</x:f>
        <x:v>无机制</x:v>
      </x:c>
      <x:c r="N12" s="2" t="s">
        <x:v>1199</x:v>
      </x:c>
      <x:c r="O12" s="2" t="s">
        <x:v>1230</x:v>
      </x:c>
      <x:c r="P12" s="2" t="s">
        <x:v>1102</x:v>
      </x:c>
      <x:c r="Q12" s="2" t="s">
        <x:v>1231</x:v>
      </x:c>
      <x:c r="R12" s="2">
        <x:v>130</x:v>
      </x:c>
      <x:c r="S12" s="2" t="s">
        <x:v>1232</x:v>
      </x:c>
      <x:c r="T12" s="2" t="s">
        <x:v>591</x:v>
      </x:c>
      <x:c r="U12" s="2" t="s">
        <x:v>1233</x:v>
      </x:c>
    </x:row>
    <x:row r="13" ht="22" customHeight="1">
      <x:c r="A13" s="2" t="s">
        <x:v>1234</x:v>
      </x:c>
      <x:c r="B13" s="2" t="s">
        <x:v>1235</x:v>
      </x:c>
      <x:c r="C13" s="2" t="s">
        <x:v>1236</x:v>
      </x:c>
      <x:c r="D13" s="2" t="s">
        <x:v>1228</x:v>
      </x:c>
      <x:c r="E13" s="2" t="s">
        <x:v>1155</x:v>
      </x:c>
      <x:c r="F13" s="2" t="s">
        <x:v>1156</x:v>
      </x:c>
      <x:c r="G13" s="2" t="s">
        <x:v>1237</x:v>
      </x:c>
      <x:c r="H13" s="2" t="s">
        <x:v>107</x:v>
      </x:c>
      <x:c r="I13" s="3" t="str">
        <x:f>IFERROR(VLOOKUP($H13,'01_宠物主表_好读版'!$A:$V,3,FALSE),"")</x:f>
        <x:v>电棘鼠</x:v>
      </x:c>
      <x:c r="J13" s="3" t="str">
        <x:f>IFERROR(VLOOKUP($H13,'01_宠物主表_好读版'!$A:$V,4,FALSE),"")</x:f>
        <x:v>风</x:v>
      </x:c>
      <x:c r="K13" s="3" t="str">
        <x:f>IFERROR(VLOOKUP($H13,'01_宠物主表_好读版'!$A:$V,8,FALSE),"")</x:f>
        <x:v>控制</x:v>
      </x:c>
      <x:c r="L13" s="2" t="s">
        <x:v>522</x:v>
      </x:c>
      <x:c r="M13" s="3" t="str">
        <x:f>IFERROR(VLOOKUP($L13,'04_机制词条库_60条'!$B:$S,2,FALSE),"")</x:f>
        <x:v>无机制</x:v>
      </x:c>
      <x:c r="N13" s="2" t="s">
        <x:v>1199</x:v>
      </x:c>
      <x:c r="O13" s="2" t="s">
        <x:v>1238</x:v>
      </x:c>
      <x:c r="P13" s="2" t="s">
        <x:v>1239</x:v>
      </x:c>
      <x:c r="Q13" s="2" t="s">
        <x:v>1240</x:v>
      </x:c>
      <x:c r="R13" s="2">
        <x:v>90</x:v>
      </x:c>
      <x:c r="S13" s="2" t="s">
        <x:v>1232</x:v>
      </x:c>
      <x:c r="T13" s="2" t="s">
        <x:v>591</x:v>
      </x:c>
      <x:c r="U13" s="2" t="s">
        <x:v>1241</x:v>
      </x:c>
    </x:row>
    <x:row r="14" ht="22" customHeight="1">
      <x:c r="A14" s="2" t="s">
        <x:v>1242</x:v>
      </x:c>
      <x:c r="B14" s="2" t="s">
        <x:v>1243</x:v>
      </x:c>
      <x:c r="C14" s="2" t="s">
        <x:v>1244</x:v>
      </x:c>
      <x:c r="D14" s="2" t="s">
        <x:v>1154</x:v>
      </x:c>
      <x:c r="E14" s="2" t="s">
        <x:v>1210</x:v>
      </x:c>
      <x:c r="F14" s="2" t="s">
        <x:v>1156</x:v>
      </x:c>
      <x:c r="G14" s="2" t="s">
        <x:v>1245</x:v>
      </x:c>
      <x:c r="H14" s="2" t="s">
        <x:v>117</x:v>
      </x:c>
      <x:c r="I14" s="3" t="str">
        <x:f>IFERROR(VLOOKUP($H14,'01_宠物主表_好读版'!$A:$V,3,FALSE),"")</x:f>
        <x:v>叶泥泥</x:v>
      </x:c>
      <x:c r="J14" s="3" t="str">
        <x:f>IFERROR(VLOOKUP($H14,'01_宠物主表_好读版'!$A:$V,4,FALSE),"")</x:f>
        <x:v>土</x:v>
      </x:c>
      <x:c r="K14" s="3" t="str">
        <x:f>IFERROR(VLOOKUP($H14,'01_宠物主表_好读版'!$A:$V,8,FALSE),"")</x:f>
        <x:v>坦克</x:v>
      </x:c>
      <x:c r="L14" s="2" t="s">
        <x:v>522</x:v>
      </x:c>
      <x:c r="M14" s="3" t="str">
        <x:f>IFERROR(VLOOKUP($L14,'04_机制词条库_60条'!$B:$S,2,FALSE),"")</x:f>
        <x:v>无机制</x:v>
      </x:c>
      <x:c r="N14" s="2" t="s">
        <x:v>1158</x:v>
      </x:c>
      <x:c r="O14" s="2" t="s">
        <x:v>1246</x:v>
      </x:c>
      <x:c r="P14" s="2" t="s">
        <x:v>1186</x:v>
      </x:c>
      <x:c r="Q14" s="2" t="s">
        <x:v>1247</x:v>
      </x:c>
      <x:c r="R14" s="2">
        <x:v>1</x:v>
      </x:c>
      <x:c r="S14" s="2" t="s">
        <x:v>1248</x:v>
      </x:c>
      <x:c r="T14" s="2" t="s">
        <x:v>623</x:v>
      </x:c>
      <x:c r="U14" s="2" t="s">
        <x:v>1249</x:v>
      </x:c>
    </x:row>
    <x:row r="15" ht="22" customHeight="1">
      <x:c r="A15" s="2" t="s">
        <x:v>1250</x:v>
      </x:c>
      <x:c r="B15" s="2" t="s">
        <x:v>1251</x:v>
      </x:c>
      <x:c r="C15" s="2" t="s">
        <x:v>1252</x:v>
      </x:c>
      <x:c r="D15" s="2" t="s">
        <x:v>1253</x:v>
      </x:c>
      <x:c r="E15" s="2" t="s">
        <x:v>1182</x:v>
      </x:c>
      <x:c r="F15" s="2" t="s">
        <x:v>1156</x:v>
      </x:c>
      <x:c r="G15" s="2" t="s">
        <x:v>1254</x:v>
      </x:c>
      <x:c r="H15" s="2" t="s">
        <x:v>123</x:v>
      </x:c>
      <x:c r="I15" s="3" t="str">
        <x:f>IFERROR(VLOOKUP($H15,'01_宠物主表_好读版'!$A:$V,3,FALSE),"")</x:f>
        <x:v>玉藻狐</x:v>
      </x:c>
      <x:c r="J15" s="3" t="str">
        <x:f>IFERROR(VLOOKUP($H15,'01_宠物主表_好读版'!$A:$V,4,FALSE),"")</x:f>
        <x:v>风</x:v>
      </x:c>
      <x:c r="K15" s="3" t="str">
        <x:f>IFERROR(VLOOKUP($H15,'01_宠物主表_好读版'!$A:$V,8,FALSE),"")</x:f>
        <x:v>经济</x:v>
      </x:c>
      <x:c r="L15" s="2" t="s">
        <x:v>522</x:v>
      </x:c>
      <x:c r="M15" s="3" t="str">
        <x:f>IFERROR(VLOOKUP($L15,'04_机制词条库_60条'!$B:$S,2,FALSE),"")</x:f>
        <x:v>无机制</x:v>
      </x:c>
      <x:c r="N15" s="2" t="s">
        <x:v>1192</x:v>
      </x:c>
      <x:c r="O15" s="2" t="s">
        <x:v>1193</x:v>
      </x:c>
      <x:c r="P15" s="2" t="s">
        <x:v>1186</x:v>
      </x:c>
      <x:c r="Q15" s="2" t="s">
        <x:v>1255</x:v>
      </x:c>
      <x:c r="R15" s="2">
        <x:v>2</x:v>
      </x:c>
      <x:c r="S15" s="2" t="s">
        <x:v>1248</x:v>
      </x:c>
      <x:c r="T15" s="2" t="s">
        <x:v>591</x:v>
      </x:c>
      <x:c r="U15" s="2" t="s">
        <x:v>1256</x:v>
      </x:c>
    </x:row>
    <x:row r="16" ht="22" customHeight="1">
      <x:c r="A16" s="2" t="s">
        <x:v>1257</x:v>
      </x:c>
      <x:c r="B16" s="2" t="s">
        <x:v>1258</x:v>
      </x:c>
      <x:c r="C16" s="2" t="s">
        <x:v>1259</x:v>
      </x:c>
      <x:c r="D16" s="2" t="s">
        <x:v>1260</x:v>
      </x:c>
      <x:c r="E16" s="2" t="s">
        <x:v>1210</x:v>
      </x:c>
      <x:c r="F16" s="2" t="s">
        <x:v>1156</x:v>
      </x:c>
      <x:c r="G16" s="2" t="s">
        <x:v>1261</x:v>
      </x:c>
      <x:c r="H16" s="2" t="s">
        <x:v>126</x:v>
      </x:c>
      <x:c r="I16" s="3" t="str">
        <x:f>IFERROR(VLOOKUP($H16,'01_宠物主表_好读版'!$A:$V,3,FALSE),"")</x:f>
        <x:v>啼卡尔</x:v>
      </x:c>
      <x:c r="J16" s="3" t="str">
        <x:f>IFERROR(VLOOKUP($H16,'01_宠物主表_好读版'!$A:$V,4,FALSE),"")</x:f>
        <x:v>土</x:v>
      </x:c>
      <x:c r="K16" s="3" t="str">
        <x:f>IFERROR(VLOOKUP($H16,'01_宠物主表_好读版'!$A:$V,8,FALSE),"")</x:f>
        <x:v>坦克</x:v>
      </x:c>
      <x:c r="L16" s="2" t="s">
        <x:v>522</x:v>
      </x:c>
      <x:c r="M16" s="3" t="str">
        <x:f>IFERROR(VLOOKUP($L16,'04_机制词条库_60条'!$B:$S,2,FALSE),"")</x:f>
        <x:v>无机制</x:v>
      </x:c>
      <x:c r="N16" s="2" t="s">
        <x:v>1199</x:v>
      </x:c>
      <x:c r="O16" s="2" t="s">
        <x:v>1262</x:v>
      </x:c>
      <x:c r="P16" s="2" t="s">
        <x:v>1263</x:v>
      </x:c>
      <x:c r="Q16" s="2" t="s">
        <x:v>1264</x:v>
      </x:c>
      <x:c r="R16" s="2">
        <x:v>4</x:v>
      </x:c>
      <x:c r="S16" s="2" t="s">
        <x:v>1265</x:v>
      </x:c>
      <x:c r="T16" s="2" t="s">
        <x:v>623</x:v>
      </x:c>
      <x:c r="U16" s="2" t="s">
        <x:v>1266</x:v>
      </x:c>
    </x:row>
    <x:row r="17" ht="22" customHeight="1">
      <x:c r="A17" s="2" t="s">
        <x:v>1267</x:v>
      </x:c>
      <x:c r="B17" s="2" t="s">
        <x:v>1268</x:v>
      </x:c>
      <x:c r="C17" s="2" t="s">
        <x:v>1269</x:v>
      </x:c>
      <x:c r="D17" s="2" t="s">
        <x:v>1228</x:v>
      </x:c>
      <x:c r="E17" s="2" t="s">
        <x:v>1270</x:v>
      </x:c>
      <x:c r="F17" s="2" t="s">
        <x:v>1156</x:v>
      </x:c>
      <x:c r="G17" s="2" t="s">
        <x:v>1271</x:v>
      </x:c>
      <x:c r="H17" s="2" t="s">
        <x:v>130</x:v>
      </x:c>
      <x:c r="I17" s="3" t="str">
        <x:f>IFERROR(VLOOKUP($H17,'01_宠物主表_好读版'!$A:$V,3,FALSE),"")</x:f>
        <x:v>壶小象</x:v>
      </x:c>
      <x:c r="J17" s="3" t="str">
        <x:f>IFERROR(VLOOKUP($H17,'01_宠物主表_好读版'!$A:$V,4,FALSE),"")</x:f>
        <x:v>水</x:v>
      </x:c>
      <x:c r="K17" s="3" t="str">
        <x:f>IFERROR(VLOOKUP($H17,'01_宠物主表_好读版'!$A:$V,8,FALSE),"")</x:f>
        <x:v>治疗</x:v>
      </x:c>
      <x:c r="L17" s="2" t="s">
        <x:v>522</x:v>
      </x:c>
      <x:c r="M17" s="3" t="str">
        <x:f>IFERROR(VLOOKUP($L17,'04_机制词条库_60条'!$B:$S,2,FALSE),"")</x:f>
        <x:v>无机制</x:v>
      </x:c>
      <x:c r="N17" s="2" t="s">
        <x:v>1272</x:v>
      </x:c>
      <x:c r="O17" s="2" t="s">
        <x:v>1273</x:v>
      </x:c>
      <x:c r="P17" s="2" t="s">
        <x:v>1274</x:v>
      </x:c>
      <x:c r="Q17" s="2" t="s">
        <x:v>1275</x:v>
      </x:c>
      <x:c r="R17" s="2">
        <x:v>1</x:v>
      </x:c>
      <x:c r="S17" s="2" t="s">
        <x:v>1232</x:v>
      </x:c>
      <x:c r="T17" s="2" t="s">
        <x:v>623</x:v>
      </x:c>
      <x:c r="U17" s="2" t="s">
        <x:v>1276</x:v>
      </x:c>
    </x:row>
    <x:row r="18" ht="22" customHeight="1">
      <x:c r="A18" s="2" t="s">
        <x:v>1277</x:v>
      </x:c>
      <x:c r="B18" s="2" t="s">
        <x:v>1278</x:v>
      </x:c>
      <x:c r="C18" s="2" t="s">
        <x:v>1279</x:v>
      </x:c>
      <x:c r="D18" s="2" t="s">
        <x:v>1260</x:v>
      </x:c>
      <x:c r="E18" s="2" t="s">
        <x:v>1155</x:v>
      </x:c>
      <x:c r="F18" s="2" t="s">
        <x:v>1156</x:v>
      </x:c>
      <x:c r="G18" s="2" t="s">
        <x:v>1280</x:v>
      </x:c>
      <x:c r="H18" s="2" t="s">
        <x:v>133</x:v>
      </x:c>
      <x:c r="I18" s="3" t="str">
        <x:f>IFERROR(VLOOKUP($H18,'01_宠物主表_好读版'!$A:$V,3,FALSE),"")</x:f>
        <x:v>瞅什魔</x:v>
      </x:c>
      <x:c r="J18" s="3" t="str">
        <x:f>IFERROR(VLOOKUP($H18,'01_宠物主表_好读版'!$A:$V,4,FALSE),"")</x:f>
        <x:v>土</x:v>
      </x:c>
      <x:c r="K18" s="3" t="str">
        <x:f>IFERROR(VLOOKUP($H18,'01_宠物主表_好读版'!$A:$V,8,FALSE),"")</x:f>
        <x:v>坦克</x:v>
      </x:c>
      <x:c r="L18" s="2" t="s">
        <x:v>522</x:v>
      </x:c>
      <x:c r="M18" s="3" t="str">
        <x:f>IFERROR(VLOOKUP($L18,'04_机制词条库_60条'!$B:$S,2,FALSE),"")</x:f>
        <x:v>无机制</x:v>
      </x:c>
      <x:c r="N18" s="2" t="s">
        <x:v>1167</x:v>
      </x:c>
      <x:c r="O18" s="2" t="s">
        <x:v>1213</x:v>
      </x:c>
      <x:c r="P18" s="2" t="s">
        <x:v>1160</x:v>
      </x:c>
      <x:c r="Q18" s="2" t="s">
        <x:v>1281</x:v>
      </x:c>
      <x:c r="R18" s="2">
        <x:v>2</x:v>
      </x:c>
      <x:c r="S18" s="2" t="s">
        <x:v>1265</x:v>
      </x:c>
      <x:c r="T18" s="2" t="s">
        <x:v>623</x:v>
      </x:c>
      <x:c r="U18" s="2" t="s">
        <x:v>1282</x:v>
      </x:c>
    </x:row>
    <x:row r="19" ht="22" customHeight="1">
      <x:c r="A19" s="2" t="s">
        <x:v>1283</x:v>
      </x:c>
      <x:c r="B19" s="2" t="s">
        <x:v>1278</x:v>
      </x:c>
      <x:c r="C19" s="2" t="s">
        <x:v>1284</x:v>
      </x:c>
      <x:c r="D19" s="2" t="s">
        <x:v>1260</x:v>
      </x:c>
      <x:c r="E19" s="2" t="s">
        <x:v>1155</x:v>
      </x:c>
      <x:c r="F19" s="2" t="s">
        <x:v>1156</x:v>
      </x:c>
      <x:c r="G19" s="2" t="s">
        <x:v>1285</x:v>
      </x:c>
      <x:c r="H19" s="2" t="s">
        <x:v>136</x:v>
      </x:c>
      <x:c r="I19" s="3" t="str">
        <x:f>IFERROR(VLOOKUP($H19,'01_宠物主表_好读版'!$A:$V,3,FALSE),"")</x:f>
        <x:v>米露菲</x:v>
      </x:c>
      <x:c r="J19" s="3" t="str">
        <x:f>IFERROR(VLOOKUP($H19,'01_宠物主表_好读版'!$A:$V,4,FALSE),"")</x:f>
        <x:v>风</x:v>
      </x:c>
      <x:c r="K19" s="3" t="str">
        <x:f>IFERROR(VLOOKUP($H19,'01_宠物主表_好读版'!$A:$V,8,FALSE),"")</x:f>
        <x:v>经济</x:v>
      </x:c>
      <x:c r="L19" s="2" t="s">
        <x:v>522</x:v>
      </x:c>
      <x:c r="M19" s="3" t="str">
        <x:f>IFERROR(VLOOKUP($L19,'04_机制词条库_60条'!$B:$S,2,FALSE),"")</x:f>
        <x:v>无机制</x:v>
      </x:c>
      <x:c r="N19" s="2" t="s">
        <x:v>1158</x:v>
      </x:c>
      <x:c r="O19" s="2" t="s">
        <x:v>1221</x:v>
      </x:c>
      <x:c r="P19" s="2" t="s">
        <x:v>1160</x:v>
      </x:c>
      <x:c r="Q19" s="2" t="s">
        <x:v>1286</x:v>
      </x:c>
      <x:c r="R19" s="2">
        <x:v>3</x:v>
      </x:c>
      <x:c r="S19" s="2" t="s">
        <x:v>1265</x:v>
      </x:c>
      <x:c r="T19" s="2" t="s">
        <x:v>623</x:v>
      </x:c>
      <x:c r="U19" s="2" t="s">
        <x:v>1282</x:v>
      </x:c>
    </x:row>
    <x:row r="20" ht="22" customHeight="1">
      <x:c r="A20" s="2" t="s">
        <x:v>1287</x:v>
      </x:c>
      <x:c r="B20" s="2" t="s">
        <x:v>1278</x:v>
      </x:c>
      <x:c r="C20" s="2" t="s">
        <x:v>1288</x:v>
      </x:c>
      <x:c r="D20" s="2" t="s">
        <x:v>1260</x:v>
      </x:c>
      <x:c r="E20" s="2" t="s">
        <x:v>1155</x:v>
      </x:c>
      <x:c r="F20" s="2" t="s">
        <x:v>1156</x:v>
      </x:c>
      <x:c r="G20" s="2" t="s">
        <x:v>1289</x:v>
      </x:c>
      <x:c r="H20" s="2" t="s">
        <x:v>139</x:v>
      </x:c>
      <x:c r="I20" s="3" t="str">
        <x:f>IFERROR(VLOOKUP($H20,'01_宠物主表_好读版'!$A:$V,3,FALSE),"")</x:f>
        <x:v>寐魔</x:v>
      </x:c>
      <x:c r="J20" s="3" t="str">
        <x:f>IFERROR(VLOOKUP($H20,'01_宠物主表_好读版'!$A:$V,4,FALSE),"")</x:f>
        <x:v>土</x:v>
      </x:c>
      <x:c r="K20" s="3" t="str">
        <x:f>IFERROR(VLOOKUP($H20,'01_宠物主表_好读版'!$A:$V,8,FALSE),"")</x:f>
        <x:v>坦克</x:v>
      </x:c>
      <x:c r="L20" s="2" t="s">
        <x:v>522</x:v>
      </x:c>
      <x:c r="M20" s="3" t="str">
        <x:f>IFERROR(VLOOKUP($L20,'04_机制词条库_60条'!$B:$S,2,FALSE),"")</x:f>
        <x:v>无机制</x:v>
      </x:c>
      <x:c r="N20" s="2" t="s">
        <x:v>1172</x:v>
      </x:c>
      <x:c r="O20" s="2" t="s">
        <x:v>1159</x:v>
      </x:c>
      <x:c r="P20" s="2" t="s">
        <x:v>1160</x:v>
      </x:c>
      <x:c r="Q20" s="2" t="s">
        <x:v>1290</x:v>
      </x:c>
      <x:c r="R20" s="2">
        <x:v>1</x:v>
      </x:c>
      <x:c r="S20" s="2" t="s">
        <x:v>1265</x:v>
      </x:c>
      <x:c r="T20" s="2" t="s">
        <x:v>623</x:v>
      </x:c>
      <x:c r="U20" s="2" t="s">
        <x:v>1282</x:v>
      </x:c>
    </x:row>
    <x:row r="21" ht="22" customHeight="1">
      <x:c r="A21" s="2" t="s">
        <x:v>1291</x:v>
      </x:c>
      <x:c r="B21" s="2" t="s">
        <x:v>1278</x:v>
      </x:c>
      <x:c r="C21" s="2" t="s">
        <x:v>1292</x:v>
      </x:c>
      <x:c r="D21" s="2" t="s">
        <x:v>1260</x:v>
      </x:c>
      <x:c r="E21" s="2" t="s">
        <x:v>1155</x:v>
      </x:c>
      <x:c r="F21" s="2" t="s">
        <x:v>1156</x:v>
      </x:c>
      <x:c r="G21" s="2" t="s">
        <x:v>1293</x:v>
      </x:c>
      <x:c r="H21" s="2" t="s">
        <x:v>142</x:v>
      </x:c>
      <x:c r="I21" s="3" t="str">
        <x:f>IFERROR(VLOOKUP($H21,'01_宠物主表_好读版'!$A:$V,3,FALSE),"")</x:f>
        <x:v>草莽猪</x:v>
      </x:c>
      <x:c r="J21" s="3" t="str">
        <x:f>IFERROR(VLOOKUP($H21,'01_宠物主表_好读版'!$A:$V,4,FALSE),"")</x:f>
        <x:v>土</x:v>
      </x:c>
      <x:c r="K21" s="3" t="str">
        <x:f>IFERROR(VLOOKUP($H21,'01_宠物主表_好读版'!$A:$V,8,FALSE),"")</x:f>
        <x:v>坦克</x:v>
      </x:c>
      <x:c r="L21" s="2" t="s">
        <x:v>522</x:v>
      </x:c>
      <x:c r="M21" s="3" t="str">
        <x:f>IFERROR(VLOOKUP($L21,'04_机制词条库_60条'!$B:$S,2,FALSE),"")</x:f>
        <x:v>无机制</x:v>
      </x:c>
      <x:c r="N21" s="2" t="s">
        <x:v>1199</x:v>
      </x:c>
      <x:c r="O21" s="2" t="s">
        <x:v>1213</x:v>
      </x:c>
      <x:c r="P21" s="2" t="s">
        <x:v>1160</x:v>
      </x:c>
      <x:c r="Q21" s="2" t="s">
        <x:v>1281</x:v>
      </x:c>
      <x:c r="R21" s="2">
        <x:v>2</x:v>
      </x:c>
      <x:c r="S21" s="2" t="s">
        <x:v>1265</x:v>
      </x:c>
      <x:c r="T21" s="2" t="s">
        <x:v>623</x:v>
      </x:c>
      <x:c r="U21" s="2" t="s">
        <x:v>1282</x:v>
      </x:c>
    </x:row>
    <x:row r="22" ht="22" customHeight="1">
      <x:c r="A22" s="2" t="s">
        <x:v>1294</x:v>
      </x:c>
      <x:c r="B22" s="2" t="s">
        <x:v>1278</x:v>
      </x:c>
      <x:c r="C22" s="2" t="s">
        <x:v>1295</x:v>
      </x:c>
      <x:c r="D22" s="2" t="s">
        <x:v>1260</x:v>
      </x:c>
      <x:c r="E22" s="2" t="s">
        <x:v>1155</x:v>
      </x:c>
      <x:c r="F22" s="2" t="s">
        <x:v>1156</x:v>
      </x:c>
      <x:c r="G22" s="2" t="s">
        <x:v>1296</x:v>
      </x:c>
      <x:c r="H22" s="2" t="s">
        <x:v>146</x:v>
      </x:c>
      <x:c r="I22" s="3" t="str">
        <x:f>IFERROR(VLOOKUP($H22,'01_宠物主表_好读版'!$A:$V,3,FALSE),"")</x:f>
        <x:v>露娜蒂</x:v>
      </x:c>
      <x:c r="J22" s="3" t="str">
        <x:f>IFERROR(VLOOKUP($H22,'01_宠物主表_好读版'!$A:$V,4,FALSE),"")</x:f>
        <x:v>土</x:v>
      </x:c>
      <x:c r="K22" s="3" t="str">
        <x:f>IFERROR(VLOOKUP($H22,'01_宠物主表_好读版'!$A:$V,8,FALSE),"")</x:f>
        <x:v>坦克</x:v>
      </x:c>
      <x:c r="L22" s="2" t="s">
        <x:v>522</x:v>
      </x:c>
      <x:c r="M22" s="3" t="str">
        <x:f>IFERROR(VLOOKUP($L22,'04_机制词条库_60条'!$B:$S,2,FALSE),"")</x:f>
        <x:v>无机制</x:v>
      </x:c>
      <x:c r="N22" s="2" t="s">
        <x:v>1184</x:v>
      </x:c>
      <x:c r="O22" s="2" t="s">
        <x:v>1221</x:v>
      </x:c>
      <x:c r="P22" s="2" t="s">
        <x:v>1160</x:v>
      </x:c>
      <x:c r="Q22" s="2" t="s">
        <x:v>1286</x:v>
      </x:c>
      <x:c r="R22" s="2">
        <x:v>3</x:v>
      </x:c>
      <x:c r="S22" s="2" t="s">
        <x:v>1265</x:v>
      </x:c>
      <x:c r="T22" s="2" t="s">
        <x:v>623</x:v>
      </x:c>
      <x:c r="U22" s="2" t="s">
        <x:v>1282</x:v>
      </x:c>
    </x:row>
    <x:row r="23" ht="22" customHeight="1">
      <x:c r="A23" s="2" t="s">
        <x:v>1297</x:v>
      </x:c>
      <x:c r="B23" s="2" t="s">
        <x:v>1278</x:v>
      </x:c>
      <x:c r="C23" s="2" t="s">
        <x:v>1298</x:v>
      </x:c>
      <x:c r="D23" s="2" t="s">
        <x:v>1260</x:v>
      </x:c>
      <x:c r="E23" s="2" t="s">
        <x:v>1155</x:v>
      </x:c>
      <x:c r="F23" s="2" t="s">
        <x:v>1156</x:v>
      </x:c>
      <x:c r="G23" s="2" t="s">
        <x:v>1299</x:v>
      </x:c>
      <x:c r="H23" s="2" t="s">
        <x:v>149</x:v>
      </x:c>
      <x:c r="I23" s="3" t="str">
        <x:f>IFERROR(VLOOKUP($H23,'01_宠物主表_好读版'!$A:$V,3,FALSE),"")</x:f>
        <x:v>遁地鼠</x:v>
      </x:c>
      <x:c r="J23" s="3" t="str">
        <x:f>IFERROR(VLOOKUP($H23,'01_宠物主表_好读版'!$A:$V,4,FALSE),"")</x:f>
        <x:v>土</x:v>
      </x:c>
      <x:c r="K23" s="3" t="str">
        <x:f>IFERROR(VLOOKUP($H23,'01_宠物主表_好读版'!$A:$V,8,FALSE),"")</x:f>
        <x:v>坦克</x:v>
      </x:c>
      <x:c r="L23" s="2" t="s">
        <x:v>522</x:v>
      </x:c>
      <x:c r="M23" s="3" t="str">
        <x:f>IFERROR(VLOOKUP($L23,'04_机制词条库_60条'!$B:$S,2,FALSE),"")</x:f>
        <x:v>无机制</x:v>
      </x:c>
      <x:c r="N23" s="2" t="s">
        <x:v>1192</x:v>
      </x:c>
      <x:c r="O23" s="2" t="s">
        <x:v>1159</x:v>
      </x:c>
      <x:c r="P23" s="2" t="s">
        <x:v>1160</x:v>
      </x:c>
      <x:c r="Q23" s="2" t="s">
        <x:v>1290</x:v>
      </x:c>
      <x:c r="R23" s="2">
        <x:v>1</x:v>
      </x:c>
      <x:c r="S23" s="2" t="s">
        <x:v>1265</x:v>
      </x:c>
      <x:c r="T23" s="2" t="s">
        <x:v>623</x:v>
      </x:c>
      <x:c r="U23" s="2" t="s">
        <x:v>1282</x:v>
      </x:c>
    </x:row>
    <x:row r="24" ht="22" customHeight="1">
      <x:c r="A24" s="2" t="s">
        <x:v>1300</x:v>
      </x:c>
      <x:c r="B24" s="2" t="s">
        <x:v>1278</x:v>
      </x:c>
      <x:c r="C24" s="2" t="s">
        <x:v>1301</x:v>
      </x:c>
      <x:c r="D24" s="2" t="s">
        <x:v>1260</x:v>
      </x:c>
      <x:c r="E24" s="2" t="s">
        <x:v>1155</x:v>
      </x:c>
      <x:c r="F24" s="2" t="s">
        <x:v>1156</x:v>
      </x:c>
      <x:c r="G24" s="2" t="s">
        <x:v>1302</x:v>
      </x:c>
      <x:c r="H24" s="2" t="s">
        <x:v>152</x:v>
      </x:c>
      <x:c r="I24" s="3" t="str">
        <x:f>IFERROR(VLOOKUP($H24,'01_宠物主表_好读版'!$A:$V,3,FALSE),"")</x:f>
        <x:v>勾魂鱿</x:v>
      </x:c>
      <x:c r="J24" s="3" t="str">
        <x:f>IFERROR(VLOOKUP($H24,'01_宠物主表_好读版'!$A:$V,4,FALSE),"")</x:f>
        <x:v>土</x:v>
      </x:c>
      <x:c r="K24" s="3" t="str">
        <x:f>IFERROR(VLOOKUP($H24,'01_宠物主表_好读版'!$A:$V,8,FALSE),"")</x:f>
        <x:v>坦克</x:v>
      </x:c>
      <x:c r="L24" s="2" t="s">
        <x:v>691</x:v>
      </x:c>
      <x:c r="M24" s="3" t="str">
        <x:f>IFERROR(VLOOKUP($L24,'04_机制词条库_60条'!$B:$S,2,FALSE),"")</x:f>
        <x:v>受击反伤</x:v>
      </x:c>
      <x:c r="N24" s="2" t="s">
        <x:v>1303</x:v>
      </x:c>
      <x:c r="O24" s="2" t="s">
        <x:v>1213</x:v>
      </x:c>
      <x:c r="P24" s="2" t="s">
        <x:v>1160</x:v>
      </x:c>
      <x:c r="Q24" s="2" t="s">
        <x:v>1281</x:v>
      </x:c>
      <x:c r="R24" s="2">
        <x:v>2</x:v>
      </x:c>
      <x:c r="S24" s="2" t="s">
        <x:v>1265</x:v>
      </x:c>
      <x:c r="T24" s="2" t="s">
        <x:v>623</x:v>
      </x:c>
      <x:c r="U24" s="2" t="s">
        <x:v>1282</x:v>
      </x:c>
    </x:row>
    <x:row r="25" ht="22" customHeight="1">
      <x:c r="A25" s="2" t="s">
        <x:v>1304</x:v>
      </x:c>
      <x:c r="B25" s="2" t="s">
        <x:v>1278</x:v>
      </x:c>
      <x:c r="C25" s="2" t="s">
        <x:v>1305</x:v>
      </x:c>
      <x:c r="D25" s="2" t="s">
        <x:v>1260</x:v>
      </x:c>
      <x:c r="E25" s="2" t="s">
        <x:v>1155</x:v>
      </x:c>
      <x:c r="F25" s="2" t="s">
        <x:v>1156</x:v>
      </x:c>
      <x:c r="G25" s="2" t="s">
        <x:v>1306</x:v>
      </x:c>
      <x:c r="H25" s="2" t="s">
        <x:v>155</x:v>
      </x:c>
      <x:c r="I25" s="3" t="str">
        <x:f>IFERROR(VLOOKUP($H25,'01_宠物主表_好读版'!$A:$V,3,FALSE),"")</x:f>
        <x:v>喵丝特</x:v>
      </x:c>
      <x:c r="J25" s="3" t="str">
        <x:f>IFERROR(VLOOKUP($H25,'01_宠物主表_好读版'!$A:$V,4,FALSE),"")</x:f>
        <x:v>土</x:v>
      </x:c>
      <x:c r="K25" s="3" t="str">
        <x:f>IFERROR(VLOOKUP($H25,'01_宠物主表_好读版'!$A:$V,8,FALSE),"")</x:f>
        <x:v>经济</x:v>
      </x:c>
      <x:c r="L25" s="2" t="s">
        <x:v>522</x:v>
      </x:c>
      <x:c r="M25" s="3" t="str">
        <x:f>IFERROR(VLOOKUP($L25,'04_机制词条库_60条'!$B:$S,2,FALSE),"")</x:f>
        <x:v>无机制</x:v>
      </x:c>
      <x:c r="N25" s="2" t="s">
        <x:v>1307</x:v>
      </x:c>
      <x:c r="O25" s="2" t="s">
        <x:v>1221</x:v>
      </x:c>
      <x:c r="P25" s="2" t="s">
        <x:v>1160</x:v>
      </x:c>
      <x:c r="Q25" s="2" t="s">
        <x:v>1286</x:v>
      </x:c>
      <x:c r="R25" s="2">
        <x:v>3</x:v>
      </x:c>
      <x:c r="S25" s="2" t="s">
        <x:v>1265</x:v>
      </x:c>
      <x:c r="T25" s="2" t="s">
        <x:v>623</x:v>
      </x:c>
      <x:c r="U25" s="2" t="s">
        <x:v>1282</x:v>
      </x:c>
    </x:row>
    <x:row r="26" ht="22" customHeight="1">
      <x:c r="A26" s="2" t="s">
        <x:v>1308</x:v>
      </x:c>
      <x:c r="B26" s="2" t="s">
        <x:v>1278</x:v>
      </x:c>
      <x:c r="C26" s="2" t="s">
        <x:v>1309</x:v>
      </x:c>
      <x:c r="D26" s="2" t="s">
        <x:v>1260</x:v>
      </x:c>
      <x:c r="E26" s="2" t="s">
        <x:v>1155</x:v>
      </x:c>
      <x:c r="F26" s="2" t="s">
        <x:v>1156</x:v>
      </x:c>
      <x:c r="G26" s="2" t="s">
        <x:v>1310</x:v>
      </x:c>
      <x:c r="H26" s="2" t="s">
        <x:v>159</x:v>
      </x:c>
      <x:c r="I26" s="3" t="str">
        <x:f>IFERROR(VLOOKUP($H26,'01_宠物主表_好读版'!$A:$V,3,FALSE),"")</x:f>
        <x:v>鲁米儿</x:v>
      </x:c>
      <x:c r="J26" s="3" t="str">
        <x:f>IFERROR(VLOOKUP($H26,'01_宠物主表_好读版'!$A:$V,4,FALSE),"")</x:f>
        <x:v>水</x:v>
      </x:c>
      <x:c r="K26" s="3" t="str">
        <x:f>IFERROR(VLOOKUP($H26,'01_宠物主表_好读版'!$A:$V,8,FALSE),"")</x:f>
        <x:v>治疗</x:v>
      </x:c>
      <x:c r="L26" s="2" t="s">
        <x:v>522</x:v>
      </x:c>
      <x:c r="M26" s="3" t="str">
        <x:f>IFERROR(VLOOKUP($L26,'04_机制词条库_60条'!$B:$S,2,FALSE),"")</x:f>
        <x:v>无机制</x:v>
      </x:c>
      <x:c r="N26" s="2" t="s">
        <x:v>1311</x:v>
      </x:c>
      <x:c r="O26" s="2" t="s">
        <x:v>1159</x:v>
      </x:c>
      <x:c r="P26" s="2" t="s">
        <x:v>1160</x:v>
      </x:c>
      <x:c r="Q26" s="2" t="s">
        <x:v>1290</x:v>
      </x:c>
      <x:c r="R26" s="2">
        <x:v>1</x:v>
      </x:c>
      <x:c r="S26" s="2" t="s">
        <x:v>1265</x:v>
      </x:c>
      <x:c r="T26" s="2" t="s">
        <x:v>623</x:v>
      </x:c>
      <x:c r="U26" s="2" t="s">
        <x:v>1282</x:v>
      </x:c>
    </x:row>
    <x:row r="27" ht="22" customHeight="1">
      <x:c r="A27" s="2" t="s">
        <x:v>1312</x:v>
      </x:c>
      <x:c r="B27" s="2" t="s">
        <x:v>1278</x:v>
      </x:c>
      <x:c r="C27" s="2" t="s">
        <x:v>1313</x:v>
      </x:c>
      <x:c r="D27" s="2" t="s">
        <x:v>1260</x:v>
      </x:c>
      <x:c r="E27" s="2" t="s">
        <x:v>1155</x:v>
      </x:c>
      <x:c r="F27" s="2" t="s">
        <x:v>1156</x:v>
      </x:c>
      <x:c r="G27" s="2" t="s">
        <x:v>1314</x:v>
      </x:c>
      <x:c r="H27" s="2" t="s">
        <x:v>162</x:v>
      </x:c>
      <x:c r="I27" s="3" t="str">
        <x:f>IFERROR(VLOOKUP($H27,'01_宠物主表_好读版'!$A:$V,3,FALSE),"")</x:f>
        <x:v>猎狼</x:v>
      </x:c>
      <x:c r="J27" s="3" t="str">
        <x:f>IFERROR(VLOOKUP($H27,'01_宠物主表_好读版'!$A:$V,4,FALSE),"")</x:f>
        <x:v>风</x:v>
      </x:c>
      <x:c r="K27" s="3" t="str">
        <x:f>IFERROR(VLOOKUP($H27,'01_宠物主表_好读版'!$A:$V,8,FALSE),"")</x:f>
        <x:v>机动</x:v>
      </x:c>
      <x:c r="L27" s="2" t="s">
        <x:v>522</x:v>
      </x:c>
      <x:c r="M27" s="3" t="str">
        <x:f>IFERROR(VLOOKUP($L27,'04_机制词条库_60条'!$B:$S,2,FALSE),"")</x:f>
        <x:v>无机制</x:v>
      </x:c>
      <x:c r="N27" s="2" t="s">
        <x:v>1315</x:v>
      </x:c>
      <x:c r="O27" s="2" t="s">
        <x:v>1213</x:v>
      </x:c>
      <x:c r="P27" s="2" t="s">
        <x:v>1160</x:v>
      </x:c>
      <x:c r="Q27" s="2" t="s">
        <x:v>1281</x:v>
      </x:c>
      <x:c r="R27" s="2">
        <x:v>2</x:v>
      </x:c>
      <x:c r="S27" s="2" t="s">
        <x:v>1265</x:v>
      </x:c>
      <x:c r="T27" s="2" t="s">
        <x:v>623</x:v>
      </x:c>
      <x:c r="U27" s="2" t="s">
        <x:v>1282</x:v>
      </x:c>
    </x:row>
    <x:row r="28" ht="22" customHeight="1">
      <x:c r="A28" s="2" t="s">
        <x:v>1316</x:v>
      </x:c>
      <x:c r="B28" s="2" t="s">
        <x:v>1278</x:v>
      </x:c>
      <x:c r="C28" s="2" t="s">
        <x:v>1317</x:v>
      </x:c>
      <x:c r="D28" s="2" t="s">
        <x:v>1260</x:v>
      </x:c>
      <x:c r="E28" s="2" t="s">
        <x:v>1155</x:v>
      </x:c>
      <x:c r="F28" s="2" t="s">
        <x:v>1156</x:v>
      </x:c>
      <x:c r="G28" s="2" t="s">
        <x:v>1318</x:v>
      </x:c>
      <x:c r="H28" s="2" t="s">
        <x:v>167</x:v>
      </x:c>
      <x:c r="I28" s="3" t="str">
        <x:f>IFERROR(VLOOKUP($H28,'01_宠物主表_好读版'!$A:$V,3,FALSE),"")</x:f>
        <x:v>炸蛋鸟</x:v>
      </x:c>
      <x:c r="J28" s="3" t="str">
        <x:f>IFERROR(VLOOKUP($H28,'01_宠物主表_好读版'!$A:$V,4,FALSE),"")</x:f>
        <x:v>风</x:v>
      </x:c>
      <x:c r="K28" s="3" t="str">
        <x:f>IFERROR(VLOOKUP($H28,'01_宠物主表_好读版'!$A:$V,8,FALSE),"")</x:f>
        <x:v>机动</x:v>
      </x:c>
      <x:c r="L28" s="2" t="s">
        <x:v>522</x:v>
      </x:c>
      <x:c r="M28" s="3" t="str">
        <x:f>IFERROR(VLOOKUP($L28,'04_机制词条库_60条'!$B:$S,2,FALSE),"")</x:f>
        <x:v>无机制</x:v>
      </x:c>
      <x:c r="N28" s="2" t="s">
        <x:v>1319</x:v>
      </x:c>
      <x:c r="O28" s="2" t="s">
        <x:v>1221</x:v>
      </x:c>
      <x:c r="P28" s="2" t="s">
        <x:v>1160</x:v>
      </x:c>
      <x:c r="Q28" s="2" t="s">
        <x:v>1286</x:v>
      </x:c>
      <x:c r="R28" s="2">
        <x:v>3</x:v>
      </x:c>
      <x:c r="S28" s="2" t="s">
        <x:v>1265</x:v>
      </x:c>
      <x:c r="T28" s="2" t="s">
        <x:v>623</x:v>
      </x:c>
      <x:c r="U28" s="2" t="s">
        <x:v>1282</x:v>
      </x:c>
    </x:row>
    <x:row r="29" ht="22" customHeight="1">
      <x:c r="A29" s="2" t="s">
        <x:v>1320</x:v>
      </x:c>
      <x:c r="B29" s="2" t="s">
        <x:v>1278</x:v>
      </x:c>
      <x:c r="C29" s="2" t="s">
        <x:v>1321</x:v>
      </x:c>
      <x:c r="D29" s="2" t="s">
        <x:v>1260</x:v>
      </x:c>
      <x:c r="E29" s="2" t="s">
        <x:v>1155</x:v>
      </x:c>
      <x:c r="F29" s="2" t="s">
        <x:v>1156</x:v>
      </x:c>
      <x:c r="G29" s="2" t="s">
        <x:v>1322</x:v>
      </x:c>
      <x:c r="H29" s="2" t="s">
        <x:v>170</x:v>
      </x:c>
      <x:c r="I29" s="3" t="str">
        <x:f>IFERROR(VLOOKUP($H29,'01_宠物主表_好读版'!$A:$V,3,FALSE),"")</x:f>
        <x:v>波娜兔</x:v>
      </x:c>
      <x:c r="J29" s="3" t="str">
        <x:f>IFERROR(VLOOKUP($H29,'01_宠物主表_好读版'!$A:$V,4,FALSE),"")</x:f>
        <x:v>风</x:v>
      </x:c>
      <x:c r="K29" s="3" t="str">
        <x:f>IFERROR(VLOOKUP($H29,'01_宠物主表_好读版'!$A:$V,8,FALSE),"")</x:f>
        <x:v>治疗</x:v>
      </x:c>
      <x:c r="L29" s="2" t="s">
        <x:v>522</x:v>
      </x:c>
      <x:c r="M29" s="3" t="str">
        <x:f>IFERROR(VLOOKUP($L29,'04_机制词条库_60条'!$B:$S,2,FALSE),"")</x:f>
        <x:v>无机制</x:v>
      </x:c>
      <x:c r="N29" s="2" t="s">
        <x:v>1323</x:v>
      </x:c>
      <x:c r="O29" s="2" t="s">
        <x:v>1159</x:v>
      </x:c>
      <x:c r="P29" s="2" t="s">
        <x:v>1160</x:v>
      </x:c>
      <x:c r="Q29" s="2" t="s">
        <x:v>1290</x:v>
      </x:c>
      <x:c r="R29" s="2">
        <x:v>1</x:v>
      </x:c>
      <x:c r="S29" s="2" t="s">
        <x:v>1265</x:v>
      </x:c>
      <x:c r="T29" s="2" t="s">
        <x:v>623</x:v>
      </x:c>
      <x:c r="U29" s="2" t="s">
        <x:v>1282</x:v>
      </x:c>
    </x:row>
    <x:row r="30" ht="22" customHeight="1">
      <x:c r="A30" s="2" t="s">
        <x:v>1324</x:v>
      </x:c>
      <x:c r="B30" s="2" t="s">
        <x:v>1278</x:v>
      </x:c>
      <x:c r="C30" s="2" t="s">
        <x:v>1325</x:v>
      </x:c>
      <x:c r="D30" s="2" t="s">
        <x:v>1260</x:v>
      </x:c>
      <x:c r="E30" s="2" t="s">
        <x:v>1155</x:v>
      </x:c>
      <x:c r="F30" s="2" t="s">
        <x:v>1156</x:v>
      </x:c>
      <x:c r="G30" s="2" t="s">
        <x:v>1326</x:v>
      </x:c>
      <x:c r="H30" s="2" t="s">
        <x:v>173</x:v>
      </x:c>
      <x:c r="I30" s="3" t="str">
        <x:f>IFERROR(VLOOKUP($H30,'01_宠物主表_好读版'!$A:$V,3,FALSE),"")</x:f>
        <x:v>波霸牛</x:v>
      </x:c>
      <x:c r="J30" s="3" t="str">
        <x:f>IFERROR(VLOOKUP($H30,'01_宠物主表_好读版'!$A:$V,4,FALSE),"")</x:f>
        <x:v>风</x:v>
      </x:c>
      <x:c r="K30" s="3" t="str">
        <x:f>IFERROR(VLOOKUP($H30,'01_宠物主表_好读版'!$A:$V,8,FALSE),"")</x:f>
        <x:v>经济</x:v>
      </x:c>
      <x:c r="L30" s="2" t="s">
        <x:v>522</x:v>
      </x:c>
      <x:c r="M30" s="3" t="str">
        <x:f>IFERROR(VLOOKUP($L30,'04_机制词条库_60条'!$B:$S,2,FALSE),"")</x:f>
        <x:v>无机制</x:v>
      </x:c>
      <x:c r="N30" s="2" t="s">
        <x:v>1327</x:v>
      </x:c>
      <x:c r="O30" s="2" t="s">
        <x:v>1213</x:v>
      </x:c>
      <x:c r="P30" s="2" t="s">
        <x:v>1160</x:v>
      </x:c>
      <x:c r="Q30" s="2" t="s">
        <x:v>1281</x:v>
      </x:c>
      <x:c r="R30" s="2">
        <x:v>2</x:v>
      </x:c>
      <x:c r="S30" s="2" t="s">
        <x:v>1265</x:v>
      </x:c>
      <x:c r="T30" s="2" t="s">
        <x:v>623</x:v>
      </x:c>
      <x:c r="U30" s="2" t="s">
        <x:v>1282</x:v>
      </x:c>
    </x:row>
    <x:row r="31" ht="22" customHeight="1">
      <x:c r="A31" s="2" t="s">
        <x:v>1328</x:v>
      </x:c>
      <x:c r="B31" s="2" t="s">
        <x:v>1278</x:v>
      </x:c>
      <x:c r="C31" s="2" t="s">
        <x:v>1329</x:v>
      </x:c>
      <x:c r="D31" s="2" t="s">
        <x:v>1260</x:v>
      </x:c>
      <x:c r="E31" s="2" t="s">
        <x:v>1155</x:v>
      </x:c>
      <x:c r="F31" s="2" t="s">
        <x:v>1156</x:v>
      </x:c>
      <x:c r="G31" s="2" t="s">
        <x:v>1330</x:v>
      </x:c>
      <x:c r="H31" s="2" t="s">
        <x:v>177</x:v>
      </x:c>
      <x:c r="I31" s="3" t="str">
        <x:f>IFERROR(VLOOKUP($H31,'01_宠物主表_好读版'!$A:$V,3,FALSE),"")</x:f>
        <x:v>荆棘魔仙</x:v>
      </x:c>
      <x:c r="J31" s="3" t="str">
        <x:f>IFERROR(VLOOKUP($H31,'01_宠物主表_好读版'!$A:$V,4,FALSE),"")</x:f>
        <x:v>风</x:v>
      </x:c>
      <x:c r="K31" s="3" t="str">
        <x:f>IFERROR(VLOOKUP($H31,'01_宠物主表_好读版'!$A:$V,8,FALSE),"")</x:f>
        <x:v>治疗</x:v>
      </x:c>
      <x:c r="L31" s="2" t="s">
        <x:v>522</x:v>
      </x:c>
      <x:c r="M31" s="3" t="str">
        <x:f>IFERROR(VLOOKUP($L31,'04_机制词条库_60条'!$B:$S,2,FALSE),"")</x:f>
        <x:v>无机制</x:v>
      </x:c>
      <x:c r="N31" s="2" t="s">
        <x:v>1331</x:v>
      </x:c>
      <x:c r="O31" s="2" t="s">
        <x:v>1221</x:v>
      </x:c>
      <x:c r="P31" s="2" t="s">
        <x:v>1160</x:v>
      </x:c>
      <x:c r="Q31" s="2" t="s">
        <x:v>1286</x:v>
      </x:c>
      <x:c r="R31" s="2">
        <x:v>3</x:v>
      </x:c>
      <x:c r="S31" s="2" t="s">
        <x:v>1265</x:v>
      </x:c>
      <x:c r="T31" s="2" t="s">
        <x:v>623</x:v>
      </x:c>
      <x:c r="U31" s="2" t="s">
        <x:v>1282</x:v>
      </x:c>
    </x:row>
    <x:row r="32" ht="22" customHeight="1">
      <x:c r="A32" s="2" t="s">
        <x:v>1332</x:v>
      </x:c>
      <x:c r="B32" s="2" t="s">
        <x:v>1278</x:v>
      </x:c>
      <x:c r="C32" s="2" t="s">
        <x:v>1333</x:v>
      </x:c>
      <x:c r="D32" s="2" t="s">
        <x:v>1260</x:v>
      </x:c>
      <x:c r="E32" s="2" t="s">
        <x:v>1155</x:v>
      </x:c>
      <x:c r="F32" s="2" t="s">
        <x:v>1156</x:v>
      </x:c>
      <x:c r="G32" s="2" t="s">
        <x:v>1334</x:v>
      </x:c>
      <x:c r="H32" s="2" t="s">
        <x:v>180</x:v>
      </x:c>
      <x:c r="I32" s="3" t="str">
        <x:f>IFERROR(VLOOKUP($H32,'01_宠物主表_好读版'!$A:$V,3,FALSE),"")</x:f>
        <x:v>鲨小子</x:v>
      </x:c>
      <x:c r="J32" s="3" t="str">
        <x:f>IFERROR(VLOOKUP($H32,'01_宠物主表_好读版'!$A:$V,4,FALSE),"")</x:f>
        <x:v>水</x:v>
      </x:c>
      <x:c r="K32" s="3" t="str">
        <x:f>IFERROR(VLOOKUP($H32,'01_宠物主表_好读版'!$A:$V,8,FALSE),"")</x:f>
        <x:v>治疗</x:v>
      </x:c>
      <x:c r="L32" s="2" t="s">
        <x:v>691</x:v>
      </x:c>
      <x:c r="M32" s="3" t="str">
        <x:f>IFERROR(VLOOKUP($L32,'04_机制词条库_60条'!$B:$S,2,FALSE),"")</x:f>
        <x:v>受击反伤</x:v>
      </x:c>
      <x:c r="N32" s="2" t="s">
        <x:v>1177</x:v>
      </x:c>
      <x:c r="O32" s="2" t="s">
        <x:v>1159</x:v>
      </x:c>
      <x:c r="P32" s="2" t="s">
        <x:v>1160</x:v>
      </x:c>
      <x:c r="Q32" s="2" t="s">
        <x:v>1290</x:v>
      </x:c>
      <x:c r="R32" s="2">
        <x:v>1</x:v>
      </x:c>
      <x:c r="S32" s="2" t="s">
        <x:v>1265</x:v>
      </x:c>
      <x:c r="T32" s="2" t="s">
        <x:v>623</x:v>
      </x:c>
      <x:c r="U32" s="2" t="s">
        <x:v>1282</x:v>
      </x:c>
    </x:row>
    <x:row r="33" ht="22" customHeight="1">
      <x:c r="A33" s="2" t="s">
        <x:v>1335</x:v>
      </x:c>
      <x:c r="B33" s="2" t="s">
        <x:v>1278</x:v>
      </x:c>
      <x:c r="C33" s="2" t="s">
        <x:v>1336</x:v>
      </x:c>
      <x:c r="D33" s="2" t="s">
        <x:v>1260</x:v>
      </x:c>
      <x:c r="E33" s="2" t="s">
        <x:v>1155</x:v>
      </x:c>
      <x:c r="F33" s="2" t="s">
        <x:v>1156</x:v>
      </x:c>
      <x:c r="G33" s="2" t="s">
        <x:v>1337</x:v>
      </x:c>
      <x:c r="H33" s="2" t="s">
        <x:v>183</x:v>
      </x:c>
      <x:c r="I33" s="3" t="str">
        <x:f>IFERROR(VLOOKUP($H33,'01_宠物主表_好读版'!$A:$V,3,FALSE),"")</x:f>
        <x:v>吊缚灵</x:v>
      </x:c>
      <x:c r="J33" s="3" t="str">
        <x:f>IFERROR(VLOOKUP($H33,'01_宠物主表_好读版'!$A:$V,4,FALSE),"")</x:f>
        <x:v>土</x:v>
      </x:c>
      <x:c r="K33" s="3" t="str">
        <x:f>IFERROR(VLOOKUP($H33,'01_宠物主表_好读版'!$A:$V,8,FALSE),"")</x:f>
        <x:v>坦克</x:v>
      </x:c>
      <x:c r="L33" s="2" t="s">
        <x:v>522</x:v>
      </x:c>
      <x:c r="M33" s="3" t="str">
        <x:f>IFERROR(VLOOKUP($L33,'04_机制词条库_60条'!$B:$S,2,FALSE),"")</x:f>
        <x:v>无机制</x:v>
      </x:c>
      <x:c r="N33" s="2" t="s">
        <x:v>1167</x:v>
      </x:c>
      <x:c r="O33" s="2" t="s">
        <x:v>1213</x:v>
      </x:c>
      <x:c r="P33" s="2" t="s">
        <x:v>1160</x:v>
      </x:c>
      <x:c r="Q33" s="2" t="s">
        <x:v>1281</x:v>
      </x:c>
      <x:c r="R33" s="2">
        <x:v>2</x:v>
      </x:c>
      <x:c r="S33" s="2" t="s">
        <x:v>1265</x:v>
      </x:c>
      <x:c r="T33" s="2" t="s">
        <x:v>623</x:v>
      </x:c>
      <x:c r="U33" s="2" t="s">
        <x:v>1282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100000381469727"/>
  <x:cols>
    <x:col min="1" max="2" width="18" customWidth="1"/>
    <x:col min="3" max="9" width="14" customWidth="1"/>
    <x:col min="10" max="10" width="18" customWidth="1"/>
    <x:col min="11" max="17" width="14" customWidth="1"/>
    <x:col min="18" max="19" width="18" customWidth="1"/>
    <x:col min="20" max="20" width="14" customWidth="1"/>
    <x:col min="21" max="21" width="32" customWidth="1"/>
  </x:cols>
  <x:sheetData>
    <x:row r="1" ht="28" customHeight="1">
      <x:c r="A1" s="1" t="s">
        <x:v>18</x:v>
      </x:c>
      <x:c r="B1" s="1" t="s">
        <x:v>509</x:v>
      </x:c>
      <x:c r="C1" s="1" t="s">
        <x:v>510</x:v>
      </x:c>
      <x:c r="D1" s="1" t="s">
        <x:v>1338</x:v>
      </x:c>
      <x:c r="E1" s="1" t="s">
        <x:v>1143</x:v>
      </x:c>
      <x:c r="F1" s="1" t="s">
        <x:v>1339</x:v>
      </x:c>
      <x:c r="G1" s="1" t="s">
        <x:v>1340</x:v>
      </x:c>
      <x:c r="H1" s="1" t="s">
        <x:v>1341</x:v>
      </x:c>
      <x:c r="I1" s="1" t="s">
        <x:v>1342</x:v>
      </x:c>
      <x:c r="J1" s="1" t="s">
        <x:v>1343</x:v>
      </x:c>
      <x:c r="K1" s="1" t="s">
        <x:v>1344</x:v>
      </x:c>
      <x:c r="L1" s="1" t="s">
        <x:v>1345</x:v>
      </x:c>
      <x:c r="M1" s="1" t="s">
        <x:v>1346</x:v>
      </x:c>
      <x:c r="N1" s="1" t="s">
        <x:v>1347</x:v>
      </x:c>
      <x:c r="O1" s="1" t="s">
        <x:v>1348</x:v>
      </x:c>
      <x:c r="P1" s="1" t="s">
        <x:v>1349</x:v>
      </x:c>
      <x:c r="Q1" s="1" t="s">
        <x:v>1350</x:v>
      </x:c>
      <x:c r="R1" s="1" t="s">
        <x:v>1351</x:v>
      </x:c>
      <x:c r="S1" s="1" t="s">
        <x:v>1352</x:v>
      </x:c>
      <x:c r="T1" s="1" t="s">
        <x:v>1353</x:v>
      </x:c>
      <x:c r="U1" s="1" t="s">
        <x:v>39</x:v>
      </x:c>
    </x:row>
    <x:row r="2" ht="22" customHeight="1">
      <x:c r="A2" s="2" t="s">
        <x:v>40</x:v>
      </x:c>
      <x:c r="B2" s="3" t="s">
        <x:v>42</x:v>
      </x:c>
      <x:c r="C2" s="3" t="s">
        <x:v>43</x:v>
      </x:c>
      <x:c r="D2" s="3" t="s">
        <x:v>45</x:v>
      </x:c>
      <x:c r="E2" s="3" t="s">
        <x:v>47</x:v>
      </x:c>
      <x:c r="F2" s="3" t="s">
        <x:v>52</x:v>
      </x:c>
      <x:c r="G2" s="2" t="s">
        <x:v>889</x:v>
      </x:c>
      <x:c r="H2" s="2" t="s">
        <x:v>1354</x:v>
      </x:c>
      <x:c r="I2" s="2">
        <x:v>1</x:v>
      </x:c>
      <x:c r="J2" s="2" t="s">
        <x:v>1355</x:v>
      </x:c>
      <x:c r="K2" s="2">
        <x:v>2</x:v>
      </x:c>
      <x:c r="L2" s="2" t="s">
        <x:v>44</x:v>
      </x:c>
      <x:c r="M2" s="2">
        <x:v>100</x:v>
      </x:c>
      <x:c r="N2" s="2">
        <x:v>100</x:v>
      </x:c>
      <x:c r="O2" s="2">
        <x:v>90</x:v>
      </x:c>
      <x:c r="P2" s="2">
        <x:v>100</x:v>
      </x:c>
      <x:c r="Q2" s="2">
        <x:v>60</x:v>
      </x:c>
      <x:c r="R2" s="3" t="s">
        <x:v>1356</x:v>
      </x:c>
      <x:c r="S2" s="3" t="s">
        <x:v>1159</x:v>
      </x:c>
      <x:c r="T2" s="2" t="s">
        <x:v>44</x:v>
      </x:c>
      <x:c r="U2" s="2" t="s">
        <x:v>44</x:v>
      </x:c>
    </x:row>
    <x:row r="3" ht="22" customHeight="1">
      <x:c r="A3" s="2" t="s">
        <x:v>54</x:v>
      </x:c>
      <x:c r="B3" s="3" t="s">
        <x:v>56</x:v>
      </x:c>
      <x:c r="C3" s="3" t="s">
        <x:v>43</x:v>
      </x:c>
      <x:c r="D3" s="3" t="s">
        <x:v>45</x:v>
      </x:c>
      <x:c r="E3" s="3" t="s">
        <x:v>57</x:v>
      </x:c>
      <x:c r="F3" s="3" t="s">
        <x:v>62</x:v>
      </x:c>
      <x:c r="G3" s="2" t="s">
        <x:v>889</x:v>
      </x:c>
      <x:c r="H3" s="2" t="s">
        <x:v>1354</x:v>
      </x:c>
      <x:c r="I3" s="2">
        <x:v>1</x:v>
      </x:c>
      <x:c r="J3" s="2" t="s">
        <x:v>1355</x:v>
      </x:c>
      <x:c r="K3" s="2">
        <x:v>2</x:v>
      </x:c>
      <x:c r="L3" s="2" t="s">
        <x:v>44</x:v>
      </x:c>
      <x:c r="M3" s="2">
        <x:v>100</x:v>
      </x:c>
      <x:c r="N3" s="2">
        <x:v>100</x:v>
      </x:c>
      <x:c r="O3" s="2">
        <x:v>90</x:v>
      </x:c>
      <x:c r="P3" s="2">
        <x:v>100</x:v>
      </x:c>
      <x:c r="Q3" s="2">
        <x:v>60</x:v>
      </x:c>
      <x:c r="R3" s="3" t="s">
        <x:v>1357</x:v>
      </x:c>
      <x:c r="S3" s="3" t="s">
        <x:v>1159</x:v>
      </x:c>
      <x:c r="T3" s="2" t="s">
        <x:v>44</x:v>
      </x:c>
      <x:c r="U3" s="2" t="s">
        <x:v>64</x:v>
      </x:c>
    </x:row>
    <x:row r="4" ht="22" customHeight="1">
      <x:c r="A4" s="2" t="s">
        <x:v>65</x:v>
      </x:c>
      <x:c r="B4" s="3" t="s">
        <x:v>67</x:v>
      </x:c>
      <x:c r="C4" s="3" t="s">
        <x:v>43</x:v>
      </x:c>
      <x:c r="D4" s="3" t="s">
        <x:v>45</x:v>
      </x:c>
      <x:c r="E4" s="3" t="s">
        <x:v>47</x:v>
      </x:c>
      <x:c r="F4" s="3" t="s">
        <x:v>52</x:v>
      </x:c>
      <x:c r="G4" s="2" t="s">
        <x:v>889</x:v>
      </x:c>
      <x:c r="H4" s="2" t="s">
        <x:v>1354</x:v>
      </x:c>
      <x:c r="I4" s="2">
        <x:v>1</x:v>
      </x:c>
      <x:c r="J4" s="2" t="s">
        <x:v>1355</x:v>
      </x:c>
      <x:c r="K4" s="2">
        <x:v>2</x:v>
      </x:c>
      <x:c r="L4" s="2" t="s">
        <x:v>44</x:v>
      </x:c>
      <x:c r="M4" s="2">
        <x:v>100</x:v>
      </x:c>
      <x:c r="N4" s="2">
        <x:v>100</x:v>
      </x:c>
      <x:c r="O4" s="2">
        <x:v>90</x:v>
      </x:c>
      <x:c r="P4" s="2">
        <x:v>100</x:v>
      </x:c>
      <x:c r="Q4" s="2">
        <x:v>60</x:v>
      </x:c>
      <x:c r="R4" s="3" t="s">
        <x:v>1356</x:v>
      </x:c>
      <x:c r="S4" s="3" t="s">
        <x:v>1159</x:v>
      </x:c>
      <x:c r="T4" s="2" t="s">
        <x:v>44</x:v>
      </x:c>
      <x:c r="U4" s="2" t="s">
        <x:v>44</x:v>
      </x:c>
    </x:row>
    <x:row r="5" ht="22" customHeight="1">
      <x:c r="A5" s="2" t="s">
        <x:v>68</x:v>
      </x:c>
      <x:c r="B5" s="3" t="s">
        <x:v>70</x:v>
      </x:c>
      <x:c r="C5" s="3" t="s">
        <x:v>43</x:v>
      </x:c>
      <x:c r="D5" s="3" t="s">
        <x:v>45</x:v>
      </x:c>
      <x:c r="E5" s="3" t="s">
        <x:v>72</x:v>
      </x:c>
      <x:c r="F5" s="3" t="s">
        <x:v>75</x:v>
      </x:c>
      <x:c r="G5" s="2" t="s">
        <x:v>889</x:v>
      </x:c>
      <x:c r="H5" s="2" t="s">
        <x:v>1354</x:v>
      </x:c>
      <x:c r="I5" s="2">
        <x:v>1</x:v>
      </x:c>
      <x:c r="J5" s="2" t="s">
        <x:v>1355</x:v>
      </x:c>
      <x:c r="K5" s="2">
        <x:v>2</x:v>
      </x:c>
      <x:c r="L5" s="2" t="s">
        <x:v>44</x:v>
      </x:c>
      <x:c r="M5" s="2">
        <x:v>100</x:v>
      </x:c>
      <x:c r="N5" s="2">
        <x:v>100</x:v>
      </x:c>
      <x:c r="O5" s="2">
        <x:v>90</x:v>
      </x:c>
      <x:c r="P5" s="2">
        <x:v>100</x:v>
      </x:c>
      <x:c r="Q5" s="2">
        <x:v>60</x:v>
      </x:c>
      <x:c r="R5" s="3" t="s">
        <x:v>1358</x:v>
      </x:c>
      <x:c r="S5" s="3" t="s">
        <x:v>1159</x:v>
      </x:c>
      <x:c r="T5" s="2" t="s">
        <x:v>44</x:v>
      </x:c>
      <x:c r="U5" s="2" t="s">
        <x:v>44</x:v>
      </x:c>
    </x:row>
    <x:row r="6" ht="22" customHeight="1">
      <x:c r="A6" s="2" t="s">
        <x:v>76</x:v>
      </x:c>
      <x:c r="B6" s="3" t="s">
        <x:v>78</x:v>
      </x:c>
      <x:c r="C6" s="3" t="s">
        <x:v>79</x:v>
      </x:c>
      <x:c r="D6" s="3" t="s">
        <x:v>45</x:v>
      </x:c>
      <x:c r="E6" s="3" t="s">
        <x:v>81</x:v>
      </x:c>
      <x:c r="F6" s="3" t="s">
        <x:v>83</x:v>
      </x:c>
      <x:c r="G6" s="2" t="s">
        <x:v>889</x:v>
      </x:c>
      <x:c r="H6" s="2" t="s">
        <x:v>1354</x:v>
      </x:c>
      <x:c r="I6" s="2">
        <x:v>1</x:v>
      </x:c>
      <x:c r="J6" s="2" t="s">
        <x:v>1355</x:v>
      </x:c>
      <x:c r="K6" s="2">
        <x:v>2</x:v>
      </x:c>
      <x:c r="L6" s="2" t="s">
        <x:v>44</x:v>
      </x:c>
      <x:c r="M6" s="2">
        <x:v>100</x:v>
      </x:c>
      <x:c r="N6" s="2">
        <x:v>100</x:v>
      </x:c>
      <x:c r="O6" s="2">
        <x:v>90</x:v>
      </x:c>
      <x:c r="P6" s="2">
        <x:v>100</x:v>
      </x:c>
      <x:c r="Q6" s="2">
        <x:v>60</x:v>
      </x:c>
      <x:c r="R6" s="3" t="s">
        <x:v>1359</x:v>
      </x:c>
      <x:c r="S6" s="3" t="s">
        <x:v>1159</x:v>
      </x:c>
      <x:c r="T6" s="2" t="s">
        <x:v>44</x:v>
      </x:c>
      <x:c r="U6" s="2" t="s">
        <x:v>44</x:v>
      </x:c>
    </x:row>
    <x:row r="7" ht="22" customHeight="1">
      <x:c r="A7" s="2" t="s">
        <x:v>84</x:v>
      </x:c>
      <x:c r="B7" s="3" t="s">
        <x:v>86</x:v>
      </x:c>
      <x:c r="C7" s="3" t="s">
        <x:v>87</x:v>
      </x:c>
      <x:c r="D7" s="3" t="s">
        <x:v>45</x:v>
      </x:c>
      <x:c r="E7" s="3" t="s">
        <x:v>72</x:v>
      </x:c>
      <x:c r="F7" s="3" t="s">
        <x:v>88</x:v>
      </x:c>
      <x:c r="G7" s="2" t="s">
        <x:v>889</x:v>
      </x:c>
      <x:c r="H7" s="2" t="s">
        <x:v>1354</x:v>
      </x:c>
      <x:c r="I7" s="2">
        <x:v>1</x:v>
      </x:c>
      <x:c r="J7" s="2" t="s">
        <x:v>1355</x:v>
      </x:c>
      <x:c r="K7" s="2">
        <x:v>2</x:v>
      </x:c>
      <x:c r="L7" s="2" t="s">
        <x:v>44</x:v>
      </x:c>
      <x:c r="M7" s="2">
        <x:v>100</x:v>
      </x:c>
      <x:c r="N7" s="2">
        <x:v>100</x:v>
      </x:c>
      <x:c r="O7" s="2">
        <x:v>90</x:v>
      </x:c>
      <x:c r="P7" s="2">
        <x:v>100</x:v>
      </x:c>
      <x:c r="Q7" s="2">
        <x:v>60</x:v>
      </x:c>
      <x:c r="R7" s="3" t="s">
        <x:v>1360</x:v>
      </x:c>
      <x:c r="S7" s="3" t="s">
        <x:v>1159</x:v>
      </x:c>
      <x:c r="T7" s="2" t="s">
        <x:v>44</x:v>
      </x:c>
      <x:c r="U7" s="2" t="s">
        <x:v>44</x:v>
      </x:c>
    </x:row>
    <x:row r="8" ht="22" customHeight="1">
      <x:c r="A8" s="2" t="s">
        <x:v>89</x:v>
      </x:c>
      <x:c r="B8" s="3" t="s">
        <x:v>91</x:v>
      </x:c>
      <x:c r="C8" s="3" t="s">
        <x:v>43</x:v>
      </x:c>
      <x:c r="D8" s="3" t="s">
        <x:v>45</x:v>
      </x:c>
      <x:c r="E8" s="3" t="s">
        <x:v>57</x:v>
      </x:c>
      <x:c r="F8" s="3" t="s">
        <x:v>62</x:v>
      </x:c>
      <x:c r="G8" s="2" t="s">
        <x:v>889</x:v>
      </x:c>
      <x:c r="H8" s="2" t="s">
        <x:v>1354</x:v>
      </x:c>
      <x:c r="I8" s="2">
        <x:v>1</x:v>
      </x:c>
      <x:c r="J8" s="2" t="s">
        <x:v>1355</x:v>
      </x:c>
      <x:c r="K8" s="2">
        <x:v>2</x:v>
      </x:c>
      <x:c r="L8" s="2" t="s">
        <x:v>44</x:v>
      </x:c>
      <x:c r="M8" s="2">
        <x:v>100</x:v>
      </x:c>
      <x:c r="N8" s="2">
        <x:v>100</x:v>
      </x:c>
      <x:c r="O8" s="2">
        <x:v>90</x:v>
      </x:c>
      <x:c r="P8" s="2">
        <x:v>100</x:v>
      </x:c>
      <x:c r="Q8" s="2">
        <x:v>60</x:v>
      </x:c>
      <x:c r="R8" s="3" t="s">
        <x:v>1357</x:v>
      </x:c>
      <x:c r="S8" s="3" t="s">
        <x:v>1159</x:v>
      </x:c>
      <x:c r="T8" s="2" t="s">
        <x:v>44</x:v>
      </x:c>
      <x:c r="U8" s="2" t="s">
        <x:v>64</x:v>
      </x:c>
    </x:row>
    <x:row r="9" ht="22" customHeight="1">
      <x:c r="A9" s="2" t="s">
        <x:v>93</x:v>
      </x:c>
      <x:c r="B9" s="3" t="s">
        <x:v>95</x:v>
      </x:c>
      <x:c r="C9" s="3" t="s">
        <x:v>43</x:v>
      </x:c>
      <x:c r="D9" s="3" t="s">
        <x:v>45</x:v>
      </x:c>
      <x:c r="E9" s="3" t="s">
        <x:v>57</x:v>
      </x:c>
      <x:c r="F9" s="3" t="s">
        <x:v>62</x:v>
      </x:c>
      <x:c r="G9" s="2" t="s">
        <x:v>889</x:v>
      </x:c>
      <x:c r="H9" s="2" t="s">
        <x:v>1354</x:v>
      </x:c>
      <x:c r="I9" s="2">
        <x:v>1</x:v>
      </x:c>
      <x:c r="J9" s="2" t="s">
        <x:v>1355</x:v>
      </x:c>
      <x:c r="K9" s="2">
        <x:v>2</x:v>
      </x:c>
      <x:c r="L9" s="2" t="s">
        <x:v>44</x:v>
      </x:c>
      <x:c r="M9" s="2">
        <x:v>100</x:v>
      </x:c>
      <x:c r="N9" s="2">
        <x:v>100</x:v>
      </x:c>
      <x:c r="O9" s="2">
        <x:v>90</x:v>
      </x:c>
      <x:c r="P9" s="2">
        <x:v>100</x:v>
      </x:c>
      <x:c r="Q9" s="2">
        <x:v>60</x:v>
      </x:c>
      <x:c r="R9" s="3" t="s">
        <x:v>1357</x:v>
      </x:c>
      <x:c r="S9" s="3" t="s">
        <x:v>1159</x:v>
      </x:c>
      <x:c r="T9" s="2" t="s">
        <x:v>44</x:v>
      </x:c>
      <x:c r="U9" s="2" t="s">
        <x:v>64</x:v>
      </x:c>
    </x:row>
    <x:row r="10" ht="22" customHeight="1">
      <x:c r="A10" s="2" t="s">
        <x:v>96</x:v>
      </x:c>
      <x:c r="B10" s="3" t="s">
        <x:v>98</x:v>
      </x:c>
      <x:c r="C10" s="3" t="s">
        <x:v>79</x:v>
      </x:c>
      <x:c r="D10" s="3" t="s">
        <x:v>45</x:v>
      </x:c>
      <x:c r="E10" s="3" t="s">
        <x:v>81</x:v>
      </x:c>
      <x:c r="F10" s="3" t="s">
        <x:v>83</x:v>
      </x:c>
      <x:c r="G10" s="2" t="s">
        <x:v>889</x:v>
      </x:c>
      <x:c r="H10" s="2" t="s">
        <x:v>1354</x:v>
      </x:c>
      <x:c r="I10" s="2">
        <x:v>1</x:v>
      </x:c>
      <x:c r="J10" s="2" t="s">
        <x:v>1355</x:v>
      </x:c>
      <x:c r="K10" s="2">
        <x:v>2</x:v>
      </x:c>
      <x:c r="L10" s="2" t="s">
        <x:v>44</x:v>
      </x:c>
      <x:c r="M10" s="2">
        <x:v>100</x:v>
      </x:c>
      <x:c r="N10" s="2">
        <x:v>100</x:v>
      </x:c>
      <x:c r="O10" s="2">
        <x:v>90</x:v>
      </x:c>
      <x:c r="P10" s="2">
        <x:v>100</x:v>
      </x:c>
      <x:c r="Q10" s="2">
        <x:v>60</x:v>
      </x:c>
      <x:c r="R10" s="3" t="s">
        <x:v>1359</x:v>
      </x:c>
      <x:c r="S10" s="3" t="s">
        <x:v>1159</x:v>
      </x:c>
      <x:c r="T10" s="2" t="s">
        <x:v>44</x:v>
      </x:c>
      <x:c r="U10" s="2" t="s">
        <x:v>44</x:v>
      </x:c>
    </x:row>
    <x:row r="11" ht="22" customHeight="1">
      <x:c r="A11" s="2" t="s">
        <x:v>99</x:v>
      </x:c>
      <x:c r="B11" s="3" t="s">
        <x:v>101</x:v>
      </x:c>
      <x:c r="C11" s="3" t="s">
        <x:v>87</x:v>
      </x:c>
      <x:c r="D11" s="3" t="s">
        <x:v>45</x:v>
      </x:c>
      <x:c r="E11" s="3" t="s">
        <x:v>72</x:v>
      </x:c>
      <x:c r="F11" s="3" t="s">
        <x:v>88</x:v>
      </x:c>
      <x:c r="G11" s="2" t="s">
        <x:v>889</x:v>
      </x:c>
      <x:c r="H11" s="2" t="s">
        <x:v>1354</x:v>
      </x:c>
      <x:c r="I11" s="2">
        <x:v>1</x:v>
      </x:c>
      <x:c r="J11" s="2" t="s">
        <x:v>1355</x:v>
      </x:c>
      <x:c r="K11" s="2">
        <x:v>2</x:v>
      </x:c>
      <x:c r="L11" s="2" t="s">
        <x:v>44</x:v>
      </x:c>
      <x:c r="M11" s="2">
        <x:v>100</x:v>
      </x:c>
      <x:c r="N11" s="2">
        <x:v>100</x:v>
      </x:c>
      <x:c r="O11" s="2">
        <x:v>90</x:v>
      </x:c>
      <x:c r="P11" s="2">
        <x:v>100</x:v>
      </x:c>
      <x:c r="Q11" s="2">
        <x:v>60</x:v>
      </x:c>
      <x:c r="R11" s="3" t="s">
        <x:v>1360</x:v>
      </x:c>
      <x:c r="S11" s="3" t="s">
        <x:v>1159</x:v>
      </x:c>
      <x:c r="T11" s="2" t="s">
        <x:v>44</x:v>
      </x:c>
      <x:c r="U11" s="2" t="s">
        <x:v>44</x:v>
      </x:c>
    </x:row>
    <x:row r="12" ht="22" customHeight="1">
      <x:c r="A12" s="2" t="s">
        <x:v>103</x:v>
      </x:c>
      <x:c r="B12" s="3" t="s">
        <x:v>105</x:v>
      </x:c>
      <x:c r="C12" s="3" t="s">
        <x:v>87</x:v>
      </x:c>
      <x:c r="D12" s="3" t="s">
        <x:v>45</x:v>
      </x:c>
      <x:c r="E12" s="3" t="s">
        <x:v>72</x:v>
      </x:c>
      <x:c r="F12" s="3" t="s">
        <x:v>88</x:v>
      </x:c>
      <x:c r="G12" s="2" t="s">
        <x:v>889</x:v>
      </x:c>
      <x:c r="H12" s="2" t="s">
        <x:v>1354</x:v>
      </x:c>
      <x:c r="I12" s="2">
        <x:v>1</x:v>
      </x:c>
      <x:c r="J12" s="2" t="s">
        <x:v>1355</x:v>
      </x:c>
      <x:c r="K12" s="2">
        <x:v>2</x:v>
      </x:c>
      <x:c r="L12" s="2" t="s">
        <x:v>44</x:v>
      </x:c>
      <x:c r="M12" s="2">
        <x:v>100</x:v>
      </x:c>
      <x:c r="N12" s="2">
        <x:v>100</x:v>
      </x:c>
      <x:c r="O12" s="2">
        <x:v>90</x:v>
      </x:c>
      <x:c r="P12" s="2">
        <x:v>100</x:v>
      </x:c>
      <x:c r="Q12" s="2">
        <x:v>60</x:v>
      </x:c>
      <x:c r="R12" s="3" t="s">
        <x:v>1360</x:v>
      </x:c>
      <x:c r="S12" s="3" t="s">
        <x:v>1159</x:v>
      </x:c>
      <x:c r="T12" s="2" t="s">
        <x:v>44</x:v>
      </x:c>
      <x:c r="U12" s="2" t="s">
        <x:v>44</x:v>
      </x:c>
    </x:row>
    <x:row r="13" ht="22" customHeight="1">
      <x:c r="A13" s="2" t="s">
        <x:v>107</x:v>
      </x:c>
      <x:c r="B13" s="3" t="s">
        <x:v>109</x:v>
      </x:c>
      <x:c r="C13" s="3" t="s">
        <x:v>43</x:v>
      </x:c>
      <x:c r="D13" s="3" t="s">
        <x:v>45</x:v>
      </x:c>
      <x:c r="E13" s="3" t="s">
        <x:v>110</x:v>
      </x:c>
      <x:c r="F13" s="3" t="s">
        <x:v>115</x:v>
      </x:c>
      <x:c r="G13" s="2" t="s">
        <x:v>889</x:v>
      </x:c>
      <x:c r="H13" s="2" t="s">
        <x:v>1354</x:v>
      </x:c>
      <x:c r="I13" s="2">
        <x:v>1</x:v>
      </x:c>
      <x:c r="J13" s="2" t="s">
        <x:v>1355</x:v>
      </x:c>
      <x:c r="K13" s="2">
        <x:v>2</x:v>
      </x:c>
      <x:c r="L13" s="2" t="s">
        <x:v>44</x:v>
      </x:c>
      <x:c r="M13" s="2">
        <x:v>100</x:v>
      </x:c>
      <x:c r="N13" s="2">
        <x:v>100</x:v>
      </x:c>
      <x:c r="O13" s="2">
        <x:v>90</x:v>
      </x:c>
      <x:c r="P13" s="2">
        <x:v>100</x:v>
      </x:c>
      <x:c r="Q13" s="2">
        <x:v>60</x:v>
      </x:c>
      <x:c r="R13" s="3" t="s">
        <x:v>1361</x:v>
      </x:c>
      <x:c r="S13" s="3" t="s">
        <x:v>1159</x:v>
      </x:c>
      <x:c r="T13" s="2" t="s">
        <x:v>44</x:v>
      </x:c>
      <x:c r="U13" s="2" t="s">
        <x:v>116</x:v>
      </x:c>
    </x:row>
    <x:row r="14" ht="22" customHeight="1">
      <x:c r="A14" s="2" t="s">
        <x:v>117</x:v>
      </x:c>
      <x:c r="B14" s="3" t="s">
        <x:v>119</x:v>
      </x:c>
      <x:c r="C14" s="3" t="s">
        <x:v>120</x:v>
      </x:c>
      <x:c r="D14" s="3" t="s">
        <x:v>45</x:v>
      </x:c>
      <x:c r="E14" s="3" t="s">
        <x:v>57</x:v>
      </x:c>
      <x:c r="F14" s="3" t="s">
        <x:v>122</x:v>
      </x:c>
      <x:c r="G14" s="2" t="s">
        <x:v>889</x:v>
      </x:c>
      <x:c r="H14" s="2" t="s">
        <x:v>1354</x:v>
      </x:c>
      <x:c r="I14" s="2">
        <x:v>1</x:v>
      </x:c>
      <x:c r="J14" s="2" t="s">
        <x:v>1355</x:v>
      </x:c>
      <x:c r="K14" s="2">
        <x:v>2</x:v>
      </x:c>
      <x:c r="L14" s="2" t="s">
        <x:v>44</x:v>
      </x:c>
      <x:c r="M14" s="2">
        <x:v>100</x:v>
      </x:c>
      <x:c r="N14" s="2">
        <x:v>100</x:v>
      </x:c>
      <x:c r="O14" s="2">
        <x:v>90</x:v>
      </x:c>
      <x:c r="P14" s="2">
        <x:v>100</x:v>
      </x:c>
      <x:c r="Q14" s="2">
        <x:v>60</x:v>
      </x:c>
      <x:c r="R14" s="3" t="s">
        <x:v>1362</x:v>
      </x:c>
      <x:c r="S14" s="3" t="s">
        <x:v>1159</x:v>
      </x:c>
      <x:c r="T14" s="2" t="s">
        <x:v>44</x:v>
      </x:c>
      <x:c r="U14" s="2" t="s">
        <x:v>64</x:v>
      </x:c>
    </x:row>
    <x:row r="15" ht="22" customHeight="1">
      <x:c r="A15" s="2" t="s">
        <x:v>123</x:v>
      </x:c>
      <x:c r="B15" s="3" t="s">
        <x:v>125</x:v>
      </x:c>
      <x:c r="C15" s="3" t="s">
        <x:v>43</x:v>
      </x:c>
      <x:c r="D15" s="3" t="s">
        <x:v>45</x:v>
      </x:c>
      <x:c r="E15" s="3" t="s">
        <x:v>47</x:v>
      </x:c>
      <x:c r="F15" s="3" t="s">
        <x:v>52</x:v>
      </x:c>
      <x:c r="G15" s="2" t="s">
        <x:v>889</x:v>
      </x:c>
      <x:c r="H15" s="2" t="s">
        <x:v>1354</x:v>
      </x:c>
      <x:c r="I15" s="2">
        <x:v>1</x:v>
      </x:c>
      <x:c r="J15" s="2" t="s">
        <x:v>1355</x:v>
      </x:c>
      <x:c r="K15" s="2">
        <x:v>2</x:v>
      </x:c>
      <x:c r="L15" s="2" t="s">
        <x:v>44</x:v>
      </x:c>
      <x:c r="M15" s="2">
        <x:v>100</x:v>
      </x:c>
      <x:c r="N15" s="2">
        <x:v>100</x:v>
      </x:c>
      <x:c r="O15" s="2">
        <x:v>90</x:v>
      </x:c>
      <x:c r="P15" s="2">
        <x:v>100</x:v>
      </x:c>
      <x:c r="Q15" s="2">
        <x:v>60</x:v>
      </x:c>
      <x:c r="R15" s="3" t="s">
        <x:v>1356</x:v>
      </x:c>
      <x:c r="S15" s="3" t="s">
        <x:v>1159</x:v>
      </x:c>
      <x:c r="T15" s="2" t="s">
        <x:v>44</x:v>
      </x:c>
      <x:c r="U15" s="2" t="s">
        <x:v>44</x:v>
      </x:c>
    </x:row>
    <x:row r="16" ht="22" customHeight="1">
      <x:c r="A16" s="2" t="s">
        <x:v>126</x:v>
      </x:c>
      <x:c r="B16" s="3" t="s">
        <x:v>128</x:v>
      </x:c>
      <x:c r="C16" s="3" t="s">
        <x:v>120</x:v>
      </x:c>
      <x:c r="D16" s="3" t="s">
        <x:v>45</x:v>
      </x:c>
      <x:c r="E16" s="3" t="s">
        <x:v>57</x:v>
      </x:c>
      <x:c r="F16" s="3" t="s">
        <x:v>122</x:v>
      </x:c>
      <x:c r="G16" s="2" t="s">
        <x:v>889</x:v>
      </x:c>
      <x:c r="H16" s="2" t="s">
        <x:v>1354</x:v>
      </x:c>
      <x:c r="I16" s="2">
        <x:v>1</x:v>
      </x:c>
      <x:c r="J16" s="2" t="s">
        <x:v>1355</x:v>
      </x:c>
      <x:c r="K16" s="2">
        <x:v>2</x:v>
      </x:c>
      <x:c r="L16" s="2" t="s">
        <x:v>44</x:v>
      </x:c>
      <x:c r="M16" s="2">
        <x:v>100</x:v>
      </x:c>
      <x:c r="N16" s="2">
        <x:v>100</x:v>
      </x:c>
      <x:c r="O16" s="2">
        <x:v>90</x:v>
      </x:c>
      <x:c r="P16" s="2">
        <x:v>100</x:v>
      </x:c>
      <x:c r="Q16" s="2">
        <x:v>60</x:v>
      </x:c>
      <x:c r="R16" s="3" t="s">
        <x:v>1362</x:v>
      </x:c>
      <x:c r="S16" s="3" t="s">
        <x:v>1159</x:v>
      </x:c>
      <x:c r="T16" s="2" t="s">
        <x:v>44</x:v>
      </x:c>
      <x:c r="U16" s="2" t="s">
        <x:v>64</x:v>
      </x:c>
    </x:row>
    <x:row r="17" ht="22" customHeight="1">
      <x:c r="A17" s="2" t="s">
        <x:v>130</x:v>
      </x:c>
      <x:c r="B17" s="3" t="s">
        <x:v>132</x:v>
      </x:c>
      <x:c r="C17" s="3" t="s">
        <x:v>87</x:v>
      </x:c>
      <x:c r="D17" s="3" t="s">
        <x:v>45</x:v>
      </x:c>
      <x:c r="E17" s="3" t="s">
        <x:v>72</x:v>
      </x:c>
      <x:c r="F17" s="3" t="s">
        <x:v>88</x:v>
      </x:c>
      <x:c r="G17" s="2" t="s">
        <x:v>889</x:v>
      </x:c>
      <x:c r="H17" s="2" t="s">
        <x:v>1354</x:v>
      </x:c>
      <x:c r="I17" s="2">
        <x:v>1</x:v>
      </x:c>
      <x:c r="J17" s="2" t="s">
        <x:v>1355</x:v>
      </x:c>
      <x:c r="K17" s="2">
        <x:v>2</x:v>
      </x:c>
      <x:c r="L17" s="2" t="s">
        <x:v>44</x:v>
      </x:c>
      <x:c r="M17" s="2">
        <x:v>100</x:v>
      </x:c>
      <x:c r="N17" s="2">
        <x:v>100</x:v>
      </x:c>
      <x:c r="O17" s="2">
        <x:v>90</x:v>
      </x:c>
      <x:c r="P17" s="2">
        <x:v>100</x:v>
      </x:c>
      <x:c r="Q17" s="2">
        <x:v>60</x:v>
      </x:c>
      <x:c r="R17" s="3" t="s">
        <x:v>1360</x:v>
      </x:c>
      <x:c r="S17" s="3" t="s">
        <x:v>1159</x:v>
      </x:c>
      <x:c r="T17" s="2" t="s">
        <x:v>44</x:v>
      </x:c>
      <x:c r="U17" s="2" t="s">
        <x:v>44</x:v>
      </x:c>
    </x:row>
    <x:row r="18" ht="22" customHeight="1">
      <x:c r="A18" s="2" t="s">
        <x:v>133</x:v>
      </x:c>
      <x:c r="B18" s="3" t="s">
        <x:v>135</x:v>
      </x:c>
      <x:c r="C18" s="3" t="s">
        <x:v>120</x:v>
      </x:c>
      <x:c r="D18" s="3" t="s">
        <x:v>45</x:v>
      </x:c>
      <x:c r="E18" s="3" t="s">
        <x:v>57</x:v>
      </x:c>
      <x:c r="F18" s="3" t="s">
        <x:v>122</x:v>
      </x:c>
      <x:c r="G18" s="2" t="s">
        <x:v>889</x:v>
      </x:c>
      <x:c r="H18" s="2" t="s">
        <x:v>1354</x:v>
      </x:c>
      <x:c r="I18" s="2">
        <x:v>1</x:v>
      </x:c>
      <x:c r="J18" s="2" t="s">
        <x:v>1355</x:v>
      </x:c>
      <x:c r="K18" s="2">
        <x:v>2</x:v>
      </x:c>
      <x:c r="L18" s="2" t="s">
        <x:v>44</x:v>
      </x:c>
      <x:c r="M18" s="2">
        <x:v>100</x:v>
      </x:c>
      <x:c r="N18" s="2">
        <x:v>100</x:v>
      </x:c>
      <x:c r="O18" s="2">
        <x:v>90</x:v>
      </x:c>
      <x:c r="P18" s="2">
        <x:v>100</x:v>
      </x:c>
      <x:c r="Q18" s="2">
        <x:v>60</x:v>
      </x:c>
      <x:c r="R18" s="3" t="s">
        <x:v>1362</x:v>
      </x:c>
      <x:c r="S18" s="3" t="s">
        <x:v>1159</x:v>
      </x:c>
      <x:c r="T18" s="2" t="s">
        <x:v>44</x:v>
      </x:c>
      <x:c r="U18" s="2" t="s">
        <x:v>64</x:v>
      </x:c>
    </x:row>
    <x:row r="19" ht="22" customHeight="1">
      <x:c r="A19" s="2" t="s">
        <x:v>136</x:v>
      </x:c>
      <x:c r="B19" s="3" t="s">
        <x:v>138</x:v>
      </x:c>
      <x:c r="C19" s="3" t="s">
        <x:v>43</x:v>
      </x:c>
      <x:c r="D19" s="3" t="s">
        <x:v>45</x:v>
      </x:c>
      <x:c r="E19" s="3" t="s">
        <x:v>47</x:v>
      </x:c>
      <x:c r="F19" s="3" t="s">
        <x:v>52</x:v>
      </x:c>
      <x:c r="G19" s="2" t="s">
        <x:v>889</x:v>
      </x:c>
      <x:c r="H19" s="2" t="s">
        <x:v>1354</x:v>
      </x:c>
      <x:c r="I19" s="2">
        <x:v>1</x:v>
      </x:c>
      <x:c r="J19" s="2" t="s">
        <x:v>1355</x:v>
      </x:c>
      <x:c r="K19" s="2">
        <x:v>2</x:v>
      </x:c>
      <x:c r="L19" s="2" t="s">
        <x:v>44</x:v>
      </x:c>
      <x:c r="M19" s="2">
        <x:v>100</x:v>
      </x:c>
      <x:c r="N19" s="2">
        <x:v>100</x:v>
      </x:c>
      <x:c r="O19" s="2">
        <x:v>90</x:v>
      </x:c>
      <x:c r="P19" s="2">
        <x:v>100</x:v>
      </x:c>
      <x:c r="Q19" s="2">
        <x:v>60</x:v>
      </x:c>
      <x:c r="R19" s="3" t="s">
        <x:v>1356</x:v>
      </x:c>
      <x:c r="S19" s="3" t="s">
        <x:v>1159</x:v>
      </x:c>
      <x:c r="T19" s="2" t="s">
        <x:v>44</x:v>
      </x:c>
      <x:c r="U19" s="2" t="s">
        <x:v>44</x:v>
      </x:c>
    </x:row>
    <x:row r="20" ht="22" customHeight="1">
      <x:c r="A20" s="2" t="s">
        <x:v>139</x:v>
      </x:c>
      <x:c r="B20" s="3" t="s">
        <x:v>141</x:v>
      </x:c>
      <x:c r="C20" s="3" t="s">
        <x:v>120</x:v>
      </x:c>
      <x:c r="D20" s="3" t="s">
        <x:v>45</x:v>
      </x:c>
      <x:c r="E20" s="3" t="s">
        <x:v>57</x:v>
      </x:c>
      <x:c r="F20" s="3" t="s">
        <x:v>122</x:v>
      </x:c>
      <x:c r="G20" s="2" t="s">
        <x:v>889</x:v>
      </x:c>
      <x:c r="H20" s="2" t="s">
        <x:v>1354</x:v>
      </x:c>
      <x:c r="I20" s="2">
        <x:v>1</x:v>
      </x:c>
      <x:c r="J20" s="2" t="s">
        <x:v>1355</x:v>
      </x:c>
      <x:c r="K20" s="2">
        <x:v>2</x:v>
      </x:c>
      <x:c r="L20" s="2" t="s">
        <x:v>44</x:v>
      </x:c>
      <x:c r="M20" s="2">
        <x:v>100</x:v>
      </x:c>
      <x:c r="N20" s="2">
        <x:v>100</x:v>
      </x:c>
      <x:c r="O20" s="2">
        <x:v>90</x:v>
      </x:c>
      <x:c r="P20" s="2">
        <x:v>100</x:v>
      </x:c>
      <x:c r="Q20" s="2">
        <x:v>60</x:v>
      </x:c>
      <x:c r="R20" s="3" t="s">
        <x:v>1362</x:v>
      </x:c>
      <x:c r="S20" s="3" t="s">
        <x:v>1159</x:v>
      </x:c>
      <x:c r="T20" s="2" t="s">
        <x:v>44</x:v>
      </x:c>
      <x:c r="U20" s="2" t="s">
        <x:v>64</x:v>
      </x:c>
    </x:row>
    <x:row r="21" ht="22" customHeight="1">
      <x:c r="A21" s="2" t="s">
        <x:v>142</x:v>
      </x:c>
      <x:c r="B21" s="3" t="s">
        <x:v>144</x:v>
      </x:c>
      <x:c r="C21" s="3" t="s">
        <x:v>120</x:v>
      </x:c>
      <x:c r="D21" s="3" t="s">
        <x:v>45</x:v>
      </x:c>
      <x:c r="E21" s="3" t="s">
        <x:v>57</x:v>
      </x:c>
      <x:c r="F21" s="3" t="s">
        <x:v>122</x:v>
      </x:c>
      <x:c r="G21" s="2" t="s">
        <x:v>889</x:v>
      </x:c>
      <x:c r="H21" s="2" t="s">
        <x:v>1354</x:v>
      </x:c>
      <x:c r="I21" s="2">
        <x:v>1</x:v>
      </x:c>
      <x:c r="J21" s="2" t="s">
        <x:v>1355</x:v>
      </x:c>
      <x:c r="K21" s="2">
        <x:v>2</x:v>
      </x:c>
      <x:c r="L21" s="2" t="s">
        <x:v>44</x:v>
      </x:c>
      <x:c r="M21" s="2">
        <x:v>100</x:v>
      </x:c>
      <x:c r="N21" s="2">
        <x:v>100</x:v>
      </x:c>
      <x:c r="O21" s="2">
        <x:v>90</x:v>
      </x:c>
      <x:c r="P21" s="2">
        <x:v>100</x:v>
      </x:c>
      <x:c r="Q21" s="2">
        <x:v>60</x:v>
      </x:c>
      <x:c r="R21" s="3" t="s">
        <x:v>1362</x:v>
      </x:c>
      <x:c r="S21" s="3" t="s">
        <x:v>1159</x:v>
      </x:c>
      <x:c r="T21" s="2" t="s">
        <x:v>44</x:v>
      </x:c>
      <x:c r="U21" s="2" t="s">
        <x:v>64</x:v>
      </x:c>
    </x:row>
    <x:row r="22" ht="22" customHeight="1">
      <x:c r="A22" s="2" t="s">
        <x:v>146</x:v>
      </x:c>
      <x:c r="B22" s="3" t="s">
        <x:v>148</x:v>
      </x:c>
      <x:c r="C22" s="3" t="s">
        <x:v>120</x:v>
      </x:c>
      <x:c r="D22" s="3" t="s">
        <x:v>45</x:v>
      </x:c>
      <x:c r="E22" s="3" t="s">
        <x:v>57</x:v>
      </x:c>
      <x:c r="F22" s="3" t="s">
        <x:v>122</x:v>
      </x:c>
      <x:c r="G22" s="2" t="s">
        <x:v>889</x:v>
      </x:c>
      <x:c r="H22" s="2" t="s">
        <x:v>1354</x:v>
      </x:c>
      <x:c r="I22" s="2">
        <x:v>1</x:v>
      </x:c>
      <x:c r="J22" s="2" t="s">
        <x:v>1355</x:v>
      </x:c>
      <x:c r="K22" s="2">
        <x:v>2</x:v>
      </x:c>
      <x:c r="L22" s="2" t="s">
        <x:v>44</x:v>
      </x:c>
      <x:c r="M22" s="2">
        <x:v>100</x:v>
      </x:c>
      <x:c r="N22" s="2">
        <x:v>100</x:v>
      </x:c>
      <x:c r="O22" s="2">
        <x:v>90</x:v>
      </x:c>
      <x:c r="P22" s="2">
        <x:v>100</x:v>
      </x:c>
      <x:c r="Q22" s="2">
        <x:v>60</x:v>
      </x:c>
      <x:c r="R22" s="3" t="s">
        <x:v>1362</x:v>
      </x:c>
      <x:c r="S22" s="3" t="s">
        <x:v>1159</x:v>
      </x:c>
      <x:c r="T22" s="2" t="s">
        <x:v>44</x:v>
      </x:c>
      <x:c r="U22" s="2" t="s">
        <x:v>64</x:v>
      </x:c>
    </x:row>
    <x:row r="23" ht="22" customHeight="1">
      <x:c r="A23" s="2" t="s">
        <x:v>149</x:v>
      </x:c>
      <x:c r="B23" s="3" t="s">
        <x:v>151</x:v>
      </x:c>
      <x:c r="C23" s="3" t="s">
        <x:v>120</x:v>
      </x:c>
      <x:c r="D23" s="3" t="s">
        <x:v>45</x:v>
      </x:c>
      <x:c r="E23" s="3" t="s">
        <x:v>57</x:v>
      </x:c>
      <x:c r="F23" s="3" t="s">
        <x:v>122</x:v>
      </x:c>
      <x:c r="G23" s="2" t="s">
        <x:v>889</x:v>
      </x:c>
      <x:c r="H23" s="2" t="s">
        <x:v>1354</x:v>
      </x:c>
      <x:c r="I23" s="2">
        <x:v>1</x:v>
      </x:c>
      <x:c r="J23" s="2" t="s">
        <x:v>1355</x:v>
      </x:c>
      <x:c r="K23" s="2">
        <x:v>2</x:v>
      </x:c>
      <x:c r="L23" s="2" t="s">
        <x:v>44</x:v>
      </x:c>
      <x:c r="M23" s="2">
        <x:v>100</x:v>
      </x:c>
      <x:c r="N23" s="2">
        <x:v>100</x:v>
      </x:c>
      <x:c r="O23" s="2">
        <x:v>90</x:v>
      </x:c>
      <x:c r="P23" s="2">
        <x:v>100</x:v>
      </x:c>
      <x:c r="Q23" s="2">
        <x:v>60</x:v>
      </x:c>
      <x:c r="R23" s="3" t="s">
        <x:v>1362</x:v>
      </x:c>
      <x:c r="S23" s="3" t="s">
        <x:v>1159</x:v>
      </x:c>
      <x:c r="T23" s="2" t="s">
        <x:v>44</x:v>
      </x:c>
      <x:c r="U23" s="2" t="s">
        <x:v>64</x:v>
      </x:c>
    </x:row>
    <x:row r="24" ht="22" customHeight="1">
      <x:c r="A24" s="2" t="s">
        <x:v>152</x:v>
      </x:c>
      <x:c r="B24" s="3" t="s">
        <x:v>154</x:v>
      </x:c>
      <x:c r="C24" s="3" t="s">
        <x:v>120</x:v>
      </x:c>
      <x:c r="D24" s="3" t="s">
        <x:v>45</x:v>
      </x:c>
      <x:c r="E24" s="3" t="s">
        <x:v>57</x:v>
      </x:c>
      <x:c r="F24" s="3" t="s">
        <x:v>122</x:v>
      </x:c>
      <x:c r="G24" s="2" t="s">
        <x:v>889</x:v>
      </x:c>
      <x:c r="H24" s="2" t="s">
        <x:v>1354</x:v>
      </x:c>
      <x:c r="I24" s="2">
        <x:v>1</x:v>
      </x:c>
      <x:c r="J24" s="2" t="s">
        <x:v>1355</x:v>
      </x:c>
      <x:c r="K24" s="2">
        <x:v>2</x:v>
      </x:c>
      <x:c r="L24" s="2" t="s">
        <x:v>44</x:v>
      </x:c>
      <x:c r="M24" s="2">
        <x:v>100</x:v>
      </x:c>
      <x:c r="N24" s="2">
        <x:v>100</x:v>
      </x:c>
      <x:c r="O24" s="2">
        <x:v>90</x:v>
      </x:c>
      <x:c r="P24" s="2">
        <x:v>100</x:v>
      </x:c>
      <x:c r="Q24" s="2">
        <x:v>60</x:v>
      </x:c>
      <x:c r="R24" s="3" t="s">
        <x:v>1362</x:v>
      </x:c>
      <x:c r="S24" s="3" t="s">
        <x:v>1159</x:v>
      </x:c>
      <x:c r="T24" s="2" t="s">
        <x:v>44</x:v>
      </x:c>
      <x:c r="U24" s="2" t="s">
        <x:v>64</x:v>
      </x:c>
    </x:row>
    <x:row r="25" ht="22" customHeight="1">
      <x:c r="A25" s="2" t="s">
        <x:v>155</x:v>
      </x:c>
      <x:c r="B25" s="3" t="s">
        <x:v>157</x:v>
      </x:c>
      <x:c r="C25" s="3" t="s">
        <x:v>120</x:v>
      </x:c>
      <x:c r="D25" s="3" t="s">
        <x:v>45</x:v>
      </x:c>
      <x:c r="E25" s="3" t="s">
        <x:v>47</x:v>
      </x:c>
      <x:c r="F25" s="3" t="s">
        <x:v>158</x:v>
      </x:c>
      <x:c r="G25" s="2" t="s">
        <x:v>889</x:v>
      </x:c>
      <x:c r="H25" s="2" t="s">
        <x:v>1354</x:v>
      </x:c>
      <x:c r="I25" s="2">
        <x:v>1</x:v>
      </x:c>
      <x:c r="J25" s="2" t="s">
        <x:v>1355</x:v>
      </x:c>
      <x:c r="K25" s="2">
        <x:v>2</x:v>
      </x:c>
      <x:c r="L25" s="2" t="s">
        <x:v>44</x:v>
      </x:c>
      <x:c r="M25" s="2">
        <x:v>100</x:v>
      </x:c>
      <x:c r="N25" s="2">
        <x:v>100</x:v>
      </x:c>
      <x:c r="O25" s="2">
        <x:v>90</x:v>
      </x:c>
      <x:c r="P25" s="2">
        <x:v>100</x:v>
      </x:c>
      <x:c r="Q25" s="2">
        <x:v>60</x:v>
      </x:c>
      <x:c r="R25" s="3" t="s">
        <x:v>1363</x:v>
      </x:c>
      <x:c r="S25" s="3" t="s">
        <x:v>1159</x:v>
      </x:c>
      <x:c r="T25" s="2" t="s">
        <x:v>44</x:v>
      </x:c>
      <x:c r="U25" s="2" t="s">
        <x:v>44</x:v>
      </x:c>
    </x:row>
    <x:row r="26" ht="22" customHeight="1">
      <x:c r="A26" s="2" t="s">
        <x:v>159</x:v>
      </x:c>
      <x:c r="B26" s="3" t="s">
        <x:v>161</x:v>
      </x:c>
      <x:c r="C26" s="3" t="s">
        <x:v>87</x:v>
      </x:c>
      <x:c r="D26" s="3" t="s">
        <x:v>45</x:v>
      </x:c>
      <x:c r="E26" s="3" t="s">
        <x:v>72</x:v>
      </x:c>
      <x:c r="F26" s="3" t="s">
        <x:v>88</x:v>
      </x:c>
      <x:c r="G26" s="2" t="s">
        <x:v>889</x:v>
      </x:c>
      <x:c r="H26" s="2" t="s">
        <x:v>1354</x:v>
      </x:c>
      <x:c r="I26" s="2">
        <x:v>1</x:v>
      </x:c>
      <x:c r="J26" s="2" t="s">
        <x:v>1355</x:v>
      </x:c>
      <x:c r="K26" s="2">
        <x:v>2</x:v>
      </x:c>
      <x:c r="L26" s="2" t="s">
        <x:v>44</x:v>
      </x:c>
      <x:c r="M26" s="2">
        <x:v>100</x:v>
      </x:c>
      <x:c r="N26" s="2">
        <x:v>100</x:v>
      </x:c>
      <x:c r="O26" s="2">
        <x:v>90</x:v>
      </x:c>
      <x:c r="P26" s="2">
        <x:v>100</x:v>
      </x:c>
      <x:c r="Q26" s="2">
        <x:v>60</x:v>
      </x:c>
      <x:c r="R26" s="3" t="s">
        <x:v>1360</x:v>
      </x:c>
      <x:c r="S26" s="3" t="s">
        <x:v>1159</x:v>
      </x:c>
      <x:c r="T26" s="2" t="s">
        <x:v>44</x:v>
      </x:c>
      <x:c r="U26" s="2" t="s">
        <x:v>44</x:v>
      </x:c>
    </x:row>
    <x:row r="27" ht="22" customHeight="1">
      <x:c r="A27" s="2" t="s">
        <x:v>162</x:v>
      </x:c>
      <x:c r="B27" s="3" t="s">
        <x:v>164</x:v>
      </x:c>
      <x:c r="C27" s="3" t="s">
        <x:v>43</x:v>
      </x:c>
      <x:c r="D27" s="3" t="s">
        <x:v>45</x:v>
      </x:c>
      <x:c r="E27" s="3" t="s">
        <x:v>165</x:v>
      </x:c>
      <x:c r="F27" s="3" t="s">
        <x:v>166</x:v>
      </x:c>
      <x:c r="G27" s="2" t="s">
        <x:v>889</x:v>
      </x:c>
      <x:c r="H27" s="2" t="s">
        <x:v>1354</x:v>
      </x:c>
      <x:c r="I27" s="2">
        <x:v>1</x:v>
      </x:c>
      <x:c r="J27" s="2" t="s">
        <x:v>1355</x:v>
      </x:c>
      <x:c r="K27" s="2">
        <x:v>2</x:v>
      </x:c>
      <x:c r="L27" s="2" t="s">
        <x:v>44</x:v>
      </x:c>
      <x:c r="M27" s="2">
        <x:v>100</x:v>
      </x:c>
      <x:c r="N27" s="2">
        <x:v>100</x:v>
      </x:c>
      <x:c r="O27" s="2">
        <x:v>90</x:v>
      </x:c>
      <x:c r="P27" s="2">
        <x:v>100</x:v>
      </x:c>
      <x:c r="Q27" s="2">
        <x:v>60</x:v>
      </x:c>
      <x:c r="R27" s="3" t="s">
        <x:v>1364</x:v>
      </x:c>
      <x:c r="S27" s="3" t="s">
        <x:v>1159</x:v>
      </x:c>
      <x:c r="T27" s="2" t="s">
        <x:v>44</x:v>
      </x:c>
      <x:c r="U27" s="2" t="s">
        <x:v>44</x:v>
      </x:c>
    </x:row>
    <x:row r="28" ht="22" customHeight="1">
      <x:c r="A28" s="2" t="s">
        <x:v>167</x:v>
      </x:c>
      <x:c r="B28" s="3" t="s">
        <x:v>169</x:v>
      </x:c>
      <x:c r="C28" s="3" t="s">
        <x:v>43</x:v>
      </x:c>
      <x:c r="D28" s="3" t="s">
        <x:v>45</x:v>
      </x:c>
      <x:c r="E28" s="3" t="s">
        <x:v>165</x:v>
      </x:c>
      <x:c r="F28" s="3" t="s">
        <x:v>166</x:v>
      </x:c>
      <x:c r="G28" s="2" t="s">
        <x:v>889</x:v>
      </x:c>
      <x:c r="H28" s="2" t="s">
        <x:v>1354</x:v>
      </x:c>
      <x:c r="I28" s="2">
        <x:v>1</x:v>
      </x:c>
      <x:c r="J28" s="2" t="s">
        <x:v>1355</x:v>
      </x:c>
      <x:c r="K28" s="2">
        <x:v>2</x:v>
      </x:c>
      <x:c r="L28" s="2" t="s">
        <x:v>44</x:v>
      </x:c>
      <x:c r="M28" s="2">
        <x:v>100</x:v>
      </x:c>
      <x:c r="N28" s="2">
        <x:v>100</x:v>
      </x:c>
      <x:c r="O28" s="2">
        <x:v>90</x:v>
      </x:c>
      <x:c r="P28" s="2">
        <x:v>100</x:v>
      </x:c>
      <x:c r="Q28" s="2">
        <x:v>60</x:v>
      </x:c>
      <x:c r="R28" s="3" t="s">
        <x:v>1364</x:v>
      </x:c>
      <x:c r="S28" s="3" t="s">
        <x:v>1159</x:v>
      </x:c>
      <x:c r="T28" s="2" t="s">
        <x:v>44</x:v>
      </x:c>
      <x:c r="U28" s="2" t="s">
        <x:v>44</x:v>
      </x:c>
    </x:row>
    <x:row r="29" ht="22" customHeight="1">
      <x:c r="A29" s="2" t="s">
        <x:v>170</x:v>
      </x:c>
      <x:c r="B29" s="3" t="s">
        <x:v>172</x:v>
      </x:c>
      <x:c r="C29" s="3" t="s">
        <x:v>43</x:v>
      </x:c>
      <x:c r="D29" s="3" t="s">
        <x:v>45</x:v>
      </x:c>
      <x:c r="E29" s="3" t="s">
        <x:v>72</x:v>
      </x:c>
      <x:c r="F29" s="3" t="s">
        <x:v>75</x:v>
      </x:c>
      <x:c r="G29" s="2" t="s">
        <x:v>889</x:v>
      </x:c>
      <x:c r="H29" s="2" t="s">
        <x:v>1354</x:v>
      </x:c>
      <x:c r="I29" s="2">
        <x:v>1</x:v>
      </x:c>
      <x:c r="J29" s="2" t="s">
        <x:v>1355</x:v>
      </x:c>
      <x:c r="K29" s="2">
        <x:v>2</x:v>
      </x:c>
      <x:c r="L29" s="2" t="s">
        <x:v>44</x:v>
      </x:c>
      <x:c r="M29" s="2">
        <x:v>100</x:v>
      </x:c>
      <x:c r="N29" s="2">
        <x:v>100</x:v>
      </x:c>
      <x:c r="O29" s="2">
        <x:v>90</x:v>
      </x:c>
      <x:c r="P29" s="2">
        <x:v>100</x:v>
      </x:c>
      <x:c r="Q29" s="2">
        <x:v>60</x:v>
      </x:c>
      <x:c r="R29" s="3" t="s">
        <x:v>1358</x:v>
      </x:c>
      <x:c r="S29" s="3" t="s">
        <x:v>1159</x:v>
      </x:c>
      <x:c r="T29" s="2" t="s">
        <x:v>44</x:v>
      </x:c>
      <x:c r="U29" s="2" t="s">
        <x:v>44</x:v>
      </x:c>
    </x:row>
    <x:row r="30" ht="22" customHeight="1">
      <x:c r="A30" s="2" t="s">
        <x:v>173</x:v>
      </x:c>
      <x:c r="B30" s="3" t="s">
        <x:v>175</x:v>
      </x:c>
      <x:c r="C30" s="3" t="s">
        <x:v>43</x:v>
      </x:c>
      <x:c r="D30" s="3" t="s">
        <x:v>45</x:v>
      </x:c>
      <x:c r="E30" s="3" t="s">
        <x:v>47</x:v>
      </x:c>
      <x:c r="F30" s="3" t="s">
        <x:v>52</x:v>
      </x:c>
      <x:c r="G30" s="2" t="s">
        <x:v>889</x:v>
      </x:c>
      <x:c r="H30" s="2" t="s">
        <x:v>1354</x:v>
      </x:c>
      <x:c r="I30" s="2">
        <x:v>1</x:v>
      </x:c>
      <x:c r="J30" s="2" t="s">
        <x:v>1355</x:v>
      </x:c>
      <x:c r="K30" s="2">
        <x:v>2</x:v>
      </x:c>
      <x:c r="L30" s="2" t="s">
        <x:v>44</x:v>
      </x:c>
      <x:c r="M30" s="2">
        <x:v>100</x:v>
      </x:c>
      <x:c r="N30" s="2">
        <x:v>100</x:v>
      </x:c>
      <x:c r="O30" s="2">
        <x:v>90</x:v>
      </x:c>
      <x:c r="P30" s="2">
        <x:v>100</x:v>
      </x:c>
      <x:c r="Q30" s="2">
        <x:v>60</x:v>
      </x:c>
      <x:c r="R30" s="3" t="s">
        <x:v>1356</x:v>
      </x:c>
      <x:c r="S30" s="3" t="s">
        <x:v>1159</x:v>
      </x:c>
      <x:c r="T30" s="2" t="s">
        <x:v>44</x:v>
      </x:c>
      <x:c r="U30" s="2" t="s">
        <x:v>176</x:v>
      </x:c>
    </x:row>
    <x:row r="31" ht="22" customHeight="1">
      <x:c r="A31" s="2" t="s">
        <x:v>177</x:v>
      </x:c>
      <x:c r="B31" s="3" t="s">
        <x:v>179</x:v>
      </x:c>
      <x:c r="C31" s="3" t="s">
        <x:v>43</x:v>
      </x:c>
      <x:c r="D31" s="3" t="s">
        <x:v>45</x:v>
      </x:c>
      <x:c r="E31" s="3" t="s">
        <x:v>72</x:v>
      </x:c>
      <x:c r="F31" s="3" t="s">
        <x:v>75</x:v>
      </x:c>
      <x:c r="G31" s="2" t="s">
        <x:v>889</x:v>
      </x:c>
      <x:c r="H31" s="2" t="s">
        <x:v>1354</x:v>
      </x:c>
      <x:c r="I31" s="2">
        <x:v>1</x:v>
      </x:c>
      <x:c r="J31" s="2" t="s">
        <x:v>1355</x:v>
      </x:c>
      <x:c r="K31" s="2">
        <x:v>2</x:v>
      </x:c>
      <x:c r="L31" s="2" t="s">
        <x:v>44</x:v>
      </x:c>
      <x:c r="M31" s="2">
        <x:v>100</x:v>
      </x:c>
      <x:c r="N31" s="2">
        <x:v>100</x:v>
      </x:c>
      <x:c r="O31" s="2">
        <x:v>90</x:v>
      </x:c>
      <x:c r="P31" s="2">
        <x:v>100</x:v>
      </x:c>
      <x:c r="Q31" s="2">
        <x:v>60</x:v>
      </x:c>
      <x:c r="R31" s="3" t="s">
        <x:v>1358</x:v>
      </x:c>
      <x:c r="S31" s="3" t="s">
        <x:v>1159</x:v>
      </x:c>
      <x:c r="T31" s="2" t="s">
        <x:v>44</x:v>
      </x:c>
      <x:c r="U31" s="2" t="s">
        <x:v>44</x:v>
      </x:c>
    </x:row>
    <x:row r="32" ht="22" customHeight="1">
      <x:c r="A32" s="2" t="s">
        <x:v>180</x:v>
      </x:c>
      <x:c r="B32" s="3" t="s">
        <x:v>182</x:v>
      </x:c>
      <x:c r="C32" s="3" t="s">
        <x:v>87</x:v>
      </x:c>
      <x:c r="D32" s="3" t="s">
        <x:v>45</x:v>
      </x:c>
      <x:c r="E32" s="3" t="s">
        <x:v>72</x:v>
      </x:c>
      <x:c r="F32" s="3" t="s">
        <x:v>88</x:v>
      </x:c>
      <x:c r="G32" s="2" t="s">
        <x:v>889</x:v>
      </x:c>
      <x:c r="H32" s="2" t="s">
        <x:v>1354</x:v>
      </x:c>
      <x:c r="I32" s="2">
        <x:v>1</x:v>
      </x:c>
      <x:c r="J32" s="2" t="s">
        <x:v>1355</x:v>
      </x:c>
      <x:c r="K32" s="2">
        <x:v>2</x:v>
      </x:c>
      <x:c r="L32" s="2" t="s">
        <x:v>44</x:v>
      </x:c>
      <x:c r="M32" s="2">
        <x:v>100</x:v>
      </x:c>
      <x:c r="N32" s="2">
        <x:v>100</x:v>
      </x:c>
      <x:c r="O32" s="2">
        <x:v>90</x:v>
      </x:c>
      <x:c r="P32" s="2">
        <x:v>100</x:v>
      </x:c>
      <x:c r="Q32" s="2">
        <x:v>60</x:v>
      </x:c>
      <x:c r="R32" s="3" t="s">
        <x:v>1360</x:v>
      </x:c>
      <x:c r="S32" s="3" t="s">
        <x:v>1159</x:v>
      </x:c>
      <x:c r="T32" s="2" t="s">
        <x:v>44</x:v>
      </x:c>
      <x:c r="U32" s="2" t="s">
        <x:v>44</x:v>
      </x:c>
    </x:row>
    <x:row r="33" ht="22" customHeight="1">
      <x:c r="A33" s="2" t="s">
        <x:v>183</x:v>
      </x:c>
      <x:c r="B33" s="3" t="s">
        <x:v>185</x:v>
      </x:c>
      <x:c r="C33" s="3" t="s">
        <x:v>120</x:v>
      </x:c>
      <x:c r="D33" s="3" t="s">
        <x:v>45</x:v>
      </x:c>
      <x:c r="E33" s="3" t="s">
        <x:v>57</x:v>
      </x:c>
      <x:c r="F33" s="3" t="s">
        <x:v>122</x:v>
      </x:c>
      <x:c r="G33" s="2" t="s">
        <x:v>889</x:v>
      </x:c>
      <x:c r="H33" s="2" t="s">
        <x:v>1354</x:v>
      </x:c>
      <x:c r="I33" s="2">
        <x:v>1</x:v>
      </x:c>
      <x:c r="J33" s="2" t="s">
        <x:v>1355</x:v>
      </x:c>
      <x:c r="K33" s="2">
        <x:v>2</x:v>
      </x:c>
      <x:c r="L33" s="2" t="s">
        <x:v>44</x:v>
      </x:c>
      <x:c r="M33" s="2">
        <x:v>100</x:v>
      </x:c>
      <x:c r="N33" s="2">
        <x:v>100</x:v>
      </x:c>
      <x:c r="O33" s="2">
        <x:v>90</x:v>
      </x:c>
      <x:c r="P33" s="2">
        <x:v>100</x:v>
      </x:c>
      <x:c r="Q33" s="2">
        <x:v>60</x:v>
      </x:c>
      <x:c r="R33" s="3" t="s">
        <x:v>1362</x:v>
      </x:c>
      <x:c r="S33" s="3" t="s">
        <x:v>1159</x:v>
      </x:c>
      <x:c r="T33" s="2" t="s">
        <x:v>44</x:v>
      </x:c>
      <x:c r="U33" s="2" t="s">
        <x:v>64</x:v>
      </x:c>
    </x:row>
    <x:row r="34" ht="22" customHeight="1">
      <x:c r="A34" s="2" t="s">
        <x:v>186</x:v>
      </x:c>
      <x:c r="B34" s="3" t="s">
        <x:v>188</x:v>
      </x:c>
      <x:c r="C34" s="3" t="s">
        <x:v>43</x:v>
      </x:c>
      <x:c r="D34" s="3" t="s">
        <x:v>45</x:v>
      </x:c>
      <x:c r="E34" s="3" t="s">
        <x:v>57</x:v>
      </x:c>
      <x:c r="F34" s="3" t="s">
        <x:v>62</x:v>
      </x:c>
      <x:c r="G34" s="2" t="s">
        <x:v>889</x:v>
      </x:c>
      <x:c r="H34" s="2" t="s">
        <x:v>1354</x:v>
      </x:c>
      <x:c r="I34" s="2">
        <x:v>1</x:v>
      </x:c>
      <x:c r="J34" s="2" t="s">
        <x:v>1355</x:v>
      </x:c>
      <x:c r="K34" s="2">
        <x:v>2</x:v>
      </x:c>
      <x:c r="L34" s="2" t="s">
        <x:v>44</x:v>
      </x:c>
      <x:c r="M34" s="2">
        <x:v>100</x:v>
      </x:c>
      <x:c r="N34" s="2">
        <x:v>100</x:v>
      </x:c>
      <x:c r="O34" s="2">
        <x:v>90</x:v>
      </x:c>
      <x:c r="P34" s="2">
        <x:v>100</x:v>
      </x:c>
      <x:c r="Q34" s="2">
        <x:v>60</x:v>
      </x:c>
      <x:c r="R34" s="3" t="s">
        <x:v>1357</x:v>
      </x:c>
      <x:c r="S34" s="3" t="s">
        <x:v>1159</x:v>
      </x:c>
      <x:c r="T34" s="2" t="s">
        <x:v>44</x:v>
      </x:c>
      <x:c r="U34" s="2" t="s">
        <x:v>64</x:v>
      </x:c>
    </x:row>
    <x:row r="35" ht="22" customHeight="1">
      <x:c r="A35" s="2" t="s">
        <x:v>189</x:v>
      </x:c>
      <x:c r="B35" s="3" t="s">
        <x:v>191</x:v>
      </x:c>
      <x:c r="C35" s="3" t="s">
        <x:v>43</x:v>
      </x:c>
      <x:c r="D35" s="3" t="s">
        <x:v>45</x:v>
      </x:c>
      <x:c r="E35" s="3" t="s">
        <x:v>47</x:v>
      </x:c>
      <x:c r="F35" s="3" t="s">
        <x:v>52</x:v>
      </x:c>
      <x:c r="G35" s="2" t="s">
        <x:v>889</x:v>
      </x:c>
      <x:c r="H35" s="2" t="s">
        <x:v>1354</x:v>
      </x:c>
      <x:c r="I35" s="2">
        <x:v>1</x:v>
      </x:c>
      <x:c r="J35" s="2" t="s">
        <x:v>1355</x:v>
      </x:c>
      <x:c r="K35" s="2">
        <x:v>2</x:v>
      </x:c>
      <x:c r="L35" s="2" t="s">
        <x:v>44</x:v>
      </x:c>
      <x:c r="M35" s="2">
        <x:v>100</x:v>
      </x:c>
      <x:c r="N35" s="2">
        <x:v>100</x:v>
      </x:c>
      <x:c r="O35" s="2">
        <x:v>90</x:v>
      </x:c>
      <x:c r="P35" s="2">
        <x:v>100</x:v>
      </x:c>
      <x:c r="Q35" s="2">
        <x:v>60</x:v>
      </x:c>
      <x:c r="R35" s="3" t="s">
        <x:v>1356</x:v>
      </x:c>
      <x:c r="S35" s="3" t="s">
        <x:v>1159</x:v>
      </x:c>
      <x:c r="T35" s="2" t="s">
        <x:v>44</x:v>
      </x:c>
      <x:c r="U35" s="2" t="s">
        <x:v>44</x:v>
      </x:c>
    </x:row>
    <x:row r="36" ht="22" customHeight="1">
      <x:c r="A36" s="2" t="s">
        <x:v>192</x:v>
      </x:c>
      <x:c r="B36" s="3" t="s">
        <x:v>194</x:v>
      </x:c>
      <x:c r="C36" s="3" t="s">
        <x:v>43</x:v>
      </x:c>
      <x:c r="D36" s="3" t="s">
        <x:v>45</x:v>
      </x:c>
      <x:c r="E36" s="3" t="s">
        <x:v>50</x:v>
      </x:c>
      <x:c r="F36" s="3" t="s">
        <x:v>195</x:v>
      </x:c>
      <x:c r="G36" s="2" t="s">
        <x:v>889</x:v>
      </x:c>
      <x:c r="H36" s="2" t="s">
        <x:v>1354</x:v>
      </x:c>
      <x:c r="I36" s="2">
        <x:v>1</x:v>
      </x:c>
      <x:c r="J36" s="2" t="s">
        <x:v>1355</x:v>
      </x:c>
      <x:c r="K36" s="2">
        <x:v>2</x:v>
      </x:c>
      <x:c r="L36" s="2" t="s">
        <x:v>44</x:v>
      </x:c>
      <x:c r="M36" s="2">
        <x:v>100</x:v>
      </x:c>
      <x:c r="N36" s="2">
        <x:v>100</x:v>
      </x:c>
      <x:c r="O36" s="2">
        <x:v>90</x:v>
      </x:c>
      <x:c r="P36" s="2">
        <x:v>100</x:v>
      </x:c>
      <x:c r="Q36" s="2">
        <x:v>60</x:v>
      </x:c>
      <x:c r="R36" s="3" t="s">
        <x:v>1365</x:v>
      </x:c>
      <x:c r="S36" s="3" t="s">
        <x:v>1159</x:v>
      </x:c>
      <x:c r="T36" s="2" t="s">
        <x:v>44</x:v>
      </x:c>
      <x:c r="U36" s="2" t="s">
        <x:v>44</x:v>
      </x:c>
    </x:row>
    <x:row r="37" ht="22" customHeight="1">
      <x:c r="A37" s="2" t="s">
        <x:v>196</x:v>
      </x:c>
      <x:c r="B37" s="3" t="s">
        <x:v>198</x:v>
      </x:c>
      <x:c r="C37" s="3" t="s">
        <x:v>43</x:v>
      </x:c>
      <x:c r="D37" s="3" t="s">
        <x:v>199</x:v>
      </x:c>
      <x:c r="E37" s="3" t="s">
        <x:v>47</x:v>
      </x:c>
      <x:c r="F37" s="3" t="s">
        <x:v>52</x:v>
      </x:c>
      <x:c r="G37" s="2" t="s">
        <x:v>889</x:v>
      </x:c>
      <x:c r="H37" s="2" t="s">
        <x:v>1354</x:v>
      </x:c>
      <x:c r="I37" s="2">
        <x:v>3</x:v>
      </x:c>
      <x:c r="J37" s="2" t="s">
        <x:v>1366</x:v>
      </x:c>
      <x:c r="K37" s="2">
        <x:v>4</x:v>
      </x:c>
      <x:c r="L37" s="2" t="s">
        <x:v>44</x:v>
      </x:c>
      <x:c r="M37" s="2">
        <x:v>65</x:v>
      </x:c>
      <x:c r="N37" s="2">
        <x:v>70</x:v>
      </x:c>
      <x:c r="O37" s="2">
        <x:v>65</x:v>
      </x:c>
      <x:c r="P37" s="2">
        <x:v>80</x:v>
      </x:c>
      <x:c r="Q37" s="2">
        <x:v>45</x:v>
      </x:c>
      <x:c r="R37" s="3" t="s">
        <x:v>1367</x:v>
      </x:c>
      <x:c r="S37" s="3" t="s">
        <x:v>1213</x:v>
      </x:c>
      <x:c r="T37" s="2" t="s">
        <x:v>44</x:v>
      </x:c>
      <x:c r="U37" s="2" t="s">
        <x:v>176</x:v>
      </x:c>
    </x:row>
    <x:row r="38" ht="22" customHeight="1">
      <x:c r="A38" s="2" t="s">
        <x:v>200</x:v>
      </x:c>
      <x:c r="B38" s="3" t="s">
        <x:v>202</x:v>
      </x:c>
      <x:c r="C38" s="3" t="s">
        <x:v>43</x:v>
      </x:c>
      <x:c r="D38" s="3" t="s">
        <x:v>199</x:v>
      </x:c>
      <x:c r="E38" s="3" t="s">
        <x:v>165</x:v>
      </x:c>
      <x:c r="F38" s="3" t="s">
        <x:v>166</x:v>
      </x:c>
      <x:c r="G38" s="2" t="s">
        <x:v>889</x:v>
      </x:c>
      <x:c r="H38" s="2" t="s">
        <x:v>1354</x:v>
      </x:c>
      <x:c r="I38" s="2">
        <x:v>3</x:v>
      </x:c>
      <x:c r="J38" s="2" t="s">
        <x:v>1366</x:v>
      </x:c>
      <x:c r="K38" s="2">
        <x:v>4</x:v>
      </x:c>
      <x:c r="L38" s="2" t="s">
        <x:v>44</x:v>
      </x:c>
      <x:c r="M38" s="2">
        <x:v>65</x:v>
      </x:c>
      <x:c r="N38" s="2">
        <x:v>70</x:v>
      </x:c>
      <x:c r="O38" s="2">
        <x:v>65</x:v>
      </x:c>
      <x:c r="P38" s="2">
        <x:v>80</x:v>
      </x:c>
      <x:c r="Q38" s="2">
        <x:v>45</x:v>
      </x:c>
      <x:c r="R38" s="3" t="s">
        <x:v>1368</x:v>
      </x:c>
      <x:c r="S38" s="3" t="s">
        <x:v>1213</x:v>
      </x:c>
      <x:c r="T38" s="2" t="s">
        <x:v>44</x:v>
      </x:c>
      <x:c r="U38" s="2" t="s">
        <x:v>44</x:v>
      </x:c>
    </x:row>
    <x:row r="39" ht="22" customHeight="1">
      <x:c r="A39" s="2" t="s">
        <x:v>203</x:v>
      </x:c>
      <x:c r="B39" s="3" t="s">
        <x:v>205</x:v>
      </x:c>
      <x:c r="C39" s="3" t="s">
        <x:v>43</x:v>
      </x:c>
      <x:c r="D39" s="3" t="s">
        <x:v>199</x:v>
      </x:c>
      <x:c r="E39" s="3" t="s">
        <x:v>165</x:v>
      </x:c>
      <x:c r="F39" s="3" t="s">
        <x:v>166</x:v>
      </x:c>
      <x:c r="G39" s="2" t="s">
        <x:v>889</x:v>
      </x:c>
      <x:c r="H39" s="2" t="s">
        <x:v>1354</x:v>
      </x:c>
      <x:c r="I39" s="2">
        <x:v>3</x:v>
      </x:c>
      <x:c r="J39" s="2" t="s">
        <x:v>1366</x:v>
      </x:c>
      <x:c r="K39" s="2">
        <x:v>4</x:v>
      </x:c>
      <x:c r="L39" s="2" t="s">
        <x:v>44</x:v>
      </x:c>
      <x:c r="M39" s="2">
        <x:v>65</x:v>
      </x:c>
      <x:c r="N39" s="2">
        <x:v>70</x:v>
      </x:c>
      <x:c r="O39" s="2">
        <x:v>65</x:v>
      </x:c>
      <x:c r="P39" s="2">
        <x:v>80</x:v>
      </x:c>
      <x:c r="Q39" s="2">
        <x:v>45</x:v>
      </x:c>
      <x:c r="R39" s="3" t="s">
        <x:v>1368</x:v>
      </x:c>
      <x:c r="S39" s="3" t="s">
        <x:v>1213</x:v>
      </x:c>
      <x:c r="T39" s="2" t="s">
        <x:v>44</x:v>
      </x:c>
      <x:c r="U39" s="2" t="s">
        <x:v>44</x:v>
      </x:c>
    </x:row>
    <x:row r="40" ht="22" customHeight="1">
      <x:c r="A40" s="2" t="s">
        <x:v>206</x:v>
      </x:c>
      <x:c r="B40" s="3" t="s">
        <x:v>208</x:v>
      </x:c>
      <x:c r="C40" s="3" t="s">
        <x:v>43</x:v>
      </x:c>
      <x:c r="D40" s="3" t="s">
        <x:v>199</x:v>
      </x:c>
      <x:c r="E40" s="3" t="s">
        <x:v>57</x:v>
      </x:c>
      <x:c r="F40" s="3" t="s">
        <x:v>62</x:v>
      </x:c>
      <x:c r="G40" s="2" t="s">
        <x:v>889</x:v>
      </x:c>
      <x:c r="H40" s="2" t="s">
        <x:v>1354</x:v>
      </x:c>
      <x:c r="I40" s="2">
        <x:v>3</x:v>
      </x:c>
      <x:c r="J40" s="2" t="s">
        <x:v>1366</x:v>
      </x:c>
      <x:c r="K40" s="2">
        <x:v>4</x:v>
      </x:c>
      <x:c r="L40" s="2" t="s">
        <x:v>44</x:v>
      </x:c>
      <x:c r="M40" s="2">
        <x:v>65</x:v>
      </x:c>
      <x:c r="N40" s="2">
        <x:v>70</x:v>
      </x:c>
      <x:c r="O40" s="2">
        <x:v>65</x:v>
      </x:c>
      <x:c r="P40" s="2">
        <x:v>80</x:v>
      </x:c>
      <x:c r="Q40" s="2">
        <x:v>45</x:v>
      </x:c>
      <x:c r="R40" s="3" t="s">
        <x:v>1369</x:v>
      </x:c>
      <x:c r="S40" s="3" t="s">
        <x:v>1213</x:v>
      </x:c>
      <x:c r="T40" s="2" t="s">
        <x:v>44</x:v>
      </x:c>
      <x:c r="U40" s="2" t="s">
        <x:v>64</x:v>
      </x:c>
    </x:row>
    <x:row r="41" ht="22" customHeight="1">
      <x:c r="A41" s="2" t="s">
        <x:v>209</x:v>
      </x:c>
      <x:c r="B41" s="3" t="s">
        <x:v>211</x:v>
      </x:c>
      <x:c r="C41" s="3" t="s">
        <x:v>79</x:v>
      </x:c>
      <x:c r="D41" s="3" t="s">
        <x:v>199</x:v>
      </x:c>
      <x:c r="E41" s="3" t="s">
        <x:v>81</x:v>
      </x:c>
      <x:c r="F41" s="3" t="s">
        <x:v>83</x:v>
      </x:c>
      <x:c r="G41" s="2" t="s">
        <x:v>889</x:v>
      </x:c>
      <x:c r="H41" s="2" t="s">
        <x:v>1354</x:v>
      </x:c>
      <x:c r="I41" s="2">
        <x:v>3</x:v>
      </x:c>
      <x:c r="J41" s="2" t="s">
        <x:v>1366</x:v>
      </x:c>
      <x:c r="K41" s="2">
        <x:v>4</x:v>
      </x:c>
      <x:c r="L41" s="2" t="s">
        <x:v>44</x:v>
      </x:c>
      <x:c r="M41" s="2">
        <x:v>65</x:v>
      </x:c>
      <x:c r="N41" s="2">
        <x:v>70</x:v>
      </x:c>
      <x:c r="O41" s="2">
        <x:v>65</x:v>
      </x:c>
      <x:c r="P41" s="2">
        <x:v>80</x:v>
      </x:c>
      <x:c r="Q41" s="2">
        <x:v>45</x:v>
      </x:c>
      <x:c r="R41" s="3" t="s">
        <x:v>1370</x:v>
      </x:c>
      <x:c r="S41" s="3" t="s">
        <x:v>1213</x:v>
      </x:c>
      <x:c r="T41" s="2" t="s">
        <x:v>44</x:v>
      </x:c>
      <x:c r="U41" s="2" t="s">
        <x:v>44</x:v>
      </x:c>
    </x:row>
    <x:row r="42" ht="22" customHeight="1">
      <x:c r="A42" s="2" t="s">
        <x:v>213</x:v>
      </x:c>
      <x:c r="B42" s="3" t="s">
        <x:v>215</x:v>
      </x:c>
      <x:c r="C42" s="3" t="s">
        <x:v>43</x:v>
      </x:c>
      <x:c r="D42" s="3" t="s">
        <x:v>199</x:v>
      </x:c>
      <x:c r="E42" s="3" t="s">
        <x:v>72</x:v>
      </x:c>
      <x:c r="F42" s="3" t="s">
        <x:v>75</x:v>
      </x:c>
      <x:c r="G42" s="2" t="s">
        <x:v>889</x:v>
      </x:c>
      <x:c r="H42" s="2" t="s">
        <x:v>1354</x:v>
      </x:c>
      <x:c r="I42" s="2">
        <x:v>3</x:v>
      </x:c>
      <x:c r="J42" s="2" t="s">
        <x:v>1366</x:v>
      </x:c>
      <x:c r="K42" s="2">
        <x:v>4</x:v>
      </x:c>
      <x:c r="L42" s="2" t="s">
        <x:v>44</x:v>
      </x:c>
      <x:c r="M42" s="2">
        <x:v>65</x:v>
      </x:c>
      <x:c r="N42" s="2">
        <x:v>70</x:v>
      </x:c>
      <x:c r="O42" s="2">
        <x:v>65</x:v>
      </x:c>
      <x:c r="P42" s="2">
        <x:v>80</x:v>
      </x:c>
      <x:c r="Q42" s="2">
        <x:v>45</x:v>
      </x:c>
      <x:c r="R42" s="3" t="s">
        <x:v>1371</x:v>
      </x:c>
      <x:c r="S42" s="3" t="s">
        <x:v>1213</x:v>
      </x:c>
      <x:c r="T42" s="2" t="s">
        <x:v>44</x:v>
      </x:c>
      <x:c r="U42" s="2" t="s">
        <x:v>218</x:v>
      </x:c>
    </x:row>
    <x:row r="43" ht="22" customHeight="1">
      <x:c r="A43" s="2" t="s">
        <x:v>219</x:v>
      </x:c>
      <x:c r="B43" s="3" t="s">
        <x:v>221</x:v>
      </x:c>
      <x:c r="C43" s="3" t="s">
        <x:v>79</x:v>
      </x:c>
      <x:c r="D43" s="3" t="s">
        <x:v>199</x:v>
      </x:c>
      <x:c r="E43" s="3" t="s">
        <x:v>81</x:v>
      </x:c>
      <x:c r="F43" s="3" t="s">
        <x:v>83</x:v>
      </x:c>
      <x:c r="G43" s="2" t="s">
        <x:v>889</x:v>
      </x:c>
      <x:c r="H43" s="2" t="s">
        <x:v>1354</x:v>
      </x:c>
      <x:c r="I43" s="2">
        <x:v>3</x:v>
      </x:c>
      <x:c r="J43" s="2" t="s">
        <x:v>1366</x:v>
      </x:c>
      <x:c r="K43" s="2">
        <x:v>4</x:v>
      </x:c>
      <x:c r="L43" s="2" t="s">
        <x:v>44</x:v>
      </x:c>
      <x:c r="M43" s="2">
        <x:v>65</x:v>
      </x:c>
      <x:c r="N43" s="2">
        <x:v>70</x:v>
      </x:c>
      <x:c r="O43" s="2">
        <x:v>65</x:v>
      </x:c>
      <x:c r="P43" s="2">
        <x:v>80</x:v>
      </x:c>
      <x:c r="Q43" s="2">
        <x:v>45</x:v>
      </x:c>
      <x:c r="R43" s="3" t="s">
        <x:v>1370</x:v>
      </x:c>
      <x:c r="S43" s="3" t="s">
        <x:v>1213</x:v>
      </x:c>
      <x:c r="T43" s="2" t="s">
        <x:v>44</x:v>
      </x:c>
      <x:c r="U43" s="2" t="s">
        <x:v>44</x:v>
      </x:c>
    </x:row>
    <x:row r="44" ht="22" customHeight="1">
      <x:c r="A44" s="2" t="s">
        <x:v>222</x:v>
      </x:c>
      <x:c r="B44" s="3" t="s">
        <x:v>224</x:v>
      </x:c>
      <x:c r="C44" s="3" t="s">
        <x:v>120</x:v>
      </x:c>
      <x:c r="D44" s="3" t="s">
        <x:v>199</x:v>
      </x:c>
      <x:c r="E44" s="3" t="s">
        <x:v>72</x:v>
      </x:c>
      <x:c r="F44" s="3" t="s">
        <x:v>225</x:v>
      </x:c>
      <x:c r="G44" s="2" t="s">
        <x:v>889</x:v>
      </x:c>
      <x:c r="H44" s="2" t="s">
        <x:v>1354</x:v>
      </x:c>
      <x:c r="I44" s="2">
        <x:v>3</x:v>
      </x:c>
      <x:c r="J44" s="2" t="s">
        <x:v>1366</x:v>
      </x:c>
      <x:c r="K44" s="2">
        <x:v>4</x:v>
      </x:c>
      <x:c r="L44" s="2" t="s">
        <x:v>44</x:v>
      </x:c>
      <x:c r="M44" s="2">
        <x:v>65</x:v>
      </x:c>
      <x:c r="N44" s="2">
        <x:v>70</x:v>
      </x:c>
      <x:c r="O44" s="2">
        <x:v>65</x:v>
      </x:c>
      <x:c r="P44" s="2">
        <x:v>80</x:v>
      </x:c>
      <x:c r="Q44" s="2">
        <x:v>45</x:v>
      </x:c>
      <x:c r="R44" s="3" t="s">
        <x:v>1372</x:v>
      </x:c>
      <x:c r="S44" s="3" t="s">
        <x:v>1213</x:v>
      </x:c>
      <x:c r="T44" s="2" t="s">
        <x:v>44</x:v>
      </x:c>
      <x:c r="U44" s="2" t="s">
        <x:v>218</x:v>
      </x:c>
    </x:row>
    <x:row r="45" ht="22" customHeight="1">
      <x:c r="A45" s="2" t="s">
        <x:v>226</x:v>
      </x:c>
      <x:c r="B45" s="3" t="s">
        <x:v>228</x:v>
      </x:c>
      <x:c r="C45" s="3" t="s">
        <x:v>120</x:v>
      </x:c>
      <x:c r="D45" s="3" t="s">
        <x:v>199</x:v>
      </x:c>
      <x:c r="E45" s="3" t="s">
        <x:v>57</x:v>
      </x:c>
      <x:c r="F45" s="3" t="s">
        <x:v>122</x:v>
      </x:c>
      <x:c r="G45" s="2" t="s">
        <x:v>889</x:v>
      </x:c>
      <x:c r="H45" s="2" t="s">
        <x:v>1354</x:v>
      </x:c>
      <x:c r="I45" s="2">
        <x:v>3</x:v>
      </x:c>
      <x:c r="J45" s="2" t="s">
        <x:v>1366</x:v>
      </x:c>
      <x:c r="K45" s="2">
        <x:v>4</x:v>
      </x:c>
      <x:c r="L45" s="2" t="s">
        <x:v>44</x:v>
      </x:c>
      <x:c r="M45" s="2">
        <x:v>65</x:v>
      </x:c>
      <x:c r="N45" s="2">
        <x:v>70</x:v>
      </x:c>
      <x:c r="O45" s="2">
        <x:v>65</x:v>
      </x:c>
      <x:c r="P45" s="2">
        <x:v>80</x:v>
      </x:c>
      <x:c r="Q45" s="2">
        <x:v>45</x:v>
      </x:c>
      <x:c r="R45" s="3" t="s">
        <x:v>1373</x:v>
      </x:c>
      <x:c r="S45" s="3" t="s">
        <x:v>1213</x:v>
      </x:c>
      <x:c r="T45" s="2" t="s">
        <x:v>44</x:v>
      </x:c>
      <x:c r="U45" s="2" t="s">
        <x:v>64</x:v>
      </x:c>
    </x:row>
    <x:row r="46" ht="22" customHeight="1">
      <x:c r="A46" s="2" t="s">
        <x:v>229</x:v>
      </x:c>
      <x:c r="B46" s="3" t="s">
        <x:v>231</x:v>
      </x:c>
      <x:c r="C46" s="3" t="s">
        <x:v>120</x:v>
      </x:c>
      <x:c r="D46" s="3" t="s">
        <x:v>199</x:v>
      </x:c>
      <x:c r="E46" s="3" t="s">
        <x:v>57</x:v>
      </x:c>
      <x:c r="F46" s="3" t="s">
        <x:v>122</x:v>
      </x:c>
      <x:c r="G46" s="2" t="s">
        <x:v>889</x:v>
      </x:c>
      <x:c r="H46" s="2" t="s">
        <x:v>1354</x:v>
      </x:c>
      <x:c r="I46" s="2">
        <x:v>3</x:v>
      </x:c>
      <x:c r="J46" s="2" t="s">
        <x:v>1366</x:v>
      </x:c>
      <x:c r="K46" s="2">
        <x:v>4</x:v>
      </x:c>
      <x:c r="L46" s="2" t="s">
        <x:v>44</x:v>
      </x:c>
      <x:c r="M46" s="2">
        <x:v>65</x:v>
      </x:c>
      <x:c r="N46" s="2">
        <x:v>70</x:v>
      </x:c>
      <x:c r="O46" s="2">
        <x:v>65</x:v>
      </x:c>
      <x:c r="P46" s="2">
        <x:v>80</x:v>
      </x:c>
      <x:c r="Q46" s="2">
        <x:v>45</x:v>
      </x:c>
      <x:c r="R46" s="3" t="s">
        <x:v>1373</x:v>
      </x:c>
      <x:c r="S46" s="3" t="s">
        <x:v>1213</x:v>
      </x:c>
      <x:c r="T46" s="2" t="s">
        <x:v>44</x:v>
      </x:c>
      <x:c r="U46" s="2" t="s">
        <x:v>64</x:v>
      </x:c>
    </x:row>
    <x:row r="47" ht="22" customHeight="1">
      <x:c r="A47" s="2" t="s">
        <x:v>232</x:v>
      </x:c>
      <x:c r="B47" s="3" t="s">
        <x:v>234</x:v>
      </x:c>
      <x:c r="C47" s="3" t="s">
        <x:v>120</x:v>
      </x:c>
      <x:c r="D47" s="3" t="s">
        <x:v>199</x:v>
      </x:c>
      <x:c r="E47" s="3" t="s">
        <x:v>57</x:v>
      </x:c>
      <x:c r="F47" s="3" t="s">
        <x:v>122</x:v>
      </x:c>
      <x:c r="G47" s="2" t="s">
        <x:v>889</x:v>
      </x:c>
      <x:c r="H47" s="2" t="s">
        <x:v>1354</x:v>
      </x:c>
      <x:c r="I47" s="2">
        <x:v>3</x:v>
      </x:c>
      <x:c r="J47" s="2" t="s">
        <x:v>1366</x:v>
      </x:c>
      <x:c r="K47" s="2">
        <x:v>4</x:v>
      </x:c>
      <x:c r="L47" s="2" t="s">
        <x:v>44</x:v>
      </x:c>
      <x:c r="M47" s="2">
        <x:v>65</x:v>
      </x:c>
      <x:c r="N47" s="2">
        <x:v>70</x:v>
      </x:c>
      <x:c r="O47" s="2">
        <x:v>65</x:v>
      </x:c>
      <x:c r="P47" s="2">
        <x:v>80</x:v>
      </x:c>
      <x:c r="Q47" s="2">
        <x:v>45</x:v>
      </x:c>
      <x:c r="R47" s="3" t="s">
        <x:v>1373</x:v>
      </x:c>
      <x:c r="S47" s="3" t="s">
        <x:v>1213</x:v>
      </x:c>
      <x:c r="T47" s="2" t="s">
        <x:v>44</x:v>
      </x:c>
      <x:c r="U47" s="2" t="s">
        <x:v>64</x:v>
      </x:c>
    </x:row>
    <x:row r="48" ht="22" customHeight="1">
      <x:c r="A48" s="2" t="s">
        <x:v>235</x:v>
      </x:c>
      <x:c r="B48" s="3" t="s">
        <x:v>237</x:v>
      </x:c>
      <x:c r="C48" s="3" t="s">
        <x:v>43</x:v>
      </x:c>
      <x:c r="D48" s="3" t="s">
        <x:v>199</x:v>
      </x:c>
      <x:c r="E48" s="3" t="s">
        <x:v>165</x:v>
      </x:c>
      <x:c r="F48" s="3" t="s">
        <x:v>166</x:v>
      </x:c>
      <x:c r="G48" s="2" t="s">
        <x:v>889</x:v>
      </x:c>
      <x:c r="H48" s="2" t="s">
        <x:v>1354</x:v>
      </x:c>
      <x:c r="I48" s="2">
        <x:v>3</x:v>
      </x:c>
      <x:c r="J48" s="2" t="s">
        <x:v>1366</x:v>
      </x:c>
      <x:c r="K48" s="2">
        <x:v>4</x:v>
      </x:c>
      <x:c r="L48" s="2" t="s">
        <x:v>44</x:v>
      </x:c>
      <x:c r="M48" s="2">
        <x:v>65</x:v>
      </x:c>
      <x:c r="N48" s="2">
        <x:v>70</x:v>
      </x:c>
      <x:c r="O48" s="2">
        <x:v>65</x:v>
      </x:c>
      <x:c r="P48" s="2">
        <x:v>80</x:v>
      </x:c>
      <x:c r="Q48" s="2">
        <x:v>45</x:v>
      </x:c>
      <x:c r="R48" s="3" t="s">
        <x:v>1368</x:v>
      </x:c>
      <x:c r="S48" s="3" t="s">
        <x:v>1213</x:v>
      </x:c>
      <x:c r="T48" s="2" t="s">
        <x:v>44</x:v>
      </x:c>
      <x:c r="U48" s="2" t="s">
        <x:v>44</x:v>
      </x:c>
    </x:row>
    <x:row r="49" ht="22" customHeight="1">
      <x:c r="A49" s="2" t="s">
        <x:v>238</x:v>
      </x:c>
      <x:c r="B49" s="3" t="s">
        <x:v>240</x:v>
      </x:c>
      <x:c r="C49" s="3" t="s">
        <x:v>43</x:v>
      </x:c>
      <x:c r="D49" s="3" t="s">
        <x:v>199</x:v>
      </x:c>
      <x:c r="E49" s="3" t="s">
        <x:v>72</x:v>
      </x:c>
      <x:c r="F49" s="3" t="s">
        <x:v>75</x:v>
      </x:c>
      <x:c r="G49" s="2" t="s">
        <x:v>889</x:v>
      </x:c>
      <x:c r="H49" s="2" t="s">
        <x:v>1354</x:v>
      </x:c>
      <x:c r="I49" s="2">
        <x:v>3</x:v>
      </x:c>
      <x:c r="J49" s="2" t="s">
        <x:v>1366</x:v>
      </x:c>
      <x:c r="K49" s="2">
        <x:v>4</x:v>
      </x:c>
      <x:c r="L49" s="2" t="s">
        <x:v>44</x:v>
      </x:c>
      <x:c r="M49" s="2">
        <x:v>65</x:v>
      </x:c>
      <x:c r="N49" s="2">
        <x:v>70</x:v>
      </x:c>
      <x:c r="O49" s="2">
        <x:v>65</x:v>
      </x:c>
      <x:c r="P49" s="2">
        <x:v>80</x:v>
      </x:c>
      <x:c r="Q49" s="2">
        <x:v>45</x:v>
      </x:c>
      <x:c r="R49" s="3" t="s">
        <x:v>1371</x:v>
      </x:c>
      <x:c r="S49" s="3" t="s">
        <x:v>1213</x:v>
      </x:c>
      <x:c r="T49" s="2" t="s">
        <x:v>44</x:v>
      </x:c>
      <x:c r="U49" s="2" t="s">
        <x:v>218</x:v>
      </x:c>
    </x:row>
    <x:row r="50" ht="22" customHeight="1">
      <x:c r="A50" s="2" t="s">
        <x:v>241</x:v>
      </x:c>
      <x:c r="B50" s="3" t="s">
        <x:v>243</x:v>
      </x:c>
      <x:c r="C50" s="3" t="s">
        <x:v>43</x:v>
      </x:c>
      <x:c r="D50" s="3" t="s">
        <x:v>199</x:v>
      </x:c>
      <x:c r="E50" s="3" t="s">
        <x:v>57</x:v>
      </x:c>
      <x:c r="F50" s="3" t="s">
        <x:v>62</x:v>
      </x:c>
      <x:c r="G50" s="2" t="s">
        <x:v>889</x:v>
      </x:c>
      <x:c r="H50" s="2" t="s">
        <x:v>1354</x:v>
      </x:c>
      <x:c r="I50" s="2">
        <x:v>3</x:v>
      </x:c>
      <x:c r="J50" s="2" t="s">
        <x:v>1366</x:v>
      </x:c>
      <x:c r="K50" s="2">
        <x:v>4</x:v>
      </x:c>
      <x:c r="L50" s="2" t="s">
        <x:v>44</x:v>
      </x:c>
      <x:c r="M50" s="2">
        <x:v>65</x:v>
      </x:c>
      <x:c r="N50" s="2">
        <x:v>70</x:v>
      </x:c>
      <x:c r="O50" s="2">
        <x:v>65</x:v>
      </x:c>
      <x:c r="P50" s="2">
        <x:v>80</x:v>
      </x:c>
      <x:c r="Q50" s="2">
        <x:v>45</x:v>
      </x:c>
      <x:c r="R50" s="3" t="s">
        <x:v>1369</x:v>
      </x:c>
      <x:c r="S50" s="3" t="s">
        <x:v>1213</x:v>
      </x:c>
      <x:c r="T50" s="2" t="s">
        <x:v>44</x:v>
      </x:c>
      <x:c r="U50" s="2" t="s">
        <x:v>64</x:v>
      </x:c>
    </x:row>
    <x:row r="51" ht="22" customHeight="1">
      <x:c r="A51" s="2" t="s">
        <x:v>244</x:v>
      </x:c>
      <x:c r="B51" s="3" t="s">
        <x:v>246</x:v>
      </x:c>
      <x:c r="C51" s="3" t="s">
        <x:v>43</x:v>
      </x:c>
      <x:c r="D51" s="3" t="s">
        <x:v>199</x:v>
      </x:c>
      <x:c r="E51" s="3" t="s">
        <x:v>50</x:v>
      </x:c>
      <x:c r="F51" s="3" t="s">
        <x:v>195</x:v>
      </x:c>
      <x:c r="G51" s="2" t="s">
        <x:v>889</x:v>
      </x:c>
      <x:c r="H51" s="2" t="s">
        <x:v>1354</x:v>
      </x:c>
      <x:c r="I51" s="2">
        <x:v>3</x:v>
      </x:c>
      <x:c r="J51" s="2" t="s">
        <x:v>1366</x:v>
      </x:c>
      <x:c r="K51" s="2">
        <x:v>4</x:v>
      </x:c>
      <x:c r="L51" s="2" t="s">
        <x:v>44</x:v>
      </x:c>
      <x:c r="M51" s="2">
        <x:v>65</x:v>
      </x:c>
      <x:c r="N51" s="2">
        <x:v>70</x:v>
      </x:c>
      <x:c r="O51" s="2">
        <x:v>65</x:v>
      </x:c>
      <x:c r="P51" s="2">
        <x:v>80</x:v>
      </x:c>
      <x:c r="Q51" s="2">
        <x:v>45</x:v>
      </x:c>
      <x:c r="R51" s="3" t="s">
        <x:v>1374</x:v>
      </x:c>
      <x:c r="S51" s="3" t="s">
        <x:v>1213</x:v>
      </x:c>
      <x:c r="T51" s="2" t="s">
        <x:v>44</x:v>
      </x:c>
      <x:c r="U51" s="2" t="s">
        <x:v>248</x:v>
      </x:c>
    </x:row>
    <x:row r="52" ht="22" customHeight="1">
      <x:c r="A52" s="2" t="s">
        <x:v>249</x:v>
      </x:c>
      <x:c r="B52" s="3" t="s">
        <x:v>251</x:v>
      </x:c>
      <x:c r="C52" s="3" t="s">
        <x:v>43</x:v>
      </x:c>
      <x:c r="D52" s="3" t="s">
        <x:v>199</x:v>
      </x:c>
      <x:c r="E52" s="3" t="s">
        <x:v>72</x:v>
      </x:c>
      <x:c r="F52" s="3" t="s">
        <x:v>75</x:v>
      </x:c>
      <x:c r="G52" s="2" t="s">
        <x:v>889</x:v>
      </x:c>
      <x:c r="H52" s="2" t="s">
        <x:v>1354</x:v>
      </x:c>
      <x:c r="I52" s="2">
        <x:v>3</x:v>
      </x:c>
      <x:c r="J52" s="2" t="s">
        <x:v>1366</x:v>
      </x:c>
      <x:c r="K52" s="2">
        <x:v>4</x:v>
      </x:c>
      <x:c r="L52" s="2" t="s">
        <x:v>44</x:v>
      </x:c>
      <x:c r="M52" s="2">
        <x:v>65</x:v>
      </x:c>
      <x:c r="N52" s="2">
        <x:v>70</x:v>
      </x:c>
      <x:c r="O52" s="2">
        <x:v>65</x:v>
      </x:c>
      <x:c r="P52" s="2">
        <x:v>80</x:v>
      </x:c>
      <x:c r="Q52" s="2">
        <x:v>45</x:v>
      </x:c>
      <x:c r="R52" s="3" t="s">
        <x:v>1371</x:v>
      </x:c>
      <x:c r="S52" s="3" t="s">
        <x:v>1213</x:v>
      </x:c>
      <x:c r="T52" s="2" t="s">
        <x:v>44</x:v>
      </x:c>
      <x:c r="U52" s="2" t="s">
        <x:v>218</x:v>
      </x:c>
    </x:row>
    <x:row r="53" ht="22" customHeight="1">
      <x:c r="A53" s="2" t="s">
        <x:v>252</x:v>
      </x:c>
      <x:c r="B53" s="3" t="s">
        <x:v>254</x:v>
      </x:c>
      <x:c r="C53" s="3" t="s">
        <x:v>43</x:v>
      </x:c>
      <x:c r="D53" s="3" t="s">
        <x:v>199</x:v>
      </x:c>
      <x:c r="E53" s="3" t="s">
        <x:v>165</x:v>
      </x:c>
      <x:c r="F53" s="3" t="s">
        <x:v>166</x:v>
      </x:c>
      <x:c r="G53" s="2" t="s">
        <x:v>889</x:v>
      </x:c>
      <x:c r="H53" s="2" t="s">
        <x:v>1354</x:v>
      </x:c>
      <x:c r="I53" s="2">
        <x:v>3</x:v>
      </x:c>
      <x:c r="J53" s="2" t="s">
        <x:v>1366</x:v>
      </x:c>
      <x:c r="K53" s="2">
        <x:v>4</x:v>
      </x:c>
      <x:c r="L53" s="2" t="s">
        <x:v>44</x:v>
      </x:c>
      <x:c r="M53" s="2">
        <x:v>65</x:v>
      </x:c>
      <x:c r="N53" s="2">
        <x:v>70</x:v>
      </x:c>
      <x:c r="O53" s="2">
        <x:v>65</x:v>
      </x:c>
      <x:c r="P53" s="2">
        <x:v>80</x:v>
      </x:c>
      <x:c r="Q53" s="2">
        <x:v>45</x:v>
      </x:c>
      <x:c r="R53" s="3" t="s">
        <x:v>1368</x:v>
      </x:c>
      <x:c r="S53" s="3" t="s">
        <x:v>1213</x:v>
      </x:c>
      <x:c r="T53" s="2" t="s">
        <x:v>44</x:v>
      </x:c>
      <x:c r="U53" s="2" t="s">
        <x:v>44</x:v>
      </x:c>
    </x:row>
    <x:row r="54" ht="22" customHeight="1">
      <x:c r="A54" s="2" t="s">
        <x:v>255</x:v>
      </x:c>
      <x:c r="B54" s="3" t="s">
        <x:v>257</x:v>
      </x:c>
      <x:c r="C54" s="3" t="s">
        <x:v>87</x:v>
      </x:c>
      <x:c r="D54" s="3" t="s">
        <x:v>199</x:v>
      </x:c>
      <x:c r="E54" s="3" t="s">
        <x:v>110</x:v>
      </x:c>
      <x:c r="F54" s="3" t="s">
        <x:v>259</x:v>
      </x:c>
      <x:c r="G54" s="2" t="s">
        <x:v>889</x:v>
      </x:c>
      <x:c r="H54" s="2" t="s">
        <x:v>1354</x:v>
      </x:c>
      <x:c r="I54" s="2">
        <x:v>3</x:v>
      </x:c>
      <x:c r="J54" s="2" t="s">
        <x:v>1366</x:v>
      </x:c>
      <x:c r="K54" s="2">
        <x:v>4</x:v>
      </x:c>
      <x:c r="L54" s="2" t="s">
        <x:v>44</x:v>
      </x:c>
      <x:c r="M54" s="2">
        <x:v>65</x:v>
      </x:c>
      <x:c r="N54" s="2">
        <x:v>70</x:v>
      </x:c>
      <x:c r="O54" s="2">
        <x:v>65</x:v>
      </x:c>
      <x:c r="P54" s="2">
        <x:v>80</x:v>
      </x:c>
      <x:c r="Q54" s="2">
        <x:v>45</x:v>
      </x:c>
      <x:c r="R54" s="3" t="s">
        <x:v>1375</x:v>
      </x:c>
      <x:c r="S54" s="3" t="s">
        <x:v>1213</x:v>
      </x:c>
      <x:c r="T54" s="2" t="s">
        <x:v>44</x:v>
      </x:c>
      <x:c r="U54" s="2" t="s">
        <x:v>260</x:v>
      </x:c>
    </x:row>
    <x:row r="55" ht="22" customHeight="1">
      <x:c r="A55" s="2" t="s">
        <x:v>261</x:v>
      </x:c>
      <x:c r="B55" s="3" t="s">
        <x:v>263</x:v>
      </x:c>
      <x:c r="C55" s="3" t="s">
        <x:v>87</x:v>
      </x:c>
      <x:c r="D55" s="3" t="s">
        <x:v>199</x:v>
      </x:c>
      <x:c r="E55" s="3" t="s">
        <x:v>110</x:v>
      </x:c>
      <x:c r="F55" s="3" t="s">
        <x:v>259</x:v>
      </x:c>
      <x:c r="G55" s="2" t="s">
        <x:v>889</x:v>
      </x:c>
      <x:c r="H55" s="2" t="s">
        <x:v>1354</x:v>
      </x:c>
      <x:c r="I55" s="2">
        <x:v>3</x:v>
      </x:c>
      <x:c r="J55" s="2" t="s">
        <x:v>1366</x:v>
      </x:c>
      <x:c r="K55" s="2">
        <x:v>4</x:v>
      </x:c>
      <x:c r="L55" s="2" t="s">
        <x:v>44</x:v>
      </x:c>
      <x:c r="M55" s="2">
        <x:v>65</x:v>
      </x:c>
      <x:c r="N55" s="2">
        <x:v>70</x:v>
      </x:c>
      <x:c r="O55" s="2">
        <x:v>65</x:v>
      </x:c>
      <x:c r="P55" s="2">
        <x:v>80</x:v>
      </x:c>
      <x:c r="Q55" s="2">
        <x:v>45</x:v>
      </x:c>
      <x:c r="R55" s="3" t="s">
        <x:v>1375</x:v>
      </x:c>
      <x:c r="S55" s="3" t="s">
        <x:v>1213</x:v>
      </x:c>
      <x:c r="T55" s="2" t="s">
        <x:v>44</x:v>
      </x:c>
      <x:c r="U55" s="2" t="s">
        <x:v>260</x:v>
      </x:c>
    </x:row>
    <x:row r="56" ht="22" customHeight="1">
      <x:c r="A56" s="2" t="s">
        <x:v>264</x:v>
      </x:c>
      <x:c r="B56" s="3" t="s">
        <x:v>266</x:v>
      </x:c>
      <x:c r="C56" s="3" t="s">
        <x:v>87</x:v>
      </x:c>
      <x:c r="D56" s="3" t="s">
        <x:v>199</x:v>
      </x:c>
      <x:c r="E56" s="3" t="s">
        <x:v>110</x:v>
      </x:c>
      <x:c r="F56" s="3" t="s">
        <x:v>259</x:v>
      </x:c>
      <x:c r="G56" s="2" t="s">
        <x:v>889</x:v>
      </x:c>
      <x:c r="H56" s="2" t="s">
        <x:v>1354</x:v>
      </x:c>
      <x:c r="I56" s="2">
        <x:v>3</x:v>
      </x:c>
      <x:c r="J56" s="2" t="s">
        <x:v>1366</x:v>
      </x:c>
      <x:c r="K56" s="2">
        <x:v>4</x:v>
      </x:c>
      <x:c r="L56" s="2" t="s">
        <x:v>44</x:v>
      </x:c>
      <x:c r="M56" s="2">
        <x:v>65</x:v>
      </x:c>
      <x:c r="N56" s="2">
        <x:v>70</x:v>
      </x:c>
      <x:c r="O56" s="2">
        <x:v>65</x:v>
      </x:c>
      <x:c r="P56" s="2">
        <x:v>80</x:v>
      </x:c>
      <x:c r="Q56" s="2">
        <x:v>45</x:v>
      </x:c>
      <x:c r="R56" s="3" t="s">
        <x:v>1375</x:v>
      </x:c>
      <x:c r="S56" s="3" t="s">
        <x:v>1213</x:v>
      </x:c>
      <x:c r="T56" s="2" t="s">
        <x:v>44</x:v>
      </x:c>
      <x:c r="U56" s="2" t="s">
        <x:v>260</x:v>
      </x:c>
    </x:row>
    <x:row r="57" ht="22" customHeight="1">
      <x:c r="A57" s="2" t="s">
        <x:v>268</x:v>
      </x:c>
      <x:c r="B57" s="3" t="s">
        <x:v>270</x:v>
      </x:c>
      <x:c r="C57" s="3" t="s">
        <x:v>43</x:v>
      </x:c>
      <x:c r="D57" s="3" t="s">
        <x:v>199</x:v>
      </x:c>
      <x:c r="E57" s="3" t="s">
        <x:v>110</x:v>
      </x:c>
      <x:c r="F57" s="3" t="s">
        <x:v>115</x:v>
      </x:c>
      <x:c r="G57" s="2" t="s">
        <x:v>889</x:v>
      </x:c>
      <x:c r="H57" s="2" t="s">
        <x:v>1354</x:v>
      </x:c>
      <x:c r="I57" s="2">
        <x:v>3</x:v>
      </x:c>
      <x:c r="J57" s="2" t="s">
        <x:v>1366</x:v>
      </x:c>
      <x:c r="K57" s="2">
        <x:v>4</x:v>
      </x:c>
      <x:c r="L57" s="2" t="s">
        <x:v>44</x:v>
      </x:c>
      <x:c r="M57" s="2">
        <x:v>65</x:v>
      </x:c>
      <x:c r="N57" s="2">
        <x:v>70</x:v>
      </x:c>
      <x:c r="O57" s="2">
        <x:v>65</x:v>
      </x:c>
      <x:c r="P57" s="2">
        <x:v>80</x:v>
      </x:c>
      <x:c r="Q57" s="2">
        <x:v>45</x:v>
      </x:c>
      <x:c r="R57" s="3" t="s">
        <x:v>1376</x:v>
      </x:c>
      <x:c r="S57" s="3" t="s">
        <x:v>1213</x:v>
      </x:c>
      <x:c r="T57" s="2" t="s">
        <x:v>44</x:v>
      </x:c>
      <x:c r="U57" s="2" t="s">
        <x:v>260</x:v>
      </x:c>
    </x:row>
    <x:row r="58" ht="22" customHeight="1">
      <x:c r="A58" s="2" t="s">
        <x:v>271</x:v>
      </x:c>
      <x:c r="B58" s="3" t="s">
        <x:v>273</x:v>
      </x:c>
      <x:c r="C58" s="3" t="s">
        <x:v>87</x:v>
      </x:c>
      <x:c r="D58" s="3" t="s">
        <x:v>199</x:v>
      </x:c>
      <x:c r="E58" s="3" t="s">
        <x:v>110</x:v>
      </x:c>
      <x:c r="F58" s="3" t="s">
        <x:v>259</x:v>
      </x:c>
      <x:c r="G58" s="2" t="s">
        <x:v>889</x:v>
      </x:c>
      <x:c r="H58" s="2" t="s">
        <x:v>1354</x:v>
      </x:c>
      <x:c r="I58" s="2">
        <x:v>3</x:v>
      </x:c>
      <x:c r="J58" s="2" t="s">
        <x:v>1366</x:v>
      </x:c>
      <x:c r="K58" s="2">
        <x:v>4</x:v>
      </x:c>
      <x:c r="L58" s="2" t="s">
        <x:v>44</x:v>
      </x:c>
      <x:c r="M58" s="2">
        <x:v>65</x:v>
      </x:c>
      <x:c r="N58" s="2">
        <x:v>70</x:v>
      </x:c>
      <x:c r="O58" s="2">
        <x:v>65</x:v>
      </x:c>
      <x:c r="P58" s="2">
        <x:v>80</x:v>
      </x:c>
      <x:c r="Q58" s="2">
        <x:v>45</x:v>
      </x:c>
      <x:c r="R58" s="3" t="s">
        <x:v>1375</x:v>
      </x:c>
      <x:c r="S58" s="3" t="s">
        <x:v>1213</x:v>
      </x:c>
      <x:c r="T58" s="2" t="s">
        <x:v>44</x:v>
      </x:c>
      <x:c r="U58" s="2" t="s">
        <x:v>260</x:v>
      </x:c>
    </x:row>
    <x:row r="59" ht="22" customHeight="1">
      <x:c r="A59" s="2" t="s">
        <x:v>274</x:v>
      </x:c>
      <x:c r="B59" s="3" t="s">
        <x:v>276</x:v>
      </x:c>
      <x:c r="C59" s="3" t="s">
        <x:v>79</x:v>
      </x:c>
      <x:c r="D59" s="3" t="s">
        <x:v>199</x:v>
      </x:c>
      <x:c r="E59" s="3" t="s">
        <x:v>81</x:v>
      </x:c>
      <x:c r="F59" s="3" t="s">
        <x:v>83</x:v>
      </x:c>
      <x:c r="G59" s="2" t="s">
        <x:v>889</x:v>
      </x:c>
      <x:c r="H59" s="2" t="s">
        <x:v>1354</x:v>
      </x:c>
      <x:c r="I59" s="2">
        <x:v>3</x:v>
      </x:c>
      <x:c r="J59" s="2" t="s">
        <x:v>1366</x:v>
      </x:c>
      <x:c r="K59" s="2">
        <x:v>4</x:v>
      </x:c>
      <x:c r="L59" s="2" t="s">
        <x:v>44</x:v>
      </x:c>
      <x:c r="M59" s="2">
        <x:v>65</x:v>
      </x:c>
      <x:c r="N59" s="2">
        <x:v>70</x:v>
      </x:c>
      <x:c r="O59" s="2">
        <x:v>65</x:v>
      </x:c>
      <x:c r="P59" s="2">
        <x:v>80</x:v>
      </x:c>
      <x:c r="Q59" s="2">
        <x:v>45</x:v>
      </x:c>
      <x:c r="R59" s="3" t="s">
        <x:v>1370</x:v>
      </x:c>
      <x:c r="S59" s="3" t="s">
        <x:v>1213</x:v>
      </x:c>
      <x:c r="T59" s="2" t="s">
        <x:v>44</x:v>
      </x:c>
      <x:c r="U59" s="2" t="s">
        <x:v>44</x:v>
      </x:c>
    </x:row>
    <x:row r="60" ht="22" customHeight="1">
      <x:c r="A60" s="2" t="s">
        <x:v>277</x:v>
      </x:c>
      <x:c r="B60" s="3" t="s">
        <x:v>279</x:v>
      </x:c>
      <x:c r="C60" s="3" t="s">
        <x:v>87</x:v>
      </x:c>
      <x:c r="D60" s="3" t="s">
        <x:v>199</x:v>
      </x:c>
      <x:c r="E60" s="3" t="s">
        <x:v>110</x:v>
      </x:c>
      <x:c r="F60" s="3" t="s">
        <x:v>259</x:v>
      </x:c>
      <x:c r="G60" s="2" t="s">
        <x:v>889</x:v>
      </x:c>
      <x:c r="H60" s="2" t="s">
        <x:v>1354</x:v>
      </x:c>
      <x:c r="I60" s="2">
        <x:v>3</x:v>
      </x:c>
      <x:c r="J60" s="2" t="s">
        <x:v>1366</x:v>
      </x:c>
      <x:c r="K60" s="2">
        <x:v>4</x:v>
      </x:c>
      <x:c r="L60" s="2" t="s">
        <x:v>44</x:v>
      </x:c>
      <x:c r="M60" s="2">
        <x:v>65</x:v>
      </x:c>
      <x:c r="N60" s="2">
        <x:v>70</x:v>
      </x:c>
      <x:c r="O60" s="2">
        <x:v>65</x:v>
      </x:c>
      <x:c r="P60" s="2">
        <x:v>80</x:v>
      </x:c>
      <x:c r="Q60" s="2">
        <x:v>45</x:v>
      </x:c>
      <x:c r="R60" s="3" t="s">
        <x:v>1375</x:v>
      </x:c>
      <x:c r="S60" s="3" t="s">
        <x:v>1213</x:v>
      </x:c>
      <x:c r="T60" s="2" t="s">
        <x:v>44</x:v>
      </x:c>
      <x:c r="U60" s="2" t="s">
        <x:v>260</x:v>
      </x:c>
    </x:row>
    <x:row r="61" ht="22" customHeight="1">
      <x:c r="A61" s="2" t="s">
        <x:v>280</x:v>
      </x:c>
      <x:c r="B61" s="3" t="s">
        <x:v>282</x:v>
      </x:c>
      <x:c r="C61" s="3" t="s">
        <x:v>43</x:v>
      </x:c>
      <x:c r="D61" s="3" t="s">
        <x:v>199</x:v>
      </x:c>
      <x:c r="E61" s="3" t="s">
        <x:v>110</x:v>
      </x:c>
      <x:c r="F61" s="3" t="s">
        <x:v>115</x:v>
      </x:c>
      <x:c r="G61" s="2" t="s">
        <x:v>889</x:v>
      </x:c>
      <x:c r="H61" s="2" t="s">
        <x:v>1354</x:v>
      </x:c>
      <x:c r="I61" s="2">
        <x:v>3</x:v>
      </x:c>
      <x:c r="J61" s="2" t="s">
        <x:v>1366</x:v>
      </x:c>
      <x:c r="K61" s="2">
        <x:v>4</x:v>
      </x:c>
      <x:c r="L61" s="2" t="s">
        <x:v>44</x:v>
      </x:c>
      <x:c r="M61" s="2">
        <x:v>65</x:v>
      </x:c>
      <x:c r="N61" s="2">
        <x:v>70</x:v>
      </x:c>
      <x:c r="O61" s="2">
        <x:v>65</x:v>
      </x:c>
      <x:c r="P61" s="2">
        <x:v>80</x:v>
      </x:c>
      <x:c r="Q61" s="2">
        <x:v>45</x:v>
      </x:c>
      <x:c r="R61" s="3" t="s">
        <x:v>1376</x:v>
      </x:c>
      <x:c r="S61" s="3" t="s">
        <x:v>1213</x:v>
      </x:c>
      <x:c r="T61" s="2" t="s">
        <x:v>44</x:v>
      </x:c>
      <x:c r="U61" s="2" t="s">
        <x:v>260</x:v>
      </x:c>
    </x:row>
    <x:row r="62" ht="22" customHeight="1">
      <x:c r="A62" s="2" t="s">
        <x:v>283</x:v>
      </x:c>
      <x:c r="B62" s="3" t="s">
        <x:v>285</x:v>
      </x:c>
      <x:c r="C62" s="3" t="s">
        <x:v>79</x:v>
      </x:c>
      <x:c r="D62" s="3" t="s">
        <x:v>199</x:v>
      </x:c>
      <x:c r="E62" s="3" t="s">
        <x:v>81</x:v>
      </x:c>
      <x:c r="F62" s="3" t="s">
        <x:v>83</x:v>
      </x:c>
      <x:c r="G62" s="2" t="s">
        <x:v>889</x:v>
      </x:c>
      <x:c r="H62" s="2" t="s">
        <x:v>1354</x:v>
      </x:c>
      <x:c r="I62" s="2">
        <x:v>3</x:v>
      </x:c>
      <x:c r="J62" s="2" t="s">
        <x:v>1366</x:v>
      </x:c>
      <x:c r="K62" s="2">
        <x:v>4</x:v>
      </x:c>
      <x:c r="L62" s="2" t="s">
        <x:v>44</x:v>
      </x:c>
      <x:c r="M62" s="2">
        <x:v>65</x:v>
      </x:c>
      <x:c r="N62" s="2">
        <x:v>70</x:v>
      </x:c>
      <x:c r="O62" s="2">
        <x:v>65</x:v>
      </x:c>
      <x:c r="P62" s="2">
        <x:v>80</x:v>
      </x:c>
      <x:c r="Q62" s="2">
        <x:v>45</x:v>
      </x:c>
      <x:c r="R62" s="3" t="s">
        <x:v>1370</x:v>
      </x:c>
      <x:c r="S62" s="3" t="s">
        <x:v>1213</x:v>
      </x:c>
      <x:c r="T62" s="2" t="s">
        <x:v>44</x:v>
      </x:c>
      <x:c r="U62" s="2" t="s">
        <x:v>44</x:v>
      </x:c>
    </x:row>
    <x:row r="63" ht="22" customHeight="1">
      <x:c r="A63" s="2" t="s">
        <x:v>286</x:v>
      </x:c>
      <x:c r="B63" s="3" t="s">
        <x:v>288</x:v>
      </x:c>
      <x:c r="C63" s="3" t="s">
        <x:v>43</x:v>
      </x:c>
      <x:c r="D63" s="3" t="s">
        <x:v>199</x:v>
      </x:c>
      <x:c r="E63" s="3" t="s">
        <x:v>110</x:v>
      </x:c>
      <x:c r="F63" s="3" t="s">
        <x:v>115</x:v>
      </x:c>
      <x:c r="G63" s="2" t="s">
        <x:v>889</x:v>
      </x:c>
      <x:c r="H63" s="2" t="s">
        <x:v>1354</x:v>
      </x:c>
      <x:c r="I63" s="2">
        <x:v>3</x:v>
      </x:c>
      <x:c r="J63" s="2" t="s">
        <x:v>1366</x:v>
      </x:c>
      <x:c r="K63" s="2">
        <x:v>4</x:v>
      </x:c>
      <x:c r="L63" s="2" t="s">
        <x:v>44</x:v>
      </x:c>
      <x:c r="M63" s="2">
        <x:v>65</x:v>
      </x:c>
      <x:c r="N63" s="2">
        <x:v>70</x:v>
      </x:c>
      <x:c r="O63" s="2">
        <x:v>65</x:v>
      </x:c>
      <x:c r="P63" s="2">
        <x:v>80</x:v>
      </x:c>
      <x:c r="Q63" s="2">
        <x:v>45</x:v>
      </x:c>
      <x:c r="R63" s="3" t="s">
        <x:v>1376</x:v>
      </x:c>
      <x:c r="S63" s="3" t="s">
        <x:v>1213</x:v>
      </x:c>
      <x:c r="T63" s="2" t="s">
        <x:v>44</x:v>
      </x:c>
      <x:c r="U63" s="2" t="s">
        <x:v>260</x:v>
      </x:c>
    </x:row>
    <x:row r="64" ht="22" customHeight="1">
      <x:c r="A64" s="2" t="s">
        <x:v>289</x:v>
      </x:c>
      <x:c r="B64" s="3" t="s">
        <x:v>291</x:v>
      </x:c>
      <x:c r="C64" s="3" t="s">
        <x:v>43</x:v>
      </x:c>
      <x:c r="D64" s="3" t="s">
        <x:v>199</x:v>
      </x:c>
      <x:c r="E64" s="3" t="s">
        <x:v>50</x:v>
      </x:c>
      <x:c r="F64" s="3" t="s">
        <x:v>195</x:v>
      </x:c>
      <x:c r="G64" s="2" t="s">
        <x:v>889</x:v>
      </x:c>
      <x:c r="H64" s="2" t="s">
        <x:v>1354</x:v>
      </x:c>
      <x:c r="I64" s="2">
        <x:v>3</x:v>
      </x:c>
      <x:c r="J64" s="2" t="s">
        <x:v>1366</x:v>
      </x:c>
      <x:c r="K64" s="2">
        <x:v>4</x:v>
      </x:c>
      <x:c r="L64" s="2" t="s">
        <x:v>44</x:v>
      </x:c>
      <x:c r="M64" s="2">
        <x:v>65</x:v>
      </x:c>
      <x:c r="N64" s="2">
        <x:v>70</x:v>
      </x:c>
      <x:c r="O64" s="2">
        <x:v>65</x:v>
      </x:c>
      <x:c r="P64" s="2">
        <x:v>80</x:v>
      </x:c>
      <x:c r="Q64" s="2">
        <x:v>45</x:v>
      </x:c>
      <x:c r="R64" s="3" t="s">
        <x:v>1374</x:v>
      </x:c>
      <x:c r="S64" s="3" t="s">
        <x:v>1213</x:v>
      </x:c>
      <x:c r="T64" s="2" t="s">
        <x:v>44</x:v>
      </x:c>
      <x:c r="U64" s="2" t="s">
        <x:v>248</x:v>
      </x:c>
    </x:row>
    <x:row r="65" ht="22" customHeight="1">
      <x:c r="A65" s="2" t="s">
        <x:v>292</x:v>
      </x:c>
      <x:c r="B65" s="3" t="s">
        <x:v>294</x:v>
      </x:c>
      <x:c r="C65" s="3" t="s">
        <x:v>43</x:v>
      </x:c>
      <x:c r="D65" s="3" t="s">
        <x:v>199</x:v>
      </x:c>
      <x:c r="E65" s="3" t="s">
        <x:v>50</x:v>
      </x:c>
      <x:c r="F65" s="3" t="s">
        <x:v>195</x:v>
      </x:c>
      <x:c r="G65" s="2" t="s">
        <x:v>889</x:v>
      </x:c>
      <x:c r="H65" s="2" t="s">
        <x:v>1354</x:v>
      </x:c>
      <x:c r="I65" s="2">
        <x:v>3</x:v>
      </x:c>
      <x:c r="J65" s="2" t="s">
        <x:v>1366</x:v>
      </x:c>
      <x:c r="K65" s="2">
        <x:v>4</x:v>
      </x:c>
      <x:c r="L65" s="2" t="s">
        <x:v>44</x:v>
      </x:c>
      <x:c r="M65" s="2">
        <x:v>65</x:v>
      </x:c>
      <x:c r="N65" s="2">
        <x:v>70</x:v>
      </x:c>
      <x:c r="O65" s="2">
        <x:v>65</x:v>
      </x:c>
      <x:c r="P65" s="2">
        <x:v>80</x:v>
      </x:c>
      <x:c r="Q65" s="2">
        <x:v>45</x:v>
      </x:c>
      <x:c r="R65" s="3" t="s">
        <x:v>1374</x:v>
      </x:c>
      <x:c r="S65" s="3" t="s">
        <x:v>1213</x:v>
      </x:c>
      <x:c r="T65" s="2" t="s">
        <x:v>44</x:v>
      </x:c>
      <x:c r="U65" s="2" t="s">
        <x:v>248</x:v>
      </x:c>
    </x:row>
    <x:row r="66" ht="22" customHeight="1">
      <x:c r="A66" s="2" t="s">
        <x:v>296</x:v>
      </x:c>
      <x:c r="B66" s="3" t="s">
        <x:v>298</x:v>
      </x:c>
      <x:c r="C66" s="3" t="s">
        <x:v>43</x:v>
      </x:c>
      <x:c r="D66" s="3" t="s">
        <x:v>199</x:v>
      </x:c>
      <x:c r="E66" s="3" t="s">
        <x:v>110</x:v>
      </x:c>
      <x:c r="F66" s="3" t="s">
        <x:v>115</x:v>
      </x:c>
      <x:c r="G66" s="2" t="s">
        <x:v>889</x:v>
      </x:c>
      <x:c r="H66" s="2" t="s">
        <x:v>1354</x:v>
      </x:c>
      <x:c r="I66" s="2">
        <x:v>3</x:v>
      </x:c>
      <x:c r="J66" s="2" t="s">
        <x:v>1366</x:v>
      </x:c>
      <x:c r="K66" s="2">
        <x:v>4</x:v>
      </x:c>
      <x:c r="L66" s="2" t="s">
        <x:v>44</x:v>
      </x:c>
      <x:c r="M66" s="2">
        <x:v>65</x:v>
      </x:c>
      <x:c r="N66" s="2">
        <x:v>70</x:v>
      </x:c>
      <x:c r="O66" s="2">
        <x:v>65</x:v>
      </x:c>
      <x:c r="P66" s="2">
        <x:v>80</x:v>
      </x:c>
      <x:c r="Q66" s="2">
        <x:v>45</x:v>
      </x:c>
      <x:c r="R66" s="3" t="s">
        <x:v>1376</x:v>
      </x:c>
      <x:c r="S66" s="3" t="s">
        <x:v>1213</x:v>
      </x:c>
      <x:c r="T66" s="2" t="s">
        <x:v>44</x:v>
      </x:c>
      <x:c r="U66" s="2" t="s">
        <x:v>260</x:v>
      </x:c>
    </x:row>
    <x:row r="67" ht="22" customHeight="1">
      <x:c r="A67" s="2" t="s">
        <x:v>300</x:v>
      </x:c>
      <x:c r="B67" s="3" t="s">
        <x:v>302</x:v>
      </x:c>
      <x:c r="C67" s="3" t="s">
        <x:v>87</x:v>
      </x:c>
      <x:c r="D67" s="3" t="s">
        <x:v>199</x:v>
      </x:c>
      <x:c r="E67" s="3" t="s">
        <x:v>72</x:v>
      </x:c>
      <x:c r="F67" s="3" t="s">
        <x:v>88</x:v>
      </x:c>
      <x:c r="G67" s="2" t="s">
        <x:v>889</x:v>
      </x:c>
      <x:c r="H67" s="2" t="s">
        <x:v>1354</x:v>
      </x:c>
      <x:c r="I67" s="2">
        <x:v>3</x:v>
      </x:c>
      <x:c r="J67" s="2" t="s">
        <x:v>1366</x:v>
      </x:c>
      <x:c r="K67" s="2">
        <x:v>4</x:v>
      </x:c>
      <x:c r="L67" s="2" t="s">
        <x:v>44</x:v>
      </x:c>
      <x:c r="M67" s="2">
        <x:v>65</x:v>
      </x:c>
      <x:c r="N67" s="2">
        <x:v>70</x:v>
      </x:c>
      <x:c r="O67" s="2">
        <x:v>65</x:v>
      </x:c>
      <x:c r="P67" s="2">
        <x:v>80</x:v>
      </x:c>
      <x:c r="Q67" s="2">
        <x:v>45</x:v>
      </x:c>
      <x:c r="R67" s="3" t="s">
        <x:v>1377</x:v>
      </x:c>
      <x:c r="S67" s="3" t="s">
        <x:v>1213</x:v>
      </x:c>
      <x:c r="T67" s="2" t="s">
        <x:v>44</x:v>
      </x:c>
      <x:c r="U67" s="2" t="s">
        <x:v>218</x:v>
      </x:c>
    </x:row>
    <x:row r="68" ht="22" customHeight="1">
      <x:c r="A68" s="2" t="s">
        <x:v>303</x:v>
      </x:c>
      <x:c r="B68" s="3" t="s">
        <x:v>305</x:v>
      </x:c>
      <x:c r="C68" s="3" t="s">
        <x:v>120</x:v>
      </x:c>
      <x:c r="D68" s="3" t="s">
        <x:v>199</x:v>
      </x:c>
      <x:c r="E68" s="3" t="s">
        <x:v>57</x:v>
      </x:c>
      <x:c r="F68" s="3" t="s">
        <x:v>122</x:v>
      </x:c>
      <x:c r="G68" s="2" t="s">
        <x:v>889</x:v>
      </x:c>
      <x:c r="H68" s="2" t="s">
        <x:v>1354</x:v>
      </x:c>
      <x:c r="I68" s="2">
        <x:v>3</x:v>
      </x:c>
      <x:c r="J68" s="2" t="s">
        <x:v>1366</x:v>
      </x:c>
      <x:c r="K68" s="2">
        <x:v>4</x:v>
      </x:c>
      <x:c r="L68" s="2" t="s">
        <x:v>44</x:v>
      </x:c>
      <x:c r="M68" s="2">
        <x:v>65</x:v>
      </x:c>
      <x:c r="N68" s="2">
        <x:v>70</x:v>
      </x:c>
      <x:c r="O68" s="2">
        <x:v>65</x:v>
      </x:c>
      <x:c r="P68" s="2">
        <x:v>80</x:v>
      </x:c>
      <x:c r="Q68" s="2">
        <x:v>45</x:v>
      </x:c>
      <x:c r="R68" s="3" t="s">
        <x:v>1373</x:v>
      </x:c>
      <x:c r="S68" s="3" t="s">
        <x:v>1213</x:v>
      </x:c>
      <x:c r="T68" s="2" t="s">
        <x:v>44</x:v>
      </x:c>
      <x:c r="U68" s="2" t="s">
        <x:v>64</x:v>
      </x:c>
    </x:row>
    <x:row r="69" ht="22" customHeight="1">
      <x:c r="A69" s="2" t="s">
        <x:v>306</x:v>
      </x:c>
      <x:c r="B69" s="3" t="s">
        <x:v>308</x:v>
      </x:c>
      <x:c r="C69" s="3" t="s">
        <x:v>120</x:v>
      </x:c>
      <x:c r="D69" s="3" t="s">
        <x:v>199</x:v>
      </x:c>
      <x:c r="E69" s="3" t="s">
        <x:v>57</x:v>
      </x:c>
      <x:c r="F69" s="3" t="s">
        <x:v>122</x:v>
      </x:c>
      <x:c r="G69" s="2" t="s">
        <x:v>889</x:v>
      </x:c>
      <x:c r="H69" s="2" t="s">
        <x:v>1354</x:v>
      </x:c>
      <x:c r="I69" s="2">
        <x:v>3</x:v>
      </x:c>
      <x:c r="J69" s="2" t="s">
        <x:v>1366</x:v>
      </x:c>
      <x:c r="K69" s="2">
        <x:v>4</x:v>
      </x:c>
      <x:c r="L69" s="2" t="s">
        <x:v>44</x:v>
      </x:c>
      <x:c r="M69" s="2">
        <x:v>65</x:v>
      </x:c>
      <x:c r="N69" s="2">
        <x:v>70</x:v>
      </x:c>
      <x:c r="O69" s="2">
        <x:v>65</x:v>
      </x:c>
      <x:c r="P69" s="2">
        <x:v>80</x:v>
      </x:c>
      <x:c r="Q69" s="2">
        <x:v>45</x:v>
      </x:c>
      <x:c r="R69" s="3" t="s">
        <x:v>1373</x:v>
      </x:c>
      <x:c r="S69" s="3" t="s">
        <x:v>1213</x:v>
      </x:c>
      <x:c r="T69" s="2" t="s">
        <x:v>44</x:v>
      </x:c>
      <x:c r="U69" s="2" t="s">
        <x:v>64</x:v>
      </x:c>
    </x:row>
    <x:row r="70" ht="22" customHeight="1">
      <x:c r="A70" s="2" t="s">
        <x:v>309</x:v>
      </x:c>
      <x:c r="B70" s="3" t="s">
        <x:v>311</x:v>
      </x:c>
      <x:c r="C70" s="3" t="s">
        <x:v>120</x:v>
      </x:c>
      <x:c r="D70" s="3" t="s">
        <x:v>199</x:v>
      </x:c>
      <x:c r="E70" s="3" t="s">
        <x:v>57</x:v>
      </x:c>
      <x:c r="F70" s="3" t="s">
        <x:v>122</x:v>
      </x:c>
      <x:c r="G70" s="2" t="s">
        <x:v>889</x:v>
      </x:c>
      <x:c r="H70" s="2" t="s">
        <x:v>1354</x:v>
      </x:c>
      <x:c r="I70" s="2">
        <x:v>3</x:v>
      </x:c>
      <x:c r="J70" s="2" t="s">
        <x:v>1366</x:v>
      </x:c>
      <x:c r="K70" s="2">
        <x:v>4</x:v>
      </x:c>
      <x:c r="L70" s="2" t="s">
        <x:v>44</x:v>
      </x:c>
      <x:c r="M70" s="2">
        <x:v>65</x:v>
      </x:c>
      <x:c r="N70" s="2">
        <x:v>70</x:v>
      </x:c>
      <x:c r="O70" s="2">
        <x:v>65</x:v>
      </x:c>
      <x:c r="P70" s="2">
        <x:v>80</x:v>
      </x:c>
      <x:c r="Q70" s="2">
        <x:v>45</x:v>
      </x:c>
      <x:c r="R70" s="3" t="s">
        <x:v>1373</x:v>
      </x:c>
      <x:c r="S70" s="3" t="s">
        <x:v>1213</x:v>
      </x:c>
      <x:c r="T70" s="2" t="s">
        <x:v>44</x:v>
      </x:c>
      <x:c r="U70" s="2" t="s">
        <x:v>64</x:v>
      </x:c>
    </x:row>
    <x:row r="71" ht="22" customHeight="1">
      <x:c r="A71" s="2" t="s">
        <x:v>312</x:v>
      </x:c>
      <x:c r="B71" s="3" t="s">
        <x:v>314</x:v>
      </x:c>
      <x:c r="C71" s="3" t="s">
        <x:v>120</x:v>
      </x:c>
      <x:c r="D71" s="3" t="s">
        <x:v>199</x:v>
      </x:c>
      <x:c r="E71" s="3" t="s">
        <x:v>57</x:v>
      </x:c>
      <x:c r="F71" s="3" t="s">
        <x:v>122</x:v>
      </x:c>
      <x:c r="G71" s="2" t="s">
        <x:v>889</x:v>
      </x:c>
      <x:c r="H71" s="2" t="s">
        <x:v>1354</x:v>
      </x:c>
      <x:c r="I71" s="2">
        <x:v>3</x:v>
      </x:c>
      <x:c r="J71" s="2" t="s">
        <x:v>1366</x:v>
      </x:c>
      <x:c r="K71" s="2">
        <x:v>4</x:v>
      </x:c>
      <x:c r="L71" s="2" t="s">
        <x:v>44</x:v>
      </x:c>
      <x:c r="M71" s="2">
        <x:v>65</x:v>
      </x:c>
      <x:c r="N71" s="2">
        <x:v>70</x:v>
      </x:c>
      <x:c r="O71" s="2">
        <x:v>65</x:v>
      </x:c>
      <x:c r="P71" s="2">
        <x:v>80</x:v>
      </x:c>
      <x:c r="Q71" s="2">
        <x:v>45</x:v>
      </x:c>
      <x:c r="R71" s="3" t="s">
        <x:v>1373</x:v>
      </x:c>
      <x:c r="S71" s="3" t="s">
        <x:v>1213</x:v>
      </x:c>
      <x:c r="T71" s="2" t="s">
        <x:v>44</x:v>
      </x:c>
      <x:c r="U71" s="2" t="s">
        <x:v>64</x:v>
      </x:c>
    </x:row>
    <x:row r="72" ht="22" customHeight="1">
      <x:c r="A72" s="2" t="s">
        <x:v>315</x:v>
      </x:c>
      <x:c r="B72" s="3" t="s">
        <x:v>317</x:v>
      </x:c>
      <x:c r="C72" s="3" t="s">
        <x:v>43</x:v>
      </x:c>
      <x:c r="D72" s="3" t="s">
        <x:v>199</x:v>
      </x:c>
      <x:c r="E72" s="3" t="s">
        <x:v>72</x:v>
      </x:c>
      <x:c r="F72" s="3" t="s">
        <x:v>75</x:v>
      </x:c>
      <x:c r="G72" s="2" t="s">
        <x:v>889</x:v>
      </x:c>
      <x:c r="H72" s="2" t="s">
        <x:v>1354</x:v>
      </x:c>
      <x:c r="I72" s="2">
        <x:v>3</x:v>
      </x:c>
      <x:c r="J72" s="2" t="s">
        <x:v>1366</x:v>
      </x:c>
      <x:c r="K72" s="2">
        <x:v>4</x:v>
      </x:c>
      <x:c r="L72" s="2" t="s">
        <x:v>44</x:v>
      </x:c>
      <x:c r="M72" s="2">
        <x:v>65</x:v>
      </x:c>
      <x:c r="N72" s="2">
        <x:v>70</x:v>
      </x:c>
      <x:c r="O72" s="2">
        <x:v>65</x:v>
      </x:c>
      <x:c r="P72" s="2">
        <x:v>80</x:v>
      </x:c>
      <x:c r="Q72" s="2">
        <x:v>45</x:v>
      </x:c>
      <x:c r="R72" s="3" t="s">
        <x:v>1371</x:v>
      </x:c>
      <x:c r="S72" s="3" t="s">
        <x:v>1213</x:v>
      </x:c>
      <x:c r="T72" s="2" t="s">
        <x:v>44</x:v>
      </x:c>
      <x:c r="U72" s="2" t="s">
        <x:v>218</x:v>
      </x:c>
    </x:row>
    <x:row r="73" ht="22" customHeight="1">
      <x:c r="A73" s="2" t="s">
        <x:v>318</x:v>
      </x:c>
      <x:c r="B73" s="3" t="s">
        <x:v>320</x:v>
      </x:c>
      <x:c r="C73" s="3" t="s">
        <x:v>79</x:v>
      </x:c>
      <x:c r="D73" s="3" t="s">
        <x:v>199</x:v>
      </x:c>
      <x:c r="E73" s="3" t="s">
        <x:v>50</x:v>
      </x:c>
      <x:c r="F73" s="3" t="s">
        <x:v>321</x:v>
      </x:c>
      <x:c r="G73" s="2" t="s">
        <x:v>889</x:v>
      </x:c>
      <x:c r="H73" s="2" t="s">
        <x:v>1354</x:v>
      </x:c>
      <x:c r="I73" s="2">
        <x:v>3</x:v>
      </x:c>
      <x:c r="J73" s="2" t="s">
        <x:v>1366</x:v>
      </x:c>
      <x:c r="K73" s="2">
        <x:v>4</x:v>
      </x:c>
      <x:c r="L73" s="2" t="s">
        <x:v>44</x:v>
      </x:c>
      <x:c r="M73" s="2">
        <x:v>65</x:v>
      </x:c>
      <x:c r="N73" s="2">
        <x:v>70</x:v>
      </x:c>
      <x:c r="O73" s="2">
        <x:v>65</x:v>
      </x:c>
      <x:c r="P73" s="2">
        <x:v>80</x:v>
      </x:c>
      <x:c r="Q73" s="2">
        <x:v>45</x:v>
      </x:c>
      <x:c r="R73" s="3" t="s">
        <x:v>1378</x:v>
      </x:c>
      <x:c r="S73" s="3" t="s">
        <x:v>1213</x:v>
      </x:c>
      <x:c r="T73" s="2" t="s">
        <x:v>44</x:v>
      </x:c>
      <x:c r="U73" s="2" t="s">
        <x:v>248</x:v>
      </x:c>
    </x:row>
    <x:row r="74" ht="22" customHeight="1">
      <x:c r="A74" s="2" t="s">
        <x:v>322</x:v>
      </x:c>
      <x:c r="B74" s="3" t="s">
        <x:v>324</x:v>
      </x:c>
      <x:c r="C74" s="3" t="s">
        <x:v>79</x:v>
      </x:c>
      <x:c r="D74" s="3" t="s">
        <x:v>199</x:v>
      </x:c>
      <x:c r="E74" s="3" t="s">
        <x:v>165</x:v>
      </x:c>
      <x:c r="F74" s="3" t="s">
        <x:v>325</x:v>
      </x:c>
      <x:c r="G74" s="2" t="s">
        <x:v>889</x:v>
      </x:c>
      <x:c r="H74" s="2" t="s">
        <x:v>1354</x:v>
      </x:c>
      <x:c r="I74" s="2">
        <x:v>3</x:v>
      </x:c>
      <x:c r="J74" s="2" t="s">
        <x:v>1366</x:v>
      </x:c>
      <x:c r="K74" s="2">
        <x:v>4</x:v>
      </x:c>
      <x:c r="L74" s="2" t="s">
        <x:v>44</x:v>
      </x:c>
      <x:c r="M74" s="2">
        <x:v>65</x:v>
      </x:c>
      <x:c r="N74" s="2">
        <x:v>70</x:v>
      </x:c>
      <x:c r="O74" s="2">
        <x:v>65</x:v>
      </x:c>
      <x:c r="P74" s="2">
        <x:v>80</x:v>
      </x:c>
      <x:c r="Q74" s="2">
        <x:v>45</x:v>
      </x:c>
      <x:c r="R74" s="3" t="s">
        <x:v>1379</x:v>
      </x:c>
      <x:c r="S74" s="3" t="s">
        <x:v>1213</x:v>
      </x:c>
      <x:c r="T74" s="2" t="s">
        <x:v>44</x:v>
      </x:c>
      <x:c r="U74" s="2" t="s">
        <x:v>44</x:v>
      </x:c>
    </x:row>
    <x:row r="75" ht="22" customHeight="1">
      <x:c r="A75" s="2" t="s">
        <x:v>326</x:v>
      </x:c>
      <x:c r="B75" s="3" t="s">
        <x:v>328</x:v>
      </x:c>
      <x:c r="C75" s="3" t="s">
        <x:v>87</x:v>
      </x:c>
      <x:c r="D75" s="3" t="s">
        <x:v>199</x:v>
      </x:c>
      <x:c r="E75" s="3" t="s">
        <x:v>110</x:v>
      </x:c>
      <x:c r="F75" s="3" t="s">
        <x:v>259</x:v>
      </x:c>
      <x:c r="G75" s="2" t="s">
        <x:v>889</x:v>
      </x:c>
      <x:c r="H75" s="2" t="s">
        <x:v>1354</x:v>
      </x:c>
      <x:c r="I75" s="2">
        <x:v>3</x:v>
      </x:c>
      <x:c r="J75" s="2" t="s">
        <x:v>1366</x:v>
      </x:c>
      <x:c r="K75" s="2">
        <x:v>4</x:v>
      </x:c>
      <x:c r="L75" s="2" t="s">
        <x:v>44</x:v>
      </x:c>
      <x:c r="M75" s="2">
        <x:v>65</x:v>
      </x:c>
      <x:c r="N75" s="2">
        <x:v>70</x:v>
      </x:c>
      <x:c r="O75" s="2">
        <x:v>65</x:v>
      </x:c>
      <x:c r="P75" s="2">
        <x:v>80</x:v>
      </x:c>
      <x:c r="Q75" s="2">
        <x:v>45</x:v>
      </x:c>
      <x:c r="R75" s="3" t="s">
        <x:v>1375</x:v>
      </x:c>
      <x:c r="S75" s="3" t="s">
        <x:v>1213</x:v>
      </x:c>
      <x:c r="T75" s="2" t="s">
        <x:v>44</x:v>
      </x:c>
      <x:c r="U75" s="2" t="s">
        <x:v>260</x:v>
      </x:c>
    </x:row>
    <x:row r="76" ht="22" customHeight="1">
      <x:c r="A76" s="2" t="s">
        <x:v>330</x:v>
      </x:c>
      <x:c r="B76" s="3" t="s">
        <x:v>332</x:v>
      </x:c>
      <x:c r="C76" s="3" t="s">
        <x:v>79</x:v>
      </x:c>
      <x:c r="D76" s="3" t="s">
        <x:v>199</x:v>
      </x:c>
      <x:c r="E76" s="3" t="s">
        <x:v>81</x:v>
      </x:c>
      <x:c r="F76" s="3" t="s">
        <x:v>83</x:v>
      </x:c>
      <x:c r="G76" s="2" t="s">
        <x:v>889</x:v>
      </x:c>
      <x:c r="H76" s="2" t="s">
        <x:v>1354</x:v>
      </x:c>
      <x:c r="I76" s="2">
        <x:v>3</x:v>
      </x:c>
      <x:c r="J76" s="2" t="s">
        <x:v>1366</x:v>
      </x:c>
      <x:c r="K76" s="2">
        <x:v>4</x:v>
      </x:c>
      <x:c r="L76" s="2" t="s">
        <x:v>44</x:v>
      </x:c>
      <x:c r="M76" s="2">
        <x:v>65</x:v>
      </x:c>
      <x:c r="N76" s="2">
        <x:v>70</x:v>
      </x:c>
      <x:c r="O76" s="2">
        <x:v>65</x:v>
      </x:c>
      <x:c r="P76" s="2">
        <x:v>80</x:v>
      </x:c>
      <x:c r="Q76" s="2">
        <x:v>45</x:v>
      </x:c>
      <x:c r="R76" s="3" t="s">
        <x:v>1370</x:v>
      </x:c>
      <x:c r="S76" s="3" t="s">
        <x:v>1213</x:v>
      </x:c>
      <x:c r="T76" s="2" t="s">
        <x:v>44</x:v>
      </x:c>
      <x:c r="U76" s="2" t="s">
        <x:v>44</x:v>
      </x:c>
    </x:row>
    <x:row r="77" ht="22" customHeight="1">
      <x:c r="A77" s="2" t="s">
        <x:v>333</x:v>
      </x:c>
      <x:c r="B77" s="3" t="s">
        <x:v>335</x:v>
      </x:c>
      <x:c r="C77" s="3" t="s">
        <x:v>43</x:v>
      </x:c>
      <x:c r="D77" s="3" t="s">
        <x:v>199</x:v>
      </x:c>
      <x:c r="E77" s="3" t="s">
        <x:v>110</x:v>
      </x:c>
      <x:c r="F77" s="3" t="s">
        <x:v>115</x:v>
      </x:c>
      <x:c r="G77" s="2" t="s">
        <x:v>889</x:v>
      </x:c>
      <x:c r="H77" s="2" t="s">
        <x:v>1354</x:v>
      </x:c>
      <x:c r="I77" s="2">
        <x:v>3</x:v>
      </x:c>
      <x:c r="J77" s="2" t="s">
        <x:v>1366</x:v>
      </x:c>
      <x:c r="K77" s="2">
        <x:v>4</x:v>
      </x:c>
      <x:c r="L77" s="2" t="s">
        <x:v>44</x:v>
      </x:c>
      <x:c r="M77" s="2">
        <x:v>65</x:v>
      </x:c>
      <x:c r="N77" s="2">
        <x:v>70</x:v>
      </x:c>
      <x:c r="O77" s="2">
        <x:v>65</x:v>
      </x:c>
      <x:c r="P77" s="2">
        <x:v>80</x:v>
      </x:c>
      <x:c r="Q77" s="2">
        <x:v>45</x:v>
      </x:c>
      <x:c r="R77" s="3" t="s">
        <x:v>1376</x:v>
      </x:c>
      <x:c r="S77" s="3" t="s">
        <x:v>1213</x:v>
      </x:c>
      <x:c r="T77" s="2" t="s">
        <x:v>44</x:v>
      </x:c>
      <x:c r="U77" s="2" t="s">
        <x:v>260</x:v>
      </x:c>
    </x:row>
    <x:row r="78" ht="22" customHeight="1">
      <x:c r="A78" s="2" t="s">
        <x:v>336</x:v>
      </x:c>
      <x:c r="B78" s="3" t="s">
        <x:v>338</x:v>
      </x:c>
      <x:c r="C78" s="3" t="s">
        <x:v>79</x:v>
      </x:c>
      <x:c r="D78" s="3" t="s">
        <x:v>199</x:v>
      </x:c>
      <x:c r="E78" s="3" t="s">
        <x:v>165</x:v>
      </x:c>
      <x:c r="F78" s="3" t="s">
        <x:v>325</x:v>
      </x:c>
      <x:c r="G78" s="2" t="s">
        <x:v>889</x:v>
      </x:c>
      <x:c r="H78" s="2" t="s">
        <x:v>1354</x:v>
      </x:c>
      <x:c r="I78" s="2">
        <x:v>3</x:v>
      </x:c>
      <x:c r="J78" s="2" t="s">
        <x:v>1366</x:v>
      </x:c>
      <x:c r="K78" s="2">
        <x:v>4</x:v>
      </x:c>
      <x:c r="L78" s="2" t="s">
        <x:v>44</x:v>
      </x:c>
      <x:c r="M78" s="2">
        <x:v>65</x:v>
      </x:c>
      <x:c r="N78" s="2">
        <x:v>70</x:v>
      </x:c>
      <x:c r="O78" s="2">
        <x:v>65</x:v>
      </x:c>
      <x:c r="P78" s="2">
        <x:v>80</x:v>
      </x:c>
      <x:c r="Q78" s="2">
        <x:v>45</x:v>
      </x:c>
      <x:c r="R78" s="3" t="s">
        <x:v>1379</x:v>
      </x:c>
      <x:c r="S78" s="3" t="s">
        <x:v>1213</x:v>
      </x:c>
      <x:c r="T78" s="2" t="s">
        <x:v>44</x:v>
      </x:c>
      <x:c r="U78" s="2" t="s">
        <x:v>44</x:v>
      </x:c>
    </x:row>
    <x:row r="79" ht="22" customHeight="1">
      <x:c r="A79" s="2" t="s">
        <x:v>339</x:v>
      </x:c>
      <x:c r="B79" s="3" t="s">
        <x:v>341</x:v>
      </x:c>
      <x:c r="C79" s="3" t="s">
        <x:v>120</x:v>
      </x:c>
      <x:c r="D79" s="3" t="s">
        <x:v>199</x:v>
      </x:c>
      <x:c r="E79" s="3" t="s">
        <x:v>72</x:v>
      </x:c>
      <x:c r="F79" s="3" t="s">
        <x:v>225</x:v>
      </x:c>
      <x:c r="G79" s="2" t="s">
        <x:v>889</x:v>
      </x:c>
      <x:c r="H79" s="2" t="s">
        <x:v>1354</x:v>
      </x:c>
      <x:c r="I79" s="2">
        <x:v>3</x:v>
      </x:c>
      <x:c r="J79" s="2" t="s">
        <x:v>1366</x:v>
      </x:c>
      <x:c r="K79" s="2">
        <x:v>4</x:v>
      </x:c>
      <x:c r="L79" s="2" t="s">
        <x:v>44</x:v>
      </x:c>
      <x:c r="M79" s="2">
        <x:v>65</x:v>
      </x:c>
      <x:c r="N79" s="2">
        <x:v>70</x:v>
      </x:c>
      <x:c r="O79" s="2">
        <x:v>65</x:v>
      </x:c>
      <x:c r="P79" s="2">
        <x:v>80</x:v>
      </x:c>
      <x:c r="Q79" s="2">
        <x:v>45</x:v>
      </x:c>
      <x:c r="R79" s="3" t="s">
        <x:v>1372</x:v>
      </x:c>
      <x:c r="S79" s="3" t="s">
        <x:v>1213</x:v>
      </x:c>
      <x:c r="T79" s="2" t="s">
        <x:v>44</x:v>
      </x:c>
      <x:c r="U79" s="2" t="s">
        <x:v>218</x:v>
      </x:c>
    </x:row>
    <x:row r="80" ht="22" customHeight="1">
      <x:c r="A80" s="2" t="s">
        <x:v>342</x:v>
      </x:c>
      <x:c r="B80" s="3" t="s">
        <x:v>344</x:v>
      </x:c>
      <x:c r="C80" s="3" t="s">
        <x:v>79</x:v>
      </x:c>
      <x:c r="D80" s="3" t="s">
        <x:v>199</x:v>
      </x:c>
      <x:c r="E80" s="3" t="s">
        <x:v>81</x:v>
      </x:c>
      <x:c r="F80" s="3" t="s">
        <x:v>83</x:v>
      </x:c>
      <x:c r="G80" s="2" t="s">
        <x:v>889</x:v>
      </x:c>
      <x:c r="H80" s="2" t="s">
        <x:v>1354</x:v>
      </x:c>
      <x:c r="I80" s="2">
        <x:v>3</x:v>
      </x:c>
      <x:c r="J80" s="2" t="s">
        <x:v>1366</x:v>
      </x:c>
      <x:c r="K80" s="2">
        <x:v>4</x:v>
      </x:c>
      <x:c r="L80" s="2" t="s">
        <x:v>44</x:v>
      </x:c>
      <x:c r="M80" s="2">
        <x:v>65</x:v>
      </x:c>
      <x:c r="N80" s="2">
        <x:v>70</x:v>
      </x:c>
      <x:c r="O80" s="2">
        <x:v>65</x:v>
      </x:c>
      <x:c r="P80" s="2">
        <x:v>80</x:v>
      </x:c>
      <x:c r="Q80" s="2">
        <x:v>45</x:v>
      </x:c>
      <x:c r="R80" s="3" t="s">
        <x:v>1370</x:v>
      </x:c>
      <x:c r="S80" s="3" t="s">
        <x:v>1213</x:v>
      </x:c>
      <x:c r="T80" s="2" t="s">
        <x:v>44</x:v>
      </x:c>
      <x:c r="U80" s="2" t="s">
        <x:v>44</x:v>
      </x:c>
    </x:row>
    <x:row r="81" ht="22" customHeight="1">
      <x:c r="A81" s="2" t="s">
        <x:v>345</x:v>
      </x:c>
      <x:c r="B81" s="3" t="s">
        <x:v>347</x:v>
      </x:c>
      <x:c r="C81" s="3" t="s">
        <x:v>43</x:v>
      </x:c>
      <x:c r="D81" s="3" t="s">
        <x:v>199</x:v>
      </x:c>
      <x:c r="E81" s="3" t="s">
        <x:v>72</x:v>
      </x:c>
      <x:c r="F81" s="3" t="s">
        <x:v>75</x:v>
      </x:c>
      <x:c r="G81" s="2" t="s">
        <x:v>889</x:v>
      </x:c>
      <x:c r="H81" s="2" t="s">
        <x:v>1354</x:v>
      </x:c>
      <x:c r="I81" s="2">
        <x:v>3</x:v>
      </x:c>
      <x:c r="J81" s="2" t="s">
        <x:v>1366</x:v>
      </x:c>
      <x:c r="K81" s="2">
        <x:v>4</x:v>
      </x:c>
      <x:c r="L81" s="2" t="s">
        <x:v>44</x:v>
      </x:c>
      <x:c r="M81" s="2">
        <x:v>65</x:v>
      </x:c>
      <x:c r="N81" s="2">
        <x:v>70</x:v>
      </x:c>
      <x:c r="O81" s="2">
        <x:v>65</x:v>
      </x:c>
      <x:c r="P81" s="2">
        <x:v>80</x:v>
      </x:c>
      <x:c r="Q81" s="2">
        <x:v>45</x:v>
      </x:c>
      <x:c r="R81" s="3" t="s">
        <x:v>1371</x:v>
      </x:c>
      <x:c r="S81" s="3" t="s">
        <x:v>1213</x:v>
      </x:c>
      <x:c r="T81" s="2" t="s">
        <x:v>44</x:v>
      </x:c>
      <x:c r="U81" s="2" t="s">
        <x:v>218</x:v>
      </x:c>
    </x:row>
    <x:row r="82" ht="22" customHeight="1">
      <x:c r="A82" s="2" t="s">
        <x:v>348</x:v>
      </x:c>
      <x:c r="B82" s="3" t="s">
        <x:v>350</x:v>
      </x:c>
      <x:c r="C82" s="3" t="s">
        <x:v>43</x:v>
      </x:c>
      <x:c r="D82" s="3" t="s">
        <x:v>199</x:v>
      </x:c>
      <x:c r="E82" s="3" t="s">
        <x:v>72</x:v>
      </x:c>
      <x:c r="F82" s="3" t="s">
        <x:v>75</x:v>
      </x:c>
      <x:c r="G82" s="2" t="s">
        <x:v>889</x:v>
      </x:c>
      <x:c r="H82" s="2" t="s">
        <x:v>1354</x:v>
      </x:c>
      <x:c r="I82" s="2">
        <x:v>3</x:v>
      </x:c>
      <x:c r="J82" s="2" t="s">
        <x:v>1366</x:v>
      </x:c>
      <x:c r="K82" s="2">
        <x:v>4</x:v>
      </x:c>
      <x:c r="L82" s="2" t="s">
        <x:v>44</x:v>
      </x:c>
      <x:c r="M82" s="2">
        <x:v>65</x:v>
      </x:c>
      <x:c r="N82" s="2">
        <x:v>70</x:v>
      </x:c>
      <x:c r="O82" s="2">
        <x:v>65</x:v>
      </x:c>
      <x:c r="P82" s="2">
        <x:v>80</x:v>
      </x:c>
      <x:c r="Q82" s="2">
        <x:v>45</x:v>
      </x:c>
      <x:c r="R82" s="3" t="s">
        <x:v>1371</x:v>
      </x:c>
      <x:c r="S82" s="3" t="s">
        <x:v>1213</x:v>
      </x:c>
      <x:c r="T82" s="2" t="s">
        <x:v>44</x:v>
      </x:c>
      <x:c r="U82" s="2" t="s">
        <x:v>218</x:v>
      </x:c>
    </x:row>
    <x:row r="83" ht="22" customHeight="1">
      <x:c r="A83" s="2" t="s">
        <x:v>351</x:v>
      </x:c>
      <x:c r="B83" s="3" t="s">
        <x:v>353</x:v>
      </x:c>
      <x:c r="C83" s="3" t="s">
        <x:v>87</x:v>
      </x:c>
      <x:c r="D83" s="3" t="s">
        <x:v>199</x:v>
      </x:c>
      <x:c r="E83" s="3" t="s">
        <x:v>72</x:v>
      </x:c>
      <x:c r="F83" s="3" t="s">
        <x:v>88</x:v>
      </x:c>
      <x:c r="G83" s="2" t="s">
        <x:v>889</x:v>
      </x:c>
      <x:c r="H83" s="2" t="s">
        <x:v>1354</x:v>
      </x:c>
      <x:c r="I83" s="2">
        <x:v>3</x:v>
      </x:c>
      <x:c r="J83" s="2" t="s">
        <x:v>1366</x:v>
      </x:c>
      <x:c r="K83" s="2">
        <x:v>4</x:v>
      </x:c>
      <x:c r="L83" s="2" t="s">
        <x:v>44</x:v>
      </x:c>
      <x:c r="M83" s="2">
        <x:v>65</x:v>
      </x:c>
      <x:c r="N83" s="2">
        <x:v>70</x:v>
      </x:c>
      <x:c r="O83" s="2">
        <x:v>65</x:v>
      </x:c>
      <x:c r="P83" s="2">
        <x:v>80</x:v>
      </x:c>
      <x:c r="Q83" s="2">
        <x:v>45</x:v>
      </x:c>
      <x:c r="R83" s="3" t="s">
        <x:v>1377</x:v>
      </x:c>
      <x:c r="S83" s="3" t="s">
        <x:v>1213</x:v>
      </x:c>
      <x:c r="T83" s="2" t="s">
        <x:v>44</x:v>
      </x:c>
      <x:c r="U83" s="2" t="s">
        <x:v>218</x:v>
      </x:c>
    </x:row>
    <x:row r="84" ht="22" customHeight="1">
      <x:c r="A84" s="2" t="s">
        <x:v>354</x:v>
      </x:c>
      <x:c r="B84" s="3" t="s">
        <x:v>356</x:v>
      </x:c>
      <x:c r="C84" s="3" t="s">
        <x:v>43</x:v>
      </x:c>
      <x:c r="D84" s="3" t="s">
        <x:v>199</x:v>
      </x:c>
      <x:c r="E84" s="3" t="s">
        <x:v>50</x:v>
      </x:c>
      <x:c r="F84" s="3" t="s">
        <x:v>195</x:v>
      </x:c>
      <x:c r="G84" s="2" t="s">
        <x:v>889</x:v>
      </x:c>
      <x:c r="H84" s="2" t="s">
        <x:v>1354</x:v>
      </x:c>
      <x:c r="I84" s="2">
        <x:v>3</x:v>
      </x:c>
      <x:c r="J84" s="2" t="s">
        <x:v>1366</x:v>
      </x:c>
      <x:c r="K84" s="2">
        <x:v>4</x:v>
      </x:c>
      <x:c r="L84" s="2" t="s">
        <x:v>44</x:v>
      </x:c>
      <x:c r="M84" s="2">
        <x:v>65</x:v>
      </x:c>
      <x:c r="N84" s="2">
        <x:v>70</x:v>
      </x:c>
      <x:c r="O84" s="2">
        <x:v>65</x:v>
      </x:c>
      <x:c r="P84" s="2">
        <x:v>80</x:v>
      </x:c>
      <x:c r="Q84" s="2">
        <x:v>45</x:v>
      </x:c>
      <x:c r="R84" s="3" t="s">
        <x:v>1374</x:v>
      </x:c>
      <x:c r="S84" s="3" t="s">
        <x:v>1213</x:v>
      </x:c>
      <x:c r="T84" s="2" t="s">
        <x:v>44</x:v>
      </x:c>
      <x:c r="U84" s="2" t="s">
        <x:v>248</x:v>
      </x:c>
    </x:row>
    <x:row r="85" ht="22" customHeight="1">
      <x:c r="A85" s="2" t="s">
        <x:v>358</x:v>
      </x:c>
      <x:c r="B85" s="3" t="s">
        <x:v>360</x:v>
      </x:c>
      <x:c r="C85" s="3" t="s">
        <x:v>87</x:v>
      </x:c>
      <x:c r="D85" s="3" t="s">
        <x:v>199</x:v>
      </x:c>
      <x:c r="E85" s="3" t="s">
        <x:v>72</x:v>
      </x:c>
      <x:c r="F85" s="3" t="s">
        <x:v>88</x:v>
      </x:c>
      <x:c r="G85" s="2" t="s">
        <x:v>889</x:v>
      </x:c>
      <x:c r="H85" s="2" t="s">
        <x:v>1354</x:v>
      </x:c>
      <x:c r="I85" s="2">
        <x:v>3</x:v>
      </x:c>
      <x:c r="J85" s="2" t="s">
        <x:v>1366</x:v>
      </x:c>
      <x:c r="K85" s="2">
        <x:v>4</x:v>
      </x:c>
      <x:c r="L85" s="2" t="s">
        <x:v>44</x:v>
      </x:c>
      <x:c r="M85" s="2">
        <x:v>65</x:v>
      </x:c>
      <x:c r="N85" s="2">
        <x:v>70</x:v>
      </x:c>
      <x:c r="O85" s="2">
        <x:v>65</x:v>
      </x:c>
      <x:c r="P85" s="2">
        <x:v>80</x:v>
      </x:c>
      <x:c r="Q85" s="2">
        <x:v>45</x:v>
      </x:c>
      <x:c r="R85" s="3" t="s">
        <x:v>1377</x:v>
      </x:c>
      <x:c r="S85" s="3" t="s">
        <x:v>1213</x:v>
      </x:c>
      <x:c r="T85" s="2" t="s">
        <x:v>44</x:v>
      </x:c>
      <x:c r="U85" s="2" t="s">
        <x:v>218</x:v>
      </x:c>
    </x:row>
    <x:row r="86" ht="22" customHeight="1">
      <x:c r="A86" s="2" t="s">
        <x:v>362</x:v>
      </x:c>
      <x:c r="B86" s="3" t="s">
        <x:v>364</x:v>
      </x:c>
      <x:c r="C86" s="3" t="s">
        <x:v>87</x:v>
      </x:c>
      <x:c r="D86" s="3" t="s">
        <x:v>199</x:v>
      </x:c>
      <x:c r="E86" s="3" t="s">
        <x:v>72</x:v>
      </x:c>
      <x:c r="F86" s="3" t="s">
        <x:v>88</x:v>
      </x:c>
      <x:c r="G86" s="2" t="s">
        <x:v>889</x:v>
      </x:c>
      <x:c r="H86" s="2" t="s">
        <x:v>1354</x:v>
      </x:c>
      <x:c r="I86" s="2">
        <x:v>3</x:v>
      </x:c>
      <x:c r="J86" s="2" t="s">
        <x:v>1366</x:v>
      </x:c>
      <x:c r="K86" s="2">
        <x:v>4</x:v>
      </x:c>
      <x:c r="L86" s="2" t="s">
        <x:v>44</x:v>
      </x:c>
      <x:c r="M86" s="2">
        <x:v>65</x:v>
      </x:c>
      <x:c r="N86" s="2">
        <x:v>70</x:v>
      </x:c>
      <x:c r="O86" s="2">
        <x:v>65</x:v>
      </x:c>
      <x:c r="P86" s="2">
        <x:v>80</x:v>
      </x:c>
      <x:c r="Q86" s="2">
        <x:v>45</x:v>
      </x:c>
      <x:c r="R86" s="3" t="s">
        <x:v>1377</x:v>
      </x:c>
      <x:c r="S86" s="3" t="s">
        <x:v>1213</x:v>
      </x:c>
      <x:c r="T86" s="2" t="s">
        <x:v>44</x:v>
      </x:c>
      <x:c r="U86" s="2" t="s">
        <x:v>218</x:v>
      </x:c>
    </x:row>
    <x:row r="87" ht="22" customHeight="1">
      <x:c r="A87" s="2" t="s">
        <x:v>365</x:v>
      </x:c>
      <x:c r="B87" s="3" t="s">
        <x:v>367</x:v>
      </x:c>
      <x:c r="C87" s="3" t="s">
        <x:v>79</x:v>
      </x:c>
      <x:c r="D87" s="3" t="s">
        <x:v>199</x:v>
      </x:c>
      <x:c r="E87" s="3" t="s">
        <x:v>81</x:v>
      </x:c>
      <x:c r="F87" s="3" t="s">
        <x:v>83</x:v>
      </x:c>
      <x:c r="G87" s="2" t="s">
        <x:v>889</x:v>
      </x:c>
      <x:c r="H87" s="2" t="s">
        <x:v>1354</x:v>
      </x:c>
      <x:c r="I87" s="2">
        <x:v>3</x:v>
      </x:c>
      <x:c r="J87" s="2" t="s">
        <x:v>1366</x:v>
      </x:c>
      <x:c r="K87" s="2">
        <x:v>4</x:v>
      </x:c>
      <x:c r="L87" s="2" t="s">
        <x:v>44</x:v>
      </x:c>
      <x:c r="M87" s="2">
        <x:v>65</x:v>
      </x:c>
      <x:c r="N87" s="2">
        <x:v>70</x:v>
      </x:c>
      <x:c r="O87" s="2">
        <x:v>65</x:v>
      </x:c>
      <x:c r="P87" s="2">
        <x:v>80</x:v>
      </x:c>
      <x:c r="Q87" s="2">
        <x:v>45</x:v>
      </x:c>
      <x:c r="R87" s="3" t="s">
        <x:v>1370</x:v>
      </x:c>
      <x:c r="S87" s="3" t="s">
        <x:v>1213</x:v>
      </x:c>
      <x:c r="T87" s="2" t="s">
        <x:v>44</x:v>
      </x:c>
      <x:c r="U87" s="2" t="s">
        <x:v>44</x:v>
      </x:c>
    </x:row>
    <x:row r="88" ht="22" customHeight="1">
      <x:c r="A88" s="2" t="s">
        <x:v>368</x:v>
      </x:c>
      <x:c r="B88" s="3" t="s">
        <x:v>370</x:v>
      </x:c>
      <x:c r="C88" s="3" t="s">
        <x:v>87</x:v>
      </x:c>
      <x:c r="D88" s="3" t="s">
        <x:v>199</x:v>
      </x:c>
      <x:c r="E88" s="3" t="s">
        <x:v>72</x:v>
      </x:c>
      <x:c r="F88" s="3" t="s">
        <x:v>88</x:v>
      </x:c>
      <x:c r="G88" s="2" t="s">
        <x:v>889</x:v>
      </x:c>
      <x:c r="H88" s="2" t="s">
        <x:v>1354</x:v>
      </x:c>
      <x:c r="I88" s="2">
        <x:v>3</x:v>
      </x:c>
      <x:c r="J88" s="2" t="s">
        <x:v>1366</x:v>
      </x:c>
      <x:c r="K88" s="2">
        <x:v>4</x:v>
      </x:c>
      <x:c r="L88" s="2" t="s">
        <x:v>44</x:v>
      </x:c>
      <x:c r="M88" s="2">
        <x:v>65</x:v>
      </x:c>
      <x:c r="N88" s="2">
        <x:v>70</x:v>
      </x:c>
      <x:c r="O88" s="2">
        <x:v>65</x:v>
      </x:c>
      <x:c r="P88" s="2">
        <x:v>80</x:v>
      </x:c>
      <x:c r="Q88" s="2">
        <x:v>45</x:v>
      </x:c>
      <x:c r="R88" s="3" t="s">
        <x:v>1377</x:v>
      </x:c>
      <x:c r="S88" s="3" t="s">
        <x:v>1213</x:v>
      </x:c>
      <x:c r="T88" s="2" t="s">
        <x:v>44</x:v>
      </x:c>
      <x:c r="U88" s="2" t="s">
        <x:v>218</x:v>
      </x:c>
    </x:row>
    <x:row r="89" ht="22" customHeight="1">
      <x:c r="A89" s="2" t="s">
        <x:v>372</x:v>
      </x:c>
      <x:c r="B89" s="3" t="s">
        <x:v>374</x:v>
      </x:c>
      <x:c r="C89" s="3" t="s">
        <x:v>87</x:v>
      </x:c>
      <x:c r="D89" s="3" t="s">
        <x:v>199</x:v>
      </x:c>
      <x:c r="E89" s="3" t="s">
        <x:v>57</x:v>
      </x:c>
      <x:c r="F89" s="3" t="s">
        <x:v>375</x:v>
      </x:c>
      <x:c r="G89" s="2" t="s">
        <x:v>889</x:v>
      </x:c>
      <x:c r="H89" s="2" t="s">
        <x:v>1354</x:v>
      </x:c>
      <x:c r="I89" s="2">
        <x:v>3</x:v>
      </x:c>
      <x:c r="J89" s="2" t="s">
        <x:v>1366</x:v>
      </x:c>
      <x:c r="K89" s="2">
        <x:v>4</x:v>
      </x:c>
      <x:c r="L89" s="2" t="s">
        <x:v>44</x:v>
      </x:c>
      <x:c r="M89" s="2">
        <x:v>65</x:v>
      </x:c>
      <x:c r="N89" s="2">
        <x:v>70</x:v>
      </x:c>
      <x:c r="O89" s="2">
        <x:v>65</x:v>
      </x:c>
      <x:c r="P89" s="2">
        <x:v>80</x:v>
      </x:c>
      <x:c r="Q89" s="2">
        <x:v>45</x:v>
      </x:c>
      <x:c r="R89" s="3" t="s">
        <x:v>1380</x:v>
      </x:c>
      <x:c r="S89" s="3" t="s">
        <x:v>1213</x:v>
      </x:c>
      <x:c r="T89" s="2" t="s">
        <x:v>44</x:v>
      </x:c>
      <x:c r="U89" s="2" t="s">
        <x:v>64</x:v>
      </x:c>
    </x:row>
    <x:row r="90" ht="22" customHeight="1">
      <x:c r="A90" s="2" t="s">
        <x:v>376</x:v>
      </x:c>
      <x:c r="B90" s="3" t="s">
        <x:v>378</x:v>
      </x:c>
      <x:c r="C90" s="3" t="s">
        <x:v>79</x:v>
      </x:c>
      <x:c r="D90" s="3" t="s">
        <x:v>199</x:v>
      </x:c>
      <x:c r="E90" s="3" t="s">
        <x:v>81</x:v>
      </x:c>
      <x:c r="F90" s="3" t="s">
        <x:v>83</x:v>
      </x:c>
      <x:c r="G90" s="2" t="s">
        <x:v>889</x:v>
      </x:c>
      <x:c r="H90" s="2" t="s">
        <x:v>1354</x:v>
      </x:c>
      <x:c r="I90" s="2">
        <x:v>3</x:v>
      </x:c>
      <x:c r="J90" s="2" t="s">
        <x:v>1366</x:v>
      </x:c>
      <x:c r="K90" s="2">
        <x:v>4</x:v>
      </x:c>
      <x:c r="L90" s="2" t="s">
        <x:v>44</x:v>
      </x:c>
      <x:c r="M90" s="2">
        <x:v>65</x:v>
      </x:c>
      <x:c r="N90" s="2">
        <x:v>70</x:v>
      </x:c>
      <x:c r="O90" s="2">
        <x:v>65</x:v>
      </x:c>
      <x:c r="P90" s="2">
        <x:v>80</x:v>
      </x:c>
      <x:c r="Q90" s="2">
        <x:v>45</x:v>
      </x:c>
      <x:c r="R90" s="3" t="s">
        <x:v>1370</x:v>
      </x:c>
      <x:c r="S90" s="3" t="s">
        <x:v>1213</x:v>
      </x:c>
      <x:c r="T90" s="2" t="s">
        <x:v>44</x:v>
      </x:c>
      <x:c r="U90" s="2" t="s">
        <x:v>44</x:v>
      </x:c>
    </x:row>
    <x:row r="91" ht="22" customHeight="1">
      <x:c r="A91" s="2" t="s">
        <x:v>379</x:v>
      </x:c>
      <x:c r="B91" s="3" t="s">
        <x:v>381</x:v>
      </x:c>
      <x:c r="C91" s="3" t="s">
        <x:v>79</x:v>
      </x:c>
      <x:c r="D91" s="3" t="s">
        <x:v>199</x:v>
      </x:c>
      <x:c r="E91" s="3" t="s">
        <x:v>81</x:v>
      </x:c>
      <x:c r="F91" s="3" t="s">
        <x:v>83</x:v>
      </x:c>
      <x:c r="G91" s="2" t="s">
        <x:v>889</x:v>
      </x:c>
      <x:c r="H91" s="2" t="s">
        <x:v>1354</x:v>
      </x:c>
      <x:c r="I91" s="2">
        <x:v>3</x:v>
      </x:c>
      <x:c r="J91" s="2" t="s">
        <x:v>1366</x:v>
      </x:c>
      <x:c r="K91" s="2">
        <x:v>4</x:v>
      </x:c>
      <x:c r="L91" s="2" t="s">
        <x:v>44</x:v>
      </x:c>
      <x:c r="M91" s="2">
        <x:v>65</x:v>
      </x:c>
      <x:c r="N91" s="2">
        <x:v>70</x:v>
      </x:c>
      <x:c r="O91" s="2">
        <x:v>65</x:v>
      </x:c>
      <x:c r="P91" s="2">
        <x:v>80</x:v>
      </x:c>
      <x:c r="Q91" s="2">
        <x:v>45</x:v>
      </x:c>
      <x:c r="R91" s="3" t="s">
        <x:v>1370</x:v>
      </x:c>
      <x:c r="S91" s="3" t="s">
        <x:v>1213</x:v>
      </x:c>
      <x:c r="T91" s="2" t="s">
        <x:v>44</x:v>
      </x:c>
      <x:c r="U91" s="2" t="s">
        <x:v>44</x:v>
      </x:c>
    </x:row>
    <x:row r="92" ht="22" customHeight="1">
      <x:c r="A92" s="2" t="s">
        <x:v>382</x:v>
      </x:c>
      <x:c r="B92" s="3" t="s">
        <x:v>384</x:v>
      </x:c>
      <x:c r="C92" s="3" t="s">
        <x:v>87</x:v>
      </x:c>
      <x:c r="D92" s="3" t="s">
        <x:v>199</x:v>
      </x:c>
      <x:c r="E92" s="3" t="s">
        <x:v>57</x:v>
      </x:c>
      <x:c r="F92" s="3" t="s">
        <x:v>375</x:v>
      </x:c>
      <x:c r="G92" s="2" t="s">
        <x:v>889</x:v>
      </x:c>
      <x:c r="H92" s="2" t="s">
        <x:v>1354</x:v>
      </x:c>
      <x:c r="I92" s="2">
        <x:v>3</x:v>
      </x:c>
      <x:c r="J92" s="2" t="s">
        <x:v>1366</x:v>
      </x:c>
      <x:c r="K92" s="2">
        <x:v>4</x:v>
      </x:c>
      <x:c r="L92" s="2" t="s">
        <x:v>44</x:v>
      </x:c>
      <x:c r="M92" s="2">
        <x:v>65</x:v>
      </x:c>
      <x:c r="N92" s="2">
        <x:v>70</x:v>
      </x:c>
      <x:c r="O92" s="2">
        <x:v>65</x:v>
      </x:c>
      <x:c r="P92" s="2">
        <x:v>80</x:v>
      </x:c>
      <x:c r="Q92" s="2">
        <x:v>45</x:v>
      </x:c>
      <x:c r="R92" s="3" t="s">
        <x:v>1380</x:v>
      </x:c>
      <x:c r="S92" s="3" t="s">
        <x:v>1213</x:v>
      </x:c>
      <x:c r="T92" s="2" t="s">
        <x:v>44</x:v>
      </x:c>
      <x:c r="U92" s="2" t="s">
        <x:v>64</x:v>
      </x:c>
    </x:row>
    <x:row r="93" ht="22" customHeight="1">
      <x:c r="A93" s="2" t="s">
        <x:v>385</x:v>
      </x:c>
      <x:c r="B93" s="3" t="s">
        <x:v>387</x:v>
      </x:c>
      <x:c r="C93" s="3" t="s">
        <x:v>43</x:v>
      </x:c>
      <x:c r="D93" s="3" t="s">
        <x:v>199</x:v>
      </x:c>
      <x:c r="E93" s="3" t="s">
        <x:v>110</x:v>
      </x:c>
      <x:c r="F93" s="3" t="s">
        <x:v>115</x:v>
      </x:c>
      <x:c r="G93" s="2" t="s">
        <x:v>889</x:v>
      </x:c>
      <x:c r="H93" s="2" t="s">
        <x:v>1354</x:v>
      </x:c>
      <x:c r="I93" s="2">
        <x:v>3</x:v>
      </x:c>
      <x:c r="J93" s="2" t="s">
        <x:v>1366</x:v>
      </x:c>
      <x:c r="K93" s="2">
        <x:v>4</x:v>
      </x:c>
      <x:c r="L93" s="2" t="s">
        <x:v>44</x:v>
      </x:c>
      <x:c r="M93" s="2">
        <x:v>65</x:v>
      </x:c>
      <x:c r="N93" s="2">
        <x:v>70</x:v>
      </x:c>
      <x:c r="O93" s="2">
        <x:v>65</x:v>
      </x:c>
      <x:c r="P93" s="2">
        <x:v>80</x:v>
      </x:c>
      <x:c r="Q93" s="2">
        <x:v>45</x:v>
      </x:c>
      <x:c r="R93" s="3" t="s">
        <x:v>1376</x:v>
      </x:c>
      <x:c r="S93" s="3" t="s">
        <x:v>1213</x:v>
      </x:c>
      <x:c r="T93" s="2" t="s">
        <x:v>44</x:v>
      </x:c>
      <x:c r="U93" s="2" t="s">
        <x:v>260</x:v>
      </x:c>
    </x:row>
    <x:row r="94" ht="22" customHeight="1">
      <x:c r="A94" s="2" t="s">
        <x:v>389</x:v>
      </x:c>
      <x:c r="B94" s="3" t="s">
        <x:v>391</x:v>
      </x:c>
      <x:c r="C94" s="3" t="s">
        <x:v>43</x:v>
      </x:c>
      <x:c r="D94" s="3" t="s">
        <x:v>199</x:v>
      </x:c>
      <x:c r="E94" s="3" t="s">
        <x:v>50</x:v>
      </x:c>
      <x:c r="F94" s="3" t="s">
        <x:v>195</x:v>
      </x:c>
      <x:c r="G94" s="2" t="s">
        <x:v>889</x:v>
      </x:c>
      <x:c r="H94" s="2" t="s">
        <x:v>1354</x:v>
      </x:c>
      <x:c r="I94" s="2">
        <x:v>3</x:v>
      </x:c>
      <x:c r="J94" s="2" t="s">
        <x:v>1366</x:v>
      </x:c>
      <x:c r="K94" s="2">
        <x:v>4</x:v>
      </x:c>
      <x:c r="L94" s="2" t="s">
        <x:v>44</x:v>
      </x:c>
      <x:c r="M94" s="2">
        <x:v>65</x:v>
      </x:c>
      <x:c r="N94" s="2">
        <x:v>70</x:v>
      </x:c>
      <x:c r="O94" s="2">
        <x:v>65</x:v>
      </x:c>
      <x:c r="P94" s="2">
        <x:v>80</x:v>
      </x:c>
      <x:c r="Q94" s="2">
        <x:v>45</x:v>
      </x:c>
      <x:c r="R94" s="3" t="s">
        <x:v>1374</x:v>
      </x:c>
      <x:c r="S94" s="3" t="s">
        <x:v>1213</x:v>
      </x:c>
      <x:c r="T94" s="2" t="s">
        <x:v>44</x:v>
      </x:c>
      <x:c r="U94" s="2" t="s">
        <x:v>248</x:v>
      </x:c>
    </x:row>
    <x:row r="95" ht="22" customHeight="1">
      <x:c r="A95" s="2" t="s">
        <x:v>392</x:v>
      </x:c>
      <x:c r="B95" s="3" t="s">
        <x:v>394</x:v>
      </x:c>
      <x:c r="C95" s="3" t="s">
        <x:v>87</x:v>
      </x:c>
      <x:c r="D95" s="3" t="s">
        <x:v>199</x:v>
      </x:c>
      <x:c r="E95" s="3" t="s">
        <x:v>72</x:v>
      </x:c>
      <x:c r="F95" s="3" t="s">
        <x:v>88</x:v>
      </x:c>
      <x:c r="G95" s="2" t="s">
        <x:v>889</x:v>
      </x:c>
      <x:c r="H95" s="2" t="s">
        <x:v>1354</x:v>
      </x:c>
      <x:c r="I95" s="2">
        <x:v>3</x:v>
      </x:c>
      <x:c r="J95" s="2" t="s">
        <x:v>1366</x:v>
      </x:c>
      <x:c r="K95" s="2">
        <x:v>4</x:v>
      </x:c>
      <x:c r="L95" s="2" t="s">
        <x:v>44</x:v>
      </x:c>
      <x:c r="M95" s="2">
        <x:v>65</x:v>
      </x:c>
      <x:c r="N95" s="2">
        <x:v>70</x:v>
      </x:c>
      <x:c r="O95" s="2">
        <x:v>65</x:v>
      </x:c>
      <x:c r="P95" s="2">
        <x:v>80</x:v>
      </x:c>
      <x:c r="Q95" s="2">
        <x:v>45</x:v>
      </x:c>
      <x:c r="R95" s="3" t="s">
        <x:v>1377</x:v>
      </x:c>
      <x:c r="S95" s="3" t="s">
        <x:v>1213</x:v>
      </x:c>
      <x:c r="T95" s="2" t="s">
        <x:v>44</x:v>
      </x:c>
      <x:c r="U95" s="2" t="s">
        <x:v>218</x:v>
      </x:c>
    </x:row>
    <x:row r="96" ht="22" customHeight="1">
      <x:c r="A96" s="2" t="s">
        <x:v>396</x:v>
      </x:c>
      <x:c r="B96" s="3" t="s">
        <x:v>398</x:v>
      </x:c>
      <x:c r="C96" s="3" t="s">
        <x:v>43</x:v>
      </x:c>
      <x:c r="D96" s="3" t="s">
        <x:v>199</x:v>
      </x:c>
      <x:c r="E96" s="3" t="s">
        <x:v>72</x:v>
      </x:c>
      <x:c r="F96" s="3" t="s">
        <x:v>75</x:v>
      </x:c>
      <x:c r="G96" s="2" t="s">
        <x:v>889</x:v>
      </x:c>
      <x:c r="H96" s="2" t="s">
        <x:v>1354</x:v>
      </x:c>
      <x:c r="I96" s="2">
        <x:v>3</x:v>
      </x:c>
      <x:c r="J96" s="2" t="s">
        <x:v>1366</x:v>
      </x:c>
      <x:c r="K96" s="2">
        <x:v>4</x:v>
      </x:c>
      <x:c r="L96" s="2" t="s">
        <x:v>44</x:v>
      </x:c>
      <x:c r="M96" s="2">
        <x:v>65</x:v>
      </x:c>
      <x:c r="N96" s="2">
        <x:v>70</x:v>
      </x:c>
      <x:c r="O96" s="2">
        <x:v>65</x:v>
      </x:c>
      <x:c r="P96" s="2">
        <x:v>80</x:v>
      </x:c>
      <x:c r="Q96" s="2">
        <x:v>45</x:v>
      </x:c>
      <x:c r="R96" s="3" t="s">
        <x:v>1371</x:v>
      </x:c>
      <x:c r="S96" s="3" t="s">
        <x:v>1213</x:v>
      </x:c>
      <x:c r="T96" s="2" t="s">
        <x:v>44</x:v>
      </x:c>
      <x:c r="U96" s="2" t="s">
        <x:v>218</x:v>
      </x:c>
    </x:row>
    <x:row r="97" ht="22" customHeight="1">
      <x:c r="A97" s="2" t="s">
        <x:v>399</x:v>
      </x:c>
      <x:c r="B97" s="3" t="s">
        <x:v>401</x:v>
      </x:c>
      <x:c r="C97" s="3" t="s">
        <x:v>79</x:v>
      </x:c>
      <x:c r="D97" s="3" t="s">
        <x:v>199</x:v>
      </x:c>
      <x:c r="E97" s="3" t="s">
        <x:v>57</x:v>
      </x:c>
      <x:c r="F97" s="3" t="s">
        <x:v>403</x:v>
      </x:c>
      <x:c r="G97" s="2" t="s">
        <x:v>889</x:v>
      </x:c>
      <x:c r="H97" s="2" t="s">
        <x:v>1354</x:v>
      </x:c>
      <x:c r="I97" s="2">
        <x:v>3</x:v>
      </x:c>
      <x:c r="J97" s="2" t="s">
        <x:v>1366</x:v>
      </x:c>
      <x:c r="K97" s="2">
        <x:v>4</x:v>
      </x:c>
      <x:c r="L97" s="2" t="s">
        <x:v>44</x:v>
      </x:c>
      <x:c r="M97" s="2">
        <x:v>65</x:v>
      </x:c>
      <x:c r="N97" s="2">
        <x:v>70</x:v>
      </x:c>
      <x:c r="O97" s="2">
        <x:v>65</x:v>
      </x:c>
      <x:c r="P97" s="2">
        <x:v>80</x:v>
      </x:c>
      <x:c r="Q97" s="2">
        <x:v>45</x:v>
      </x:c>
      <x:c r="R97" s="3" t="s">
        <x:v>1381</x:v>
      </x:c>
      <x:c r="S97" s="3" t="s">
        <x:v>1213</x:v>
      </x:c>
      <x:c r="T97" s="2" t="s">
        <x:v>44</x:v>
      </x:c>
      <x:c r="U97" s="2" t="s">
        <x:v>64</x:v>
      </x:c>
    </x:row>
    <x:row r="98" ht="22" customHeight="1">
      <x:c r="A98" s="2" t="s">
        <x:v>404</x:v>
      </x:c>
      <x:c r="B98" s="3" t="s">
        <x:v>406</x:v>
      </x:c>
      <x:c r="C98" s="3" t="s">
        <x:v>87</x:v>
      </x:c>
      <x:c r="D98" s="3" t="s">
        <x:v>199</x:v>
      </x:c>
      <x:c r="E98" s="3" t="s">
        <x:v>57</x:v>
      </x:c>
      <x:c r="F98" s="3" t="s">
        <x:v>375</x:v>
      </x:c>
      <x:c r="G98" s="2" t="s">
        <x:v>889</x:v>
      </x:c>
      <x:c r="H98" s="2" t="s">
        <x:v>1354</x:v>
      </x:c>
      <x:c r="I98" s="2">
        <x:v>3</x:v>
      </x:c>
      <x:c r="J98" s="2" t="s">
        <x:v>1366</x:v>
      </x:c>
      <x:c r="K98" s="2">
        <x:v>4</x:v>
      </x:c>
      <x:c r="L98" s="2" t="s">
        <x:v>44</x:v>
      </x:c>
      <x:c r="M98" s="2">
        <x:v>65</x:v>
      </x:c>
      <x:c r="N98" s="2">
        <x:v>70</x:v>
      </x:c>
      <x:c r="O98" s="2">
        <x:v>65</x:v>
      </x:c>
      <x:c r="P98" s="2">
        <x:v>80</x:v>
      </x:c>
      <x:c r="Q98" s="2">
        <x:v>45</x:v>
      </x:c>
      <x:c r="R98" s="3" t="s">
        <x:v>1380</x:v>
      </x:c>
      <x:c r="S98" s="3" t="s">
        <x:v>1213</x:v>
      </x:c>
      <x:c r="T98" s="2" t="s">
        <x:v>44</x:v>
      </x:c>
      <x:c r="U98" s="2" t="s">
        <x:v>64</x:v>
      </x:c>
    </x:row>
    <x:row r="99" ht="22" customHeight="1">
      <x:c r="A99" s="2" t="s">
        <x:v>408</x:v>
      </x:c>
      <x:c r="B99" s="3" t="s">
        <x:v>410</x:v>
      </x:c>
      <x:c r="C99" s="3" t="s">
        <x:v>43</x:v>
      </x:c>
      <x:c r="D99" s="3" t="s">
        <x:v>199</x:v>
      </x:c>
      <x:c r="E99" s="3" t="s">
        <x:v>47</x:v>
      </x:c>
      <x:c r="F99" s="3" t="s">
        <x:v>52</x:v>
      </x:c>
      <x:c r="G99" s="2" t="s">
        <x:v>889</x:v>
      </x:c>
      <x:c r="H99" s="2" t="s">
        <x:v>1354</x:v>
      </x:c>
      <x:c r="I99" s="2">
        <x:v>3</x:v>
      </x:c>
      <x:c r="J99" s="2" t="s">
        <x:v>1366</x:v>
      </x:c>
      <x:c r="K99" s="2">
        <x:v>4</x:v>
      </x:c>
      <x:c r="L99" s="2" t="s">
        <x:v>44</x:v>
      </x:c>
      <x:c r="M99" s="2">
        <x:v>65</x:v>
      </x:c>
      <x:c r="N99" s="2">
        <x:v>70</x:v>
      </x:c>
      <x:c r="O99" s="2">
        <x:v>65</x:v>
      </x:c>
      <x:c r="P99" s="2">
        <x:v>80</x:v>
      </x:c>
      <x:c r="Q99" s="2">
        <x:v>45</x:v>
      </x:c>
      <x:c r="R99" s="3" t="s">
        <x:v>1367</x:v>
      </x:c>
      <x:c r="S99" s="3" t="s">
        <x:v>1213</x:v>
      </x:c>
      <x:c r="T99" s="2" t="s">
        <x:v>44</x:v>
      </x:c>
      <x:c r="U99" s="2" t="s">
        <x:v>176</x:v>
      </x:c>
    </x:row>
    <x:row r="100" ht="22" customHeight="1">
      <x:c r="A100" s="2" t="s">
        <x:v>411</x:v>
      </x:c>
      <x:c r="B100" s="3" t="s">
        <x:v>413</x:v>
      </x:c>
      <x:c r="C100" s="3" t="s">
        <x:v>87</x:v>
      </x:c>
      <x:c r="D100" s="3" t="s">
        <x:v>199</x:v>
      </x:c>
      <x:c r="E100" s="3" t="s">
        <x:v>57</x:v>
      </x:c>
      <x:c r="F100" s="3" t="s">
        <x:v>375</x:v>
      </x:c>
      <x:c r="G100" s="2" t="s">
        <x:v>889</x:v>
      </x:c>
      <x:c r="H100" s="2" t="s">
        <x:v>1354</x:v>
      </x:c>
      <x:c r="I100" s="2">
        <x:v>3</x:v>
      </x:c>
      <x:c r="J100" s="2" t="s">
        <x:v>1366</x:v>
      </x:c>
      <x:c r="K100" s="2">
        <x:v>4</x:v>
      </x:c>
      <x:c r="L100" s="2" t="s">
        <x:v>44</x:v>
      </x:c>
      <x:c r="M100" s="2">
        <x:v>65</x:v>
      </x:c>
      <x:c r="N100" s="2">
        <x:v>70</x:v>
      </x:c>
      <x:c r="O100" s="2">
        <x:v>65</x:v>
      </x:c>
      <x:c r="P100" s="2">
        <x:v>80</x:v>
      </x:c>
      <x:c r="Q100" s="2">
        <x:v>45</x:v>
      </x:c>
      <x:c r="R100" s="3" t="s">
        <x:v>1380</x:v>
      </x:c>
      <x:c r="S100" s="3" t="s">
        <x:v>1213</x:v>
      </x:c>
      <x:c r="T100" s="2" t="s">
        <x:v>44</x:v>
      </x:c>
      <x:c r="U100" s="2" t="s">
        <x:v>64</x:v>
      </x:c>
    </x:row>
    <x:row r="101" ht="22" customHeight="1">
      <x:c r="A101" s="2" t="s">
        <x:v>414</x:v>
      </x:c>
      <x:c r="B101" s="3" t="s">
        <x:v>416</x:v>
      </x:c>
      <x:c r="C101" s="3" t="s">
        <x:v>43</x:v>
      </x:c>
      <x:c r="D101" s="3" t="s">
        <x:v>199</x:v>
      </x:c>
      <x:c r="E101" s="3" t="s">
        <x:v>57</x:v>
      </x:c>
      <x:c r="F101" s="3" t="s">
        <x:v>62</x:v>
      </x:c>
      <x:c r="G101" s="2" t="s">
        <x:v>889</x:v>
      </x:c>
      <x:c r="H101" s="2" t="s">
        <x:v>1354</x:v>
      </x:c>
      <x:c r="I101" s="2">
        <x:v>3</x:v>
      </x:c>
      <x:c r="J101" s="2" t="s">
        <x:v>1366</x:v>
      </x:c>
      <x:c r="K101" s="2">
        <x:v>4</x:v>
      </x:c>
      <x:c r="L101" s="2" t="s">
        <x:v>44</x:v>
      </x:c>
      <x:c r="M101" s="2">
        <x:v>65</x:v>
      </x:c>
      <x:c r="N101" s="2">
        <x:v>70</x:v>
      </x:c>
      <x:c r="O101" s="2">
        <x:v>65</x:v>
      </x:c>
      <x:c r="P101" s="2">
        <x:v>80</x:v>
      </x:c>
      <x:c r="Q101" s="2">
        <x:v>45</x:v>
      </x:c>
      <x:c r="R101" s="3" t="s">
        <x:v>1369</x:v>
      </x:c>
      <x:c r="S101" s="3" t="s">
        <x:v>1213</x:v>
      </x:c>
      <x:c r="T101" s="2" t="s">
        <x:v>44</x:v>
      </x:c>
      <x:c r="U101" s="2" t="s">
        <x:v>64</x:v>
      </x:c>
    </x:row>
    <x:row r="102" ht="22" customHeight="1">
      <x:c r="A102" s="2" t="s">
        <x:v>417</x:v>
      </x:c>
      <x:c r="B102" s="3" t="s">
        <x:v>419</x:v>
      </x:c>
      <x:c r="C102" s="3" t="s">
        <x:v>87</x:v>
      </x:c>
      <x:c r="D102" s="3" t="s">
        <x:v>199</x:v>
      </x:c>
      <x:c r="E102" s="3" t="s">
        <x:v>57</x:v>
      </x:c>
      <x:c r="F102" s="3" t="s">
        <x:v>375</x:v>
      </x:c>
      <x:c r="G102" s="2" t="s">
        <x:v>889</x:v>
      </x:c>
      <x:c r="H102" s="2" t="s">
        <x:v>1354</x:v>
      </x:c>
      <x:c r="I102" s="2">
        <x:v>3</x:v>
      </x:c>
      <x:c r="J102" s="2" t="s">
        <x:v>1366</x:v>
      </x:c>
      <x:c r="K102" s="2">
        <x:v>4</x:v>
      </x:c>
      <x:c r="L102" s="2" t="s">
        <x:v>44</x:v>
      </x:c>
      <x:c r="M102" s="2">
        <x:v>65</x:v>
      </x:c>
      <x:c r="N102" s="2">
        <x:v>70</x:v>
      </x:c>
      <x:c r="O102" s="2">
        <x:v>65</x:v>
      </x:c>
      <x:c r="P102" s="2">
        <x:v>80</x:v>
      </x:c>
      <x:c r="Q102" s="2">
        <x:v>45</x:v>
      </x:c>
      <x:c r="R102" s="3" t="s">
        <x:v>1380</x:v>
      </x:c>
      <x:c r="S102" s="3" t="s">
        <x:v>1213</x:v>
      </x:c>
      <x:c r="T102" s="2" t="s">
        <x:v>44</x:v>
      </x:c>
      <x:c r="U102" s="2" t="s">
        <x:v>64</x:v>
      </x:c>
    </x:row>
    <x:row r="103" ht="22" customHeight="1">
      <x:c r="A103" s="2" t="s">
        <x:v>420</x:v>
      </x:c>
      <x:c r="B103" s="3" t="s">
        <x:v>422</x:v>
      </x:c>
      <x:c r="C103" s="3" t="s">
        <x:v>87</x:v>
      </x:c>
      <x:c r="D103" s="3" t="s">
        <x:v>199</x:v>
      </x:c>
      <x:c r="E103" s="3" t="s">
        <x:v>57</x:v>
      </x:c>
      <x:c r="F103" s="3" t="s">
        <x:v>375</x:v>
      </x:c>
      <x:c r="G103" s="2" t="s">
        <x:v>889</x:v>
      </x:c>
      <x:c r="H103" s="2" t="s">
        <x:v>1354</x:v>
      </x:c>
      <x:c r="I103" s="2">
        <x:v>3</x:v>
      </x:c>
      <x:c r="J103" s="2" t="s">
        <x:v>1366</x:v>
      </x:c>
      <x:c r="K103" s="2">
        <x:v>4</x:v>
      </x:c>
      <x:c r="L103" s="2" t="s">
        <x:v>44</x:v>
      </x:c>
      <x:c r="M103" s="2">
        <x:v>65</x:v>
      </x:c>
      <x:c r="N103" s="2">
        <x:v>70</x:v>
      </x:c>
      <x:c r="O103" s="2">
        <x:v>65</x:v>
      </x:c>
      <x:c r="P103" s="2">
        <x:v>80</x:v>
      </x:c>
      <x:c r="Q103" s="2">
        <x:v>45</x:v>
      </x:c>
      <x:c r="R103" s="3" t="s">
        <x:v>1380</x:v>
      </x:c>
      <x:c r="S103" s="3" t="s">
        <x:v>1213</x:v>
      </x:c>
      <x:c r="T103" s="2" t="s">
        <x:v>44</x:v>
      </x:c>
      <x:c r="U103" s="2" t="s">
        <x:v>64</x:v>
      </x:c>
    </x:row>
    <x:row r="104" ht="22" customHeight="1">
      <x:c r="A104" s="2" t="s">
        <x:v>423</x:v>
      </x:c>
      <x:c r="B104" s="3" t="s">
        <x:v>425</x:v>
      </x:c>
      <x:c r="C104" s="3" t="s">
        <x:v>43</x:v>
      </x:c>
      <x:c r="D104" s="3" t="s">
        <x:v>199</x:v>
      </x:c>
      <x:c r="E104" s="3" t="s">
        <x:v>57</x:v>
      </x:c>
      <x:c r="F104" s="3" t="s">
        <x:v>62</x:v>
      </x:c>
      <x:c r="G104" s="2" t="s">
        <x:v>889</x:v>
      </x:c>
      <x:c r="H104" s="2" t="s">
        <x:v>1354</x:v>
      </x:c>
      <x:c r="I104" s="2">
        <x:v>3</x:v>
      </x:c>
      <x:c r="J104" s="2" t="s">
        <x:v>1366</x:v>
      </x:c>
      <x:c r="K104" s="2">
        <x:v>4</x:v>
      </x:c>
      <x:c r="L104" s="2" t="s">
        <x:v>44</x:v>
      </x:c>
      <x:c r="M104" s="2">
        <x:v>65</x:v>
      </x:c>
      <x:c r="N104" s="2">
        <x:v>70</x:v>
      </x:c>
      <x:c r="O104" s="2">
        <x:v>65</x:v>
      </x:c>
      <x:c r="P104" s="2">
        <x:v>80</x:v>
      </x:c>
      <x:c r="Q104" s="2">
        <x:v>45</x:v>
      </x:c>
      <x:c r="R104" s="3" t="s">
        <x:v>1369</x:v>
      </x:c>
      <x:c r="S104" s="3" t="s">
        <x:v>1213</x:v>
      </x:c>
      <x:c r="T104" s="2" t="s">
        <x:v>44</x:v>
      </x:c>
      <x:c r="U104" s="2" t="s">
        <x:v>64</x:v>
      </x:c>
    </x:row>
    <x:row r="105" ht="22" customHeight="1">
      <x:c r="A105" s="2" t="s">
        <x:v>426</x:v>
      </x:c>
      <x:c r="B105" s="3" t="s">
        <x:v>428</x:v>
      </x:c>
      <x:c r="C105" s="3" t="s">
        <x:v>120</x:v>
      </x:c>
      <x:c r="D105" s="3" t="s">
        <x:v>199</x:v>
      </x:c>
      <x:c r="E105" s="3" t="s">
        <x:v>57</x:v>
      </x:c>
      <x:c r="F105" s="3" t="s">
        <x:v>122</x:v>
      </x:c>
      <x:c r="G105" s="2" t="s">
        <x:v>889</x:v>
      </x:c>
      <x:c r="H105" s="2" t="s">
        <x:v>1354</x:v>
      </x:c>
      <x:c r="I105" s="2">
        <x:v>3</x:v>
      </x:c>
      <x:c r="J105" s="2" t="s">
        <x:v>1366</x:v>
      </x:c>
      <x:c r="K105" s="2">
        <x:v>4</x:v>
      </x:c>
      <x:c r="L105" s="2" t="s">
        <x:v>44</x:v>
      </x:c>
      <x:c r="M105" s="2">
        <x:v>65</x:v>
      </x:c>
      <x:c r="N105" s="2">
        <x:v>70</x:v>
      </x:c>
      <x:c r="O105" s="2">
        <x:v>65</x:v>
      </x:c>
      <x:c r="P105" s="2">
        <x:v>80</x:v>
      </x:c>
      <x:c r="Q105" s="2">
        <x:v>45</x:v>
      </x:c>
      <x:c r="R105" s="3" t="s">
        <x:v>1373</x:v>
      </x:c>
      <x:c r="S105" s="3" t="s">
        <x:v>1213</x:v>
      </x:c>
      <x:c r="T105" s="2" t="s">
        <x:v>44</x:v>
      </x:c>
      <x:c r="U105" s="2" t="s">
        <x:v>64</x:v>
      </x:c>
    </x:row>
    <x:row r="106" ht="22" customHeight="1">
      <x:c r="A106" s="2" t="s">
        <x:v>430</x:v>
      </x:c>
      <x:c r="B106" s="3" t="s">
        <x:v>432</x:v>
      </x:c>
      <x:c r="C106" s="3" t="s">
        <x:v>43</x:v>
      </x:c>
      <x:c r="D106" s="3" t="s">
        <x:v>199</x:v>
      </x:c>
      <x:c r="E106" s="3" t="s">
        <x:v>165</x:v>
      </x:c>
      <x:c r="F106" s="3" t="s">
        <x:v>166</x:v>
      </x:c>
      <x:c r="G106" s="2" t="s">
        <x:v>889</x:v>
      </x:c>
      <x:c r="H106" s="2" t="s">
        <x:v>1354</x:v>
      </x:c>
      <x:c r="I106" s="2">
        <x:v>3</x:v>
      </x:c>
      <x:c r="J106" s="2" t="s">
        <x:v>1366</x:v>
      </x:c>
      <x:c r="K106" s="2">
        <x:v>4</x:v>
      </x:c>
      <x:c r="L106" s="2" t="s">
        <x:v>44</x:v>
      </x:c>
      <x:c r="M106" s="2">
        <x:v>65</x:v>
      </x:c>
      <x:c r="N106" s="2">
        <x:v>70</x:v>
      </x:c>
      <x:c r="O106" s="2">
        <x:v>65</x:v>
      </x:c>
      <x:c r="P106" s="2">
        <x:v>80</x:v>
      </x:c>
      <x:c r="Q106" s="2">
        <x:v>45</x:v>
      </x:c>
      <x:c r="R106" s="3" t="s">
        <x:v>1368</x:v>
      </x:c>
      <x:c r="S106" s="3" t="s">
        <x:v>1213</x:v>
      </x:c>
      <x:c r="T106" s="2" t="s">
        <x:v>44</x:v>
      </x:c>
      <x:c r="U106" s="2" t="s">
        <x:v>44</x:v>
      </x:c>
    </x:row>
    <x:row r="107" ht="22" customHeight="1">
      <x:c r="A107" s="2" t="s">
        <x:v>433</x:v>
      </x:c>
      <x:c r="B107" s="3" t="s">
        <x:v>435</x:v>
      </x:c>
      <x:c r="C107" s="3" t="s">
        <x:v>120</x:v>
      </x:c>
      <x:c r="D107" s="3" t="s">
        <x:v>199</x:v>
      </x:c>
      <x:c r="E107" s="3" t="s">
        <x:v>57</x:v>
      </x:c>
      <x:c r="F107" s="3" t="s">
        <x:v>122</x:v>
      </x:c>
      <x:c r="G107" s="2" t="s">
        <x:v>889</x:v>
      </x:c>
      <x:c r="H107" s="2" t="s">
        <x:v>1354</x:v>
      </x:c>
      <x:c r="I107" s="2">
        <x:v>3</x:v>
      </x:c>
      <x:c r="J107" s="2" t="s">
        <x:v>1366</x:v>
      </x:c>
      <x:c r="K107" s="2">
        <x:v>4</x:v>
      </x:c>
      <x:c r="L107" s="2" t="s">
        <x:v>44</x:v>
      </x:c>
      <x:c r="M107" s="2">
        <x:v>65</x:v>
      </x:c>
      <x:c r="N107" s="2">
        <x:v>70</x:v>
      </x:c>
      <x:c r="O107" s="2">
        <x:v>65</x:v>
      </x:c>
      <x:c r="P107" s="2">
        <x:v>80</x:v>
      </x:c>
      <x:c r="Q107" s="2">
        <x:v>45</x:v>
      </x:c>
      <x:c r="R107" s="3" t="s">
        <x:v>1373</x:v>
      </x:c>
      <x:c r="S107" s="3" t="s">
        <x:v>1213</x:v>
      </x:c>
      <x:c r="T107" s="2" t="s">
        <x:v>44</x:v>
      </x:c>
      <x:c r="U107" s="2" t="s">
        <x:v>64</x:v>
      </x:c>
    </x:row>
    <x:row r="108" ht="22" customHeight="1">
      <x:c r="A108" s="2" t="s">
        <x:v>436</x:v>
      </x:c>
      <x:c r="B108" s="3" t="s">
        <x:v>438</x:v>
      </x:c>
      <x:c r="C108" s="3" t="s">
        <x:v>43</x:v>
      </x:c>
      <x:c r="D108" s="3" t="s">
        <x:v>199</x:v>
      </x:c>
      <x:c r="E108" s="3" t="s">
        <x:v>165</x:v>
      </x:c>
      <x:c r="F108" s="3" t="s">
        <x:v>166</x:v>
      </x:c>
      <x:c r="G108" s="2" t="s">
        <x:v>889</x:v>
      </x:c>
      <x:c r="H108" s="2" t="s">
        <x:v>1354</x:v>
      </x:c>
      <x:c r="I108" s="2">
        <x:v>3</x:v>
      </x:c>
      <x:c r="J108" s="2" t="s">
        <x:v>1366</x:v>
      </x:c>
      <x:c r="K108" s="2">
        <x:v>4</x:v>
      </x:c>
      <x:c r="L108" s="2" t="s">
        <x:v>44</x:v>
      </x:c>
      <x:c r="M108" s="2">
        <x:v>65</x:v>
      </x:c>
      <x:c r="N108" s="2">
        <x:v>70</x:v>
      </x:c>
      <x:c r="O108" s="2">
        <x:v>65</x:v>
      </x:c>
      <x:c r="P108" s="2">
        <x:v>80</x:v>
      </x:c>
      <x:c r="Q108" s="2">
        <x:v>45</x:v>
      </x:c>
      <x:c r="R108" s="3" t="s">
        <x:v>1368</x:v>
      </x:c>
      <x:c r="S108" s="3" t="s">
        <x:v>1213</x:v>
      </x:c>
      <x:c r="T108" s="2" t="s">
        <x:v>44</x:v>
      </x:c>
      <x:c r="U108" s="2" t="s">
        <x:v>44</x:v>
      </x:c>
    </x:row>
    <x:row r="109" ht="22" customHeight="1">
      <x:c r="A109" s="2" t="s">
        <x:v>439</x:v>
      </x:c>
      <x:c r="B109" s="3" t="s">
        <x:v>441</x:v>
      </x:c>
      <x:c r="C109" s="3" t="s">
        <x:v>79</x:v>
      </x:c>
      <x:c r="D109" s="3" t="s">
        <x:v>199</x:v>
      </x:c>
      <x:c r="E109" s="3" t="s">
        <x:v>81</x:v>
      </x:c>
      <x:c r="F109" s="3" t="s">
        <x:v>83</x:v>
      </x:c>
      <x:c r="G109" s="2" t="s">
        <x:v>889</x:v>
      </x:c>
      <x:c r="H109" s="2" t="s">
        <x:v>1354</x:v>
      </x:c>
      <x:c r="I109" s="2">
        <x:v>3</x:v>
      </x:c>
      <x:c r="J109" s="2" t="s">
        <x:v>1366</x:v>
      </x:c>
      <x:c r="K109" s="2">
        <x:v>4</x:v>
      </x:c>
      <x:c r="L109" s="2" t="s">
        <x:v>44</x:v>
      </x:c>
      <x:c r="M109" s="2">
        <x:v>65</x:v>
      </x:c>
      <x:c r="N109" s="2">
        <x:v>70</x:v>
      </x:c>
      <x:c r="O109" s="2">
        <x:v>65</x:v>
      </x:c>
      <x:c r="P109" s="2">
        <x:v>80</x:v>
      </x:c>
      <x:c r="Q109" s="2">
        <x:v>45</x:v>
      </x:c>
      <x:c r="R109" s="3" t="s">
        <x:v>1370</x:v>
      </x:c>
      <x:c r="S109" s="3" t="s">
        <x:v>1213</x:v>
      </x:c>
      <x:c r="T109" s="2" t="s">
        <x:v>44</x:v>
      </x:c>
      <x:c r="U109" s="2" t="s">
        <x:v>44</x:v>
      </x:c>
    </x:row>
    <x:row r="110" ht="22" customHeight="1">
      <x:c r="A110" s="2" t="s">
        <x:v>442</x:v>
      </x:c>
      <x:c r="B110" s="3" t="s">
        <x:v>444</x:v>
      </x:c>
      <x:c r="C110" s="3" t="s">
        <x:v>120</x:v>
      </x:c>
      <x:c r="D110" s="3" t="s">
        <x:v>199</x:v>
      </x:c>
      <x:c r="E110" s="3" t="s">
        <x:v>165</x:v>
      </x:c>
      <x:c r="F110" s="3" t="s">
        <x:v>445</x:v>
      </x:c>
      <x:c r="G110" s="2" t="s">
        <x:v>889</x:v>
      </x:c>
      <x:c r="H110" s="2" t="s">
        <x:v>1354</x:v>
      </x:c>
      <x:c r="I110" s="2">
        <x:v>3</x:v>
      </x:c>
      <x:c r="J110" s="2" t="s">
        <x:v>1366</x:v>
      </x:c>
      <x:c r="K110" s="2">
        <x:v>4</x:v>
      </x:c>
      <x:c r="L110" s="2" t="s">
        <x:v>44</x:v>
      </x:c>
      <x:c r="M110" s="2">
        <x:v>65</x:v>
      </x:c>
      <x:c r="N110" s="2">
        <x:v>70</x:v>
      </x:c>
      <x:c r="O110" s="2">
        <x:v>65</x:v>
      </x:c>
      <x:c r="P110" s="2">
        <x:v>80</x:v>
      </x:c>
      <x:c r="Q110" s="2">
        <x:v>45</x:v>
      </x:c>
      <x:c r="R110" s="3" t="s">
        <x:v>1382</x:v>
      </x:c>
      <x:c r="S110" s="3" t="s">
        <x:v>1213</x:v>
      </x:c>
      <x:c r="T110" s="2" t="s">
        <x:v>44</x:v>
      </x:c>
      <x:c r="U110" s="2" t="s">
        <x:v>44</x:v>
      </x:c>
    </x:row>
    <x:row r="111" ht="22" customHeight="1">
      <x:c r="A111" s="2" t="s">
        <x:v>446</x:v>
      </x:c>
      <x:c r="B111" s="3" t="s">
        <x:v>448</x:v>
      </x:c>
      <x:c r="C111" s="3" t="s">
        <x:v>120</x:v>
      </x:c>
      <x:c r="D111" s="3" t="s">
        <x:v>199</x:v>
      </x:c>
      <x:c r="E111" s="3" t="s">
        <x:v>57</x:v>
      </x:c>
      <x:c r="F111" s="3" t="s">
        <x:v>122</x:v>
      </x:c>
      <x:c r="G111" s="2" t="s">
        <x:v>889</x:v>
      </x:c>
      <x:c r="H111" s="2" t="s">
        <x:v>1354</x:v>
      </x:c>
      <x:c r="I111" s="2">
        <x:v>3</x:v>
      </x:c>
      <x:c r="J111" s="2" t="s">
        <x:v>1366</x:v>
      </x:c>
      <x:c r="K111" s="2">
        <x:v>4</x:v>
      </x:c>
      <x:c r="L111" s="2" t="s">
        <x:v>44</x:v>
      </x:c>
      <x:c r="M111" s="2">
        <x:v>65</x:v>
      </x:c>
      <x:c r="N111" s="2">
        <x:v>70</x:v>
      </x:c>
      <x:c r="O111" s="2">
        <x:v>65</x:v>
      </x:c>
      <x:c r="P111" s="2">
        <x:v>80</x:v>
      </x:c>
      <x:c r="Q111" s="2">
        <x:v>45</x:v>
      </x:c>
      <x:c r="R111" s="3" t="s">
        <x:v>1373</x:v>
      </x:c>
      <x:c r="S111" s="3" t="s">
        <x:v>1213</x:v>
      </x:c>
      <x:c r="T111" s="2" t="s">
        <x:v>44</x:v>
      </x:c>
      <x:c r="U111" s="2" t="s">
        <x:v>64</x:v>
      </x:c>
    </x:row>
    <x:row r="112" ht="22" customHeight="1">
      <x:c r="A112" s="2" t="s">
        <x:v>450</x:v>
      </x:c>
      <x:c r="B112" s="3" t="s">
        <x:v>452</x:v>
      </x:c>
      <x:c r="C112" s="3" t="s">
        <x:v>120</x:v>
      </x:c>
      <x:c r="D112" s="3" t="s">
        <x:v>454</x:v>
      </x:c>
      <x:c r="E112" s="3" t="s">
        <x:v>57</x:v>
      </x:c>
      <x:c r="F112" s="3" t="s">
        <x:v>122</x:v>
      </x:c>
      <x:c r="G112" s="2" t="s">
        <x:v>889</x:v>
      </x:c>
      <x:c r="H112" s="2" t="s">
        <x:v>1354</x:v>
      </x:c>
      <x:c r="I112" s="2">
        <x:v>5</x:v>
      </x:c>
      <x:c r="J112" s="2" t="s">
        <x:v>1383</x:v>
      </x:c>
      <x:c r="K112" s="2">
        <x:v>6</x:v>
      </x:c>
      <x:c r="L112" s="2" t="s">
        <x:v>44</x:v>
      </x:c>
      <x:c r="M112" s="2">
        <x:v>28</x:v>
      </x:c>
      <x:c r="N112" s="2">
        <x:v>32</x:v>
      </x:c>
      <x:c r="O112" s="2">
        <x:v>30</x:v>
      </x:c>
      <x:c r="P112" s="2">
        <x:v>45</x:v>
      </x:c>
      <x:c r="Q112" s="2">
        <x:v>28</x:v>
      </x:c>
      <x:c r="R112" s="3" t="s">
        <x:v>1384</x:v>
      </x:c>
      <x:c r="S112" s="3" t="s">
        <x:v>1221</x:v>
      </x:c>
      <x:c r="T112" s="2" t="s">
        <x:v>44</x:v>
      </x:c>
      <x:c r="U112" s="2" t="s">
        <x:v>64</x:v>
      </x:c>
    </x:row>
    <x:row r="113" ht="22" customHeight="1">
      <x:c r="A113" s="2" t="s">
        <x:v>455</x:v>
      </x:c>
      <x:c r="B113" s="3" t="s">
        <x:v>457</x:v>
      </x:c>
      <x:c r="C113" s="3" t="s">
        <x:v>120</x:v>
      </x:c>
      <x:c r="D113" s="3" t="s">
        <x:v>454</x:v>
      </x:c>
      <x:c r="E113" s="3" t="s">
        <x:v>81</x:v>
      </x:c>
      <x:c r="F113" s="3" t="s">
        <x:v>459</x:v>
      </x:c>
      <x:c r="G113" s="2" t="s">
        <x:v>889</x:v>
      </x:c>
      <x:c r="H113" s="2" t="s">
        <x:v>1354</x:v>
      </x:c>
      <x:c r="I113" s="2">
        <x:v>5</x:v>
      </x:c>
      <x:c r="J113" s="2" t="s">
        <x:v>1383</x:v>
      </x:c>
      <x:c r="K113" s="2">
        <x:v>6</x:v>
      </x:c>
      <x:c r="L113" s="2" t="s">
        <x:v>44</x:v>
      </x:c>
      <x:c r="M113" s="2">
        <x:v>28</x:v>
      </x:c>
      <x:c r="N113" s="2">
        <x:v>32</x:v>
      </x:c>
      <x:c r="O113" s="2">
        <x:v>30</x:v>
      </x:c>
      <x:c r="P113" s="2">
        <x:v>45</x:v>
      </x:c>
      <x:c r="Q113" s="2">
        <x:v>28</x:v>
      </x:c>
      <x:c r="R113" s="3" t="s">
        <x:v>1385</x:v>
      </x:c>
      <x:c r="S113" s="3" t="s">
        <x:v>1221</x:v>
      </x:c>
      <x:c r="T113" s="2" t="s">
        <x:v>44</x:v>
      </x:c>
      <x:c r="U113" s="2" t="s">
        <x:v>44</x:v>
      </x:c>
    </x:row>
    <x:row r="114" ht="22" customHeight="1">
      <x:c r="A114" s="2" t="s">
        <x:v>460</x:v>
      </x:c>
      <x:c r="B114" s="3" t="s">
        <x:v>462</x:v>
      </x:c>
      <x:c r="C114" s="3" t="s">
        <x:v>87</x:v>
      </x:c>
      <x:c r="D114" s="3" t="s">
        <x:v>454</x:v>
      </x:c>
      <x:c r="E114" s="3" t="s">
        <x:v>72</x:v>
      </x:c>
      <x:c r="F114" s="3" t="s">
        <x:v>88</x:v>
      </x:c>
      <x:c r="G114" s="2" t="s">
        <x:v>889</x:v>
      </x:c>
      <x:c r="H114" s="2" t="s">
        <x:v>1354</x:v>
      </x:c>
      <x:c r="I114" s="2">
        <x:v>5</x:v>
      </x:c>
      <x:c r="J114" s="2" t="s">
        <x:v>1383</x:v>
      </x:c>
      <x:c r="K114" s="2">
        <x:v>6</x:v>
      </x:c>
      <x:c r="L114" s="2" t="s">
        <x:v>44</x:v>
      </x:c>
      <x:c r="M114" s="2">
        <x:v>28</x:v>
      </x:c>
      <x:c r="N114" s="2">
        <x:v>32</x:v>
      </x:c>
      <x:c r="O114" s="2">
        <x:v>30</x:v>
      </x:c>
      <x:c r="P114" s="2">
        <x:v>45</x:v>
      </x:c>
      <x:c r="Q114" s="2">
        <x:v>28</x:v>
      </x:c>
      <x:c r="R114" s="3" t="s">
        <x:v>1386</x:v>
      </x:c>
      <x:c r="S114" s="3" t="s">
        <x:v>1221</x:v>
      </x:c>
      <x:c r="T114" s="2" t="s">
        <x:v>44</x:v>
      </x:c>
      <x:c r="U114" s="2" t="s">
        <x:v>218</x:v>
      </x:c>
    </x:row>
    <x:row r="115" ht="22" customHeight="1">
      <x:c r="A115" s="2" t="s">
        <x:v>463</x:v>
      </x:c>
      <x:c r="B115" s="3" t="s">
        <x:v>465</x:v>
      </x:c>
      <x:c r="C115" s="3" t="s">
        <x:v>79</x:v>
      </x:c>
      <x:c r="D115" s="3" t="s">
        <x:v>454</x:v>
      </x:c>
      <x:c r="E115" s="3" t="s">
        <x:v>81</x:v>
      </x:c>
      <x:c r="F115" s="3" t="s">
        <x:v>83</x:v>
      </x:c>
      <x:c r="G115" s="2" t="s">
        <x:v>889</x:v>
      </x:c>
      <x:c r="H115" s="2" t="s">
        <x:v>1354</x:v>
      </x:c>
      <x:c r="I115" s="2">
        <x:v>5</x:v>
      </x:c>
      <x:c r="J115" s="2" t="s">
        <x:v>1383</x:v>
      </x:c>
      <x:c r="K115" s="2">
        <x:v>6</x:v>
      </x:c>
      <x:c r="L115" s="2" t="s">
        <x:v>44</x:v>
      </x:c>
      <x:c r="M115" s="2">
        <x:v>28</x:v>
      </x:c>
      <x:c r="N115" s="2">
        <x:v>32</x:v>
      </x:c>
      <x:c r="O115" s="2">
        <x:v>30</x:v>
      </x:c>
      <x:c r="P115" s="2">
        <x:v>45</x:v>
      </x:c>
      <x:c r="Q115" s="2">
        <x:v>28</x:v>
      </x:c>
      <x:c r="R115" s="3" t="s">
        <x:v>1387</x:v>
      </x:c>
      <x:c r="S115" s="3" t="s">
        <x:v>1221</x:v>
      </x:c>
      <x:c r="T115" s="2" t="s">
        <x:v>44</x:v>
      </x:c>
      <x:c r="U115" s="2" t="s">
        <x:v>44</x:v>
      </x:c>
    </x:row>
    <x:row r="116" ht="22" customHeight="1">
      <x:c r="A116" s="2" t="s">
        <x:v>467</x:v>
      </x:c>
      <x:c r="B116" s="3" t="s">
        <x:v>469</x:v>
      </x:c>
      <x:c r="C116" s="3" t="s">
        <x:v>79</x:v>
      </x:c>
      <x:c r="D116" s="3" t="s">
        <x:v>454</x:v>
      </x:c>
      <x:c r="E116" s="3" t="s">
        <x:v>165</x:v>
      </x:c>
      <x:c r="F116" s="3" t="s">
        <x:v>325</x:v>
      </x:c>
      <x:c r="G116" s="2" t="s">
        <x:v>889</x:v>
      </x:c>
      <x:c r="H116" s="2" t="s">
        <x:v>1354</x:v>
      </x:c>
      <x:c r="I116" s="2">
        <x:v>5</x:v>
      </x:c>
      <x:c r="J116" s="2" t="s">
        <x:v>1383</x:v>
      </x:c>
      <x:c r="K116" s="2">
        <x:v>6</x:v>
      </x:c>
      <x:c r="L116" s="2" t="s">
        <x:v>44</x:v>
      </x:c>
      <x:c r="M116" s="2">
        <x:v>28</x:v>
      </x:c>
      <x:c r="N116" s="2">
        <x:v>32</x:v>
      </x:c>
      <x:c r="O116" s="2">
        <x:v>30</x:v>
      </x:c>
      <x:c r="P116" s="2">
        <x:v>45</x:v>
      </x:c>
      <x:c r="Q116" s="2">
        <x:v>28</x:v>
      </x:c>
      <x:c r="R116" s="3" t="s">
        <x:v>1388</x:v>
      </x:c>
      <x:c r="S116" s="3" t="s">
        <x:v>1221</x:v>
      </x:c>
      <x:c r="T116" s="2" t="s">
        <x:v>44</x:v>
      </x:c>
      <x:c r="U116" s="2" t="s">
        <x:v>44</x:v>
      </x:c>
    </x:row>
    <x:row r="117" ht="22" customHeight="1">
      <x:c r="A117" s="2" t="s">
        <x:v>472</x:v>
      </x:c>
      <x:c r="B117" s="3" t="s">
        <x:v>474</x:v>
      </x:c>
      <x:c r="C117" s="3" t="s">
        <x:v>87</x:v>
      </x:c>
      <x:c r="D117" s="3" t="s">
        <x:v>454</x:v>
      </x:c>
      <x:c r="E117" s="3" t="s">
        <x:v>72</x:v>
      </x:c>
      <x:c r="F117" s="3" t="s">
        <x:v>88</x:v>
      </x:c>
      <x:c r="G117" s="2" t="s">
        <x:v>889</x:v>
      </x:c>
      <x:c r="H117" s="2" t="s">
        <x:v>1354</x:v>
      </x:c>
      <x:c r="I117" s="2">
        <x:v>5</x:v>
      </x:c>
      <x:c r="J117" s="2" t="s">
        <x:v>1383</x:v>
      </x:c>
      <x:c r="K117" s="2">
        <x:v>6</x:v>
      </x:c>
      <x:c r="L117" s="2" t="s">
        <x:v>44</x:v>
      </x:c>
      <x:c r="M117" s="2">
        <x:v>28</x:v>
      </x:c>
      <x:c r="N117" s="2">
        <x:v>32</x:v>
      </x:c>
      <x:c r="O117" s="2">
        <x:v>30</x:v>
      </x:c>
      <x:c r="P117" s="2">
        <x:v>45</x:v>
      </x:c>
      <x:c r="Q117" s="2">
        <x:v>28</x:v>
      </x:c>
      <x:c r="R117" s="3" t="s">
        <x:v>1386</x:v>
      </x:c>
      <x:c r="S117" s="3" t="s">
        <x:v>1221</x:v>
      </x:c>
      <x:c r="T117" s="2" t="s">
        <x:v>44</x:v>
      </x:c>
      <x:c r="U117" s="2" t="s">
        <x:v>218</x:v>
      </x:c>
    </x:row>
    <x:row r="118" ht="22" customHeight="1">
      <x:c r="A118" s="2" t="s">
        <x:v>475</x:v>
      </x:c>
      <x:c r="B118" s="3" t="s">
        <x:v>477</x:v>
      </x:c>
      <x:c r="C118" s="3" t="s">
        <x:v>43</x:v>
      </x:c>
      <x:c r="D118" s="3" t="s">
        <x:v>454</x:v>
      </x:c>
      <x:c r="E118" s="3" t="s">
        <x:v>110</x:v>
      </x:c>
      <x:c r="F118" s="3" t="s">
        <x:v>115</x:v>
      </x:c>
      <x:c r="G118" s="2" t="s">
        <x:v>889</x:v>
      </x:c>
      <x:c r="H118" s="2" t="s">
        <x:v>1354</x:v>
      </x:c>
      <x:c r="I118" s="2">
        <x:v>5</x:v>
      </x:c>
      <x:c r="J118" s="2" t="s">
        <x:v>1383</x:v>
      </x:c>
      <x:c r="K118" s="2">
        <x:v>6</x:v>
      </x:c>
      <x:c r="L118" s="2" t="s">
        <x:v>44</x:v>
      </x:c>
      <x:c r="M118" s="2">
        <x:v>28</x:v>
      </x:c>
      <x:c r="N118" s="2">
        <x:v>32</x:v>
      </x:c>
      <x:c r="O118" s="2">
        <x:v>30</x:v>
      </x:c>
      <x:c r="P118" s="2">
        <x:v>45</x:v>
      </x:c>
      <x:c r="Q118" s="2">
        <x:v>28</x:v>
      </x:c>
      <x:c r="R118" s="3" t="s">
        <x:v>1389</x:v>
      </x:c>
      <x:c r="S118" s="3" t="s">
        <x:v>1221</x:v>
      </x:c>
      <x:c r="T118" s="2" t="s">
        <x:v>44</x:v>
      </x:c>
      <x:c r="U118" s="2" t="s">
        <x:v>260</x:v>
      </x:c>
    </x:row>
    <x:row r="119" ht="22" customHeight="1">
      <x:c r="A119" s="2" t="s">
        <x:v>478</x:v>
      </x:c>
      <x:c r="B119" s="3" t="s">
        <x:v>480</x:v>
      </x:c>
      <x:c r="C119" s="3" t="s">
        <x:v>43</x:v>
      </x:c>
      <x:c r="D119" s="3" t="s">
        <x:v>454</x:v>
      </x:c>
      <x:c r="E119" s="3" t="s">
        <x:v>72</x:v>
      </x:c>
      <x:c r="F119" s="3" t="s">
        <x:v>75</x:v>
      </x:c>
      <x:c r="G119" s="2" t="s">
        <x:v>889</x:v>
      </x:c>
      <x:c r="H119" s="2" t="s">
        <x:v>1354</x:v>
      </x:c>
      <x:c r="I119" s="2">
        <x:v>5</x:v>
      </x:c>
      <x:c r="J119" s="2" t="s">
        <x:v>1383</x:v>
      </x:c>
      <x:c r="K119" s="2">
        <x:v>6</x:v>
      </x:c>
      <x:c r="L119" s="2" t="s">
        <x:v>44</x:v>
      </x:c>
      <x:c r="M119" s="2">
        <x:v>28</x:v>
      </x:c>
      <x:c r="N119" s="2">
        <x:v>32</x:v>
      </x:c>
      <x:c r="O119" s="2">
        <x:v>30</x:v>
      </x:c>
      <x:c r="P119" s="2">
        <x:v>45</x:v>
      </x:c>
      <x:c r="Q119" s="2">
        <x:v>28</x:v>
      </x:c>
      <x:c r="R119" s="3" t="s">
        <x:v>1390</x:v>
      </x:c>
      <x:c r="S119" s="3" t="s">
        <x:v>1221</x:v>
      </x:c>
      <x:c r="T119" s="2" t="s">
        <x:v>44</x:v>
      </x:c>
      <x:c r="U119" s="2" t="s">
        <x:v>218</x:v>
      </x:c>
    </x:row>
    <x:row r="120" ht="22" customHeight="1">
      <x:c r="A120" s="2" t="s">
        <x:v>481</x:v>
      </x:c>
      <x:c r="B120" s="3" t="s">
        <x:v>483</x:v>
      </x:c>
      <x:c r="C120" s="3" t="s">
        <x:v>120</x:v>
      </x:c>
      <x:c r="D120" s="3" t="s">
        <x:v>454</x:v>
      </x:c>
      <x:c r="E120" s="3" t="s">
        <x:v>72</x:v>
      </x:c>
      <x:c r="F120" s="3" t="s">
        <x:v>225</x:v>
      </x:c>
      <x:c r="G120" s="2" t="s">
        <x:v>889</x:v>
      </x:c>
      <x:c r="H120" s="2" t="s">
        <x:v>1354</x:v>
      </x:c>
      <x:c r="I120" s="2">
        <x:v>5</x:v>
      </x:c>
      <x:c r="J120" s="2" t="s">
        <x:v>1383</x:v>
      </x:c>
      <x:c r="K120" s="2">
        <x:v>6</x:v>
      </x:c>
      <x:c r="L120" s="2" t="s">
        <x:v>44</x:v>
      </x:c>
      <x:c r="M120" s="2">
        <x:v>28</x:v>
      </x:c>
      <x:c r="N120" s="2">
        <x:v>32</x:v>
      </x:c>
      <x:c r="O120" s="2">
        <x:v>30</x:v>
      </x:c>
      <x:c r="P120" s="2">
        <x:v>45</x:v>
      </x:c>
      <x:c r="Q120" s="2">
        <x:v>28</x:v>
      </x:c>
      <x:c r="R120" s="3" t="s">
        <x:v>1391</x:v>
      </x:c>
      <x:c r="S120" s="3" t="s">
        <x:v>1221</x:v>
      </x:c>
      <x:c r="T120" s="2" t="s">
        <x:v>44</x:v>
      </x:c>
      <x:c r="U120" s="2" t="s">
        <x:v>218</x:v>
      </x:c>
    </x:row>
    <x:row r="121" ht="22" customHeight="1">
      <x:c r="A121" s="2" t="s">
        <x:v>484</x:v>
      </x:c>
      <x:c r="B121" s="3" t="s">
        <x:v>486</x:v>
      </x:c>
      <x:c r="C121" s="3" t="s">
        <x:v>79</x:v>
      </x:c>
      <x:c r="D121" s="3" t="s">
        <x:v>454</x:v>
      </x:c>
      <x:c r="E121" s="3" t="s">
        <x:v>165</x:v>
      </x:c>
      <x:c r="F121" s="3" t="s">
        <x:v>325</x:v>
      </x:c>
      <x:c r="G121" s="2" t="s">
        <x:v>889</x:v>
      </x:c>
      <x:c r="H121" s="2" t="s">
        <x:v>1354</x:v>
      </x:c>
      <x:c r="I121" s="2">
        <x:v>5</x:v>
      </x:c>
      <x:c r="J121" s="2" t="s">
        <x:v>1383</x:v>
      </x:c>
      <x:c r="K121" s="2">
        <x:v>6</x:v>
      </x:c>
      <x:c r="L121" s="2" t="s">
        <x:v>44</x:v>
      </x:c>
      <x:c r="M121" s="2">
        <x:v>28</x:v>
      </x:c>
      <x:c r="N121" s="2">
        <x:v>32</x:v>
      </x:c>
      <x:c r="O121" s="2">
        <x:v>30</x:v>
      </x:c>
      <x:c r="P121" s="2">
        <x:v>45</x:v>
      </x:c>
      <x:c r="Q121" s="2">
        <x:v>28</x:v>
      </x:c>
      <x:c r="R121" s="3" t="s">
        <x:v>1388</x:v>
      </x:c>
      <x:c r="S121" s="3" t="s">
        <x:v>1221</x:v>
      </x:c>
      <x:c r="T121" s="2" t="s">
        <x:v>44</x:v>
      </x:c>
      <x:c r="U121" s="2" t="s">
        <x:v>44</x:v>
      </x:c>
    </x:row>
    <x:row r="122" ht="22" customHeight="1">
      <x:c r="A122" s="2" t="s">
        <x:v>487</x:v>
      </x:c>
      <x:c r="B122" s="3" t="s">
        <x:v>489</x:v>
      </x:c>
      <x:c r="C122" s="3" t="s">
        <x:v>43</x:v>
      </x:c>
      <x:c r="D122" s="3" t="s">
        <x:v>454</x:v>
      </x:c>
      <x:c r="E122" s="3" t="s">
        <x:v>110</x:v>
      </x:c>
      <x:c r="F122" s="3" t="s">
        <x:v>115</x:v>
      </x:c>
      <x:c r="G122" s="2" t="s">
        <x:v>889</x:v>
      </x:c>
      <x:c r="H122" s="2" t="s">
        <x:v>1354</x:v>
      </x:c>
      <x:c r="I122" s="2">
        <x:v>5</x:v>
      </x:c>
      <x:c r="J122" s="2" t="s">
        <x:v>1383</x:v>
      </x:c>
      <x:c r="K122" s="2">
        <x:v>6</x:v>
      </x:c>
      <x:c r="L122" s="2" t="s">
        <x:v>44</x:v>
      </x:c>
      <x:c r="M122" s="2">
        <x:v>28</x:v>
      </x:c>
      <x:c r="N122" s="2">
        <x:v>32</x:v>
      </x:c>
      <x:c r="O122" s="2">
        <x:v>30</x:v>
      </x:c>
      <x:c r="P122" s="2">
        <x:v>45</x:v>
      </x:c>
      <x:c r="Q122" s="2">
        <x:v>28</x:v>
      </x:c>
      <x:c r="R122" s="3" t="s">
        <x:v>1389</x:v>
      </x:c>
      <x:c r="S122" s="3" t="s">
        <x:v>1221</x:v>
      </x:c>
      <x:c r="T122" s="2" t="s">
        <x:v>44</x:v>
      </x:c>
      <x:c r="U122" s="2" t="s">
        <x:v>260</x:v>
      </x:c>
    </x:row>
    <x:row r="123" ht="22" customHeight="1">
      <x:c r="A123" s="2" t="s">
        <x:v>490</x:v>
      </x:c>
      <x:c r="B123" s="3" t="s">
        <x:v>492</x:v>
      </x:c>
      <x:c r="C123" s="3" t="s">
        <x:v>120</x:v>
      </x:c>
      <x:c r="D123" s="3" t="s">
        <x:v>454</x:v>
      </x:c>
      <x:c r="E123" s="3" t="s">
        <x:v>165</x:v>
      </x:c>
      <x:c r="F123" s="3" t="s">
        <x:v>445</x:v>
      </x:c>
      <x:c r="G123" s="2" t="s">
        <x:v>889</x:v>
      </x:c>
      <x:c r="H123" s="2" t="s">
        <x:v>1354</x:v>
      </x:c>
      <x:c r="I123" s="2">
        <x:v>5</x:v>
      </x:c>
      <x:c r="J123" s="2" t="s">
        <x:v>1383</x:v>
      </x:c>
      <x:c r="K123" s="2">
        <x:v>6</x:v>
      </x:c>
      <x:c r="L123" s="2" t="s">
        <x:v>44</x:v>
      </x:c>
      <x:c r="M123" s="2">
        <x:v>28</x:v>
      </x:c>
      <x:c r="N123" s="2">
        <x:v>32</x:v>
      </x:c>
      <x:c r="O123" s="2">
        <x:v>30</x:v>
      </x:c>
      <x:c r="P123" s="2">
        <x:v>45</x:v>
      </x:c>
      <x:c r="Q123" s="2">
        <x:v>28</x:v>
      </x:c>
      <x:c r="R123" s="3" t="s">
        <x:v>1392</x:v>
      </x:c>
      <x:c r="S123" s="3" t="s">
        <x:v>1221</x:v>
      </x:c>
      <x:c r="T123" s="2" t="s">
        <x:v>44</x:v>
      </x:c>
      <x:c r="U123" s="2" t="s">
        <x:v>44</x:v>
      </x:c>
    </x:row>
    <x:row r="124" ht="22" customHeight="1">
      <x:c r="A124" s="2" t="s">
        <x:v>493</x:v>
      </x:c>
      <x:c r="B124" s="3" t="s">
        <x:v>495</x:v>
      </x:c>
      <x:c r="C124" s="3" t="s">
        <x:v>43</x:v>
      </x:c>
      <x:c r="D124" s="3" t="s">
        <x:v>454</x:v>
      </x:c>
      <x:c r="E124" s="3" t="s">
        <x:v>57</x:v>
      </x:c>
      <x:c r="F124" s="3" t="s">
        <x:v>62</x:v>
      </x:c>
      <x:c r="G124" s="2" t="s">
        <x:v>889</x:v>
      </x:c>
      <x:c r="H124" s="2" t="s">
        <x:v>1354</x:v>
      </x:c>
      <x:c r="I124" s="2">
        <x:v>5</x:v>
      </x:c>
      <x:c r="J124" s="2" t="s">
        <x:v>1383</x:v>
      </x:c>
      <x:c r="K124" s="2">
        <x:v>6</x:v>
      </x:c>
      <x:c r="L124" s="2" t="s">
        <x:v>44</x:v>
      </x:c>
      <x:c r="M124" s="2">
        <x:v>28</x:v>
      </x:c>
      <x:c r="N124" s="2">
        <x:v>32</x:v>
      </x:c>
      <x:c r="O124" s="2">
        <x:v>30</x:v>
      </x:c>
      <x:c r="P124" s="2">
        <x:v>45</x:v>
      </x:c>
      <x:c r="Q124" s="2">
        <x:v>28</x:v>
      </x:c>
      <x:c r="R124" s="3" t="s">
        <x:v>1393</x:v>
      </x:c>
      <x:c r="S124" s="3" t="s">
        <x:v>1221</x:v>
      </x:c>
      <x:c r="T124" s="2" t="s">
        <x:v>44</x:v>
      </x:c>
      <x:c r="U124" s="2" t="s">
        <x:v>64</x:v>
      </x:c>
    </x:row>
    <x:row r="125" ht="22" customHeight="1">
      <x:c r="A125" s="2" t="s">
        <x:v>496</x:v>
      </x:c>
      <x:c r="B125" s="3" t="s">
        <x:v>498</x:v>
      </x:c>
      <x:c r="C125" s="3" t="s">
        <x:v>120</x:v>
      </x:c>
      <x:c r="D125" s="3" t="s">
        <x:v>454</x:v>
      </x:c>
      <x:c r="E125" s="3" t="s">
        <x:v>57</x:v>
      </x:c>
      <x:c r="F125" s="3" t="s">
        <x:v>122</x:v>
      </x:c>
      <x:c r="G125" s="2" t="s">
        <x:v>889</x:v>
      </x:c>
      <x:c r="H125" s="2" t="s">
        <x:v>1354</x:v>
      </x:c>
      <x:c r="I125" s="2">
        <x:v>5</x:v>
      </x:c>
      <x:c r="J125" s="2" t="s">
        <x:v>1383</x:v>
      </x:c>
      <x:c r="K125" s="2">
        <x:v>6</x:v>
      </x:c>
      <x:c r="L125" s="2" t="s">
        <x:v>44</x:v>
      </x:c>
      <x:c r="M125" s="2">
        <x:v>28</x:v>
      </x:c>
      <x:c r="N125" s="2">
        <x:v>32</x:v>
      </x:c>
      <x:c r="O125" s="2">
        <x:v>30</x:v>
      </x:c>
      <x:c r="P125" s="2">
        <x:v>45</x:v>
      </x:c>
      <x:c r="Q125" s="2">
        <x:v>28</x:v>
      </x:c>
      <x:c r="R125" s="3" t="s">
        <x:v>1384</x:v>
      </x:c>
      <x:c r="S125" s="3" t="s">
        <x:v>1221</x:v>
      </x:c>
      <x:c r="T125" s="2" t="s">
        <x:v>44</x:v>
      </x:c>
      <x:c r="U125" s="2" t="s">
        <x:v>64</x:v>
      </x:c>
    </x:row>
    <x:row r="126" ht="22" customHeight="1">
      <x:c r="A126" s="2" t="s">
        <x:v>499</x:v>
      </x:c>
      <x:c r="B126" s="3" t="s">
        <x:v>501</x:v>
      </x:c>
      <x:c r="C126" s="3" t="s">
        <x:v>87</x:v>
      </x:c>
      <x:c r="D126" s="3" t="s">
        <x:v>454</x:v>
      </x:c>
      <x:c r="E126" s="3" t="s">
        <x:v>110</x:v>
      </x:c>
      <x:c r="F126" s="3" t="s">
        <x:v>259</x:v>
      </x:c>
      <x:c r="G126" s="2" t="s">
        <x:v>889</x:v>
      </x:c>
      <x:c r="H126" s="2" t="s">
        <x:v>1354</x:v>
      </x:c>
      <x:c r="I126" s="2">
        <x:v>5</x:v>
      </x:c>
      <x:c r="J126" s="2" t="s">
        <x:v>1383</x:v>
      </x:c>
      <x:c r="K126" s="2">
        <x:v>6</x:v>
      </x:c>
      <x:c r="L126" s="2" t="s">
        <x:v>44</x:v>
      </x:c>
      <x:c r="M126" s="2">
        <x:v>28</x:v>
      </x:c>
      <x:c r="N126" s="2">
        <x:v>32</x:v>
      </x:c>
      <x:c r="O126" s="2">
        <x:v>30</x:v>
      </x:c>
      <x:c r="P126" s="2">
        <x:v>45</x:v>
      </x:c>
      <x:c r="Q126" s="2">
        <x:v>28</x:v>
      </x:c>
      <x:c r="R126" s="3" t="s">
        <x:v>1394</x:v>
      </x:c>
      <x:c r="S126" s="3" t="s">
        <x:v>1221</x:v>
      </x:c>
      <x:c r="T126" s="2" t="s">
        <x:v>44</x:v>
      </x:c>
      <x:c r="U126" s="2" t="s">
        <x:v>260</x:v>
      </x:c>
    </x:row>
    <x:row r="127" ht="22" customHeight="1">
      <x:c r="A127" s="2" t="s">
        <x:v>502</x:v>
      </x:c>
      <x:c r="B127" s="3" t="s">
        <x:v>504</x:v>
      </x:c>
      <x:c r="C127" s="3" t="s">
        <x:v>120</x:v>
      </x:c>
      <x:c r="D127" s="3" t="s">
        <x:v>454</x:v>
      </x:c>
      <x:c r="E127" s="3" t="s">
        <x:v>110</x:v>
      </x:c>
      <x:c r="F127" s="3" t="s">
        <x:v>505</x:v>
      </x:c>
      <x:c r="G127" s="2" t="s">
        <x:v>889</x:v>
      </x:c>
      <x:c r="H127" s="2" t="s">
        <x:v>1354</x:v>
      </x:c>
      <x:c r="I127" s="2">
        <x:v>5</x:v>
      </x:c>
      <x:c r="J127" s="2" t="s">
        <x:v>1383</x:v>
      </x:c>
      <x:c r="K127" s="2">
        <x:v>6</x:v>
      </x:c>
      <x:c r="L127" s="2" t="s">
        <x:v>44</x:v>
      </x:c>
      <x:c r="M127" s="2">
        <x:v>28</x:v>
      </x:c>
      <x:c r="N127" s="2">
        <x:v>32</x:v>
      </x:c>
      <x:c r="O127" s="2">
        <x:v>30</x:v>
      </x:c>
      <x:c r="P127" s="2">
        <x:v>45</x:v>
      </x:c>
      <x:c r="Q127" s="2">
        <x:v>28</x:v>
      </x:c>
      <x:c r="R127" s="3" t="s">
        <x:v>1395</x:v>
      </x:c>
      <x:c r="S127" s="3" t="s">
        <x:v>1221</x:v>
      </x:c>
      <x:c r="T127" s="2" t="s">
        <x:v>44</x:v>
      </x:c>
      <x:c r="U127" s="2" t="s">
        <x:v>260</x:v>
      </x:c>
    </x:row>
    <x:row r="128" ht="22" customHeight="1">
      <x:c r="A128" s="2" t="s">
        <x:v>506</x:v>
      </x:c>
      <x:c r="B128" s="3" t="s">
        <x:v>508</x:v>
      </x:c>
      <x:c r="C128" s="3" t="s">
        <x:v>43</x:v>
      </x:c>
      <x:c r="D128" s="3" t="s">
        <x:v>454</x:v>
      </x:c>
      <x:c r="E128" s="3" t="s">
        <x:v>165</x:v>
      </x:c>
      <x:c r="F128" s="3" t="s">
        <x:v>166</x:v>
      </x:c>
      <x:c r="G128" s="2" t="s">
        <x:v>889</x:v>
      </x:c>
      <x:c r="H128" s="2" t="s">
        <x:v>1354</x:v>
      </x:c>
      <x:c r="I128" s="2">
        <x:v>5</x:v>
      </x:c>
      <x:c r="J128" s="2" t="s">
        <x:v>1383</x:v>
      </x:c>
      <x:c r="K128" s="2">
        <x:v>6</x:v>
      </x:c>
      <x:c r="L128" s="2" t="s">
        <x:v>44</x:v>
      </x:c>
      <x:c r="M128" s="2">
        <x:v>28</x:v>
      </x:c>
      <x:c r="N128" s="2">
        <x:v>32</x:v>
      </x:c>
      <x:c r="O128" s="2">
        <x:v>30</x:v>
      </x:c>
      <x:c r="P128" s="2">
        <x:v>45</x:v>
      </x:c>
      <x:c r="Q128" s="2">
        <x:v>28</x:v>
      </x:c>
      <x:c r="R128" s="3" t="s">
        <x:v>1396</x:v>
      </x:c>
      <x:c r="S128" s="3" t="s">
        <x:v>1221</x:v>
      </x:c>
      <x:c r="T128" s="2" t="s">
        <x:v>44</x:v>
      </x:c>
      <x:c r="U128" s="2" t="s">
        <x:v>44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100000381469727"/>
  <x:cols>
    <x:col min="1" max="2" width="18" customWidth="1"/>
    <x:col min="3" max="5" width="14" customWidth="1"/>
    <x:col min="6" max="7" width="18" customWidth="1"/>
    <x:col min="8" max="8" width="14" customWidth="1"/>
    <x:col min="9" max="12" width="18" customWidth="1"/>
    <x:col min="13" max="13" width="14" customWidth="1"/>
    <x:col min="14" max="14" width="10" customWidth="1"/>
    <x:col min="15" max="15" width="14" customWidth="1"/>
    <x:col min="16" max="16" width="32" customWidth="1"/>
  </x:cols>
  <x:sheetData>
    <x:row r="1" ht="28" customHeight="1">
      <x:c r="A1" s="1" t="s">
        <x:v>1397</x:v>
      </x:c>
      <x:c r="B1" s="1" t="s">
        <x:v>1398</x:v>
      </x:c>
      <x:c r="C1" s="1" t="s">
        <x:v>1399</x:v>
      </x:c>
      <x:c r="D1" s="1" t="s">
        <x:v>23</x:v>
      </x:c>
      <x:c r="E1" s="1" t="s">
        <x:v>571</x:v>
      </x:c>
      <x:c r="F1" s="1" t="s">
        <x:v>32</x:v>
      </x:c>
      <x:c r="G1" s="1" t="s">
        <x:v>1144</x:v>
      </x:c>
      <x:c r="H1" s="1" t="s">
        <x:v>1400</x:v>
      </x:c>
      <x:c r="I1" s="1" t="s">
        <x:v>1401</x:v>
      </x:c>
      <x:c r="J1" s="1" t="s">
        <x:v>509</x:v>
      </x:c>
      <x:c r="K1" s="1" t="s">
        <x:v>1402</x:v>
      </x:c>
      <x:c r="L1" s="1" t="s">
        <x:v>1403</x:v>
      </x:c>
      <x:c r="M1" s="1" t="s">
        <x:v>1342</x:v>
      </x:c>
      <x:c r="N1" s="1" t="s">
        <x:v>1404</x:v>
      </x:c>
      <x:c r="O1" s="1" t="s">
        <x:v>577</x:v>
      </x:c>
      <x:c r="P1" s="1" t="s">
        <x:v>39</x:v>
      </x:c>
    </x:row>
    <x:row r="2" ht="22" customHeight="1">
      <x:c r="A2" s="2" t="s">
        <x:v>1405</x:v>
      </x:c>
      <x:c r="B2" s="2" t="s">
        <x:v>1406</x:v>
      </x:c>
      <x:c r="C2" s="2" t="s">
        <x:v>1407</x:v>
      </x:c>
      <x:c r="D2" s="2" t="s">
        <x:v>45</x:v>
      </x:c>
      <x:c r="E2" s="2" t="s">
        <x:v>1408</x:v>
      </x:c>
      <x:c r="F2" s="2" t="s">
        <x:v>522</x:v>
      </x:c>
      <x:c r="G2" s="3" t="str">
        <x:f>IFERROR(VLOOKUP($F2,'04_机制词条库_60条'!$B:$S,2,FALSE),"")</x:f>
        <x:v>无机制</x:v>
      </x:c>
      <x:c r="H2" s="2" t="s">
        <x:v>1409</x:v>
      </x:c>
      <x:c r="I2" s="2" t="s">
        <x:v>40</x:v>
      </x:c>
      <x:c r="J2" s="3" t="str">
        <x:f>IFERROR(VLOOKUP($I2,'01_宠物主表_好读版'!$A:$V,3,FALSE),"")</x:f>
        <x:v>棉悠悠</x:v>
      </x:c>
      <x:c r="K2" s="2" t="s">
        <x:v>1177</x:v>
      </x:c>
      <x:c r="L2" s="2" t="s">
        <x:v>1221</x:v>
      </x:c>
      <x:c r="M2" s="2">
        <x:v>1</x:v>
      </x:c>
      <x:c r="N2" s="2">
        <x:v>100</x:v>
      </x:c>
      <x:c r="O2" s="2" t="s">
        <x:v>591</x:v>
      </x:c>
      <x:c r="P2" s="2" t="s">
        <x:v>1410</x:v>
      </x:c>
    </x:row>
    <x:row r="3" ht="22" customHeight="1">
      <x:c r="A3" s="2" t="s">
        <x:v>1411</x:v>
      </x:c>
      <x:c r="B3" s="2" t="s">
        <x:v>1412</x:v>
      </x:c>
      <x:c r="C3" s="2" t="s">
        <x:v>1251</x:v>
      </x:c>
      <x:c r="D3" s="2" t="s">
        <x:v>199</x:v>
      </x:c>
      <x:c r="E3" s="2" t="s">
        <x:v>1413</x:v>
      </x:c>
      <x:c r="F3" s="2" t="s">
        <x:v>691</x:v>
      </x:c>
      <x:c r="G3" s="3" t="str">
        <x:f>IFERROR(VLOOKUP($F3,'04_机制词条库_60条'!$B:$S,2,FALSE),"")</x:f>
        <x:v>受击反伤</x:v>
      </x:c>
      <x:c r="H3" s="2" t="s">
        <x:v>1409</x:v>
      </x:c>
      <x:c r="I3" s="2" t="s">
        <x:v>68</x:v>
      </x:c>
      <x:c r="J3" s="3" t="str">
        <x:f>IFERROR(VLOOKUP($I3,'01_宠物主表_好读版'!$A:$V,3,FALSE),"")</x:f>
        <x:v>翠叶鼠</x:v>
      </x:c>
      <x:c r="K3" s="2" t="s">
        <x:v>1167</x:v>
      </x:c>
      <x:c r="L3" s="2" t="s">
        <x:v>1159</x:v>
      </x:c>
      <x:c r="M3" s="2">
        <x:v>2</x:v>
      </x:c>
      <x:c r="N3" s="2">
        <x:v>99</x:v>
      </x:c>
      <x:c r="O3" s="2" t="s">
        <x:v>591</x:v>
      </x:c>
      <x:c r="P3" s="2" t="s">
        <x:v>1410</x:v>
      </x:c>
    </x:row>
    <x:row r="4" ht="22" customHeight="1">
      <x:c r="A4" s="2" t="s">
        <x:v>1414</x:v>
      </x:c>
      <x:c r="B4" s="2" t="s">
        <x:v>1415</x:v>
      </x:c>
      <x:c r="C4" s="2" t="s">
        <x:v>1416</x:v>
      </x:c>
      <x:c r="D4" s="2" t="s">
        <x:v>454</x:v>
      </x:c>
      <x:c r="E4" s="2" t="s">
        <x:v>1417</x:v>
      </x:c>
      <x:c r="F4" s="2" t="s">
        <x:v>522</x:v>
      </x:c>
      <x:c r="G4" s="3" t="str">
        <x:f>IFERROR(VLOOKUP($F4,'04_机制词条库_60条'!$B:$S,2,FALSE),"")</x:f>
        <x:v>无机制</x:v>
      </x:c>
      <x:c r="H4" s="2" t="s">
        <x:v>1409</x:v>
      </x:c>
      <x:c r="I4" s="2" t="s">
        <x:v>89</x:v>
      </x:c>
      <x:c r="J4" s="3" t="str">
        <x:f>IFERROR(VLOOKUP($I4,'01_宠物主表_好读版'!$A:$V,3,FALSE),"")</x:f>
        <x:v>伏特喵</x:v>
      </x:c>
      <x:c r="K4" s="2" t="s">
        <x:v>1158</x:v>
      </x:c>
      <x:c r="L4" s="2" t="s">
        <x:v>1213</x:v>
      </x:c>
      <x:c r="M4" s="2">
        <x:v>3</x:v>
      </x:c>
      <x:c r="N4" s="2">
        <x:v>98</x:v>
      </x:c>
      <x:c r="O4" s="2" t="s">
        <x:v>591</x:v>
      </x:c>
      <x:c r="P4" s="2" t="s">
        <x:v>1410</x:v>
      </x:c>
    </x:row>
    <x:row r="5" ht="22" customHeight="1">
      <x:c r="A5" s="2" t="s">
        <x:v>1418</x:v>
      </x:c>
      <x:c r="B5" s="2" t="s">
        <x:v>1419</x:v>
      </x:c>
      <x:c r="C5" s="2" t="s">
        <x:v>1420</x:v>
      </x:c>
      <x:c r="D5" s="2" t="s">
        <x:v>1421</x:v>
      </x:c>
      <x:c r="E5" s="2" t="s">
        <x:v>872</x:v>
      </x:c>
      <x:c r="F5" s="2" t="s">
        <x:v>522</x:v>
      </x:c>
      <x:c r="G5" s="3" t="str">
        <x:f>IFERROR(VLOOKUP($F5,'04_机制词条库_60条'!$B:$S,2,FALSE),"")</x:f>
        <x:v>无机制</x:v>
      </x:c>
      <x:c r="H5" s="2" t="s">
        <x:v>1409</x:v>
      </x:c>
      <x:c r="I5" s="2" t="s">
        <x:v>99</x:v>
      </x:c>
      <x:c r="J5" s="3" t="str">
        <x:f>IFERROR(VLOOKUP($I5,'01_宠物主表_好读版'!$A:$V,3,FALSE),"")</x:f>
        <x:v>企丸丸</x:v>
      </x:c>
      <x:c r="K5" s="2" t="s">
        <x:v>1172</x:v>
      </x:c>
      <x:c r="L5" s="2" t="s">
        <x:v>1221</x:v>
      </x:c>
      <x:c r="M5" s="2">
        <x:v>4</x:v>
      </x:c>
      <x:c r="N5" s="2">
        <x:v>97</x:v>
      </x:c>
      <x:c r="O5" s="2" t="s">
        <x:v>591</x:v>
      </x:c>
      <x:c r="P5" s="2" t="s">
        <x:v>1410</x:v>
      </x:c>
    </x:row>
    <x:row r="6" ht="22" customHeight="1">
      <x:c r="A6" s="2" t="s">
        <x:v>1422</x:v>
      </x:c>
      <x:c r="B6" s="2" t="s">
        <x:v>1423</x:v>
      </x:c>
      <x:c r="C6" s="2" t="s">
        <x:v>1424</x:v>
      </x:c>
      <x:c r="D6" s="2" t="s">
        <x:v>45</x:v>
      </x:c>
      <x:c r="E6" s="2" t="s">
        <x:v>1425</x:v>
      </x:c>
      <x:c r="F6" s="2" t="s">
        <x:v>522</x:v>
      </x:c>
      <x:c r="G6" s="3" t="str">
        <x:f>IFERROR(VLOOKUP($F6,'04_机制词条库_60条'!$B:$S,2,FALSE),"")</x:f>
        <x:v>无机制</x:v>
      </x:c>
      <x:c r="H6" s="2" t="s">
        <x:v>1409</x:v>
      </x:c>
      <x:c r="I6" s="2" t="s">
        <x:v>117</x:v>
      </x:c>
      <x:c r="J6" s="3" t="str">
        <x:f>IFERROR(VLOOKUP($I6,'01_宠物主表_好读版'!$A:$V,3,FALSE),"")</x:f>
        <x:v>叶泥泥</x:v>
      </x:c>
      <x:c r="K6" s="2" t="s">
        <x:v>1199</x:v>
      </x:c>
      <x:c r="L6" s="2" t="s">
        <x:v>1159</x:v>
      </x:c>
      <x:c r="M6" s="2">
        <x:v>5</x:v>
      </x:c>
      <x:c r="N6" s="2">
        <x:v>96</x:v>
      </x:c>
      <x:c r="O6" s="2" t="s">
        <x:v>591</x:v>
      </x:c>
      <x:c r="P6" s="2" t="s">
        <x:v>1410</x:v>
      </x:c>
    </x:row>
    <x:row r="7" ht="22" customHeight="1">
      <x:c r="A7" s="2" t="s">
        <x:v>1426</x:v>
      </x:c>
      <x:c r="B7" s="2" t="s">
        <x:v>1427</x:v>
      </x:c>
      <x:c r="C7" s="2" t="s">
        <x:v>1407</x:v>
      </x:c>
      <x:c r="D7" s="2" t="s">
        <x:v>199</x:v>
      </x:c>
      <x:c r="E7" s="2" t="s">
        <x:v>1228</x:v>
      </x:c>
      <x:c r="F7" s="2" t="s">
        <x:v>522</x:v>
      </x:c>
      <x:c r="G7" s="3" t="str">
        <x:f>IFERROR(VLOOKUP($F7,'04_机制词条库_60条'!$B:$S,2,FALSE),"")</x:f>
        <x:v>无机制</x:v>
      </x:c>
      <x:c r="H7" s="2" t="s">
        <x:v>1409</x:v>
      </x:c>
      <x:c r="I7" s="2" t="s">
        <x:v>130</x:v>
      </x:c>
      <x:c r="J7" s="3" t="str">
        <x:f>IFERROR(VLOOKUP($I7,'01_宠物主表_好读版'!$A:$V,3,FALSE),"")</x:f>
        <x:v>壶小象</x:v>
      </x:c>
      <x:c r="K7" s="2" t="s">
        <x:v>1184</x:v>
      </x:c>
      <x:c r="L7" s="2" t="s">
        <x:v>1213</x:v>
      </x:c>
      <x:c r="M7" s="2">
        <x:v>6</x:v>
      </x:c>
      <x:c r="N7" s="2">
        <x:v>95</x:v>
      </x:c>
      <x:c r="O7" s="2" t="s">
        <x:v>591</x:v>
      </x:c>
      <x:c r="P7" s="2" t="s">
        <x:v>1410</x:v>
      </x:c>
    </x:row>
    <x:row r="8" ht="22" customHeight="1">
      <x:c r="A8" s="2" t="s">
        <x:v>1428</x:v>
      </x:c>
      <x:c r="B8" s="2" t="s">
        <x:v>1429</x:v>
      </x:c>
      <x:c r="C8" s="2" t="s">
        <x:v>1251</x:v>
      </x:c>
      <x:c r="D8" s="2" t="s">
        <x:v>454</x:v>
      </x:c>
      <x:c r="E8" s="2" t="s">
        <x:v>1408</x:v>
      </x:c>
      <x:c r="F8" s="2" t="s">
        <x:v>522</x:v>
      </x:c>
      <x:c r="G8" s="3" t="str">
        <x:f>IFERROR(VLOOKUP($F8,'04_机制词条库_60条'!$B:$S,2,FALSE),"")</x:f>
        <x:v>无机制</x:v>
      </x:c>
      <x:c r="H8" s="2" t="s">
        <x:v>1409</x:v>
      </x:c>
      <x:c r="I8" s="2" t="s">
        <x:v>139</x:v>
      </x:c>
      <x:c r="J8" s="3" t="str">
        <x:f>IFERROR(VLOOKUP($I8,'01_宠物主表_好读版'!$A:$V,3,FALSE),"")</x:f>
        <x:v>寐魔</x:v>
      </x:c>
      <x:c r="K8" s="2" t="s">
        <x:v>1192</x:v>
      </x:c>
      <x:c r="L8" s="2" t="s">
        <x:v>1221</x:v>
      </x:c>
      <x:c r="M8" s="2">
        <x:v>7</x:v>
      </x:c>
      <x:c r="N8" s="2">
        <x:v>94</x:v>
      </x:c>
      <x:c r="O8" s="2" t="s">
        <x:v>591</x:v>
      </x:c>
      <x:c r="P8" s="2" t="s">
        <x:v>1410</x:v>
      </x:c>
    </x:row>
    <x:row r="9" ht="22" customHeight="1">
      <x:c r="A9" s="2" t="s">
        <x:v>1430</x:v>
      </x:c>
      <x:c r="B9" s="2" t="s">
        <x:v>1431</x:v>
      </x:c>
      <x:c r="C9" s="2" t="s">
        <x:v>1416</x:v>
      </x:c>
      <x:c r="D9" s="2" t="s">
        <x:v>1421</x:v>
      </x:c>
      <x:c r="E9" s="2" t="s">
        <x:v>1413</x:v>
      </x:c>
      <x:c r="F9" s="2" t="s">
        <x:v>522</x:v>
      </x:c>
      <x:c r="G9" s="3" t="str">
        <x:f>IFERROR(VLOOKUP($F9,'04_机制词条库_60条'!$B:$S,2,FALSE),"")</x:f>
        <x:v>无机制</x:v>
      </x:c>
      <x:c r="H9" s="2" t="s">
        <x:v>1409</x:v>
      </x:c>
      <x:c r="I9" s="2" t="s">
        <x:v>149</x:v>
      </x:c>
      <x:c r="J9" s="3" t="str">
        <x:f>IFERROR(VLOOKUP($I9,'01_宠物主表_好读版'!$A:$V,3,FALSE),"")</x:f>
        <x:v>遁地鼠</x:v>
      </x:c>
      <x:c r="K9" s="2" t="s">
        <x:v>1303</x:v>
      </x:c>
      <x:c r="L9" s="2" t="s">
        <x:v>1159</x:v>
      </x:c>
      <x:c r="M9" s="2">
        <x:v>1</x:v>
      </x:c>
      <x:c r="N9" s="2">
        <x:v>93</x:v>
      </x:c>
      <x:c r="O9" s="2" t="s">
        <x:v>591</x:v>
      </x:c>
      <x:c r="P9" s="2" t="s">
        <x:v>1410</x:v>
      </x:c>
    </x:row>
    <x:row r="10" ht="22" customHeight="1">
      <x:c r="A10" s="2" t="s">
        <x:v>1432</x:v>
      </x:c>
      <x:c r="B10" s="2" t="s">
        <x:v>1433</x:v>
      </x:c>
      <x:c r="C10" s="2" t="s">
        <x:v>1420</x:v>
      </x:c>
      <x:c r="D10" s="2" t="s">
        <x:v>45</x:v>
      </x:c>
      <x:c r="E10" s="2" t="s">
        <x:v>1417</x:v>
      </x:c>
      <x:c r="F10" s="2" t="s">
        <x:v>522</x:v>
      </x:c>
      <x:c r="G10" s="3" t="str">
        <x:f>IFERROR(VLOOKUP($F10,'04_机制词条库_60条'!$B:$S,2,FALSE),"")</x:f>
        <x:v>无机制</x:v>
      </x:c>
      <x:c r="H10" s="2" t="s">
        <x:v>1409</x:v>
      </x:c>
      <x:c r="I10" s="2" t="s">
        <x:v>159</x:v>
      </x:c>
      <x:c r="J10" s="3" t="str">
        <x:f>IFERROR(VLOOKUP($I10,'01_宠物主表_好读版'!$A:$V,3,FALSE),"")</x:f>
        <x:v>鲁米儿</x:v>
      </x:c>
      <x:c r="K10" s="2" t="s">
        <x:v>1307</x:v>
      </x:c>
      <x:c r="L10" s="2" t="s">
        <x:v>1213</x:v>
      </x:c>
      <x:c r="M10" s="2">
        <x:v>2</x:v>
      </x:c>
      <x:c r="N10" s="2">
        <x:v>92</x:v>
      </x:c>
      <x:c r="O10" s="2" t="s">
        <x:v>591</x:v>
      </x:c>
      <x:c r="P10" s="2" t="s">
        <x:v>1410</x:v>
      </x:c>
    </x:row>
    <x:row r="11" ht="22" customHeight="1">
      <x:c r="A11" s="2" t="s">
        <x:v>1434</x:v>
      </x:c>
      <x:c r="B11" s="2" t="s">
        <x:v>1435</x:v>
      </x:c>
      <x:c r="C11" s="2" t="s">
        <x:v>1424</x:v>
      </x:c>
      <x:c r="D11" s="2" t="s">
        <x:v>199</x:v>
      </x:c>
      <x:c r="E11" s="2" t="s">
        <x:v>872</x:v>
      </x:c>
      <x:c r="F11" s="2" t="s">
        <x:v>522</x:v>
      </x:c>
      <x:c r="G11" s="3" t="str">
        <x:f>IFERROR(VLOOKUP($F11,'04_机制词条库_60条'!$B:$S,2,FALSE),"")</x:f>
        <x:v>无机制</x:v>
      </x:c>
      <x:c r="H11" s="2" t="s">
        <x:v>1409</x:v>
      </x:c>
      <x:c r="I11" s="2" t="s">
        <x:v>170</x:v>
      </x:c>
      <x:c r="J11" s="3" t="str">
        <x:f>IFERROR(VLOOKUP($I11,'01_宠物主表_好读版'!$A:$V,3,FALSE),"")</x:f>
        <x:v>波娜兔</x:v>
      </x:c>
      <x:c r="K11" s="2" t="s">
        <x:v>1311</x:v>
      </x:c>
      <x:c r="L11" s="2" t="s">
        <x:v>1221</x:v>
      </x:c>
      <x:c r="M11" s="2">
        <x:v>3</x:v>
      </x:c>
      <x:c r="N11" s="2">
        <x:v>91</x:v>
      </x:c>
      <x:c r="O11" s="2" t="s">
        <x:v>591</x:v>
      </x:c>
      <x:c r="P11" s="2" t="s">
        <x:v>1410</x:v>
      </x:c>
    </x:row>
    <x:row r="12" ht="22" customHeight="1">
      <x:c r="A12" s="2" t="s">
        <x:v>1436</x:v>
      </x:c>
      <x:c r="B12" s="2" t="s">
        <x:v>1437</x:v>
      </x:c>
      <x:c r="C12" s="2" t="s">
        <x:v>1407</x:v>
      </x:c>
      <x:c r="D12" s="2" t="s">
        <x:v>454</x:v>
      </x:c>
      <x:c r="E12" s="2" t="s">
        <x:v>1425</x:v>
      </x:c>
      <x:c r="F12" s="2" t="s">
        <x:v>522</x:v>
      </x:c>
      <x:c r="G12" s="3" t="str">
        <x:f>IFERROR(VLOOKUP($F12,'04_机制词条库_60条'!$B:$S,2,FALSE),"")</x:f>
        <x:v>无机制</x:v>
      </x:c>
      <x:c r="H12" s="2" t="s">
        <x:v>1409</x:v>
      </x:c>
      <x:c r="I12" s="2" t="s">
        <x:v>180</x:v>
      </x:c>
      <x:c r="J12" s="3" t="str">
        <x:f>IFERROR(VLOOKUP($I12,'01_宠物主表_好读版'!$A:$V,3,FALSE),"")</x:f>
        <x:v>鲨小子</x:v>
      </x:c>
      <x:c r="K12" s="2" t="s">
        <x:v>1315</x:v>
      </x:c>
      <x:c r="L12" s="2" t="s">
        <x:v>1159</x:v>
      </x:c>
      <x:c r="M12" s="2">
        <x:v>4</x:v>
      </x:c>
      <x:c r="N12" s="2">
        <x:v>90</x:v>
      </x:c>
      <x:c r="O12" s="2" t="s">
        <x:v>591</x:v>
      </x:c>
      <x:c r="P12" s="2" t="s">
        <x:v>1410</x:v>
      </x:c>
    </x:row>
    <x:row r="13" ht="22" customHeight="1">
      <x:c r="A13" s="2" t="s">
        <x:v>1438</x:v>
      </x:c>
      <x:c r="B13" s="2" t="s">
        <x:v>1439</x:v>
      </x:c>
      <x:c r="C13" s="2" t="s">
        <x:v>1251</x:v>
      </x:c>
      <x:c r="D13" s="2" t="s">
        <x:v>1421</x:v>
      </x:c>
      <x:c r="E13" s="2" t="s">
        <x:v>1228</x:v>
      </x:c>
      <x:c r="F13" s="2" t="s">
        <x:v>522</x:v>
      </x:c>
      <x:c r="G13" s="3" t="str">
        <x:f>IFERROR(VLOOKUP($F13,'04_机制词条库_60条'!$B:$S,2,FALSE),"")</x:f>
        <x:v>无机制</x:v>
      </x:c>
      <x:c r="H13" s="2" t="s">
        <x:v>1409</x:v>
      </x:c>
      <x:c r="I13" s="2" t="s">
        <x:v>189</x:v>
      </x:c>
      <x:c r="J13" s="3" t="str">
        <x:f>IFERROR(VLOOKUP($I13,'01_宠物主表_好读版'!$A:$V,3,FALSE),"")</x:f>
        <x:v>棉花糖</x:v>
      </x:c>
      <x:c r="K13" s="2" t="s">
        <x:v>1319</x:v>
      </x:c>
      <x:c r="L13" s="2" t="s">
        <x:v>1213</x:v>
      </x:c>
      <x:c r="M13" s="2">
        <x:v>5</x:v>
      </x:c>
      <x:c r="N13" s="2">
        <x:v>89</x:v>
      </x:c>
      <x:c r="O13" s="2" t="s">
        <x:v>591</x:v>
      </x:c>
      <x:c r="P13" s="2" t="s">
        <x:v>1410</x:v>
      </x:c>
    </x:row>
    <x:row r="14" ht="22" customHeight="1">
      <x:c r="A14" s="2" t="s">
        <x:v>1440</x:v>
      </x:c>
      <x:c r="B14" s="2" t="s">
        <x:v>1441</x:v>
      </x:c>
      <x:c r="C14" s="2" t="s">
        <x:v>1416</x:v>
      </x:c>
      <x:c r="D14" s="2" t="s">
        <x:v>45</x:v>
      </x:c>
      <x:c r="E14" s="2" t="s">
        <x:v>1408</x:v>
      </x:c>
      <x:c r="F14" s="2" t="s">
        <x:v>522</x:v>
      </x:c>
      <x:c r="G14" s="3" t="str">
        <x:f>IFERROR(VLOOKUP($F14,'04_机制词条库_60条'!$B:$S,2,FALSE),"")</x:f>
        <x:v>无机制</x:v>
      </x:c>
      <x:c r="H14" s="2" t="s">
        <x:v>1409</x:v>
      </x:c>
      <x:c r="I14" s="2" t="s">
        <x:v>200</x:v>
      </x:c>
      <x:c r="J14" s="3" t="str">
        <x:f>IFERROR(VLOOKUP($I14,'01_宠物主表_好读版'!$A:$V,3,FALSE),"")</x:f>
        <x:v>紫霞鹿</x:v>
      </x:c>
      <x:c r="K14" s="2" t="s">
        <x:v>1323</x:v>
      </x:c>
      <x:c r="L14" s="2" t="s">
        <x:v>1221</x:v>
      </x:c>
      <x:c r="M14" s="2">
        <x:v>6</x:v>
      </x:c>
      <x:c r="N14" s="2">
        <x:v>88</x:v>
      </x:c>
      <x:c r="O14" s="2" t="s">
        <x:v>591</x:v>
      </x:c>
      <x:c r="P14" s="2" t="s">
        <x:v>1410</x:v>
      </x:c>
    </x:row>
    <x:row r="15" ht="22" customHeight="1">
      <x:c r="A15" s="2" t="s">
        <x:v>1442</x:v>
      </x:c>
      <x:c r="B15" s="2" t="s">
        <x:v>1443</x:v>
      </x:c>
      <x:c r="C15" s="2" t="s">
        <x:v>1420</x:v>
      </x:c>
      <x:c r="D15" s="2" t="s">
        <x:v>199</x:v>
      </x:c>
      <x:c r="E15" s="2" t="s">
        <x:v>1413</x:v>
      </x:c>
      <x:c r="F15" s="2" t="s">
        <x:v>522</x:v>
      </x:c>
      <x:c r="G15" s="3" t="str">
        <x:f>IFERROR(VLOOKUP($F15,'04_机制词条库_60条'!$B:$S,2,FALSE),"")</x:f>
        <x:v>无机制</x:v>
      </x:c>
      <x:c r="H15" s="2" t="s">
        <x:v>1409</x:v>
      </x:c>
      <x:c r="I15" s="2" t="s">
        <x:v>209</x:v>
      </x:c>
      <x:c r="J15" s="3" t="str">
        <x:f>IFERROR(VLOOKUP($I15,'01_宠物主表_好读版'!$A:$V,3,FALSE),"")</x:f>
        <x:v>炎魔羊</x:v>
      </x:c>
      <x:c r="K15" s="2" t="s">
        <x:v>1327</x:v>
      </x:c>
      <x:c r="L15" s="2" t="s">
        <x:v>1159</x:v>
      </x:c>
      <x:c r="M15" s="2">
        <x:v>7</x:v>
      </x:c>
      <x:c r="N15" s="2">
        <x:v>87</x:v>
      </x:c>
      <x:c r="O15" s="2" t="s">
        <x:v>591</x:v>
      </x:c>
      <x:c r="P15" s="2" t="s">
        <x:v>1410</x:v>
      </x:c>
    </x:row>
    <x:row r="16" ht="22" customHeight="1">
      <x:c r="A16" s="2" t="s">
        <x:v>1444</x:v>
      </x:c>
      <x:c r="B16" s="2" t="s">
        <x:v>1445</x:v>
      </x:c>
      <x:c r="C16" s="2" t="s">
        <x:v>1424</x:v>
      </x:c>
      <x:c r="D16" s="2" t="s">
        <x:v>454</x:v>
      </x:c>
      <x:c r="E16" s="2" t="s">
        <x:v>1417</x:v>
      </x:c>
      <x:c r="F16" s="2" t="s">
        <x:v>522</x:v>
      </x:c>
      <x:c r="G16" s="3" t="str">
        <x:f>IFERROR(VLOOKUP($F16,'04_机制词条库_60条'!$B:$S,2,FALSE),"")</x:f>
        <x:v>无机制</x:v>
      </x:c>
      <x:c r="H16" s="2" t="s">
        <x:v>1409</x:v>
      </x:c>
      <x:c r="I16" s="2" t="s">
        <x:v>222</x:v>
      </x:c>
      <x:c r="J16" s="3" t="str">
        <x:f>IFERROR(VLOOKUP($I16,'01_宠物主表_好读版'!$A:$V,3,FALSE),"")</x:f>
        <x:v>趴趴鲶</x:v>
      </x:c>
      <x:c r="K16" s="2" t="s">
        <x:v>1331</x:v>
      </x:c>
      <x:c r="L16" s="2" t="s">
        <x:v>1213</x:v>
      </x:c>
      <x:c r="M16" s="2">
        <x:v>1</x:v>
      </x:c>
      <x:c r="N16" s="2">
        <x:v>86</x:v>
      </x:c>
      <x:c r="O16" s="2" t="s">
        <x:v>591</x:v>
      </x:c>
      <x:c r="P16" s="2" t="s">
        <x:v>1410</x:v>
      </x:c>
    </x:row>
    <x:row r="17" ht="22" customHeight="1">
      <x:c r="A17" s="2" t="s">
        <x:v>1446</x:v>
      </x:c>
      <x:c r="B17" s="2" t="s">
        <x:v>1447</x:v>
      </x:c>
      <x:c r="C17" s="2" t="s">
        <x:v>1407</x:v>
      </x:c>
      <x:c r="D17" s="2" t="s">
        <x:v>1421</x:v>
      </x:c>
      <x:c r="E17" s="2" t="s">
        <x:v>872</x:v>
      </x:c>
      <x:c r="F17" s="2" t="s">
        <x:v>522</x:v>
      </x:c>
      <x:c r="G17" s="3" t="str">
        <x:f>IFERROR(VLOOKUP($F17,'04_机制词条库_60条'!$B:$S,2,FALSE),"")</x:f>
        <x:v>无机制</x:v>
      </x:c>
      <x:c r="H17" s="2" t="s">
        <x:v>1409</x:v>
      </x:c>
      <x:c r="I17" s="2" t="s">
        <x:v>232</x:v>
      </x:c>
      <x:c r="J17" s="3" t="str">
        <x:f>IFERROR(VLOOKUP($I17,'01_宠物主表_好读版'!$A:$V,3,FALSE),"")</x:f>
        <x:v>月镰魔</x:v>
      </x:c>
      <x:c r="K17" s="2" t="s">
        <x:v>1177</x:v>
      </x:c>
      <x:c r="L17" s="2" t="s">
        <x:v>1221</x:v>
      </x:c>
      <x:c r="M17" s="2">
        <x:v>2</x:v>
      </x:c>
      <x:c r="N17" s="2">
        <x:v>85</x:v>
      </x:c>
      <x:c r="O17" s="2" t="s">
        <x:v>591</x:v>
      </x:c>
      <x:c r="P17" s="2" t="s">
        <x:v>1410</x:v>
      </x:c>
    </x:row>
    <x:row r="18" ht="22" customHeight="1">
      <x:c r="A18" s="2" t="s">
        <x:v>1448</x:v>
      </x:c>
      <x:c r="B18" s="2" t="s">
        <x:v>1449</x:v>
      </x:c>
      <x:c r="C18" s="2" t="s">
        <x:v>1251</x:v>
      </x:c>
      <x:c r="D18" s="2" t="s">
        <x:v>45</x:v>
      </x:c>
      <x:c r="E18" s="2" t="s">
        <x:v>1425</x:v>
      </x:c>
      <x:c r="F18" s="2" t="s">
        <x:v>691</x:v>
      </x:c>
      <x:c r="G18" s="3" t="str">
        <x:f>IFERROR(VLOOKUP($F18,'04_机制词条库_60条'!$B:$S,2,FALSE),"")</x:f>
        <x:v>受击反伤</x:v>
      </x:c>
      <x:c r="H18" s="2" t="s">
        <x:v>1409</x:v>
      </x:c>
      <x:c r="I18" s="2" t="s">
        <x:v>241</x:v>
      </x:c>
      <x:c r="J18" s="3" t="str">
        <x:f>IFERROR(VLOOKUP($I18,'01_宠物主表_好读版'!$A:$V,3,FALSE),"")</x:f>
        <x:v>铁拳猿</x:v>
      </x:c>
      <x:c r="K18" s="2" t="s">
        <x:v>1167</x:v>
      </x:c>
      <x:c r="L18" s="2" t="s">
        <x:v>1159</x:v>
      </x:c>
      <x:c r="M18" s="2">
        <x:v>3</x:v>
      </x:c>
      <x:c r="N18" s="2">
        <x:v>84</x:v>
      </x:c>
      <x:c r="O18" s="2" t="s">
        <x:v>591</x:v>
      </x:c>
      <x:c r="P18" s="2" t="s">
        <x:v>1410</x:v>
      </x:c>
    </x:row>
    <x:row r="19" ht="22" customHeight="1">
      <x:c r="A19" s="2" t="s">
        <x:v>1450</x:v>
      </x:c>
      <x:c r="B19" s="2" t="s">
        <x:v>1451</x:v>
      </x:c>
      <x:c r="C19" s="2" t="s">
        <x:v>1416</x:v>
      </x:c>
      <x:c r="D19" s="2" t="s">
        <x:v>199</x:v>
      </x:c>
      <x:c r="E19" s="2" t="s">
        <x:v>1228</x:v>
      </x:c>
      <x:c r="F19" s="2" t="s">
        <x:v>522</x:v>
      </x:c>
      <x:c r="G19" s="3" t="str">
        <x:f>IFERROR(VLOOKUP($F19,'04_机制词条库_60条'!$B:$S,2,FALSE),"")</x:f>
        <x:v>无机制</x:v>
      </x:c>
      <x:c r="H19" s="2" t="s">
        <x:v>1409</x:v>
      </x:c>
      <x:c r="I19" s="2" t="s">
        <x:v>252</x:v>
      </x:c>
      <x:c r="J19" s="3" t="str">
        <x:f>IFERROR(VLOOKUP($I19,'01_宠物主表_好读版'!$A:$V,3,FALSE),"")</x:f>
        <x:v>笑魇猫</x:v>
      </x:c>
      <x:c r="K19" s="2" t="s">
        <x:v>1158</x:v>
      </x:c>
      <x:c r="L19" s="2" t="s">
        <x:v>1213</x:v>
      </x:c>
      <x:c r="M19" s="2">
        <x:v>4</x:v>
      </x:c>
      <x:c r="N19" s="2">
        <x:v>83</x:v>
      </x:c>
      <x:c r="O19" s="2" t="s">
        <x:v>591</x:v>
      </x:c>
      <x:c r="P19" s="2" t="s">
        <x:v>1410</x:v>
      </x:c>
    </x:row>
    <x:row r="20" ht="22" customHeight="1">
      <x:c r="A20" s="2" t="s">
        <x:v>1452</x:v>
      </x:c>
      <x:c r="B20" s="2" t="s">
        <x:v>1453</x:v>
      </x:c>
      <x:c r="C20" s="2" t="s">
        <x:v>1420</x:v>
      </x:c>
      <x:c r="D20" s="2" t="s">
        <x:v>454</x:v>
      </x:c>
      <x:c r="E20" s="2" t="s">
        <x:v>1408</x:v>
      </x:c>
      <x:c r="F20" s="2" t="s">
        <x:v>522</x:v>
      </x:c>
      <x:c r="G20" s="3" t="str">
        <x:f>IFERROR(VLOOKUP($F20,'04_机制词条库_60条'!$B:$S,2,FALSE),"")</x:f>
        <x:v>无机制</x:v>
      </x:c>
      <x:c r="H20" s="2" t="s">
        <x:v>1409</x:v>
      </x:c>
      <x:c r="I20" s="2" t="s">
        <x:v>264</x:v>
      </x:c>
      <x:c r="J20" s="3" t="str">
        <x:f>IFERROR(VLOOKUP($I20,'01_宠物主表_好读版'!$A:$V,3,FALSE),"")</x:f>
        <x:v>疾旋鼬</x:v>
      </x:c>
      <x:c r="K20" s="2" t="s">
        <x:v>1172</x:v>
      </x:c>
      <x:c r="L20" s="2" t="s">
        <x:v>1221</x:v>
      </x:c>
      <x:c r="M20" s="2">
        <x:v>5</x:v>
      </x:c>
      <x:c r="N20" s="2">
        <x:v>82</x:v>
      </x:c>
      <x:c r="O20" s="2" t="s">
        <x:v>591</x:v>
      </x:c>
      <x:c r="P20" s="2" t="s">
        <x:v>1410</x:v>
      </x:c>
    </x:row>
    <x:row r="21" ht="22" customHeight="1">
      <x:c r="A21" s="2" t="s">
        <x:v>1454</x:v>
      </x:c>
      <x:c r="B21" s="2" t="s">
        <x:v>1455</x:v>
      </x:c>
      <x:c r="C21" s="2" t="s">
        <x:v>1424</x:v>
      </x:c>
      <x:c r="D21" s="2" t="s">
        <x:v>1421</x:v>
      </x:c>
      <x:c r="E21" s="2" t="s">
        <x:v>1413</x:v>
      </x:c>
      <x:c r="F21" s="2" t="s">
        <x:v>522</x:v>
      </x:c>
      <x:c r="G21" s="3" t="str">
        <x:f>IFERROR(VLOOKUP($F21,'04_机制词条库_60条'!$B:$S,2,FALSE),"")</x:f>
        <x:v>无机制</x:v>
      </x:c>
      <x:c r="H21" s="2" t="s">
        <x:v>1409</x:v>
      </x:c>
      <x:c r="I21" s="2" t="s">
        <x:v>274</x:v>
      </x:c>
      <x:c r="J21" s="3" t="str">
        <x:f>IFERROR(VLOOKUP($I21,'01_宠物主表_好读版'!$A:$V,3,FALSE),"")</x:f>
        <x:v>火麒麟</x:v>
      </x:c>
      <x:c r="K21" s="2" t="s">
        <x:v>1199</x:v>
      </x:c>
      <x:c r="L21" s="2" t="s">
        <x:v>1159</x:v>
      </x:c>
      <x:c r="M21" s="2">
        <x:v>6</x:v>
      </x:c>
      <x:c r="N21" s="2">
        <x:v>81</x:v>
      </x:c>
      <x:c r="O21" s="2" t="s">
        <x:v>591</x:v>
      </x:c>
      <x:c r="P21" s="2" t="s">
        <x:v>1410</x:v>
      </x:c>
    </x:row>
    <x:row r="22" ht="22" customHeight="1">
      <x:c r="A22" s="2" t="s">
        <x:v>1456</x:v>
      </x:c>
      <x:c r="B22" s="2" t="s">
        <x:v>1457</x:v>
      </x:c>
      <x:c r="C22" s="2" t="s">
        <x:v>1407</x:v>
      </x:c>
      <x:c r="D22" s="2" t="s">
        <x:v>45</x:v>
      </x:c>
      <x:c r="E22" s="2" t="s">
        <x:v>1417</x:v>
      </x:c>
      <x:c r="F22" s="2" t="s">
        <x:v>522</x:v>
      </x:c>
      <x:c r="G22" s="3" t="str">
        <x:f>IFERROR(VLOOKUP($F22,'04_机制词条库_60条'!$B:$S,2,FALSE),"")</x:f>
        <x:v>无机制</x:v>
      </x:c>
      <x:c r="H22" s="2" t="s">
        <x:v>1409</x:v>
      </x:c>
      <x:c r="I22" s="2" t="s">
        <x:v>283</x:v>
      </x:c>
      <x:c r="J22" s="3" t="str">
        <x:f>IFERROR(VLOOKUP($I22,'01_宠物主表_好读版'!$A:$V,3,FALSE),"")</x:f>
        <x:v>苍焰狼</x:v>
      </x:c>
      <x:c r="K22" s="2" t="s">
        <x:v>1184</x:v>
      </x:c>
      <x:c r="L22" s="2" t="s">
        <x:v>1213</x:v>
      </x:c>
      <x:c r="M22" s="2">
        <x:v>7</x:v>
      </x:c>
      <x:c r="N22" s="2">
        <x:v>80</x:v>
      </x:c>
      <x:c r="O22" s="2" t="s">
        <x:v>591</x:v>
      </x:c>
      <x:c r="P22" s="2" t="s">
        <x:v>1410</x:v>
      </x:c>
    </x:row>
    <x:row r="23" ht="22" customHeight="1">
      <x:c r="A23" s="2" t="s">
        <x:v>1458</x:v>
      </x:c>
      <x:c r="B23" s="2" t="s">
        <x:v>1459</x:v>
      </x:c>
      <x:c r="C23" s="2" t="s">
        <x:v>1251</x:v>
      </x:c>
      <x:c r="D23" s="2" t="s">
        <x:v>199</x:v>
      </x:c>
      <x:c r="E23" s="2" t="s">
        <x:v>872</x:v>
      </x:c>
      <x:c r="F23" s="2" t="s">
        <x:v>522</x:v>
      </x:c>
      <x:c r="G23" s="3" t="str">
        <x:f>IFERROR(VLOOKUP($F23,'04_机制词条库_60条'!$B:$S,2,FALSE),"")</x:f>
        <x:v>无机制</x:v>
      </x:c>
      <x:c r="H23" s="2" t="s">
        <x:v>1409</x:v>
      </x:c>
      <x:c r="I23" s="2" t="s">
        <x:v>292</x:v>
      </x:c>
      <x:c r="J23" s="3" t="str">
        <x:f>IFERROR(VLOOKUP($I23,'01_宠物主表_好读版'!$A:$V,3,FALSE),"")</x:f>
        <x:v>花冠龙</x:v>
      </x:c>
      <x:c r="K23" s="2" t="s">
        <x:v>1192</x:v>
      </x:c>
      <x:c r="L23" s="2" t="s">
        <x:v>1221</x:v>
      </x:c>
      <x:c r="M23" s="2">
        <x:v>1</x:v>
      </x:c>
      <x:c r="N23" s="2">
        <x:v>79</x:v>
      </x:c>
      <x:c r="O23" s="2" t="s">
        <x:v>591</x:v>
      </x:c>
      <x:c r="P23" s="2" t="s">
        <x:v>1410</x:v>
      </x:c>
    </x:row>
    <x:row r="24" ht="22" customHeight="1">
      <x:c r="A24" s="2" t="s">
        <x:v>1460</x:v>
      </x:c>
      <x:c r="B24" s="2" t="s">
        <x:v>1461</x:v>
      </x:c>
      <x:c r="C24" s="2" t="s">
        <x:v>1416</x:v>
      </x:c>
      <x:c r="D24" s="2" t="s">
        <x:v>454</x:v>
      </x:c>
      <x:c r="E24" s="2" t="s">
        <x:v>1425</x:v>
      </x:c>
      <x:c r="F24" s="2" t="s">
        <x:v>522</x:v>
      </x:c>
      <x:c r="G24" s="3" t="str">
        <x:f>IFERROR(VLOOKUP($F24,'04_机制词条库_60条'!$B:$S,2,FALSE),"")</x:f>
        <x:v>无机制</x:v>
      </x:c>
      <x:c r="H24" s="2" t="s">
        <x:v>1409</x:v>
      </x:c>
      <x:c r="I24" s="2" t="s">
        <x:v>303</x:v>
      </x:c>
      <x:c r="J24" s="3" t="str">
        <x:f>IFERROR(VLOOKUP($I24,'01_宠物主表_好读版'!$A:$V,3,FALSE),"")</x:f>
        <x:v>流沙蛇</x:v>
      </x:c>
      <x:c r="K24" s="2" t="s">
        <x:v>1303</x:v>
      </x:c>
      <x:c r="L24" s="2" t="s">
        <x:v>1159</x:v>
      </x:c>
      <x:c r="M24" s="2">
        <x:v>2</x:v>
      </x:c>
      <x:c r="N24" s="2">
        <x:v>78</x:v>
      </x:c>
      <x:c r="O24" s="2" t="s">
        <x:v>591</x:v>
      </x:c>
      <x:c r="P24" s="2" t="s">
        <x:v>1410</x:v>
      </x:c>
    </x:row>
    <x:row r="25" ht="22" customHeight="1">
      <x:c r="A25" s="2" t="s">
        <x:v>1462</x:v>
      </x:c>
      <x:c r="B25" s="2" t="s">
        <x:v>1463</x:v>
      </x:c>
      <x:c r="C25" s="2" t="s">
        <x:v>1420</x:v>
      </x:c>
      <x:c r="D25" s="2" t="s">
        <x:v>1421</x:v>
      </x:c>
      <x:c r="E25" s="2" t="s">
        <x:v>1228</x:v>
      </x:c>
      <x:c r="F25" s="2" t="s">
        <x:v>522</x:v>
      </x:c>
      <x:c r="G25" s="3" t="str">
        <x:f>IFERROR(VLOOKUP($F25,'04_机制词条库_60条'!$B:$S,2,FALSE),"")</x:f>
        <x:v>无机制</x:v>
      </x:c>
      <x:c r="H25" s="2" t="s">
        <x:v>1409</x:v>
      </x:c>
      <x:c r="I25" s="2" t="s">
        <x:v>312</x:v>
      </x:c>
      <x:c r="J25" s="3" t="str">
        <x:f>IFERROR(VLOOKUP($I25,'01_宠物主表_好读版'!$A:$V,3,FALSE),"")</x:f>
        <x:v>猫蝠怪</x:v>
      </x:c>
      <x:c r="K25" s="2" t="s">
        <x:v>1307</x:v>
      </x:c>
      <x:c r="L25" s="2" t="s">
        <x:v>1213</x:v>
      </x:c>
      <x:c r="M25" s="2">
        <x:v>3</x:v>
      </x:c>
      <x:c r="N25" s="2">
        <x:v>77</x:v>
      </x:c>
      <x:c r="O25" s="2" t="s">
        <x:v>591</x:v>
      </x:c>
      <x:c r="P25" s="2" t="s">
        <x:v>1410</x:v>
      </x:c>
    </x:row>
    <x:row r="26" ht="22" customHeight="1">
      <x:c r="A26" s="2" t="s">
        <x:v>1464</x:v>
      </x:c>
      <x:c r="B26" s="2" t="s">
        <x:v>1465</x:v>
      </x:c>
      <x:c r="C26" s="2" t="s">
        <x:v>1424</x:v>
      </x:c>
      <x:c r="D26" s="2" t="s">
        <x:v>45</x:v>
      </x:c>
      <x:c r="E26" s="2" t="s">
        <x:v>1408</x:v>
      </x:c>
      <x:c r="F26" s="2" t="s">
        <x:v>522</x:v>
      </x:c>
      <x:c r="G26" s="3" t="str">
        <x:f>IFERROR(VLOOKUP($F26,'04_机制词条库_60条'!$B:$S,2,FALSE),"")</x:f>
        <x:v>无机制</x:v>
      </x:c>
      <x:c r="H26" s="2" t="s">
        <x:v>1409</x:v>
      </x:c>
      <x:c r="I26" s="2" t="s">
        <x:v>322</x:v>
      </x:c>
      <x:c r="J26" s="3" t="str">
        <x:f>IFERROR(VLOOKUP($I26,'01_宠物主表_好读版'!$A:$V,3,FALSE),"")</x:f>
        <x:v>烽歌龙</x:v>
      </x:c>
      <x:c r="K26" s="2" t="s">
        <x:v>1311</x:v>
      </x:c>
      <x:c r="L26" s="2" t="s">
        <x:v>1221</x:v>
      </x:c>
      <x:c r="M26" s="2">
        <x:v>4</x:v>
      </x:c>
      <x:c r="N26" s="2">
        <x:v>76</x:v>
      </x:c>
      <x:c r="O26" s="2" t="s">
        <x:v>623</x:v>
      </x:c>
      <x:c r="P26" s="2" t="s">
        <x:v>1410</x:v>
      </x:c>
    </x:row>
    <x:row r="27" ht="22" customHeight="1">
      <x:c r="A27" s="2" t="s">
        <x:v>1466</x:v>
      </x:c>
      <x:c r="B27" s="2" t="s">
        <x:v>1467</x:v>
      </x:c>
      <x:c r="C27" s="2" t="s">
        <x:v>1407</x:v>
      </x:c>
      <x:c r="D27" s="2" t="s">
        <x:v>199</x:v>
      </x:c>
      <x:c r="E27" s="2" t="s">
        <x:v>1413</x:v>
      </x:c>
      <x:c r="F27" s="2" t="s">
        <x:v>522</x:v>
      </x:c>
      <x:c r="G27" s="3" t="str">
        <x:f>IFERROR(VLOOKUP($F27,'04_机制词条库_60条'!$B:$S,2,FALSE),"")</x:f>
        <x:v>无机制</x:v>
      </x:c>
      <x:c r="H27" s="2" t="s">
        <x:v>1409</x:v>
      </x:c>
      <x:c r="I27" s="2" t="s">
        <x:v>333</x:v>
      </x:c>
      <x:c r="J27" s="3" t="str">
        <x:f>IFERROR(VLOOKUP($I27,'01_宠物主表_好读版'!$A:$V,3,FALSE),"")</x:f>
        <x:v>迅雷鸟</x:v>
      </x:c>
      <x:c r="K27" s="2" t="s">
        <x:v>1315</x:v>
      </x:c>
      <x:c r="L27" s="2" t="s">
        <x:v>1159</x:v>
      </x:c>
      <x:c r="M27" s="2">
        <x:v>5</x:v>
      </x:c>
      <x:c r="N27" s="2">
        <x:v>75</x:v>
      </x:c>
      <x:c r="O27" s="2" t="s">
        <x:v>623</x:v>
      </x:c>
      <x:c r="P27" s="2" t="s">
        <x:v>1410</x:v>
      </x:c>
    </x:row>
    <x:row r="28" ht="22" customHeight="1">
      <x:c r="A28" s="2" t="s">
        <x:v>1468</x:v>
      </x:c>
      <x:c r="B28" s="2" t="s">
        <x:v>1469</x:v>
      </x:c>
      <x:c r="C28" s="2" t="s">
        <x:v>1251</x:v>
      </x:c>
      <x:c r="D28" s="2" t="s">
        <x:v>454</x:v>
      </x:c>
      <x:c r="E28" s="2" t="s">
        <x:v>1417</x:v>
      </x:c>
      <x:c r="F28" s="2" t="s">
        <x:v>522</x:v>
      </x:c>
      <x:c r="G28" s="3" t="str">
        <x:f>IFERROR(VLOOKUP($F28,'04_机制词条库_60条'!$B:$S,2,FALSE),"")</x:f>
        <x:v>无机制</x:v>
      </x:c>
      <x:c r="H28" s="2" t="s">
        <x:v>1409</x:v>
      </x:c>
      <x:c r="I28" s="2" t="s">
        <x:v>342</x:v>
      </x:c>
      <x:c r="J28" s="3" t="str">
        <x:f>IFERROR(VLOOKUP($I28,'01_宠物主表_好读版'!$A:$V,3,FALSE),"")</x:f>
        <x:v>焰巫狐</x:v>
      </x:c>
      <x:c r="K28" s="2" t="s">
        <x:v>1319</x:v>
      </x:c>
      <x:c r="L28" s="2" t="s">
        <x:v>1213</x:v>
      </x:c>
      <x:c r="M28" s="2">
        <x:v>6</x:v>
      </x:c>
      <x:c r="N28" s="2">
        <x:v>74</x:v>
      </x:c>
      <x:c r="O28" s="2" t="s">
        <x:v>623</x:v>
      </x:c>
      <x:c r="P28" s="2" t="s">
        <x:v>1410</x:v>
      </x:c>
    </x:row>
    <x:row r="29" ht="22" customHeight="1">
      <x:c r="A29" s="2" t="s">
        <x:v>1470</x:v>
      </x:c>
      <x:c r="B29" s="2" t="s">
        <x:v>1471</x:v>
      </x:c>
      <x:c r="C29" s="2" t="s">
        <x:v>1416</x:v>
      </x:c>
      <x:c r="D29" s="2" t="s">
        <x:v>1421</x:v>
      </x:c>
      <x:c r="E29" s="2" t="s">
        <x:v>872</x:v>
      </x:c>
      <x:c r="F29" s="2" t="s">
        <x:v>522</x:v>
      </x:c>
      <x:c r="G29" s="3" t="str">
        <x:f>IFERROR(VLOOKUP($F29,'04_机制词条库_60条'!$B:$S,2,FALSE),"")</x:f>
        <x:v>无机制</x:v>
      </x:c>
      <x:c r="H29" s="2" t="s">
        <x:v>1409</x:v>
      </x:c>
      <x:c r="I29" s="2" t="s">
        <x:v>351</x:v>
      </x:c>
      <x:c r="J29" s="3" t="str">
        <x:f>IFERROR(VLOOKUP($I29,'01_宠物主表_好读版'!$A:$V,3,FALSE),"")</x:f>
        <x:v>绸笠蛾</x:v>
      </x:c>
      <x:c r="K29" s="2" t="s">
        <x:v>1323</x:v>
      </x:c>
      <x:c r="L29" s="2" t="s">
        <x:v>1221</x:v>
      </x:c>
      <x:c r="M29" s="2">
        <x:v>7</x:v>
      </x:c>
      <x:c r="N29" s="2">
        <x:v>73</x:v>
      </x:c>
      <x:c r="O29" s="2" t="s">
        <x:v>623</x:v>
      </x:c>
      <x:c r="P29" s="2" t="s">
        <x:v>1410</x:v>
      </x:c>
    </x:row>
    <x:row r="30" ht="22" customHeight="1">
      <x:c r="A30" s="2" t="s">
        <x:v>1472</x:v>
      </x:c>
      <x:c r="B30" s="2" t="s">
        <x:v>1473</x:v>
      </x:c>
      <x:c r="C30" s="2" t="s">
        <x:v>1420</x:v>
      </x:c>
      <x:c r="D30" s="2" t="s">
        <x:v>45</x:v>
      </x:c>
      <x:c r="E30" s="2" t="s">
        <x:v>1425</x:v>
      </x:c>
      <x:c r="F30" s="2" t="s">
        <x:v>522</x:v>
      </x:c>
      <x:c r="G30" s="3" t="str">
        <x:f>IFERROR(VLOOKUP($F30,'04_机制词条库_60条'!$B:$S,2,FALSE),"")</x:f>
        <x:v>无机制</x:v>
      </x:c>
      <x:c r="H30" s="2" t="s">
        <x:v>1409</x:v>
      </x:c>
      <x:c r="I30" s="2" t="s">
        <x:v>362</x:v>
      </x:c>
      <x:c r="J30" s="3" t="str">
        <x:f>IFERROR(VLOOKUP($I30,'01_宠物主表_好读版'!$A:$V,3,FALSE),"")</x:f>
        <x:v>水灵儿</x:v>
      </x:c>
      <x:c r="K30" s="2" t="s">
        <x:v>1327</x:v>
      </x:c>
      <x:c r="L30" s="2" t="s">
        <x:v>1159</x:v>
      </x:c>
      <x:c r="M30" s="2">
        <x:v>1</x:v>
      </x:c>
      <x:c r="N30" s="2">
        <x:v>72</x:v>
      </x:c>
      <x:c r="O30" s="2" t="s">
        <x:v>623</x:v>
      </x:c>
      <x:c r="P30" s="2" t="s">
        <x:v>1410</x:v>
      </x:c>
    </x:row>
    <x:row r="31" ht="22" customHeight="1">
      <x:c r="A31" s="2" t="s">
        <x:v>1474</x:v>
      </x:c>
      <x:c r="B31" s="2" t="s">
        <x:v>1475</x:v>
      </x:c>
      <x:c r="C31" s="2" t="s">
        <x:v>1424</x:v>
      </x:c>
      <x:c r="D31" s="2" t="s">
        <x:v>199</x:v>
      </x:c>
      <x:c r="E31" s="2" t="s">
        <x:v>1228</x:v>
      </x:c>
      <x:c r="F31" s="2" t="s">
        <x:v>522</x:v>
      </x:c>
      <x:c r="G31" s="3" t="str">
        <x:f>IFERROR(VLOOKUP($F31,'04_机制词条库_60条'!$B:$S,2,FALSE),"")</x:f>
        <x:v>无机制</x:v>
      </x:c>
      <x:c r="H31" s="2" t="s">
        <x:v>1409</x:v>
      </x:c>
      <x:c r="I31" s="2" t="s">
        <x:v>372</x:v>
      </x:c>
      <x:c r="J31" s="3" t="str">
        <x:f>IFERROR(VLOOKUP($I31,'01_宠物主表_好读版'!$A:$V,3,FALSE),"")</x:f>
        <x:v>冰棘兽</x:v>
      </x:c>
      <x:c r="K31" s="2" t="s">
        <x:v>1331</x:v>
      </x:c>
      <x:c r="L31" s="2" t="s">
        <x:v>1213</x:v>
      </x:c>
      <x:c r="M31" s="2">
        <x:v>2</x:v>
      </x:c>
      <x:c r="N31" s="2">
        <x:v>71</x:v>
      </x:c>
      <x:c r="O31" s="2" t="s">
        <x:v>623</x:v>
      </x:c>
      <x:c r="P31" s="2" t="s">
        <x:v>1410</x:v>
      </x:c>
    </x:row>
    <x:row r="32" ht="22" customHeight="1">
      <x:c r="A32" s="2" t="s">
        <x:v>1476</x:v>
      </x:c>
      <x:c r="B32" s="2" t="s">
        <x:v>1477</x:v>
      </x:c>
      <x:c r="C32" s="2" t="s">
        <x:v>1407</x:v>
      </x:c>
      <x:c r="D32" s="2" t="s">
        <x:v>454</x:v>
      </x:c>
      <x:c r="E32" s="2" t="s">
        <x:v>1408</x:v>
      </x:c>
      <x:c r="F32" s="2" t="s">
        <x:v>522</x:v>
      </x:c>
      <x:c r="G32" s="3" t="str">
        <x:f>IFERROR(VLOOKUP($F32,'04_机制词条库_60条'!$B:$S,2,FALSE),"")</x:f>
        <x:v>无机制</x:v>
      </x:c>
      <x:c r="H32" s="2" t="s">
        <x:v>1409</x:v>
      </x:c>
      <x:c r="I32" s="2" t="s">
        <x:v>382</x:v>
      </x:c>
      <x:c r="J32" s="3" t="str">
        <x:f>IFERROR(VLOOKUP($I32,'01_宠物主表_好读版'!$A:$V,3,FALSE),"")</x:f>
        <x:v>佩克龙</x:v>
      </x:c>
      <x:c r="K32" s="2" t="s">
        <x:v>1177</x:v>
      </x:c>
      <x:c r="L32" s="2" t="s">
        <x:v>1221</x:v>
      </x:c>
      <x:c r="M32" s="2">
        <x:v>3</x:v>
      </x:c>
      <x:c r="N32" s="2">
        <x:v>70</x:v>
      </x:c>
      <x:c r="O32" s="2" t="s">
        <x:v>623</x:v>
      </x:c>
      <x:c r="P32" s="2" t="s">
        <x:v>1410</x:v>
      </x:c>
    </x:row>
    <x:row r="33" ht="22" customHeight="1">
      <x:c r="A33" s="2" t="s">
        <x:v>1478</x:v>
      </x:c>
      <x:c r="B33" s="2" t="s">
        <x:v>1479</x:v>
      </x:c>
      <x:c r="C33" s="2" t="s">
        <x:v>1251</x:v>
      </x:c>
      <x:c r="D33" s="2" t="s">
        <x:v>1421</x:v>
      </x:c>
      <x:c r="E33" s="2" t="s">
        <x:v>1413</x:v>
      </x:c>
      <x:c r="F33" s="2" t="s">
        <x:v>691</x:v>
      </x:c>
      <x:c r="G33" s="3" t="str">
        <x:f>IFERROR(VLOOKUP($F33,'04_机制词条库_60条'!$B:$S,2,FALSE),"")</x:f>
        <x:v>受击反伤</x:v>
      </x:c>
      <x:c r="H33" s="2" t="s">
        <x:v>1409</x:v>
      </x:c>
      <x:c r="I33" s="2" t="s">
        <x:v>392</x:v>
      </x:c>
      <x:c r="J33" s="3" t="str">
        <x:f>IFERROR(VLOOKUP($I33,'01_宠物主表_好读版'!$A:$V,3,FALSE),"")</x:f>
        <x:v>海誓龙</x:v>
      </x:c>
      <x:c r="K33" s="2" t="s">
        <x:v>1167</x:v>
      </x:c>
      <x:c r="L33" s="2" t="s">
        <x:v>1159</x:v>
      </x:c>
      <x:c r="M33" s="2">
        <x:v>4</x:v>
      </x:c>
      <x:c r="N33" s="2">
        <x:v>69</x:v>
      </x:c>
      <x:c r="O33" s="2" t="s">
        <x:v>623</x:v>
      </x:c>
      <x:c r="P33" s="2" t="s">
        <x:v>1410</x:v>
      </x:c>
    </x:row>
    <x:row r="34" ht="22" customHeight="1">
      <x:c r="A34" s="2" t="s">
        <x:v>1480</x:v>
      </x:c>
      <x:c r="B34" s="2" t="s">
        <x:v>1481</x:v>
      </x:c>
      <x:c r="C34" s="2" t="s">
        <x:v>1416</x:v>
      </x:c>
      <x:c r="D34" s="2" t="s">
        <x:v>45</x:v>
      </x:c>
      <x:c r="E34" s="2" t="s">
        <x:v>1417</x:v>
      </x:c>
      <x:c r="F34" s="2" t="s">
        <x:v>522</x:v>
      </x:c>
      <x:c r="G34" s="3" t="str">
        <x:f>IFERROR(VLOOKUP($F34,'04_机制词条库_60条'!$B:$S,2,FALSE),"")</x:f>
        <x:v>无机制</x:v>
      </x:c>
      <x:c r="H34" s="2" t="s">
        <x:v>1409</x:v>
      </x:c>
      <x:c r="I34" s="2" t="s">
        <x:v>404</x:v>
      </x:c>
      <x:c r="J34" s="3" t="str">
        <x:f>IFERROR(VLOOKUP($I34,'01_宠物主表_好读版'!$A:$V,3,FALSE),"")</x:f>
        <x:v>寒霜兽</x:v>
      </x:c>
      <x:c r="K34" s="2" t="s">
        <x:v>1158</x:v>
      </x:c>
      <x:c r="L34" s="2" t="s">
        <x:v>1213</x:v>
      </x:c>
      <x:c r="M34" s="2">
        <x:v>5</x:v>
      </x:c>
      <x:c r="N34" s="2">
        <x:v>68</x:v>
      </x:c>
      <x:c r="O34" s="2" t="s">
        <x:v>623</x:v>
      </x:c>
      <x:c r="P34" s="2" t="s">
        <x:v>1410</x:v>
      </x:c>
    </x:row>
    <x:row r="35" ht="22" customHeight="1">
      <x:c r="A35" s="2" t="s">
        <x:v>1482</x:v>
      </x:c>
      <x:c r="B35" s="2" t="s">
        <x:v>1483</x:v>
      </x:c>
      <x:c r="C35" s="2" t="s">
        <x:v>1420</x:v>
      </x:c>
      <x:c r="D35" s="2" t="s">
        <x:v>199</x:v>
      </x:c>
      <x:c r="E35" s="2" t="s">
        <x:v>872</x:v>
      </x:c>
      <x:c r="F35" s="2" t="s">
        <x:v>522</x:v>
      </x:c>
      <x:c r="G35" s="3" t="str">
        <x:f>IFERROR(VLOOKUP($F35,'04_机制词条库_60条'!$B:$S,2,FALSE),"")</x:f>
        <x:v>无机制</x:v>
      </x:c>
      <x:c r="H35" s="2" t="s">
        <x:v>1409</x:v>
      </x:c>
      <x:c r="I35" s="2" t="s">
        <x:v>414</x:v>
      </x:c>
      <x:c r="J35" s="3" t="str">
        <x:f>IFERROR(VLOOKUP($I35,'01_宠物主表_好读版'!$A:$V,3,FALSE),"")</x:f>
        <x:v>森猛犸</x:v>
      </x:c>
      <x:c r="K35" s="2" t="s">
        <x:v>1172</x:v>
      </x:c>
      <x:c r="L35" s="2" t="s">
        <x:v>1221</x:v>
      </x:c>
      <x:c r="M35" s="2">
        <x:v>6</x:v>
      </x:c>
      <x:c r="N35" s="2">
        <x:v>67</x:v>
      </x:c>
      <x:c r="O35" s="2" t="s">
        <x:v>623</x:v>
      </x:c>
      <x:c r="P35" s="2" t="s">
        <x:v>1410</x:v>
      </x:c>
    </x:row>
    <x:row r="36" ht="22" customHeight="1">
      <x:c r="A36" s="2" t="s">
        <x:v>1484</x:v>
      </x:c>
      <x:c r="B36" s="2" t="s">
        <x:v>1485</x:v>
      </x:c>
      <x:c r="C36" s="2" t="s">
        <x:v>1424</x:v>
      </x:c>
      <x:c r="D36" s="2" t="s">
        <x:v>454</x:v>
      </x:c>
      <x:c r="E36" s="2" t="s">
        <x:v>1425</x:v>
      </x:c>
      <x:c r="F36" s="2" t="s">
        <x:v>522</x:v>
      </x:c>
      <x:c r="G36" s="3" t="str">
        <x:f>IFERROR(VLOOKUP($F36,'04_机制词条库_60条'!$B:$S,2,FALSE),"")</x:f>
        <x:v>无机制</x:v>
      </x:c>
      <x:c r="H36" s="2" t="s">
        <x:v>1409</x:v>
      </x:c>
      <x:c r="I36" s="2" t="s">
        <x:v>423</x:v>
      </x:c>
      <x:c r="J36" s="3" t="str">
        <x:f>IFERROR(VLOOKUP($I36,'01_宠物主表_好读版'!$A:$V,3,FALSE),"")</x:f>
        <x:v>绿苔绒怪</x:v>
      </x:c>
      <x:c r="K36" s="2" t="s">
        <x:v>1199</x:v>
      </x:c>
      <x:c r="L36" s="2" t="s">
        <x:v>1159</x:v>
      </x:c>
      <x:c r="M36" s="2">
        <x:v>7</x:v>
      </x:c>
      <x:c r="N36" s="2">
        <x:v>66</x:v>
      </x:c>
      <x:c r="O36" s="2" t="s">
        <x:v>623</x:v>
      </x:c>
      <x:c r="P36" s="2" t="s">
        <x:v>1410</x:v>
      </x:c>
    </x:row>
    <x:row r="37" ht="22" customHeight="1">
      <x:c r="A37" s="2" t="s">
        <x:v>1486</x:v>
      </x:c>
      <x:c r="B37" s="2" t="s">
        <x:v>1487</x:v>
      </x:c>
      <x:c r="C37" s="2" t="s">
        <x:v>1407</x:v>
      </x:c>
      <x:c r="D37" s="2" t="s">
        <x:v>1421</x:v>
      </x:c>
      <x:c r="E37" s="2" t="s">
        <x:v>1228</x:v>
      </x:c>
      <x:c r="F37" s="2" t="s">
        <x:v>522</x:v>
      </x:c>
      <x:c r="G37" s="3" t="str">
        <x:f>IFERROR(VLOOKUP($F37,'04_机制词条库_60条'!$B:$S,2,FALSE),"")</x:f>
        <x:v>无机制</x:v>
      </x:c>
      <x:c r="H37" s="2" t="s">
        <x:v>1409</x:v>
      </x:c>
      <x:c r="I37" s="2" t="s">
        <x:v>433</x:v>
      </x:c>
      <x:c r="J37" s="3" t="str">
        <x:f>IFERROR(VLOOKUP($I37,'01_宠物主表_好读版'!$A:$V,3,FALSE),"")</x:f>
        <x:v>夜幕魔蝠</x:v>
      </x:c>
      <x:c r="K37" s="2" t="s">
        <x:v>1184</x:v>
      </x:c>
      <x:c r="L37" s="2" t="s">
        <x:v>1213</x:v>
      </x:c>
      <x:c r="M37" s="2">
        <x:v>1</x:v>
      </x:c>
      <x:c r="N37" s="2">
        <x:v>65</x:v>
      </x:c>
      <x:c r="O37" s="2" t="s">
        <x:v>623</x:v>
      </x:c>
      <x:c r="P37" s="2" t="s">
        <x:v>1410</x:v>
      </x:c>
    </x:row>
    <x:row r="38" ht="22" customHeight="1">
      <x:c r="A38" s="2" t="s">
        <x:v>1488</x:v>
      </x:c>
      <x:c r="B38" s="2" t="s">
        <x:v>1489</x:v>
      </x:c>
      <x:c r="C38" s="2" t="s">
        <x:v>1251</x:v>
      </x:c>
      <x:c r="D38" s="2" t="s">
        <x:v>45</x:v>
      </x:c>
      <x:c r="E38" s="2" t="s">
        <x:v>1408</x:v>
      </x:c>
      <x:c r="F38" s="2" t="s">
        <x:v>522</x:v>
      </x:c>
      <x:c r="G38" s="3" t="str">
        <x:f>IFERROR(VLOOKUP($F38,'04_机制词条库_60条'!$B:$S,2,FALSE),"")</x:f>
        <x:v>无机制</x:v>
      </x:c>
      <x:c r="H38" s="2" t="s">
        <x:v>1409</x:v>
      </x:c>
      <x:c r="I38" s="2" t="s">
        <x:v>442</x:v>
      </x:c>
      <x:c r="J38" s="3" t="str">
        <x:f>IFERROR(VLOOKUP($I38,'01_宠物主表_好读版'!$A:$V,3,FALSE),"")</x:f>
        <x:v>雷冥鸟</x:v>
      </x:c>
      <x:c r="K38" s="2" t="s">
        <x:v>1192</x:v>
      </x:c>
      <x:c r="L38" s="2" t="s">
        <x:v>1221</x:v>
      </x:c>
      <x:c r="M38" s="2">
        <x:v>2</x:v>
      </x:c>
      <x:c r="N38" s="2">
        <x:v>64</x:v>
      </x:c>
      <x:c r="O38" s="2" t="s">
        <x:v>623</x:v>
      </x:c>
      <x:c r="P38" s="2" t="s">
        <x:v>1410</x:v>
      </x:c>
    </x:row>
    <x:row r="39" ht="22" customHeight="1">
      <x:c r="A39" s="2" t="s">
        <x:v>1490</x:v>
      </x:c>
      <x:c r="B39" s="2" t="s">
        <x:v>1491</x:v>
      </x:c>
      <x:c r="C39" s="2" t="s">
        <x:v>1416</x:v>
      </x:c>
      <x:c r="D39" s="2" t="s">
        <x:v>199</x:v>
      </x:c>
      <x:c r="E39" s="2" t="s">
        <x:v>1413</x:v>
      </x:c>
      <x:c r="F39" s="2" t="s">
        <x:v>522</x:v>
      </x:c>
      <x:c r="G39" s="3" t="str">
        <x:f>IFERROR(VLOOKUP($F39,'04_机制词条库_60条'!$B:$S,2,FALSE),"")</x:f>
        <x:v>无机制</x:v>
      </x:c>
      <x:c r="H39" s="2" t="s">
        <x:v>1409</x:v>
      </x:c>
      <x:c r="I39" s="2" t="s">
        <x:v>455</x:v>
      </x:c>
      <x:c r="J39" s="3" t="str">
        <x:f>IFERROR(VLOOKUP($I39,'01_宠物主表_好读版'!$A:$V,3,FALSE),"")</x:f>
        <x:v>阿努比斯</x:v>
      </x:c>
      <x:c r="K39" s="2" t="s">
        <x:v>1303</x:v>
      </x:c>
      <x:c r="L39" s="2" t="s">
        <x:v>1159</x:v>
      </x:c>
      <x:c r="M39" s="2">
        <x:v>3</x:v>
      </x:c>
      <x:c r="N39" s="2">
        <x:v>63</x:v>
      </x:c>
      <x:c r="O39" s="2" t="s">
        <x:v>623</x:v>
      </x:c>
      <x:c r="P39" s="2" t="s">
        <x:v>1410</x:v>
      </x:c>
    </x:row>
    <x:row r="40" ht="22" customHeight="1">
      <x:c r="A40" s="2" t="s">
        <x:v>1492</x:v>
      </x:c>
      <x:c r="B40" s="2" t="s">
        <x:v>1493</x:v>
      </x:c>
      <x:c r="C40" s="2" t="s">
        <x:v>1420</x:v>
      </x:c>
      <x:c r="D40" s="2" t="s">
        <x:v>454</x:v>
      </x:c>
      <x:c r="E40" s="2" t="s">
        <x:v>1417</x:v>
      </x:c>
      <x:c r="F40" s="2" t="s">
        <x:v>522</x:v>
      </x:c>
      <x:c r="G40" s="3" t="str">
        <x:f>IFERROR(VLOOKUP($F40,'04_机制词条库_60条'!$B:$S,2,FALSE),"")</x:f>
        <x:v>无机制</x:v>
      </x:c>
      <x:c r="H40" s="2" t="s">
        <x:v>1409</x:v>
      </x:c>
      <x:c r="I40" s="2" t="s">
        <x:v>467</x:v>
      </x:c>
      <x:c r="J40" s="3" t="str">
        <x:f>IFERROR(VLOOKUP($I40,'01_宠物主表_好读版'!$A:$V,3,FALSE),"")</x:f>
        <x:v>朱雀</x:v>
      </x:c>
      <x:c r="K40" s="2" t="s">
        <x:v>1307</x:v>
      </x:c>
      <x:c r="L40" s="2" t="s">
        <x:v>1213</x:v>
      </x:c>
      <x:c r="M40" s="2">
        <x:v>4</x:v>
      </x:c>
      <x:c r="N40" s="2">
        <x:v>62</x:v>
      </x:c>
      <x:c r="O40" s="2" t="s">
        <x:v>623</x:v>
      </x:c>
      <x:c r="P40" s="2" t="s">
        <x:v>1410</x:v>
      </x:c>
    </x:row>
    <x:row r="41" ht="22" customHeight="1">
      <x:c r="A41" s="2" t="s">
        <x:v>1494</x:v>
      </x:c>
      <x:c r="B41" s="2" t="s">
        <x:v>1495</x:v>
      </x:c>
      <x:c r="C41" s="2" t="s">
        <x:v>1424</x:v>
      </x:c>
      <x:c r="D41" s="2" t="s">
        <x:v>1421</x:v>
      </x:c>
      <x:c r="E41" s="2" t="s">
        <x:v>872</x:v>
      </x:c>
      <x:c r="F41" s="2" t="s">
        <x:v>522</x:v>
      </x:c>
      <x:c r="G41" s="3" t="str">
        <x:f>IFERROR(VLOOKUP($F41,'04_机制词条库_60条'!$B:$S,2,FALSE),"")</x:f>
        <x:v>无机制</x:v>
      </x:c>
      <x:c r="H41" s="2" t="s">
        <x:v>1409</x:v>
      </x:c>
      <x:c r="I41" s="2" t="s">
        <x:v>478</x:v>
      </x:c>
      <x:c r="J41" s="3" t="str">
        <x:f>IFERROR(VLOOKUP($I41,'01_宠物主表_好读版'!$A:$V,3,FALSE),"")</x:f>
        <x:v>百合女王</x:v>
      </x:c>
      <x:c r="K41" s="2" t="s">
        <x:v>1311</x:v>
      </x:c>
      <x:c r="L41" s="2" t="s">
        <x:v>1221</x:v>
      </x:c>
      <x:c r="M41" s="2">
        <x:v>5</x:v>
      </x:c>
      <x:c r="N41" s="2">
        <x:v>61</x:v>
      </x:c>
      <x:c r="O41" s="2" t="s">
        <x:v>623</x:v>
      </x:c>
      <x:c r="P41" s="2" t="s">
        <x:v>1410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4.100000381469727"/>
  <x:cols>
    <x:col min="1" max="2" width="18" customWidth="1"/>
    <x:col min="3" max="4" width="14" customWidth="1"/>
    <x:col min="5" max="5" width="18" customWidth="1"/>
    <x:col min="6" max="16" width="14" customWidth="1"/>
    <x:col min="17" max="18" width="18" customWidth="1"/>
    <x:col min="19" max="19" width="14" customWidth="1"/>
    <x:col min="20" max="20" width="32" customWidth="1"/>
  </x:cols>
  <x:sheetData>
    <x:row r="1" ht="28" customHeight="1">
      <x:c r="A1" s="1" t="s">
        <x:v>18</x:v>
      </x:c>
      <x:c r="B1" s="1" t="s">
        <x:v>509</x:v>
      </x:c>
      <x:c r="C1" s="1" t="s">
        <x:v>510</x:v>
      </x:c>
      <x:c r="D1" s="1" t="s">
        <x:v>1143</x:v>
      </x:c>
      <x:c r="E1" s="1" t="s">
        <x:v>1496</x:v>
      </x:c>
      <x:c r="F1" s="1" t="s">
        <x:v>1497</x:v>
      </x:c>
      <x:c r="G1" s="1" t="s">
        <x:v>1498</x:v>
      </x:c>
      <x:c r="H1" s="1" t="s">
        <x:v>1499</x:v>
      </x:c>
      <x:c r="I1" s="1" t="s">
        <x:v>1500</x:v>
      </x:c>
      <x:c r="J1" s="1" t="s">
        <x:v>1501</x:v>
      </x:c>
      <x:c r="K1" s="1" t="s">
        <x:v>1502</x:v>
      </x:c>
      <x:c r="L1" s="1" t="s">
        <x:v>1503</x:v>
      </x:c>
      <x:c r="M1" s="1" t="s">
        <x:v>1504</x:v>
      </x:c>
      <x:c r="N1" s="1" t="s">
        <x:v>1505</x:v>
      </x:c>
      <x:c r="O1" s="1" t="s">
        <x:v>1506</x:v>
      </x:c>
      <x:c r="P1" s="1" t="s">
        <x:v>36</x:v>
      </x:c>
      <x:c r="Q1" s="1" t="s">
        <x:v>32</x:v>
      </x:c>
      <x:c r="R1" s="1" t="s">
        <x:v>1144</x:v>
      </x:c>
      <x:c r="S1" s="1" t="s">
        <x:v>578</x:v>
      </x:c>
      <x:c r="T1" s="1" t="s">
        <x:v>39</x:v>
      </x:c>
    </x:row>
    <x:row r="2" ht="22" customHeight="1">
      <x:c r="A2" s="2" t="s">
        <x:v>40</x:v>
      </x:c>
      <x:c r="B2" s="3" t="str">
        <x:f>IFERROR(VLOOKUP($A2,'01_宠物主表_好读版'!$A:$V,3,FALSE),"")</x:f>
        <x:v>棉悠悠</x:v>
      </x:c>
      <x:c r="C2" s="3" t="str">
        <x:f>IFERROR(VLOOKUP($A2,'01_宠物主表_好读版'!$A:$V,4,FALSE),"")</x:f>
        <x:v>风</x:v>
      </x:c>
      <x:c r="D2" s="3" t="str">
        <x:f>IFERROR(VLOOKUP($A2,'01_宠物主表_好读版'!$A:$V,8,FALSE),"")</x:f>
        <x:v>经济</x:v>
      </x:c>
      <x:c r="E2" s="2" t="s">
        <x:v>1507</x:v>
      </x:c>
      <x:c r="F2" s="2" t="s">
        <x:v>1508</x:v>
      </x:c>
      <x:c r="G2" s="2" t="s">
        <x:v>1509</x:v>
      </x:c>
      <x:c r="H2" s="2">
        <x:v>1</x:v>
      </x:c>
      <x:c r="I2" s="2" t="s">
        <x:v>1510</x:v>
      </x:c>
      <x:c r="J2" s="2">
        <x:v>3</x:v>
      </x:c>
      <x:c r="K2" s="2" t="s">
        <x:v>43</x:v>
      </x:c>
      <x:c r="L2" s="2" t="s">
        <x:v>43</x:v>
      </x:c>
      <x:c r="M2" s="2" t="s">
        <x:v>43</x:v>
      </x:c>
      <x:c r="N2" s="2">
        <x:v>1</x:v>
      </x:c>
      <x:c r="O2" s="2" t="s">
        <x:v>50</x:v>
      </x:c>
      <x:c r="P2" s="2" t="s">
        <x:v>51</x:v>
      </x:c>
      <x:c r="Q2" s="2" t="s">
        <x:v>522</x:v>
      </x:c>
      <x:c r="R2" s="3" t="str">
        <x:f>IFERROR(VLOOKUP($Q2,'04_机制词条库_60条'!$B:$S,2,FALSE),"")</x:f>
        <x:v>无机制</x:v>
      </x:c>
      <x:c r="S2" s="2" t="s">
        <x:v>591</x:v>
      </x:c>
      <x:c r="T2" s="2" t="s">
        <x:v>1511</x:v>
      </x:c>
    </x:row>
    <x:row r="3" ht="22" customHeight="1">
      <x:c r="A3" s="2" t="s">
        <x:v>54</x:v>
      </x:c>
      <x:c r="B3" s="3" t="str">
        <x:f>IFERROR(VLOOKUP($A3,'01_宠物主表_好读版'!$A:$V,3,FALSE),"")</x:f>
        <x:v>捣蛋猫</x:v>
      </x:c>
      <x:c r="C3" s="3" t="str">
        <x:f>IFERROR(VLOOKUP($A3,'01_宠物主表_好读版'!$A:$V,4,FALSE),"")</x:f>
        <x:v>风</x:v>
      </x:c>
      <x:c r="D3" s="3" t="str">
        <x:f>IFERROR(VLOOKUP($A3,'01_宠物主表_好读版'!$A:$V,8,FALSE),"")</x:f>
        <x:v>坦克</x:v>
      </x:c>
      <x:c r="E3" s="2" t="s">
        <x:v>1512</x:v>
      </x:c>
      <x:c r="F3" s="2" t="s">
        <x:v>1513</x:v>
      </x:c>
      <x:c r="G3" s="2" t="s">
        <x:v>1514</x:v>
      </x:c>
      <x:c r="H3" s="2">
        <x:v>3</x:v>
      </x:c>
      <x:c r="I3" s="2" t="s">
        <x:v>1510</x:v>
      </x:c>
      <x:c r="J3" s="2">
        <x:v>3</x:v>
      </x:c>
      <x:c r="K3" s="2" t="s">
        <x:v>43</x:v>
      </x:c>
      <x:c r="L3" s="2" t="s">
        <x:v>43</x:v>
      </x:c>
      <x:c r="M3" s="2" t="s">
        <x:v>43</x:v>
      </x:c>
      <x:c r="N3" s="2">
        <x:v>1</x:v>
      </x:c>
      <x:c r="O3" s="2" t="s">
        <x:v>60</x:v>
      </x:c>
      <x:c r="P3" s="2" t="s">
        <x:v>61</x:v>
      </x:c>
      <x:c r="Q3" s="2" t="s">
        <x:v>522</x:v>
      </x:c>
      <x:c r="R3" s="3" t="str">
        <x:f>IFERROR(VLOOKUP($Q3,'04_机制词条库_60条'!$B:$S,2,FALSE),"")</x:f>
        <x:v>无机制</x:v>
      </x:c>
      <x:c r="S3" s="2" t="s">
        <x:v>591</x:v>
      </x:c>
      <x:c r="T3" s="2" t="s">
        <x:v>1511</x:v>
      </x:c>
    </x:row>
    <x:row r="4" ht="22" customHeight="1">
      <x:c r="A4" s="2" t="s">
        <x:v>65</x:v>
      </x:c>
      <x:c r="B4" s="3" t="str">
        <x:f>IFERROR(VLOOKUP($A4,'01_宠物主表_好读版'!$A:$V,3,FALSE),"")</x:f>
        <x:v>皮皮鸡</x:v>
      </x:c>
      <x:c r="C4" s="3" t="str">
        <x:f>IFERROR(VLOOKUP($A4,'01_宠物主表_好读版'!$A:$V,4,FALSE),"")</x:f>
        <x:v>风</x:v>
      </x:c>
      <x:c r="D4" s="3" t="str">
        <x:f>IFERROR(VLOOKUP($A4,'01_宠物主表_好读版'!$A:$V,8,FALSE),"")</x:f>
        <x:v>经济</x:v>
      </x:c>
      <x:c r="E4" s="2" t="s">
        <x:v>1507</x:v>
      </x:c>
      <x:c r="F4" s="2" t="s">
        <x:v>1508</x:v>
      </x:c>
      <x:c r="G4" s="2" t="s">
        <x:v>1509</x:v>
      </x:c>
      <x:c r="H4" s="2">
        <x:v>1</x:v>
      </x:c>
      <x:c r="I4" s="2" t="s">
        <x:v>1510</x:v>
      </x:c>
      <x:c r="J4" s="2">
        <x:v>3</x:v>
      </x:c>
      <x:c r="K4" s="2" t="s">
        <x:v>43</x:v>
      </x:c>
      <x:c r="L4" s="2" t="s">
        <x:v>43</x:v>
      </x:c>
      <x:c r="M4" s="2" t="s">
        <x:v>43</x:v>
      </x:c>
      <x:c r="N4" s="2">
        <x:v>1</x:v>
      </x:c>
      <x:c r="O4" s="2" t="s">
        <x:v>50</x:v>
      </x:c>
      <x:c r="P4" s="2" t="s">
        <x:v>51</x:v>
      </x:c>
      <x:c r="Q4" s="2" t="s">
        <x:v>522</x:v>
      </x:c>
      <x:c r="R4" s="3" t="str">
        <x:f>IFERROR(VLOOKUP($Q4,'04_机制词条库_60条'!$B:$S,2,FALSE),"")</x:f>
        <x:v>无机制</x:v>
      </x:c>
      <x:c r="S4" s="2" t="s">
        <x:v>591</x:v>
      </x:c>
      <x:c r="T4" s="2" t="s">
        <x:v>1511</x:v>
      </x:c>
    </x:row>
    <x:row r="5" ht="22" customHeight="1">
      <x:c r="A5" s="2" t="s">
        <x:v>68</x:v>
      </x:c>
      <x:c r="B5" s="3" t="str">
        <x:f>IFERROR(VLOOKUP($A5,'01_宠物主表_好读版'!$A:$V,3,FALSE),"")</x:f>
        <x:v>翠叶鼠</x:v>
      </x:c>
      <x:c r="C5" s="3" t="str">
        <x:f>IFERROR(VLOOKUP($A5,'01_宠物主表_好读版'!$A:$V,4,FALSE),"")</x:f>
        <x:v>风</x:v>
      </x:c>
      <x:c r="D5" s="3" t="str">
        <x:f>IFERROR(VLOOKUP($A5,'01_宠物主表_好读版'!$A:$V,8,FALSE),"")</x:f>
        <x:v>治疗</x:v>
      </x:c>
      <x:c r="E5" s="2" t="s">
        <x:v>1512</x:v>
      </x:c>
      <x:c r="F5" s="2" t="s">
        <x:v>1513</x:v>
      </x:c>
      <x:c r="G5" s="2" t="s">
        <x:v>1514</x:v>
      </x:c>
      <x:c r="H5" s="2">
        <x:v>3</x:v>
      </x:c>
      <x:c r="I5" s="2" t="s">
        <x:v>1510</x:v>
      </x:c>
      <x:c r="J5" s="2">
        <x:v>3</x:v>
      </x:c>
      <x:c r="K5" s="2" t="s">
        <x:v>43</x:v>
      </x:c>
      <x:c r="L5" s="2" t="s">
        <x:v>43</x:v>
      </x:c>
      <x:c r="M5" s="2" t="s">
        <x:v>43</x:v>
      </x:c>
      <x:c r="N5" s="2">
        <x:v>1</x:v>
      </x:c>
      <x:c r="O5" s="2" t="s">
        <x:v>73</x:v>
      </x:c>
      <x:c r="P5" s="2" t="s">
        <x:v>74</x:v>
      </x:c>
      <x:c r="Q5" s="2" t="s">
        <x:v>522</x:v>
      </x:c>
      <x:c r="R5" s="3" t="str">
        <x:f>IFERROR(VLOOKUP($Q5,'04_机制词条库_60条'!$B:$S,2,FALSE),"")</x:f>
        <x:v>无机制</x:v>
      </x:c>
      <x:c r="S5" s="2" t="s">
        <x:v>591</x:v>
      </x:c>
      <x:c r="T5" s="2" t="s">
        <x:v>1511</x:v>
      </x:c>
    </x:row>
    <x:row r="6" ht="22" customHeight="1">
      <x:c r="A6" s="2" t="s">
        <x:v>76</x:v>
      </x:c>
      <x:c r="B6" s="3" t="str">
        <x:f>IFERROR(VLOOKUP($A6,'01_宠物主表_好读版'!$A:$V,3,FALSE),"")</x:f>
        <x:v>火绒狐</x:v>
      </x:c>
      <x:c r="C6" s="3" t="str">
        <x:f>IFERROR(VLOOKUP($A6,'01_宠物主表_好读版'!$A:$V,4,FALSE),"")</x:f>
        <x:v>火</x:v>
      </x:c>
      <x:c r="D6" s="3" t="str">
        <x:f>IFERROR(VLOOKUP($A6,'01_宠物主表_好读版'!$A:$V,8,FALSE),"")</x:f>
        <x:v>输出</x:v>
      </x:c>
      <x:c r="E6" s="2" t="s">
        <x:v>1507</x:v>
      </x:c>
      <x:c r="F6" s="2" t="s">
        <x:v>1508</x:v>
      </x:c>
      <x:c r="G6" s="2" t="s">
        <x:v>1509</x:v>
      </x:c>
      <x:c r="H6" s="2">
        <x:v>1</x:v>
      </x:c>
      <x:c r="I6" s="2" t="s">
        <x:v>1510</x:v>
      </x:c>
      <x:c r="J6" s="2">
        <x:v>3</x:v>
      </x:c>
      <x:c r="K6" s="2" t="s">
        <x:v>79</x:v>
      </x:c>
      <x:c r="L6" s="2" t="s">
        <x:v>79</x:v>
      </x:c>
      <x:c r="M6" s="2" t="s">
        <x:v>79</x:v>
      </x:c>
      <x:c r="N6" s="2">
        <x:v>1</x:v>
      </x:c>
      <x:c r="O6" s="2" t="s">
        <x:v>81</x:v>
      </x:c>
      <x:c r="P6" s="2" t="s">
        <x:v>82</x:v>
      </x:c>
      <x:c r="Q6" s="2" t="s">
        <x:v>522</x:v>
      </x:c>
      <x:c r="R6" s="3" t="str">
        <x:f>IFERROR(VLOOKUP($Q6,'04_机制词条库_60条'!$B:$S,2,FALSE),"")</x:f>
        <x:v>无机制</x:v>
      </x:c>
      <x:c r="S6" s="2" t="s">
        <x:v>591</x:v>
      </x:c>
      <x:c r="T6" s="2" t="s">
        <x:v>1511</x:v>
      </x:c>
    </x:row>
    <x:row r="7" ht="22" customHeight="1">
      <x:c r="A7" s="2" t="s">
        <x:v>84</x:v>
      </x:c>
      <x:c r="B7" s="3" t="str">
        <x:f>IFERROR(VLOOKUP($A7,'01_宠物主表_好读版'!$A:$V,3,FALSE),"")</x:f>
        <x:v>冲浪鸭</x:v>
      </x:c>
      <x:c r="C7" s="3" t="str">
        <x:f>IFERROR(VLOOKUP($A7,'01_宠物主表_好读版'!$A:$V,4,FALSE),"")</x:f>
        <x:v>水</x:v>
      </x:c>
      <x:c r="D7" s="3" t="str">
        <x:f>IFERROR(VLOOKUP($A7,'01_宠物主表_好读版'!$A:$V,8,FALSE),"")</x:f>
        <x:v>治疗</x:v>
      </x:c>
      <x:c r="E7" s="2" t="s">
        <x:v>1512</x:v>
      </x:c>
      <x:c r="F7" s="2" t="s">
        <x:v>1513</x:v>
      </x:c>
      <x:c r="G7" s="2" t="s">
        <x:v>1514</x:v>
      </x:c>
      <x:c r="H7" s="2">
        <x:v>3</x:v>
      </x:c>
      <x:c r="I7" s="2" t="s">
        <x:v>1510</x:v>
      </x:c>
      <x:c r="J7" s="2">
        <x:v>3</x:v>
      </x:c>
      <x:c r="K7" s="2" t="s">
        <x:v>87</x:v>
      </x:c>
      <x:c r="L7" s="2" t="s">
        <x:v>87</x:v>
      </x:c>
      <x:c r="M7" s="2" t="s">
        <x:v>87</x:v>
      </x:c>
      <x:c r="N7" s="2">
        <x:v>1</x:v>
      </x:c>
      <x:c r="O7" s="2" t="s">
        <x:v>73</x:v>
      </x:c>
      <x:c r="P7" s="2" t="s">
        <x:v>74</x:v>
      </x:c>
      <x:c r="Q7" s="2" t="s">
        <x:v>522</x:v>
      </x:c>
      <x:c r="R7" s="3" t="str">
        <x:f>IFERROR(VLOOKUP($Q7,'04_机制词条库_60条'!$B:$S,2,FALSE),"")</x:f>
        <x:v>无机制</x:v>
      </x:c>
      <x:c r="S7" s="2" t="s">
        <x:v>591</x:v>
      </x:c>
      <x:c r="T7" s="2" t="s">
        <x:v>1511</x:v>
      </x:c>
    </x:row>
    <x:row r="8" ht="22" customHeight="1">
      <x:c r="A8" s="2" t="s">
        <x:v>89</x:v>
      </x:c>
      <x:c r="B8" s="3" t="str">
        <x:f>IFERROR(VLOOKUP($A8,'01_宠物主表_好读版'!$A:$V,3,FALSE),"")</x:f>
        <x:v>伏特喵</x:v>
      </x:c>
      <x:c r="C8" s="3" t="str">
        <x:f>IFERROR(VLOOKUP($A8,'01_宠物主表_好读版'!$A:$V,4,FALSE),"")</x:f>
        <x:v>风</x:v>
      </x:c>
      <x:c r="D8" s="3" t="str">
        <x:f>IFERROR(VLOOKUP($A8,'01_宠物主表_好读版'!$A:$V,8,FALSE),"")</x:f>
        <x:v>坦克</x:v>
      </x:c>
      <x:c r="E8" s="2" t="s">
        <x:v>1512</x:v>
      </x:c>
      <x:c r="F8" s="2" t="s">
        <x:v>1513</x:v>
      </x:c>
      <x:c r="G8" s="2" t="s">
        <x:v>1514</x:v>
      </x:c>
      <x:c r="H8" s="2">
        <x:v>3</x:v>
      </x:c>
      <x:c r="I8" s="2" t="s">
        <x:v>1510</x:v>
      </x:c>
      <x:c r="J8" s="2">
        <x:v>3</x:v>
      </x:c>
      <x:c r="K8" s="2" t="s">
        <x:v>43</x:v>
      </x:c>
      <x:c r="L8" s="2" t="s">
        <x:v>43</x:v>
      </x:c>
      <x:c r="M8" s="2" t="s">
        <x:v>43</x:v>
      </x:c>
      <x:c r="N8" s="2">
        <x:v>1</x:v>
      </x:c>
      <x:c r="O8" s="2" t="s">
        <x:v>60</x:v>
      </x:c>
      <x:c r="P8" s="2" t="s">
        <x:v>61</x:v>
      </x:c>
      <x:c r="Q8" s="2" t="s">
        <x:v>522</x:v>
      </x:c>
      <x:c r="R8" s="3" t="str">
        <x:f>IFERROR(VLOOKUP($Q8,'04_机制词条库_60条'!$B:$S,2,FALSE),"")</x:f>
        <x:v>无机制</x:v>
      </x:c>
      <x:c r="S8" s="2" t="s">
        <x:v>591</x:v>
      </x:c>
      <x:c r="T8" s="2" t="s">
        <x:v>1511</x:v>
      </x:c>
    </x:row>
    <x:row r="9" ht="22" customHeight="1">
      <x:c r="A9" s="2" t="s">
        <x:v>93</x:v>
      </x:c>
      <x:c r="B9" s="3" t="str">
        <x:f>IFERROR(VLOOKUP($A9,'01_宠物主表_好读版'!$A:$V,3,FALSE),"")</x:f>
        <x:v>新叶猿</x:v>
      </x:c>
      <x:c r="C9" s="3" t="str">
        <x:f>IFERROR(VLOOKUP($A9,'01_宠物主表_好读版'!$A:$V,4,FALSE),"")</x:f>
        <x:v>风</x:v>
      </x:c>
      <x:c r="D9" s="3" t="str">
        <x:f>IFERROR(VLOOKUP($A9,'01_宠物主表_好读版'!$A:$V,8,FALSE),"")</x:f>
        <x:v>坦克</x:v>
      </x:c>
      <x:c r="E9" s="2" t="s">
        <x:v>1512</x:v>
      </x:c>
      <x:c r="F9" s="2" t="s">
        <x:v>1513</x:v>
      </x:c>
      <x:c r="G9" s="2" t="s">
        <x:v>1514</x:v>
      </x:c>
      <x:c r="H9" s="2">
        <x:v>3</x:v>
      </x:c>
      <x:c r="I9" s="2" t="s">
        <x:v>1510</x:v>
      </x:c>
      <x:c r="J9" s="2">
        <x:v>3</x:v>
      </x:c>
      <x:c r="K9" s="2" t="s">
        <x:v>43</x:v>
      </x:c>
      <x:c r="L9" s="2" t="s">
        <x:v>43</x:v>
      </x:c>
      <x:c r="M9" s="2" t="s">
        <x:v>43</x:v>
      </x:c>
      <x:c r="N9" s="2">
        <x:v>1</x:v>
      </x:c>
      <x:c r="O9" s="2" t="s">
        <x:v>60</x:v>
      </x:c>
      <x:c r="P9" s="2" t="s">
        <x:v>61</x:v>
      </x:c>
      <x:c r="Q9" s="2" t="s">
        <x:v>522</x:v>
      </x:c>
      <x:c r="R9" s="3" t="str">
        <x:f>IFERROR(VLOOKUP($Q9,'04_机制词条库_60条'!$B:$S,2,FALSE),"")</x:f>
        <x:v>无机制</x:v>
      </x:c>
      <x:c r="S9" s="2" t="s">
        <x:v>591</x:v>
      </x:c>
      <x:c r="T9" s="2" t="s">
        <x:v>1511</x:v>
      </x:c>
    </x:row>
    <x:row r="10" ht="22" customHeight="1">
      <x:c r="A10" s="2" t="s">
        <x:v>96</x:v>
      </x:c>
      <x:c r="B10" s="3" t="str">
        <x:f>IFERROR(VLOOKUP($A10,'01_宠物主表_好读版'!$A:$V,3,FALSE),"")</x:f>
        <x:v>燎火鹿</x:v>
      </x:c>
      <x:c r="C10" s="3" t="str">
        <x:f>IFERROR(VLOOKUP($A10,'01_宠物主表_好读版'!$A:$V,4,FALSE),"")</x:f>
        <x:v>火</x:v>
      </x:c>
      <x:c r="D10" s="3" t="str">
        <x:f>IFERROR(VLOOKUP($A10,'01_宠物主表_好读版'!$A:$V,8,FALSE),"")</x:f>
        <x:v>输出</x:v>
      </x:c>
      <x:c r="E10" s="2" t="s">
        <x:v>1507</x:v>
      </x:c>
      <x:c r="F10" s="2" t="s">
        <x:v>1508</x:v>
      </x:c>
      <x:c r="G10" s="2" t="s">
        <x:v>1509</x:v>
      </x:c>
      <x:c r="H10" s="2">
        <x:v>1</x:v>
      </x:c>
      <x:c r="I10" s="2" t="s">
        <x:v>1510</x:v>
      </x:c>
      <x:c r="J10" s="2">
        <x:v>3</x:v>
      </x:c>
      <x:c r="K10" s="2" t="s">
        <x:v>79</x:v>
      </x:c>
      <x:c r="L10" s="2" t="s">
        <x:v>79</x:v>
      </x:c>
      <x:c r="M10" s="2" t="s">
        <x:v>79</x:v>
      </x:c>
      <x:c r="N10" s="2">
        <x:v>1</x:v>
      </x:c>
      <x:c r="O10" s="2" t="s">
        <x:v>81</x:v>
      </x:c>
      <x:c r="P10" s="2" t="s">
        <x:v>82</x:v>
      </x:c>
      <x:c r="Q10" s="2" t="s">
        <x:v>522</x:v>
      </x:c>
      <x:c r="R10" s="3" t="str">
        <x:f>IFERROR(VLOOKUP($Q10,'04_机制词条库_60条'!$B:$S,2,FALSE),"")</x:f>
        <x:v>无机制</x:v>
      </x:c>
      <x:c r="S10" s="2" t="s">
        <x:v>591</x:v>
      </x:c>
      <x:c r="T10" s="2" t="s">
        <x:v>1511</x:v>
      </x:c>
    </x:row>
    <x:row r="11" ht="22" customHeight="1">
      <x:c r="A11" s="2" t="s">
        <x:v>99</x:v>
      </x:c>
      <x:c r="B11" s="3" t="str">
        <x:f>IFERROR(VLOOKUP($A11,'01_宠物主表_好读版'!$A:$V,3,FALSE),"")</x:f>
        <x:v>企丸丸</x:v>
      </x:c>
      <x:c r="C11" s="3" t="str">
        <x:f>IFERROR(VLOOKUP($A11,'01_宠物主表_好读版'!$A:$V,4,FALSE),"")</x:f>
        <x:v>水</x:v>
      </x:c>
      <x:c r="D11" s="3" t="str">
        <x:f>IFERROR(VLOOKUP($A11,'01_宠物主表_好读版'!$A:$V,8,FALSE),"")</x:f>
        <x:v>治疗</x:v>
      </x:c>
      <x:c r="E11" s="2" t="s">
        <x:v>1512</x:v>
      </x:c>
      <x:c r="F11" s="2" t="s">
        <x:v>1513</x:v>
      </x:c>
      <x:c r="G11" s="2" t="s">
        <x:v>1514</x:v>
      </x:c>
      <x:c r="H11" s="2">
        <x:v>3</x:v>
      </x:c>
      <x:c r="I11" s="2" t="s">
        <x:v>1510</x:v>
      </x:c>
      <x:c r="J11" s="2">
        <x:v>3</x:v>
      </x:c>
      <x:c r="K11" s="2" t="s">
        <x:v>87</x:v>
      </x:c>
      <x:c r="L11" s="2" t="s">
        <x:v>87</x:v>
      </x:c>
      <x:c r="M11" s="2" t="s">
        <x:v>87</x:v>
      </x:c>
      <x:c r="N11" s="2">
        <x:v>1</x:v>
      </x:c>
      <x:c r="O11" s="2" t="s">
        <x:v>73</x:v>
      </x:c>
      <x:c r="P11" s="2" t="s">
        <x:v>74</x:v>
      </x:c>
      <x:c r="Q11" s="2" t="s">
        <x:v>522</x:v>
      </x:c>
      <x:c r="R11" s="3" t="str">
        <x:f>IFERROR(VLOOKUP($Q11,'04_机制词条库_60条'!$B:$S,2,FALSE),"")</x:f>
        <x:v>无机制</x:v>
      </x:c>
      <x:c r="S11" s="2" t="s">
        <x:v>591</x:v>
      </x:c>
      <x:c r="T11" s="2" t="s">
        <x:v>1511</x:v>
      </x:c>
    </x:row>
    <x:row r="12" ht="22" customHeight="1">
      <x:c r="A12" s="2" t="s">
        <x:v>103</x:v>
      </x:c>
      <x:c r="B12" s="3" t="str">
        <x:f>IFERROR(VLOOKUP($A12,'01_宠物主表_好读版'!$A:$V,3,FALSE),"")</x:f>
        <x:v>企丸王</x:v>
      </x:c>
      <x:c r="C12" s="3" t="str">
        <x:f>IFERROR(VLOOKUP($A12,'01_宠物主表_好读版'!$A:$V,4,FALSE),"")</x:f>
        <x:v>水</x:v>
      </x:c>
      <x:c r="D12" s="3" t="str">
        <x:f>IFERROR(VLOOKUP($A12,'01_宠物主表_好读版'!$A:$V,8,FALSE),"")</x:f>
        <x:v>治疗</x:v>
      </x:c>
      <x:c r="E12" s="2" t="s">
        <x:v>1512</x:v>
      </x:c>
      <x:c r="F12" s="2" t="s">
        <x:v>1513</x:v>
      </x:c>
      <x:c r="G12" s="2" t="s">
        <x:v>1514</x:v>
      </x:c>
      <x:c r="H12" s="2">
        <x:v>3</x:v>
      </x:c>
      <x:c r="I12" s="2" t="s">
        <x:v>1510</x:v>
      </x:c>
      <x:c r="J12" s="2">
        <x:v>3</x:v>
      </x:c>
      <x:c r="K12" s="2" t="s">
        <x:v>87</x:v>
      </x:c>
      <x:c r="L12" s="2" t="s">
        <x:v>87</x:v>
      </x:c>
      <x:c r="M12" s="2" t="s">
        <x:v>87</x:v>
      </x:c>
      <x:c r="N12" s="2">
        <x:v>1</x:v>
      </x:c>
      <x:c r="O12" s="2" t="s">
        <x:v>73</x:v>
      </x:c>
      <x:c r="P12" s="2" t="s">
        <x:v>74</x:v>
      </x:c>
      <x:c r="Q12" s="2" t="s">
        <x:v>522</x:v>
      </x:c>
      <x:c r="R12" s="3" t="str">
        <x:f>IFERROR(VLOOKUP($Q12,'04_机制词条库_60条'!$B:$S,2,FALSE),"")</x:f>
        <x:v>无机制</x:v>
      </x:c>
      <x:c r="S12" s="2" t="s">
        <x:v>591</x:v>
      </x:c>
      <x:c r="T12" s="2" t="s">
        <x:v>1511</x:v>
      </x:c>
    </x:row>
    <x:row r="13" ht="22" customHeight="1">
      <x:c r="A13" s="2" t="s">
        <x:v>107</x:v>
      </x:c>
      <x:c r="B13" s="3" t="str">
        <x:f>IFERROR(VLOOKUP($A13,'01_宠物主表_好读版'!$A:$V,3,FALSE),"")</x:f>
        <x:v>电棘鼠</x:v>
      </x:c>
      <x:c r="C13" s="3" t="str">
        <x:f>IFERROR(VLOOKUP($A13,'01_宠物主表_好读版'!$A:$V,4,FALSE),"")</x:f>
        <x:v>风</x:v>
      </x:c>
      <x:c r="D13" s="3" t="str">
        <x:f>IFERROR(VLOOKUP($A13,'01_宠物主表_好读版'!$A:$V,8,FALSE),"")</x:f>
        <x:v>控制</x:v>
      </x:c>
      <x:c r="E13" s="2" t="s">
        <x:v>1515</x:v>
      </x:c>
      <x:c r="F13" s="2" t="s">
        <x:v>1516</x:v>
      </x:c>
      <x:c r="G13" s="2" t="s">
        <x:v>1517</x:v>
      </x:c>
      <x:c r="H13" s="2">
        <x:v>4</x:v>
      </x:c>
      <x:c r="I13" s="2" t="s">
        <x:v>1510</x:v>
      </x:c>
      <x:c r="J13" s="2">
        <x:v>3</x:v>
      </x:c>
      <x:c r="K13" s="2" t="s">
        <x:v>43</x:v>
      </x:c>
      <x:c r="L13" s="2" t="s">
        <x:v>43</x:v>
      </x:c>
      <x:c r="M13" s="2" t="s">
        <x:v>43</x:v>
      </x:c>
      <x:c r="N13" s="2">
        <x:v>1</x:v>
      </x:c>
      <x:c r="O13" s="2" t="s">
        <x:v>113</x:v>
      </x:c>
      <x:c r="P13" s="2" t="s">
        <x:v>114</x:v>
      </x:c>
      <x:c r="Q13" s="2" t="s">
        <x:v>522</x:v>
      </x:c>
      <x:c r="R13" s="3" t="str">
        <x:f>IFERROR(VLOOKUP($Q13,'04_机制词条库_60条'!$B:$S,2,FALSE),"")</x:f>
        <x:v>无机制</x:v>
      </x:c>
      <x:c r="S13" s="2" t="s">
        <x:v>591</x:v>
      </x:c>
      <x:c r="T13" s="2" t="s">
        <x:v>1511</x:v>
      </x:c>
    </x:row>
    <x:row r="14" ht="22" customHeight="1">
      <x:c r="A14" s="2" t="s">
        <x:v>117</x:v>
      </x:c>
      <x:c r="B14" s="3" t="str">
        <x:f>IFERROR(VLOOKUP($A14,'01_宠物主表_好读版'!$A:$V,3,FALSE),"")</x:f>
        <x:v>叶泥泥</x:v>
      </x:c>
      <x:c r="C14" s="3" t="str">
        <x:f>IFERROR(VLOOKUP($A14,'01_宠物主表_好读版'!$A:$V,4,FALSE),"")</x:f>
        <x:v>土</x:v>
      </x:c>
      <x:c r="D14" s="3" t="str">
        <x:f>IFERROR(VLOOKUP($A14,'01_宠物主表_好读版'!$A:$V,8,FALSE),"")</x:f>
        <x:v>坦克</x:v>
      </x:c>
      <x:c r="E14" s="2" t="s">
        <x:v>1512</x:v>
      </x:c>
      <x:c r="F14" s="2" t="s">
        <x:v>1513</x:v>
      </x:c>
      <x:c r="G14" s="2" t="s">
        <x:v>1514</x:v>
      </x:c>
      <x:c r="H14" s="2">
        <x:v>3</x:v>
      </x:c>
      <x:c r="I14" s="2" t="s">
        <x:v>1510</x:v>
      </x:c>
      <x:c r="J14" s="2">
        <x:v>3</x:v>
      </x:c>
      <x:c r="K14" s="2" t="s">
        <x:v>120</x:v>
      </x:c>
      <x:c r="L14" s="2" t="s">
        <x:v>120</x:v>
      </x:c>
      <x:c r="M14" s="2" t="s">
        <x:v>120</x:v>
      </x:c>
      <x:c r="N14" s="2">
        <x:v>1</x:v>
      </x:c>
      <x:c r="O14" s="2" t="s">
        <x:v>60</x:v>
      </x:c>
      <x:c r="P14" s="2" t="s">
        <x:v>61</x:v>
      </x:c>
      <x:c r="Q14" s="2" t="s">
        <x:v>522</x:v>
      </x:c>
      <x:c r="R14" s="3" t="str">
        <x:f>IFERROR(VLOOKUP($Q14,'04_机制词条库_60条'!$B:$S,2,FALSE),"")</x:f>
        <x:v>无机制</x:v>
      </x:c>
      <x:c r="S14" s="2" t="s">
        <x:v>591</x:v>
      </x:c>
      <x:c r="T14" s="2" t="s">
        <x:v>1511</x:v>
      </x:c>
    </x:row>
    <x:row r="15" ht="22" customHeight="1">
      <x:c r="A15" s="2" t="s">
        <x:v>123</x:v>
      </x:c>
      <x:c r="B15" s="3" t="str">
        <x:f>IFERROR(VLOOKUP($A15,'01_宠物主表_好读版'!$A:$V,3,FALSE),"")</x:f>
        <x:v>玉藻狐</x:v>
      </x:c>
      <x:c r="C15" s="3" t="str">
        <x:f>IFERROR(VLOOKUP($A15,'01_宠物主表_好读版'!$A:$V,4,FALSE),"")</x:f>
        <x:v>风</x:v>
      </x:c>
      <x:c r="D15" s="3" t="str">
        <x:f>IFERROR(VLOOKUP($A15,'01_宠物主表_好读版'!$A:$V,8,FALSE),"")</x:f>
        <x:v>经济</x:v>
      </x:c>
      <x:c r="E15" s="2" t="s">
        <x:v>1507</x:v>
      </x:c>
      <x:c r="F15" s="2" t="s">
        <x:v>1508</x:v>
      </x:c>
      <x:c r="G15" s="2" t="s">
        <x:v>1509</x:v>
      </x:c>
      <x:c r="H15" s="2">
        <x:v>1</x:v>
      </x:c>
      <x:c r="I15" s="2" t="s">
        <x:v>1510</x:v>
      </x:c>
      <x:c r="J15" s="2">
        <x:v>3</x:v>
      </x:c>
      <x:c r="K15" s="2" t="s">
        <x:v>43</x:v>
      </x:c>
      <x:c r="L15" s="2" t="s">
        <x:v>43</x:v>
      </x:c>
      <x:c r="M15" s="2" t="s">
        <x:v>43</x:v>
      </x:c>
      <x:c r="N15" s="2">
        <x:v>1</x:v>
      </x:c>
      <x:c r="O15" s="2" t="s">
        <x:v>50</x:v>
      </x:c>
      <x:c r="P15" s="2" t="s">
        <x:v>51</x:v>
      </x:c>
      <x:c r="Q15" s="2" t="s">
        <x:v>522</x:v>
      </x:c>
      <x:c r="R15" s="3" t="str">
        <x:f>IFERROR(VLOOKUP($Q15,'04_机制词条库_60条'!$B:$S,2,FALSE),"")</x:f>
        <x:v>无机制</x:v>
      </x:c>
      <x:c r="S15" s="2" t="s">
        <x:v>591</x:v>
      </x:c>
      <x:c r="T15" s="2" t="s">
        <x:v>1511</x:v>
      </x:c>
    </x:row>
    <x:row r="16" ht="22" customHeight="1">
      <x:c r="A16" s="2" t="s">
        <x:v>126</x:v>
      </x:c>
      <x:c r="B16" s="3" t="str">
        <x:f>IFERROR(VLOOKUP($A16,'01_宠物主表_好读版'!$A:$V,3,FALSE),"")</x:f>
        <x:v>啼卡尔</x:v>
      </x:c>
      <x:c r="C16" s="3" t="str">
        <x:f>IFERROR(VLOOKUP($A16,'01_宠物主表_好读版'!$A:$V,4,FALSE),"")</x:f>
        <x:v>土</x:v>
      </x:c>
      <x:c r="D16" s="3" t="str">
        <x:f>IFERROR(VLOOKUP($A16,'01_宠物主表_好读版'!$A:$V,8,FALSE),"")</x:f>
        <x:v>坦克</x:v>
      </x:c>
      <x:c r="E16" s="2" t="s">
        <x:v>1512</x:v>
      </x:c>
      <x:c r="F16" s="2" t="s">
        <x:v>1513</x:v>
      </x:c>
      <x:c r="G16" s="2" t="s">
        <x:v>1514</x:v>
      </x:c>
      <x:c r="H16" s="2">
        <x:v>3</x:v>
      </x:c>
      <x:c r="I16" s="2" t="s">
        <x:v>1510</x:v>
      </x:c>
      <x:c r="J16" s="2">
        <x:v>3</x:v>
      </x:c>
      <x:c r="K16" s="2" t="s">
        <x:v>120</x:v>
      </x:c>
      <x:c r="L16" s="2" t="s">
        <x:v>120</x:v>
      </x:c>
      <x:c r="M16" s="2" t="s">
        <x:v>120</x:v>
      </x:c>
      <x:c r="N16" s="2">
        <x:v>1</x:v>
      </x:c>
      <x:c r="O16" s="2" t="s">
        <x:v>60</x:v>
      </x:c>
      <x:c r="P16" s="2" t="s">
        <x:v>61</x:v>
      </x:c>
      <x:c r="Q16" s="2" t="s">
        <x:v>522</x:v>
      </x:c>
      <x:c r="R16" s="3" t="str">
        <x:f>IFERROR(VLOOKUP($Q16,'04_机制词条库_60条'!$B:$S,2,FALSE),"")</x:f>
        <x:v>无机制</x:v>
      </x:c>
      <x:c r="S16" s="2" t="s">
        <x:v>591</x:v>
      </x:c>
      <x:c r="T16" s="2" t="s">
        <x:v>1511</x:v>
      </x:c>
    </x:row>
    <x:row r="17" ht="22" customHeight="1">
      <x:c r="A17" s="2" t="s">
        <x:v>130</x:v>
      </x:c>
      <x:c r="B17" s="3" t="str">
        <x:f>IFERROR(VLOOKUP($A17,'01_宠物主表_好读版'!$A:$V,3,FALSE),"")</x:f>
        <x:v>壶小象</x:v>
      </x:c>
      <x:c r="C17" s="3" t="str">
        <x:f>IFERROR(VLOOKUP($A17,'01_宠物主表_好读版'!$A:$V,4,FALSE),"")</x:f>
        <x:v>水</x:v>
      </x:c>
      <x:c r="D17" s="3" t="str">
        <x:f>IFERROR(VLOOKUP($A17,'01_宠物主表_好读版'!$A:$V,8,FALSE),"")</x:f>
        <x:v>治疗</x:v>
      </x:c>
      <x:c r="E17" s="2" t="s">
        <x:v>1512</x:v>
      </x:c>
      <x:c r="F17" s="2" t="s">
        <x:v>1513</x:v>
      </x:c>
      <x:c r="G17" s="2" t="s">
        <x:v>1514</x:v>
      </x:c>
      <x:c r="H17" s="2">
        <x:v>3</x:v>
      </x:c>
      <x:c r="I17" s="2" t="s">
        <x:v>1510</x:v>
      </x:c>
      <x:c r="J17" s="2">
        <x:v>3</x:v>
      </x:c>
      <x:c r="K17" s="2" t="s">
        <x:v>87</x:v>
      </x:c>
      <x:c r="L17" s="2" t="s">
        <x:v>87</x:v>
      </x:c>
      <x:c r="M17" s="2" t="s">
        <x:v>87</x:v>
      </x:c>
      <x:c r="N17" s="2">
        <x:v>1</x:v>
      </x:c>
      <x:c r="O17" s="2" t="s">
        <x:v>73</x:v>
      </x:c>
      <x:c r="P17" s="2" t="s">
        <x:v>74</x:v>
      </x:c>
      <x:c r="Q17" s="2" t="s">
        <x:v>522</x:v>
      </x:c>
      <x:c r="R17" s="3" t="str">
        <x:f>IFERROR(VLOOKUP($Q17,'04_机制词条库_60条'!$B:$S,2,FALSE),"")</x:f>
        <x:v>无机制</x:v>
      </x:c>
      <x:c r="S17" s="2" t="s">
        <x:v>591</x:v>
      </x:c>
      <x:c r="T17" s="2" t="s">
        <x:v>1511</x:v>
      </x:c>
    </x:row>
    <x:row r="18" ht="22" customHeight="1">
      <x:c r="A18" s="2" t="s">
        <x:v>133</x:v>
      </x:c>
      <x:c r="B18" s="3" t="str">
        <x:f>IFERROR(VLOOKUP($A18,'01_宠物主表_好读版'!$A:$V,3,FALSE),"")</x:f>
        <x:v>瞅什魔</x:v>
      </x:c>
      <x:c r="C18" s="3" t="str">
        <x:f>IFERROR(VLOOKUP($A18,'01_宠物主表_好读版'!$A:$V,4,FALSE),"")</x:f>
        <x:v>土</x:v>
      </x:c>
      <x:c r="D18" s="3" t="str">
        <x:f>IFERROR(VLOOKUP($A18,'01_宠物主表_好读版'!$A:$V,8,FALSE),"")</x:f>
        <x:v>坦克</x:v>
      </x:c>
      <x:c r="E18" s="2" t="s">
        <x:v>1512</x:v>
      </x:c>
      <x:c r="F18" s="2" t="s">
        <x:v>1513</x:v>
      </x:c>
      <x:c r="G18" s="2" t="s">
        <x:v>1514</x:v>
      </x:c>
      <x:c r="H18" s="2">
        <x:v>3</x:v>
      </x:c>
      <x:c r="I18" s="2" t="s">
        <x:v>1510</x:v>
      </x:c>
      <x:c r="J18" s="2">
        <x:v>3</x:v>
      </x:c>
      <x:c r="K18" s="2" t="s">
        <x:v>120</x:v>
      </x:c>
      <x:c r="L18" s="2" t="s">
        <x:v>120</x:v>
      </x:c>
      <x:c r="M18" s="2" t="s">
        <x:v>120</x:v>
      </x:c>
      <x:c r="N18" s="2">
        <x:v>1</x:v>
      </x:c>
      <x:c r="O18" s="2" t="s">
        <x:v>60</x:v>
      </x:c>
      <x:c r="P18" s="2" t="s">
        <x:v>61</x:v>
      </x:c>
      <x:c r="Q18" s="2" t="s">
        <x:v>522</x:v>
      </x:c>
      <x:c r="R18" s="3" t="str">
        <x:f>IFERROR(VLOOKUP($Q18,'04_机制词条库_60条'!$B:$S,2,FALSE),"")</x:f>
        <x:v>无机制</x:v>
      </x:c>
      <x:c r="S18" s="2" t="s">
        <x:v>591</x:v>
      </x:c>
      <x:c r="T18" s="2" t="s">
        <x:v>1511</x:v>
      </x:c>
    </x:row>
    <x:row r="19" ht="22" customHeight="1">
      <x:c r="A19" s="2" t="s">
        <x:v>136</x:v>
      </x:c>
      <x:c r="B19" s="3" t="str">
        <x:f>IFERROR(VLOOKUP($A19,'01_宠物主表_好读版'!$A:$V,3,FALSE),"")</x:f>
        <x:v>米露菲</x:v>
      </x:c>
      <x:c r="C19" s="3" t="str">
        <x:f>IFERROR(VLOOKUP($A19,'01_宠物主表_好读版'!$A:$V,4,FALSE),"")</x:f>
        <x:v>风</x:v>
      </x:c>
      <x:c r="D19" s="3" t="str">
        <x:f>IFERROR(VLOOKUP($A19,'01_宠物主表_好读版'!$A:$V,8,FALSE),"")</x:f>
        <x:v>经济</x:v>
      </x:c>
      <x:c r="E19" s="2" t="s">
        <x:v>1507</x:v>
      </x:c>
      <x:c r="F19" s="2" t="s">
        <x:v>1508</x:v>
      </x:c>
      <x:c r="G19" s="2" t="s">
        <x:v>1509</x:v>
      </x:c>
      <x:c r="H19" s="2">
        <x:v>1</x:v>
      </x:c>
      <x:c r="I19" s="2" t="s">
        <x:v>1510</x:v>
      </x:c>
      <x:c r="J19" s="2">
        <x:v>3</x:v>
      </x:c>
      <x:c r="K19" s="2" t="s">
        <x:v>43</x:v>
      </x:c>
      <x:c r="L19" s="2" t="s">
        <x:v>43</x:v>
      </x:c>
      <x:c r="M19" s="2" t="s">
        <x:v>43</x:v>
      </x:c>
      <x:c r="N19" s="2">
        <x:v>1</x:v>
      </x:c>
      <x:c r="O19" s="2" t="s">
        <x:v>50</x:v>
      </x:c>
      <x:c r="P19" s="2" t="s">
        <x:v>51</x:v>
      </x:c>
      <x:c r="Q19" s="2" t="s">
        <x:v>522</x:v>
      </x:c>
      <x:c r="R19" s="3" t="str">
        <x:f>IFERROR(VLOOKUP($Q19,'04_机制词条库_60条'!$B:$S,2,FALSE),"")</x:f>
        <x:v>无机制</x:v>
      </x:c>
      <x:c r="S19" s="2" t="s">
        <x:v>591</x:v>
      </x:c>
      <x:c r="T19" s="2" t="s">
        <x:v>1511</x:v>
      </x:c>
    </x:row>
    <x:row r="20" ht="22" customHeight="1">
      <x:c r="A20" s="2" t="s">
        <x:v>139</x:v>
      </x:c>
      <x:c r="B20" s="3" t="str">
        <x:f>IFERROR(VLOOKUP($A20,'01_宠物主表_好读版'!$A:$V,3,FALSE),"")</x:f>
        <x:v>寐魔</x:v>
      </x:c>
      <x:c r="C20" s="3" t="str">
        <x:f>IFERROR(VLOOKUP($A20,'01_宠物主表_好读版'!$A:$V,4,FALSE),"")</x:f>
        <x:v>土</x:v>
      </x:c>
      <x:c r="D20" s="3" t="str">
        <x:f>IFERROR(VLOOKUP($A20,'01_宠物主表_好读版'!$A:$V,8,FALSE),"")</x:f>
        <x:v>坦克</x:v>
      </x:c>
      <x:c r="E20" s="2" t="s">
        <x:v>1512</x:v>
      </x:c>
      <x:c r="F20" s="2" t="s">
        <x:v>1513</x:v>
      </x:c>
      <x:c r="G20" s="2" t="s">
        <x:v>1514</x:v>
      </x:c>
      <x:c r="H20" s="2">
        <x:v>3</x:v>
      </x:c>
      <x:c r="I20" s="2" t="s">
        <x:v>1510</x:v>
      </x:c>
      <x:c r="J20" s="2">
        <x:v>3</x:v>
      </x:c>
      <x:c r="K20" s="2" t="s">
        <x:v>120</x:v>
      </x:c>
      <x:c r="L20" s="2" t="s">
        <x:v>120</x:v>
      </x:c>
      <x:c r="M20" s="2" t="s">
        <x:v>120</x:v>
      </x:c>
      <x:c r="N20" s="2">
        <x:v>1</x:v>
      </x:c>
      <x:c r="O20" s="2" t="s">
        <x:v>60</x:v>
      </x:c>
      <x:c r="P20" s="2" t="s">
        <x:v>61</x:v>
      </x:c>
      <x:c r="Q20" s="2" t="s">
        <x:v>522</x:v>
      </x:c>
      <x:c r="R20" s="3" t="str">
        <x:f>IFERROR(VLOOKUP($Q20,'04_机制词条库_60条'!$B:$S,2,FALSE),"")</x:f>
        <x:v>无机制</x:v>
      </x:c>
      <x:c r="S20" s="2" t="s">
        <x:v>591</x:v>
      </x:c>
      <x:c r="T20" s="2" t="s">
        <x:v>1511</x:v>
      </x:c>
    </x:row>
    <x:row r="21" ht="22" customHeight="1">
      <x:c r="A21" s="2" t="s">
        <x:v>142</x:v>
      </x:c>
      <x:c r="B21" s="3" t="str">
        <x:f>IFERROR(VLOOKUP($A21,'01_宠物主表_好读版'!$A:$V,3,FALSE),"")</x:f>
        <x:v>草莽猪</x:v>
      </x:c>
      <x:c r="C21" s="3" t="str">
        <x:f>IFERROR(VLOOKUP($A21,'01_宠物主表_好读版'!$A:$V,4,FALSE),"")</x:f>
        <x:v>土</x:v>
      </x:c>
      <x:c r="D21" s="3" t="str">
        <x:f>IFERROR(VLOOKUP($A21,'01_宠物主表_好读版'!$A:$V,8,FALSE),"")</x:f>
        <x:v>坦克</x:v>
      </x:c>
      <x:c r="E21" s="2" t="s">
        <x:v>1512</x:v>
      </x:c>
      <x:c r="F21" s="2" t="s">
        <x:v>1513</x:v>
      </x:c>
      <x:c r="G21" s="2" t="s">
        <x:v>1514</x:v>
      </x:c>
      <x:c r="H21" s="2">
        <x:v>3</x:v>
      </x:c>
      <x:c r="I21" s="2" t="s">
        <x:v>1510</x:v>
      </x:c>
      <x:c r="J21" s="2">
        <x:v>3</x:v>
      </x:c>
      <x:c r="K21" s="2" t="s">
        <x:v>120</x:v>
      </x:c>
      <x:c r="L21" s="2" t="s">
        <x:v>120</x:v>
      </x:c>
      <x:c r="M21" s="2" t="s">
        <x:v>120</x:v>
      </x:c>
      <x:c r="N21" s="2">
        <x:v>1</x:v>
      </x:c>
      <x:c r="O21" s="2" t="s">
        <x:v>60</x:v>
      </x:c>
      <x:c r="P21" s="2" t="s">
        <x:v>61</x:v>
      </x:c>
      <x:c r="Q21" s="2" t="s">
        <x:v>522</x:v>
      </x:c>
      <x:c r="R21" s="3" t="str">
        <x:f>IFERROR(VLOOKUP($Q21,'04_机制词条库_60条'!$B:$S,2,FALSE),"")</x:f>
        <x:v>无机制</x:v>
      </x:c>
      <x:c r="S21" s="2" t="s">
        <x:v>591</x:v>
      </x:c>
      <x:c r="T21" s="2" t="s">
        <x:v>1511</x:v>
      </x:c>
    </x:row>
    <x:row r="22" ht="22" customHeight="1">
      <x:c r="A22" s="2" t="s">
        <x:v>146</x:v>
      </x:c>
      <x:c r="B22" s="3" t="str">
        <x:f>IFERROR(VLOOKUP($A22,'01_宠物主表_好读版'!$A:$V,3,FALSE),"")</x:f>
        <x:v>露娜蒂</x:v>
      </x:c>
      <x:c r="C22" s="3" t="str">
        <x:f>IFERROR(VLOOKUP($A22,'01_宠物主表_好读版'!$A:$V,4,FALSE),"")</x:f>
        <x:v>土</x:v>
      </x:c>
      <x:c r="D22" s="3" t="str">
        <x:f>IFERROR(VLOOKUP($A22,'01_宠物主表_好读版'!$A:$V,8,FALSE),"")</x:f>
        <x:v>坦克</x:v>
      </x:c>
      <x:c r="E22" s="2" t="s">
        <x:v>1512</x:v>
      </x:c>
      <x:c r="F22" s="2" t="s">
        <x:v>1513</x:v>
      </x:c>
      <x:c r="G22" s="2" t="s">
        <x:v>1514</x:v>
      </x:c>
      <x:c r="H22" s="2">
        <x:v>3</x:v>
      </x:c>
      <x:c r="I22" s="2" t="s">
        <x:v>1510</x:v>
      </x:c>
      <x:c r="J22" s="2">
        <x:v>3</x:v>
      </x:c>
      <x:c r="K22" s="2" t="s">
        <x:v>120</x:v>
      </x:c>
      <x:c r="L22" s="2" t="s">
        <x:v>120</x:v>
      </x:c>
      <x:c r="M22" s="2" t="s">
        <x:v>120</x:v>
      </x:c>
      <x:c r="N22" s="2">
        <x:v>1</x:v>
      </x:c>
      <x:c r="O22" s="2" t="s">
        <x:v>60</x:v>
      </x:c>
      <x:c r="P22" s="2" t="s">
        <x:v>61</x:v>
      </x:c>
      <x:c r="Q22" s="2" t="s">
        <x:v>522</x:v>
      </x:c>
      <x:c r="R22" s="3" t="str">
        <x:f>IFERROR(VLOOKUP($Q22,'04_机制词条库_60条'!$B:$S,2,FALSE),"")</x:f>
        <x:v>无机制</x:v>
      </x:c>
      <x:c r="S22" s="2" t="s">
        <x:v>591</x:v>
      </x:c>
      <x:c r="T22" s="2" t="s">
        <x:v>1511</x:v>
      </x:c>
    </x:row>
    <x:row r="23" ht="22" customHeight="1">
      <x:c r="A23" s="2" t="s">
        <x:v>149</x:v>
      </x:c>
      <x:c r="B23" s="3" t="str">
        <x:f>IFERROR(VLOOKUP($A23,'01_宠物主表_好读版'!$A:$V,3,FALSE),"")</x:f>
        <x:v>遁地鼠</x:v>
      </x:c>
      <x:c r="C23" s="3" t="str">
        <x:f>IFERROR(VLOOKUP($A23,'01_宠物主表_好读版'!$A:$V,4,FALSE),"")</x:f>
        <x:v>土</x:v>
      </x:c>
      <x:c r="D23" s="3" t="str">
        <x:f>IFERROR(VLOOKUP($A23,'01_宠物主表_好读版'!$A:$V,8,FALSE),"")</x:f>
        <x:v>坦克</x:v>
      </x:c>
      <x:c r="E23" s="2" t="s">
        <x:v>1512</x:v>
      </x:c>
      <x:c r="F23" s="2" t="s">
        <x:v>1513</x:v>
      </x:c>
      <x:c r="G23" s="2" t="s">
        <x:v>1514</x:v>
      </x:c>
      <x:c r="H23" s="2">
        <x:v>3</x:v>
      </x:c>
      <x:c r="I23" s="2" t="s">
        <x:v>1510</x:v>
      </x:c>
      <x:c r="J23" s="2">
        <x:v>3</x:v>
      </x:c>
      <x:c r="K23" s="2" t="s">
        <x:v>120</x:v>
      </x:c>
      <x:c r="L23" s="2" t="s">
        <x:v>120</x:v>
      </x:c>
      <x:c r="M23" s="2" t="s">
        <x:v>120</x:v>
      </x:c>
      <x:c r="N23" s="2">
        <x:v>1</x:v>
      </x:c>
      <x:c r="O23" s="2" t="s">
        <x:v>60</x:v>
      </x:c>
      <x:c r="P23" s="2" t="s">
        <x:v>61</x:v>
      </x:c>
      <x:c r="Q23" s="2" t="s">
        <x:v>522</x:v>
      </x:c>
      <x:c r="R23" s="3" t="str">
        <x:f>IFERROR(VLOOKUP($Q23,'04_机制词条库_60条'!$B:$S,2,FALSE),"")</x:f>
        <x:v>无机制</x:v>
      </x:c>
      <x:c r="S23" s="2" t="s">
        <x:v>591</x:v>
      </x:c>
      <x:c r="T23" s="2" t="s">
        <x:v>1511</x:v>
      </x:c>
    </x:row>
    <x:row r="24" ht="22" customHeight="1">
      <x:c r="A24" s="2" t="s">
        <x:v>152</x:v>
      </x:c>
      <x:c r="B24" s="3" t="str">
        <x:f>IFERROR(VLOOKUP($A24,'01_宠物主表_好读版'!$A:$V,3,FALSE),"")</x:f>
        <x:v>勾魂鱿</x:v>
      </x:c>
      <x:c r="C24" s="3" t="str">
        <x:f>IFERROR(VLOOKUP($A24,'01_宠物主表_好读版'!$A:$V,4,FALSE),"")</x:f>
        <x:v>土</x:v>
      </x:c>
      <x:c r="D24" s="3" t="str">
        <x:f>IFERROR(VLOOKUP($A24,'01_宠物主表_好读版'!$A:$V,8,FALSE),"")</x:f>
        <x:v>坦克</x:v>
      </x:c>
      <x:c r="E24" s="2" t="s">
        <x:v>1512</x:v>
      </x:c>
      <x:c r="F24" s="2" t="s">
        <x:v>1513</x:v>
      </x:c>
      <x:c r="G24" s="2" t="s">
        <x:v>1514</x:v>
      </x:c>
      <x:c r="H24" s="2">
        <x:v>3</x:v>
      </x:c>
      <x:c r="I24" s="2" t="s">
        <x:v>1510</x:v>
      </x:c>
      <x:c r="J24" s="2">
        <x:v>3</x:v>
      </x:c>
      <x:c r="K24" s="2" t="s">
        <x:v>120</x:v>
      </x:c>
      <x:c r="L24" s="2" t="s">
        <x:v>120</x:v>
      </x:c>
      <x:c r="M24" s="2" t="s">
        <x:v>120</x:v>
      </x:c>
      <x:c r="N24" s="2">
        <x:v>1</x:v>
      </x:c>
      <x:c r="O24" s="2" t="s">
        <x:v>60</x:v>
      </x:c>
      <x:c r="P24" s="2" t="s">
        <x:v>61</x:v>
      </x:c>
      <x:c r="Q24" s="2" t="s">
        <x:v>535</x:v>
      </x:c>
      <x:c r="R24" s="3" t="str">
        <x:f>IFERROR(VLOOKUP($Q24,'04_机制词条库_60条'!$B:$S,2,FALSE),"")</x:f>
        <x:v>回合回盾</x:v>
      </x:c>
      <x:c r="S24" s="2" t="s">
        <x:v>591</x:v>
      </x:c>
      <x:c r="T24" s="2" t="s">
        <x:v>1511</x:v>
      </x:c>
    </x:row>
    <x:row r="25" ht="22" customHeight="1">
      <x:c r="A25" s="2" t="s">
        <x:v>155</x:v>
      </x:c>
      <x:c r="B25" s="3" t="str">
        <x:f>IFERROR(VLOOKUP($A25,'01_宠物主表_好读版'!$A:$V,3,FALSE),"")</x:f>
        <x:v>喵丝特</x:v>
      </x:c>
      <x:c r="C25" s="3" t="str">
        <x:f>IFERROR(VLOOKUP($A25,'01_宠物主表_好读版'!$A:$V,4,FALSE),"")</x:f>
        <x:v>土</x:v>
      </x:c>
      <x:c r="D25" s="3" t="str">
        <x:f>IFERROR(VLOOKUP($A25,'01_宠物主表_好读版'!$A:$V,8,FALSE),"")</x:f>
        <x:v>经济</x:v>
      </x:c>
      <x:c r="E25" s="2" t="s">
        <x:v>1507</x:v>
      </x:c>
      <x:c r="F25" s="2" t="s">
        <x:v>1508</x:v>
      </x:c>
      <x:c r="G25" s="2" t="s">
        <x:v>1509</x:v>
      </x:c>
      <x:c r="H25" s="2">
        <x:v>1</x:v>
      </x:c>
      <x:c r="I25" s="2" t="s">
        <x:v>1510</x:v>
      </x:c>
      <x:c r="J25" s="2">
        <x:v>3</x:v>
      </x:c>
      <x:c r="K25" s="2" t="s">
        <x:v>120</x:v>
      </x:c>
      <x:c r="L25" s="2" t="s">
        <x:v>120</x:v>
      </x:c>
      <x:c r="M25" s="2" t="s">
        <x:v>120</x:v>
      </x:c>
      <x:c r="N25" s="2">
        <x:v>1</x:v>
      </x:c>
      <x:c r="O25" s="2" t="s">
        <x:v>50</x:v>
      </x:c>
      <x:c r="P25" s="2" t="s">
        <x:v>51</x:v>
      </x:c>
      <x:c r="Q25" s="2" t="s">
        <x:v>522</x:v>
      </x:c>
      <x:c r="R25" s="3" t="str">
        <x:f>IFERROR(VLOOKUP($Q25,'04_机制词条库_60条'!$B:$S,2,FALSE),"")</x:f>
        <x:v>无机制</x:v>
      </x:c>
      <x:c r="S25" s="2" t="s">
        <x:v>591</x:v>
      </x:c>
      <x:c r="T25" s="2" t="s">
        <x:v>1511</x:v>
      </x:c>
    </x:row>
    <x:row r="26" ht="22" customHeight="1">
      <x:c r="A26" s="2" t="s">
        <x:v>159</x:v>
      </x:c>
      <x:c r="B26" s="3" t="str">
        <x:f>IFERROR(VLOOKUP($A26,'01_宠物主表_好读版'!$A:$V,3,FALSE),"")</x:f>
        <x:v>鲁米儿</x:v>
      </x:c>
      <x:c r="C26" s="3" t="str">
        <x:f>IFERROR(VLOOKUP($A26,'01_宠物主表_好读版'!$A:$V,4,FALSE),"")</x:f>
        <x:v>水</x:v>
      </x:c>
      <x:c r="D26" s="3" t="str">
        <x:f>IFERROR(VLOOKUP($A26,'01_宠物主表_好读版'!$A:$V,8,FALSE),"")</x:f>
        <x:v>治疗</x:v>
      </x:c>
      <x:c r="E26" s="2" t="s">
        <x:v>1512</x:v>
      </x:c>
      <x:c r="F26" s="2" t="s">
        <x:v>1513</x:v>
      </x:c>
      <x:c r="G26" s="2" t="s">
        <x:v>1514</x:v>
      </x:c>
      <x:c r="H26" s="2">
        <x:v>3</x:v>
      </x:c>
      <x:c r="I26" s="2" t="s">
        <x:v>1510</x:v>
      </x:c>
      <x:c r="J26" s="2">
        <x:v>3</x:v>
      </x:c>
      <x:c r="K26" s="2" t="s">
        <x:v>87</x:v>
      </x:c>
      <x:c r="L26" s="2" t="s">
        <x:v>87</x:v>
      </x:c>
      <x:c r="M26" s="2" t="s">
        <x:v>87</x:v>
      </x:c>
      <x:c r="N26" s="2">
        <x:v>1</x:v>
      </x:c>
      <x:c r="O26" s="2" t="s">
        <x:v>73</x:v>
      </x:c>
      <x:c r="P26" s="2" t="s">
        <x:v>74</x:v>
      </x:c>
      <x:c r="Q26" s="2" t="s">
        <x:v>522</x:v>
      </x:c>
      <x:c r="R26" s="3" t="str">
        <x:f>IFERROR(VLOOKUP($Q26,'04_机制词条库_60条'!$B:$S,2,FALSE),"")</x:f>
        <x:v>无机制</x:v>
      </x:c>
      <x:c r="S26" s="2" t="s">
        <x:v>591</x:v>
      </x:c>
      <x:c r="T26" s="2" t="s">
        <x:v>1511</x:v>
      </x:c>
    </x:row>
    <x:row r="27" ht="22" customHeight="1">
      <x:c r="A27" s="2" t="s">
        <x:v>162</x:v>
      </x:c>
      <x:c r="B27" s="3" t="str">
        <x:f>IFERROR(VLOOKUP($A27,'01_宠物主表_好读版'!$A:$V,3,FALSE),"")</x:f>
        <x:v>猎狼</x:v>
      </x:c>
      <x:c r="C27" s="3" t="str">
        <x:f>IFERROR(VLOOKUP($A27,'01_宠物主表_好读版'!$A:$V,4,FALSE),"")</x:f>
        <x:v>风</x:v>
      </x:c>
      <x:c r="D27" s="3" t="str">
        <x:f>IFERROR(VLOOKUP($A27,'01_宠物主表_好读版'!$A:$V,8,FALSE),"")</x:f>
        <x:v>机动</x:v>
      </x:c>
      <x:c r="E27" s="2" t="s">
        <x:v>1507</x:v>
      </x:c>
      <x:c r="F27" s="2" t="s">
        <x:v>1508</x:v>
      </x:c>
      <x:c r="G27" s="2" t="s">
        <x:v>1509</x:v>
      </x:c>
      <x:c r="H27" s="2">
        <x:v>1</x:v>
      </x:c>
      <x:c r="I27" s="2" t="s">
        <x:v>1510</x:v>
      </x:c>
      <x:c r="J27" s="2">
        <x:v>3</x:v>
      </x:c>
      <x:c r="K27" s="2" t="s">
        <x:v>43</x:v>
      </x:c>
      <x:c r="L27" s="2" t="s">
        <x:v>43</x:v>
      </x:c>
      <x:c r="M27" s="2" t="s">
        <x:v>43</x:v>
      </x:c>
      <x:c r="N27" s="2">
        <x:v>1</x:v>
      </x:c>
      <x:c r="O27" s="2" t="s">
        <x:v>50</x:v>
      </x:c>
      <x:c r="P27" s="2" t="s">
        <x:v>51</x:v>
      </x:c>
      <x:c r="Q27" s="2" t="s">
        <x:v>522</x:v>
      </x:c>
      <x:c r="R27" s="3" t="str">
        <x:f>IFERROR(VLOOKUP($Q27,'04_机制词条库_60条'!$B:$S,2,FALSE),"")</x:f>
        <x:v>无机制</x:v>
      </x:c>
      <x:c r="S27" s="2" t="s">
        <x:v>591</x:v>
      </x:c>
      <x:c r="T27" s="2" t="s">
        <x:v>1511</x:v>
      </x:c>
    </x:row>
    <x:row r="28" ht="22" customHeight="1">
      <x:c r="A28" s="2" t="s">
        <x:v>167</x:v>
      </x:c>
      <x:c r="B28" s="3" t="str">
        <x:f>IFERROR(VLOOKUP($A28,'01_宠物主表_好读版'!$A:$V,3,FALSE),"")</x:f>
        <x:v>炸蛋鸟</x:v>
      </x:c>
      <x:c r="C28" s="3" t="str">
        <x:f>IFERROR(VLOOKUP($A28,'01_宠物主表_好读版'!$A:$V,4,FALSE),"")</x:f>
        <x:v>风</x:v>
      </x:c>
      <x:c r="D28" s="3" t="str">
        <x:f>IFERROR(VLOOKUP($A28,'01_宠物主表_好读版'!$A:$V,8,FALSE),"")</x:f>
        <x:v>机动</x:v>
      </x:c>
      <x:c r="E28" s="2" t="s">
        <x:v>1507</x:v>
      </x:c>
      <x:c r="F28" s="2" t="s">
        <x:v>1508</x:v>
      </x:c>
      <x:c r="G28" s="2" t="s">
        <x:v>1509</x:v>
      </x:c>
      <x:c r="H28" s="2">
        <x:v>1</x:v>
      </x:c>
      <x:c r="I28" s="2" t="s">
        <x:v>1510</x:v>
      </x:c>
      <x:c r="J28" s="2">
        <x:v>3</x:v>
      </x:c>
      <x:c r="K28" s="2" t="s">
        <x:v>43</x:v>
      </x:c>
      <x:c r="L28" s="2" t="s">
        <x:v>43</x:v>
      </x:c>
      <x:c r="M28" s="2" t="s">
        <x:v>43</x:v>
      </x:c>
      <x:c r="N28" s="2">
        <x:v>1</x:v>
      </x:c>
      <x:c r="O28" s="2" t="s">
        <x:v>50</x:v>
      </x:c>
      <x:c r="P28" s="2" t="s">
        <x:v>51</x:v>
      </x:c>
      <x:c r="Q28" s="2" t="s">
        <x:v>522</x:v>
      </x:c>
      <x:c r="R28" s="3" t="str">
        <x:f>IFERROR(VLOOKUP($Q28,'04_机制词条库_60条'!$B:$S,2,FALSE),"")</x:f>
        <x:v>无机制</x:v>
      </x:c>
      <x:c r="S28" s="2" t="s">
        <x:v>591</x:v>
      </x:c>
      <x:c r="T28" s="2" t="s">
        <x:v>1511</x:v>
      </x:c>
    </x:row>
    <x:row r="29" ht="22" customHeight="1">
      <x:c r="A29" s="2" t="s">
        <x:v>170</x:v>
      </x:c>
      <x:c r="B29" s="3" t="str">
        <x:f>IFERROR(VLOOKUP($A29,'01_宠物主表_好读版'!$A:$V,3,FALSE),"")</x:f>
        <x:v>波娜兔</x:v>
      </x:c>
      <x:c r="C29" s="3" t="str">
        <x:f>IFERROR(VLOOKUP($A29,'01_宠物主表_好读版'!$A:$V,4,FALSE),"")</x:f>
        <x:v>风</x:v>
      </x:c>
      <x:c r="D29" s="3" t="str">
        <x:f>IFERROR(VLOOKUP($A29,'01_宠物主表_好读版'!$A:$V,8,FALSE),"")</x:f>
        <x:v>治疗</x:v>
      </x:c>
      <x:c r="E29" s="2" t="s">
        <x:v>1512</x:v>
      </x:c>
      <x:c r="F29" s="2" t="s">
        <x:v>1513</x:v>
      </x:c>
      <x:c r="G29" s="2" t="s">
        <x:v>1514</x:v>
      </x:c>
      <x:c r="H29" s="2">
        <x:v>3</x:v>
      </x:c>
      <x:c r="I29" s="2" t="s">
        <x:v>1510</x:v>
      </x:c>
      <x:c r="J29" s="2">
        <x:v>3</x:v>
      </x:c>
      <x:c r="K29" s="2" t="s">
        <x:v>43</x:v>
      </x:c>
      <x:c r="L29" s="2" t="s">
        <x:v>43</x:v>
      </x:c>
      <x:c r="M29" s="2" t="s">
        <x:v>43</x:v>
      </x:c>
      <x:c r="N29" s="2">
        <x:v>1</x:v>
      </x:c>
      <x:c r="O29" s="2" t="s">
        <x:v>73</x:v>
      </x:c>
      <x:c r="P29" s="2" t="s">
        <x:v>74</x:v>
      </x:c>
      <x:c r="Q29" s="2" t="s">
        <x:v>522</x:v>
      </x:c>
      <x:c r="R29" s="3" t="str">
        <x:f>IFERROR(VLOOKUP($Q29,'04_机制词条库_60条'!$B:$S,2,FALSE),"")</x:f>
        <x:v>无机制</x:v>
      </x:c>
      <x:c r="S29" s="2" t="s">
        <x:v>591</x:v>
      </x:c>
      <x:c r="T29" s="2" t="s">
        <x:v>1511</x:v>
      </x:c>
    </x:row>
    <x:row r="30" ht="22" customHeight="1">
      <x:c r="A30" s="2" t="s">
        <x:v>173</x:v>
      </x:c>
      <x:c r="B30" s="3" t="str">
        <x:f>IFERROR(VLOOKUP($A30,'01_宠物主表_好读版'!$A:$V,3,FALSE),"")</x:f>
        <x:v>波霸牛</x:v>
      </x:c>
      <x:c r="C30" s="3" t="str">
        <x:f>IFERROR(VLOOKUP($A30,'01_宠物主表_好读版'!$A:$V,4,FALSE),"")</x:f>
        <x:v>风</x:v>
      </x:c>
      <x:c r="D30" s="3" t="str">
        <x:f>IFERROR(VLOOKUP($A30,'01_宠物主表_好读版'!$A:$V,8,FALSE),"")</x:f>
        <x:v>经济</x:v>
      </x:c>
      <x:c r="E30" s="2" t="s">
        <x:v>1507</x:v>
      </x:c>
      <x:c r="F30" s="2" t="s">
        <x:v>1508</x:v>
      </x:c>
      <x:c r="G30" s="2" t="s">
        <x:v>1509</x:v>
      </x:c>
      <x:c r="H30" s="2">
        <x:v>1</x:v>
      </x:c>
      <x:c r="I30" s="2" t="s">
        <x:v>1510</x:v>
      </x:c>
      <x:c r="J30" s="2">
        <x:v>3</x:v>
      </x:c>
      <x:c r="K30" s="2" t="s">
        <x:v>43</x:v>
      </x:c>
      <x:c r="L30" s="2" t="s">
        <x:v>43</x:v>
      </x:c>
      <x:c r="M30" s="2" t="s">
        <x:v>43</x:v>
      </x:c>
      <x:c r="N30" s="2">
        <x:v>1</x:v>
      </x:c>
      <x:c r="O30" s="2" t="s">
        <x:v>50</x:v>
      </x:c>
      <x:c r="P30" s="2" t="s">
        <x:v>51</x:v>
      </x:c>
      <x:c r="Q30" s="2" t="s">
        <x:v>522</x:v>
      </x:c>
      <x:c r="R30" s="3" t="str">
        <x:f>IFERROR(VLOOKUP($Q30,'04_机制词条库_60条'!$B:$S,2,FALSE),"")</x:f>
        <x:v>无机制</x:v>
      </x:c>
      <x:c r="S30" s="2" t="s">
        <x:v>591</x:v>
      </x:c>
      <x:c r="T30" s="2" t="s">
        <x:v>1511</x:v>
      </x:c>
    </x:row>
    <x:row r="31" ht="22" customHeight="1">
      <x:c r="A31" s="2" t="s">
        <x:v>177</x:v>
      </x:c>
      <x:c r="B31" s="3" t="str">
        <x:f>IFERROR(VLOOKUP($A31,'01_宠物主表_好读版'!$A:$V,3,FALSE),"")</x:f>
        <x:v>荆棘魔仙</x:v>
      </x:c>
      <x:c r="C31" s="3" t="str">
        <x:f>IFERROR(VLOOKUP($A31,'01_宠物主表_好读版'!$A:$V,4,FALSE),"")</x:f>
        <x:v>风</x:v>
      </x:c>
      <x:c r="D31" s="3" t="str">
        <x:f>IFERROR(VLOOKUP($A31,'01_宠物主表_好读版'!$A:$V,8,FALSE),"")</x:f>
        <x:v>治疗</x:v>
      </x:c>
      <x:c r="E31" s="2" t="s">
        <x:v>1512</x:v>
      </x:c>
      <x:c r="F31" s="2" t="s">
        <x:v>1513</x:v>
      </x:c>
      <x:c r="G31" s="2" t="s">
        <x:v>1514</x:v>
      </x:c>
      <x:c r="H31" s="2">
        <x:v>3</x:v>
      </x:c>
      <x:c r="I31" s="2" t="s">
        <x:v>1510</x:v>
      </x:c>
      <x:c r="J31" s="2">
        <x:v>3</x:v>
      </x:c>
      <x:c r="K31" s="2" t="s">
        <x:v>43</x:v>
      </x:c>
      <x:c r="L31" s="2" t="s">
        <x:v>43</x:v>
      </x:c>
      <x:c r="M31" s="2" t="s">
        <x:v>43</x:v>
      </x:c>
      <x:c r="N31" s="2">
        <x:v>1</x:v>
      </x:c>
      <x:c r="O31" s="2" t="s">
        <x:v>73</x:v>
      </x:c>
      <x:c r="P31" s="2" t="s">
        <x:v>74</x:v>
      </x:c>
      <x:c r="Q31" s="2" t="s">
        <x:v>522</x:v>
      </x:c>
      <x:c r="R31" s="3" t="str">
        <x:f>IFERROR(VLOOKUP($Q31,'04_机制词条库_60条'!$B:$S,2,FALSE),"")</x:f>
        <x:v>无机制</x:v>
      </x:c>
      <x:c r="S31" s="2" t="s">
        <x:v>591</x:v>
      </x:c>
      <x:c r="T31" s="2" t="s">
        <x:v>1511</x:v>
      </x:c>
    </x:row>
    <x:row r="32" ht="22" customHeight="1">
      <x:c r="A32" s="2" t="s">
        <x:v>180</x:v>
      </x:c>
      <x:c r="B32" s="3" t="str">
        <x:f>IFERROR(VLOOKUP($A32,'01_宠物主表_好读版'!$A:$V,3,FALSE),"")</x:f>
        <x:v>鲨小子</x:v>
      </x:c>
      <x:c r="C32" s="3" t="str">
        <x:f>IFERROR(VLOOKUP($A32,'01_宠物主表_好读版'!$A:$V,4,FALSE),"")</x:f>
        <x:v>水</x:v>
      </x:c>
      <x:c r="D32" s="3" t="str">
        <x:f>IFERROR(VLOOKUP($A32,'01_宠物主表_好读版'!$A:$V,8,FALSE),"")</x:f>
        <x:v>治疗</x:v>
      </x:c>
      <x:c r="E32" s="2" t="s">
        <x:v>1512</x:v>
      </x:c>
      <x:c r="F32" s="2" t="s">
        <x:v>1513</x:v>
      </x:c>
      <x:c r="G32" s="2" t="s">
        <x:v>1514</x:v>
      </x:c>
      <x:c r="H32" s="2">
        <x:v>3</x:v>
      </x:c>
      <x:c r="I32" s="2" t="s">
        <x:v>1510</x:v>
      </x:c>
      <x:c r="J32" s="2">
        <x:v>3</x:v>
      </x:c>
      <x:c r="K32" s="2" t="s">
        <x:v>87</x:v>
      </x:c>
      <x:c r="L32" s="2" t="s">
        <x:v>87</x:v>
      </x:c>
      <x:c r="M32" s="2" t="s">
        <x:v>87</x:v>
      </x:c>
      <x:c r="N32" s="2">
        <x:v>1</x:v>
      </x:c>
      <x:c r="O32" s="2" t="s">
        <x:v>73</x:v>
      </x:c>
      <x:c r="P32" s="2" t="s">
        <x:v>74</x:v>
      </x:c>
      <x:c r="Q32" s="2" t="s">
        <x:v>522</x:v>
      </x:c>
      <x:c r="R32" s="3" t="str">
        <x:f>IFERROR(VLOOKUP($Q32,'04_机制词条库_60条'!$B:$S,2,FALSE),"")</x:f>
        <x:v>无机制</x:v>
      </x:c>
      <x:c r="S32" s="2" t="s">
        <x:v>591</x:v>
      </x:c>
      <x:c r="T32" s="2" t="s">
        <x:v>1511</x:v>
      </x:c>
    </x:row>
    <x:row r="33" ht="22" customHeight="1">
      <x:c r="A33" s="2" t="s">
        <x:v>183</x:v>
      </x:c>
      <x:c r="B33" s="3" t="str">
        <x:f>IFERROR(VLOOKUP($A33,'01_宠物主表_好读版'!$A:$V,3,FALSE),"")</x:f>
        <x:v>吊缚灵</x:v>
      </x:c>
      <x:c r="C33" s="3" t="str">
        <x:f>IFERROR(VLOOKUP($A33,'01_宠物主表_好读版'!$A:$V,4,FALSE),"")</x:f>
        <x:v>土</x:v>
      </x:c>
      <x:c r="D33" s="3" t="str">
        <x:f>IFERROR(VLOOKUP($A33,'01_宠物主表_好读版'!$A:$V,8,FALSE),"")</x:f>
        <x:v>坦克</x:v>
      </x:c>
      <x:c r="E33" s="2" t="s">
        <x:v>1512</x:v>
      </x:c>
      <x:c r="F33" s="2" t="s">
        <x:v>1513</x:v>
      </x:c>
      <x:c r="G33" s="2" t="s">
        <x:v>1514</x:v>
      </x:c>
      <x:c r="H33" s="2">
        <x:v>3</x:v>
      </x:c>
      <x:c r="I33" s="2" t="s">
        <x:v>1510</x:v>
      </x:c>
      <x:c r="J33" s="2">
        <x:v>3</x:v>
      </x:c>
      <x:c r="K33" s="2" t="s">
        <x:v>120</x:v>
      </x:c>
      <x:c r="L33" s="2" t="s">
        <x:v>120</x:v>
      </x:c>
      <x:c r="M33" s="2" t="s">
        <x:v>120</x:v>
      </x:c>
      <x:c r="N33" s="2">
        <x:v>1</x:v>
      </x:c>
      <x:c r="O33" s="2" t="s">
        <x:v>60</x:v>
      </x:c>
      <x:c r="P33" s="2" t="s">
        <x:v>61</x:v>
      </x:c>
      <x:c r="Q33" s="2" t="s">
        <x:v>522</x:v>
      </x:c>
      <x:c r="R33" s="3" t="str">
        <x:f>IFERROR(VLOOKUP($Q33,'04_机制词条库_60条'!$B:$S,2,FALSE),"")</x:f>
        <x:v>无机制</x:v>
      </x:c>
      <x:c r="S33" s="2" t="s">
        <x:v>591</x:v>
      </x:c>
      <x:c r="T33" s="2" t="s">
        <x:v>1511</x:v>
      </x:c>
    </x:row>
    <x:row r="34" ht="22" customHeight="1">
      <x:c r="A34" s="2" t="s">
        <x:v>186</x:v>
      </x:c>
      <x:c r="B34" s="3" t="str">
        <x:f>IFERROR(VLOOKUP($A34,'01_宠物主表_好读版'!$A:$V,3,FALSE),"")</x:f>
        <x:v>叶胖达</x:v>
      </x:c>
      <x:c r="C34" s="3" t="str">
        <x:f>IFERROR(VLOOKUP($A34,'01_宠物主表_好读版'!$A:$V,4,FALSE),"")</x:f>
        <x:v>风</x:v>
      </x:c>
      <x:c r="D34" s="3" t="str">
        <x:f>IFERROR(VLOOKUP($A34,'01_宠物主表_好读版'!$A:$V,8,FALSE),"")</x:f>
        <x:v>坦克</x:v>
      </x:c>
      <x:c r="E34" s="2" t="s">
        <x:v>1512</x:v>
      </x:c>
      <x:c r="F34" s="2" t="s">
        <x:v>1513</x:v>
      </x:c>
      <x:c r="G34" s="2" t="s">
        <x:v>1514</x:v>
      </x:c>
      <x:c r="H34" s="2">
        <x:v>3</x:v>
      </x:c>
      <x:c r="I34" s="2" t="s">
        <x:v>1510</x:v>
      </x:c>
      <x:c r="J34" s="2">
        <x:v>3</x:v>
      </x:c>
      <x:c r="K34" s="2" t="s">
        <x:v>43</x:v>
      </x:c>
      <x:c r="L34" s="2" t="s">
        <x:v>43</x:v>
      </x:c>
      <x:c r="M34" s="2" t="s">
        <x:v>43</x:v>
      </x:c>
      <x:c r="N34" s="2">
        <x:v>1</x:v>
      </x:c>
      <x:c r="O34" s="2" t="s">
        <x:v>60</x:v>
      </x:c>
      <x:c r="P34" s="2" t="s">
        <x:v>61</x:v>
      </x:c>
      <x:c r="Q34" s="2" t="s">
        <x:v>522</x:v>
      </x:c>
      <x:c r="R34" s="3" t="str">
        <x:f>IFERROR(VLOOKUP($Q34,'04_机制词条库_60条'!$B:$S,2,FALSE),"")</x:f>
        <x:v>无机制</x:v>
      </x:c>
      <x:c r="S34" s="2" t="s">
        <x:v>591</x:v>
      </x:c>
      <x:c r="T34" s="2" t="s">
        <x:v>1511</x:v>
      </x:c>
    </x:row>
    <x:row r="35" ht="22" customHeight="1">
      <x:c r="A35" s="2" t="s">
        <x:v>189</x:v>
      </x:c>
      <x:c r="B35" s="3" t="str">
        <x:f>IFERROR(VLOOKUP($A35,'01_宠物主表_好读版'!$A:$V,3,FALSE),"")</x:f>
        <x:v>棉花糖</x:v>
      </x:c>
      <x:c r="C35" s="3" t="str">
        <x:f>IFERROR(VLOOKUP($A35,'01_宠物主表_好读版'!$A:$V,4,FALSE),"")</x:f>
        <x:v>风</x:v>
      </x:c>
      <x:c r="D35" s="3" t="str">
        <x:f>IFERROR(VLOOKUP($A35,'01_宠物主表_好读版'!$A:$V,8,FALSE),"")</x:f>
        <x:v>经济</x:v>
      </x:c>
      <x:c r="E35" s="2" t="s">
        <x:v>1507</x:v>
      </x:c>
      <x:c r="F35" s="2" t="s">
        <x:v>1508</x:v>
      </x:c>
      <x:c r="G35" s="2" t="s">
        <x:v>1509</x:v>
      </x:c>
      <x:c r="H35" s="2">
        <x:v>1</x:v>
      </x:c>
      <x:c r="I35" s="2" t="s">
        <x:v>1510</x:v>
      </x:c>
      <x:c r="J35" s="2">
        <x:v>3</x:v>
      </x:c>
      <x:c r="K35" s="2" t="s">
        <x:v>43</x:v>
      </x:c>
      <x:c r="L35" s="2" t="s">
        <x:v>43</x:v>
      </x:c>
      <x:c r="M35" s="2" t="s">
        <x:v>43</x:v>
      </x:c>
      <x:c r="N35" s="2">
        <x:v>1</x:v>
      </x:c>
      <x:c r="O35" s="2" t="s">
        <x:v>50</x:v>
      </x:c>
      <x:c r="P35" s="2" t="s">
        <x:v>51</x:v>
      </x:c>
      <x:c r="Q35" s="2" t="s">
        <x:v>522</x:v>
      </x:c>
      <x:c r="R35" s="3" t="str">
        <x:f>IFERROR(VLOOKUP($Q35,'04_机制词条库_60条'!$B:$S,2,FALSE),"")</x:f>
        <x:v>无机制</x:v>
      </x:c>
      <x:c r="S35" s="2" t="s">
        <x:v>591</x:v>
      </x:c>
      <x:c r="T35" s="2" t="s">
        <x:v>1511</x:v>
      </x:c>
    </x:row>
    <x:row r="36" ht="22" customHeight="1">
      <x:c r="A36" s="2" t="s">
        <x:v>192</x:v>
      </x:c>
      <x:c r="B36" s="3" t="str">
        <x:f>IFERROR(VLOOKUP($A36,'01_宠物主表_好读版'!$A:$V,3,FALSE),"")</x:f>
        <x:v>灌木羊</x:v>
      </x:c>
      <x:c r="C36" s="3" t="str">
        <x:f>IFERROR(VLOOKUP($A36,'01_宠物主表_好读版'!$A:$V,4,FALSE),"")</x:f>
        <x:v>风</x:v>
      </x:c>
      <x:c r="D36" s="3" t="str">
        <x:f>IFERROR(VLOOKUP($A36,'01_宠物主表_好读版'!$A:$V,8,FALSE),"")</x:f>
        <x:v>召唤</x:v>
      </x:c>
      <x:c r="E36" s="2" t="s">
        <x:v>1507</x:v>
      </x:c>
      <x:c r="F36" s="2" t="s">
        <x:v>1508</x:v>
      </x:c>
      <x:c r="G36" s="2" t="s">
        <x:v>1509</x:v>
      </x:c>
      <x:c r="H36" s="2">
        <x:v>1</x:v>
      </x:c>
      <x:c r="I36" s="2" t="s">
        <x:v>1510</x:v>
      </x:c>
      <x:c r="J36" s="2">
        <x:v>3</x:v>
      </x:c>
      <x:c r="K36" s="2" t="s">
        <x:v>43</x:v>
      </x:c>
      <x:c r="L36" s="2" t="s">
        <x:v>43</x:v>
      </x:c>
      <x:c r="M36" s="2" t="s">
        <x:v>43</x:v>
      </x:c>
      <x:c r="N36" s="2">
        <x:v>1</x:v>
      </x:c>
      <x:c r="O36" s="2" t="s">
        <x:v>50</x:v>
      </x:c>
      <x:c r="P36" s="2" t="s">
        <x:v>51</x:v>
      </x:c>
      <x:c r="Q36" s="2" t="s">
        <x:v>522</x:v>
      </x:c>
      <x:c r="R36" s="3" t="str">
        <x:f>IFERROR(VLOOKUP($Q36,'04_机制词条库_60条'!$B:$S,2,FALSE),"")</x:f>
        <x:v>无机制</x:v>
      </x:c>
      <x:c r="S36" s="2" t="s">
        <x:v>591</x:v>
      </x:c>
      <x:c r="T36" s="2" t="s">
        <x:v>1511</x:v>
      </x:c>
    </x:row>
    <x:row r="37" ht="22" customHeight="1">
      <x:c r="A37" s="2" t="s">
        <x:v>196</x:v>
      </x:c>
      <x:c r="B37" s="3" t="str">
        <x:f>IFERROR(VLOOKUP($A37,'01_宠物主表_好读版'!$A:$V,3,FALSE),"")</x:f>
        <x:v>美露帕</x:v>
      </x:c>
      <x:c r="C37" s="3" t="str">
        <x:f>IFERROR(VLOOKUP($A37,'01_宠物主表_好读版'!$A:$V,4,FALSE),"")</x:f>
        <x:v>风</x:v>
      </x:c>
      <x:c r="D37" s="3" t="str">
        <x:f>IFERROR(VLOOKUP($A37,'01_宠物主表_好读版'!$A:$V,8,FALSE),"")</x:f>
        <x:v>经济</x:v>
      </x:c>
      <x:c r="E37" s="2" t="s">
        <x:v>1507</x:v>
      </x:c>
      <x:c r="F37" s="2" t="s">
        <x:v>1508</x:v>
      </x:c>
      <x:c r="G37" s="2" t="s">
        <x:v>1509</x:v>
      </x:c>
      <x:c r="H37" s="2">
        <x:v>1</x:v>
      </x:c>
      <x:c r="I37" s="2" t="s">
        <x:v>1510</x:v>
      </x:c>
      <x:c r="J37" s="2">
        <x:v>3</x:v>
      </x:c>
      <x:c r="K37" s="2" t="s">
        <x:v>43</x:v>
      </x:c>
      <x:c r="L37" s="2" t="s">
        <x:v>43</x:v>
      </x:c>
      <x:c r="M37" s="2" t="s">
        <x:v>43</x:v>
      </x:c>
      <x:c r="N37" s="2">
        <x:v>1</x:v>
      </x:c>
      <x:c r="O37" s="2" t="s">
        <x:v>50</x:v>
      </x:c>
      <x:c r="P37" s="2" t="s">
        <x:v>51</x:v>
      </x:c>
      <x:c r="Q37" s="2" t="s">
        <x:v>522</x:v>
      </x:c>
      <x:c r="R37" s="3" t="str">
        <x:f>IFERROR(VLOOKUP($Q37,'04_机制词条库_60条'!$B:$S,2,FALSE),"")</x:f>
        <x:v>无机制</x:v>
      </x:c>
      <x:c r="S37" s="2" t="s">
        <x:v>591</x:v>
      </x:c>
      <x:c r="T37" s="2" t="s">
        <x:v>1511</x:v>
      </x:c>
    </x:row>
    <x:row r="38" ht="22" customHeight="1">
      <x:c r="A38" s="2" t="s">
        <x:v>200</x:v>
      </x:c>
      <x:c r="B38" s="3" t="str">
        <x:f>IFERROR(VLOOKUP($A38,'01_宠物主表_好读版'!$A:$V,3,FALSE),"")</x:f>
        <x:v>紫霞鹿</x:v>
      </x:c>
      <x:c r="C38" s="3" t="str">
        <x:f>IFERROR(VLOOKUP($A38,'01_宠物主表_好读版'!$A:$V,4,FALSE),"")</x:f>
        <x:v>风</x:v>
      </x:c>
      <x:c r="D38" s="3" t="str">
        <x:f>IFERROR(VLOOKUP($A38,'01_宠物主表_好读版'!$A:$V,8,FALSE),"")</x:f>
        <x:v>机动</x:v>
      </x:c>
      <x:c r="E38" s="2" t="s">
        <x:v>1515</x:v>
      </x:c>
      <x:c r="F38" s="2" t="s">
        <x:v>1516</x:v>
      </x:c>
      <x:c r="G38" s="2" t="s">
        <x:v>1517</x:v>
      </x:c>
      <x:c r="H38" s="2">
        <x:v>4</x:v>
      </x:c>
      <x:c r="I38" s="2" t="s">
        <x:v>1510</x:v>
      </x:c>
      <x:c r="J38" s="2">
        <x:v>3</x:v>
      </x:c>
      <x:c r="K38" s="2" t="s">
        <x:v>43</x:v>
      </x:c>
      <x:c r="L38" s="2" t="s">
        <x:v>43</x:v>
      </x:c>
      <x:c r="M38" s="2" t="s">
        <x:v>43</x:v>
      </x:c>
      <x:c r="N38" s="2">
        <x:v>1</x:v>
      </x:c>
      <x:c r="O38" s="2" t="s">
        <x:v>113</x:v>
      </x:c>
      <x:c r="P38" s="2" t="s">
        <x:v>114</x:v>
      </x:c>
      <x:c r="Q38" s="2" t="s">
        <x:v>522</x:v>
      </x:c>
      <x:c r="R38" s="3" t="str">
        <x:f>IFERROR(VLOOKUP($Q38,'04_机制词条库_60条'!$B:$S,2,FALSE),"")</x:f>
        <x:v>无机制</x:v>
      </x:c>
      <x:c r="S38" s="2" t="s">
        <x:v>591</x:v>
      </x:c>
      <x:c r="T38" s="2" t="s">
        <x:v>1511</x:v>
      </x:c>
    </x:row>
    <x:row r="39" ht="22" customHeight="1">
      <x:c r="A39" s="2" t="s">
        <x:v>203</x:v>
      </x:c>
      <x:c r="B39" s="3" t="str">
        <x:f>IFERROR(VLOOKUP($A39,'01_宠物主表_好读版'!$A:$V,3,FALSE),"")</x:f>
        <x:v>疾风隼</x:v>
      </x:c>
      <x:c r="C39" s="3" t="str">
        <x:f>IFERROR(VLOOKUP($A39,'01_宠物主表_好读版'!$A:$V,4,FALSE),"")</x:f>
        <x:v>风</x:v>
      </x:c>
      <x:c r="D39" s="3" t="str">
        <x:f>IFERROR(VLOOKUP($A39,'01_宠物主表_好读版'!$A:$V,8,FALSE),"")</x:f>
        <x:v>机动</x:v>
      </x:c>
      <x:c r="E39" s="2" t="s">
        <x:v>1515</x:v>
      </x:c>
      <x:c r="F39" s="2" t="s">
        <x:v>1516</x:v>
      </x:c>
      <x:c r="G39" s="2" t="s">
        <x:v>1517</x:v>
      </x:c>
      <x:c r="H39" s="2">
        <x:v>4</x:v>
      </x:c>
      <x:c r="I39" s="2" t="s">
        <x:v>1510</x:v>
      </x:c>
      <x:c r="J39" s="2">
        <x:v>3</x:v>
      </x:c>
      <x:c r="K39" s="2" t="s">
        <x:v>43</x:v>
      </x:c>
      <x:c r="L39" s="2" t="s">
        <x:v>43</x:v>
      </x:c>
      <x:c r="M39" s="2" t="s">
        <x:v>43</x:v>
      </x:c>
      <x:c r="N39" s="2">
        <x:v>1</x:v>
      </x:c>
      <x:c r="O39" s="2" t="s">
        <x:v>113</x:v>
      </x:c>
      <x:c r="P39" s="2" t="s">
        <x:v>114</x:v>
      </x:c>
      <x:c r="Q39" s="2" t="s">
        <x:v>522</x:v>
      </x:c>
      <x:c r="R39" s="3" t="str">
        <x:f>IFERROR(VLOOKUP($Q39,'04_机制词条库_60条'!$B:$S,2,FALSE),"")</x:f>
        <x:v>无机制</x:v>
      </x:c>
      <x:c r="S39" s="2" t="s">
        <x:v>591</x:v>
      </x:c>
      <x:c r="T39" s="2" t="s">
        <x:v>1511</x:v>
      </x:c>
    </x:row>
    <x:row r="40" ht="22" customHeight="1">
      <x:c r="A40" s="2" t="s">
        <x:v>206</x:v>
      </x:c>
      <x:c r="B40" s="3" t="str">
        <x:f>IFERROR(VLOOKUP($A40,'01_宠物主表_好读版'!$A:$V,3,FALSE),"")</x:f>
        <x:v>姬小兔</x:v>
      </x:c>
      <x:c r="C40" s="3" t="str">
        <x:f>IFERROR(VLOOKUP($A40,'01_宠物主表_好读版'!$A:$V,4,FALSE),"")</x:f>
        <x:v>风</x:v>
      </x:c>
      <x:c r="D40" s="3" t="str">
        <x:f>IFERROR(VLOOKUP($A40,'01_宠物主表_好读版'!$A:$V,8,FALSE),"")</x:f>
        <x:v>坦克</x:v>
      </x:c>
      <x:c r="E40" s="2" t="s">
        <x:v>1512</x:v>
      </x:c>
      <x:c r="F40" s="2" t="s">
        <x:v>1513</x:v>
      </x:c>
      <x:c r="G40" s="2" t="s">
        <x:v>1514</x:v>
      </x:c>
      <x:c r="H40" s="2">
        <x:v>3</x:v>
      </x:c>
      <x:c r="I40" s="2" t="s">
        <x:v>1510</x:v>
      </x:c>
      <x:c r="J40" s="2">
        <x:v>3</x:v>
      </x:c>
      <x:c r="K40" s="2" t="s">
        <x:v>43</x:v>
      </x:c>
      <x:c r="L40" s="2" t="s">
        <x:v>43</x:v>
      </x:c>
      <x:c r="M40" s="2" t="s">
        <x:v>43</x:v>
      </x:c>
      <x:c r="N40" s="2">
        <x:v>1</x:v>
      </x:c>
      <x:c r="O40" s="2" t="s">
        <x:v>60</x:v>
      </x:c>
      <x:c r="P40" s="2" t="s">
        <x:v>61</x:v>
      </x:c>
      <x:c r="Q40" s="2" t="s">
        <x:v>522</x:v>
      </x:c>
      <x:c r="R40" s="3" t="str">
        <x:f>IFERROR(VLOOKUP($Q40,'04_机制词条库_60条'!$B:$S,2,FALSE),"")</x:f>
        <x:v>无机制</x:v>
      </x:c>
      <x:c r="S40" s="2" t="s">
        <x:v>591</x:v>
      </x:c>
      <x:c r="T40" s="2" t="s">
        <x:v>1511</x:v>
      </x:c>
    </x:row>
    <x:row r="41" ht="22" customHeight="1">
      <x:c r="A41" s="2" t="s">
        <x:v>209</x:v>
      </x:c>
      <x:c r="B41" s="3" t="str">
        <x:f>IFERROR(VLOOKUP($A41,'01_宠物主表_好读版'!$A:$V,3,FALSE),"")</x:f>
        <x:v>炎魔羊</x:v>
      </x:c>
      <x:c r="C41" s="3" t="str">
        <x:f>IFERROR(VLOOKUP($A41,'01_宠物主表_好读版'!$A:$V,4,FALSE),"")</x:f>
        <x:v>火</x:v>
      </x:c>
      <x:c r="D41" s="3" t="str">
        <x:f>IFERROR(VLOOKUP($A41,'01_宠物主表_好读版'!$A:$V,8,FALSE),"")</x:f>
        <x:v>输出</x:v>
      </x:c>
      <x:c r="E41" s="2" t="s">
        <x:v>1512</x:v>
      </x:c>
      <x:c r="F41" s="2" t="s">
        <x:v>1513</x:v>
      </x:c>
      <x:c r="G41" s="2" t="s">
        <x:v>1514</x:v>
      </x:c>
      <x:c r="H41" s="2">
        <x:v>3</x:v>
      </x:c>
      <x:c r="I41" s="2" t="s">
        <x:v>1510</x:v>
      </x:c>
      <x:c r="J41" s="2">
        <x:v>3</x:v>
      </x:c>
      <x:c r="K41" s="2" t="s">
        <x:v>79</x:v>
      </x:c>
      <x:c r="L41" s="2" t="s">
        <x:v>79</x:v>
      </x:c>
      <x:c r="M41" s="2" t="s">
        <x:v>79</x:v>
      </x:c>
      <x:c r="N41" s="2">
        <x:v>1</x:v>
      </x:c>
      <x:c r="O41" s="2" t="s">
        <x:v>81</x:v>
      </x:c>
      <x:c r="P41" s="2" t="s">
        <x:v>61</x:v>
      </x:c>
      <x:c r="Q41" s="2" t="s">
        <x:v>522</x:v>
      </x:c>
      <x:c r="R41" s="3" t="str">
        <x:f>IFERROR(VLOOKUP($Q41,'04_机制词条库_60条'!$B:$S,2,FALSE),"")</x:f>
        <x:v>无机制</x:v>
      </x:c>
      <x:c r="S41" s="2" t="s">
        <x:v>591</x:v>
      </x:c>
      <x:c r="T41" s="2" t="s">
        <x:v>1511</x:v>
      </x:c>
    </x:row>
    <x:row r="42" ht="22" customHeight="1">
      <x:c r="A42" s="2" t="s">
        <x:v>213</x:v>
      </x:c>
      <x:c r="B42" s="3" t="str">
        <x:f>IFERROR(VLOOKUP($A42,'01_宠物主表_好读版'!$A:$V,3,FALSE),"")</x:f>
        <x:v>幻悦蝶</x:v>
      </x:c>
      <x:c r="C42" s="3" t="str">
        <x:f>IFERROR(VLOOKUP($A42,'01_宠物主表_好读版'!$A:$V,4,FALSE),"")</x:f>
        <x:v>风</x:v>
      </x:c>
      <x:c r="D42" s="3" t="str">
        <x:f>IFERROR(VLOOKUP($A42,'01_宠物主表_好读版'!$A:$V,8,FALSE),"")</x:f>
        <x:v>治疗</x:v>
      </x:c>
      <x:c r="E42" s="2" t="s">
        <x:v>1518</x:v>
      </x:c>
      <x:c r="F42" s="2" t="s">
        <x:v>1519</x:v>
      </x:c>
      <x:c r="G42" s="2" t="s">
        <x:v>1517</x:v>
      </x:c>
      <x:c r="H42" s="2">
        <x:v>4</x:v>
      </x:c>
      <x:c r="I42" s="2" t="s">
        <x:v>1510</x:v>
      </x:c>
      <x:c r="J42" s="2">
        <x:v>3</x:v>
      </x:c>
      <x:c r="K42" s="2" t="s">
        <x:v>43</x:v>
      </x:c>
      <x:c r="L42" s="2" t="s">
        <x:v>43</x:v>
      </x:c>
      <x:c r="M42" s="2" t="s">
        <x:v>43</x:v>
      </x:c>
      <x:c r="N42" s="2">
        <x:v>1</x:v>
      </x:c>
      <x:c r="O42" s="2" t="s">
        <x:v>73</x:v>
      </x:c>
      <x:c r="P42" s="2" t="s">
        <x:v>74</x:v>
      </x:c>
      <x:c r="Q42" s="2" t="s">
        <x:v>522</x:v>
      </x:c>
      <x:c r="R42" s="3" t="str">
        <x:f>IFERROR(VLOOKUP($Q42,'04_机制词条库_60条'!$B:$S,2,FALSE),"")</x:f>
        <x:v>无机制</x:v>
      </x:c>
      <x:c r="S42" s="2" t="s">
        <x:v>591</x:v>
      </x:c>
      <x:c r="T42" s="2" t="s">
        <x:v>1511</x:v>
      </x:c>
    </x:row>
    <x:row r="43" ht="22" customHeight="1">
      <x:c r="A43" s="2" t="s">
        <x:v>219</x:v>
      </x:c>
      <x:c r="B43" s="3" t="str">
        <x:f>IFERROR(VLOOKUP($A43,'01_宠物主表_好读版'!$A:$V,3,FALSE),"")</x:f>
        <x:v>炽焰牛</x:v>
      </x:c>
      <x:c r="C43" s="3" t="str">
        <x:f>IFERROR(VLOOKUP($A43,'01_宠物主表_好读版'!$A:$V,4,FALSE),"")</x:f>
        <x:v>火</x:v>
      </x:c>
      <x:c r="D43" s="3" t="str">
        <x:f>IFERROR(VLOOKUP($A43,'01_宠物主表_好读版'!$A:$V,8,FALSE),"")</x:f>
        <x:v>输出</x:v>
      </x:c>
      <x:c r="E43" s="2" t="s">
        <x:v>1512</x:v>
      </x:c>
      <x:c r="F43" s="2" t="s">
        <x:v>1513</x:v>
      </x:c>
      <x:c r="G43" s="2" t="s">
        <x:v>1514</x:v>
      </x:c>
      <x:c r="H43" s="2">
        <x:v>3</x:v>
      </x:c>
      <x:c r="I43" s="2" t="s">
        <x:v>1510</x:v>
      </x:c>
      <x:c r="J43" s="2">
        <x:v>3</x:v>
      </x:c>
      <x:c r="K43" s="2" t="s">
        <x:v>79</x:v>
      </x:c>
      <x:c r="L43" s="2" t="s">
        <x:v>79</x:v>
      </x:c>
      <x:c r="M43" s="2" t="s">
        <x:v>79</x:v>
      </x:c>
      <x:c r="N43" s="2">
        <x:v>1</x:v>
      </x:c>
      <x:c r="O43" s="2" t="s">
        <x:v>81</x:v>
      </x:c>
      <x:c r="P43" s="2" t="s">
        <x:v>61</x:v>
      </x:c>
      <x:c r="Q43" s="2" t="s">
        <x:v>524</x:v>
      </x:c>
      <x:c r="R43" s="3" t="str">
        <x:f>IFERROR(VLOOKUP($Q43,'04_机制词条库_60条'!$B:$S,2,FALSE),"")</x:f>
        <x:v>自爆倒计时</x:v>
      </x:c>
      <x:c r="S43" s="2" t="s">
        <x:v>591</x:v>
      </x:c>
      <x:c r="T43" s="2" t="s">
        <x:v>1511</x:v>
      </x:c>
    </x:row>
    <x:row r="44" ht="22" customHeight="1">
      <x:c r="A44" s="2" t="s">
        <x:v>222</x:v>
      </x:c>
      <x:c r="B44" s="3" t="str">
        <x:f>IFERROR(VLOOKUP($A44,'01_宠物主表_好读版'!$A:$V,3,FALSE),"")</x:f>
        <x:v>趴趴鲶</x:v>
      </x:c>
      <x:c r="C44" s="3" t="str">
        <x:f>IFERROR(VLOOKUP($A44,'01_宠物主表_好读版'!$A:$V,4,FALSE),"")</x:f>
        <x:v>土</x:v>
      </x:c>
      <x:c r="D44" s="3" t="str">
        <x:f>IFERROR(VLOOKUP($A44,'01_宠物主表_好读版'!$A:$V,8,FALSE),"")</x:f>
        <x:v>治疗</x:v>
      </x:c>
      <x:c r="E44" s="2" t="s">
        <x:v>1518</x:v>
      </x:c>
      <x:c r="F44" s="2" t="s">
        <x:v>1519</x:v>
      </x:c>
      <x:c r="G44" s="2" t="s">
        <x:v>1517</x:v>
      </x:c>
      <x:c r="H44" s="2">
        <x:v>4</x:v>
      </x:c>
      <x:c r="I44" s="2" t="s">
        <x:v>1510</x:v>
      </x:c>
      <x:c r="J44" s="2">
        <x:v>3</x:v>
      </x:c>
      <x:c r="K44" s="2" t="s">
        <x:v>120</x:v>
      </x:c>
      <x:c r="L44" s="2" t="s">
        <x:v>120</x:v>
      </x:c>
      <x:c r="M44" s="2" t="s">
        <x:v>120</x:v>
      </x:c>
      <x:c r="N44" s="2">
        <x:v>1</x:v>
      </x:c>
      <x:c r="O44" s="2" t="s">
        <x:v>73</x:v>
      </x:c>
      <x:c r="P44" s="2" t="s">
        <x:v>74</x:v>
      </x:c>
      <x:c r="Q44" s="2" t="s">
        <x:v>522</x:v>
      </x:c>
      <x:c r="R44" s="3" t="str">
        <x:f>IFERROR(VLOOKUP($Q44,'04_机制词条库_60条'!$B:$S,2,FALSE),"")</x:f>
        <x:v>无机制</x:v>
      </x:c>
      <x:c r="S44" s="2" t="s">
        <x:v>591</x:v>
      </x:c>
      <x:c r="T44" s="2" t="s">
        <x:v>1511</x:v>
      </x:c>
    </x:row>
    <x:row r="45" ht="22" customHeight="1">
      <x:c r="A45" s="2" t="s">
        <x:v>226</x:v>
      </x:c>
      <x:c r="B45" s="3" t="str">
        <x:f>IFERROR(VLOOKUP($A45,'01_宠物主表_好读版'!$A:$V,3,FALSE),"")</x:f>
        <x:v>黑鸦隐士</x:v>
      </x:c>
      <x:c r="C45" s="3" t="str">
        <x:f>IFERROR(VLOOKUP($A45,'01_宠物主表_好读版'!$A:$V,4,FALSE),"")</x:f>
        <x:v>土</x:v>
      </x:c>
      <x:c r="D45" s="3" t="str">
        <x:f>IFERROR(VLOOKUP($A45,'01_宠物主表_好读版'!$A:$V,8,FALSE),"")</x:f>
        <x:v>坦克</x:v>
      </x:c>
      <x:c r="E45" s="2" t="s">
        <x:v>1512</x:v>
      </x:c>
      <x:c r="F45" s="2" t="s">
        <x:v>1513</x:v>
      </x:c>
      <x:c r="G45" s="2" t="s">
        <x:v>1514</x:v>
      </x:c>
      <x:c r="H45" s="2">
        <x:v>3</x:v>
      </x:c>
      <x:c r="I45" s="2" t="s">
        <x:v>1510</x:v>
      </x:c>
      <x:c r="J45" s="2">
        <x:v>3</x:v>
      </x:c>
      <x:c r="K45" s="2" t="s">
        <x:v>120</x:v>
      </x:c>
      <x:c r="L45" s="2" t="s">
        <x:v>120</x:v>
      </x:c>
      <x:c r="M45" s="2" t="s">
        <x:v>120</x:v>
      </x:c>
      <x:c r="N45" s="2">
        <x:v>1</x:v>
      </x:c>
      <x:c r="O45" s="2" t="s">
        <x:v>60</x:v>
      </x:c>
      <x:c r="P45" s="2" t="s">
        <x:v>61</x:v>
      </x:c>
      <x:c r="Q45" s="2" t="s">
        <x:v>522</x:v>
      </x:c>
      <x:c r="R45" s="3" t="str">
        <x:f>IFERROR(VLOOKUP($Q45,'04_机制词条库_60条'!$B:$S,2,FALSE),"")</x:f>
        <x:v>无机制</x:v>
      </x:c>
      <x:c r="S45" s="2" t="s">
        <x:v>591</x:v>
      </x:c>
      <x:c r="T45" s="2" t="s">
        <x:v>1511</x:v>
      </x:c>
    </x:row>
    <x:row r="46" ht="22" customHeight="1">
      <x:c r="A46" s="2" t="s">
        <x:v>229</x:v>
      </x:c>
      <x:c r="B46" s="3" t="str">
        <x:f>IFERROR(VLOOKUP($A46,'01_宠物主表_好读版'!$A:$V,3,FALSE),"")</x:f>
        <x:v>朋克蜥</x:v>
      </x:c>
      <x:c r="C46" s="3" t="str">
        <x:f>IFERROR(VLOOKUP($A46,'01_宠物主表_好读版'!$A:$V,4,FALSE),"")</x:f>
        <x:v>土</x:v>
      </x:c>
      <x:c r="D46" s="3" t="str">
        <x:f>IFERROR(VLOOKUP($A46,'01_宠物主表_好读版'!$A:$V,8,FALSE),"")</x:f>
        <x:v>坦克</x:v>
      </x:c>
      <x:c r="E46" s="2" t="s">
        <x:v>1512</x:v>
      </x:c>
      <x:c r="F46" s="2" t="s">
        <x:v>1513</x:v>
      </x:c>
      <x:c r="G46" s="2" t="s">
        <x:v>1514</x:v>
      </x:c>
      <x:c r="H46" s="2">
        <x:v>3</x:v>
      </x:c>
      <x:c r="I46" s="2" t="s">
        <x:v>1510</x:v>
      </x:c>
      <x:c r="J46" s="2">
        <x:v>3</x:v>
      </x:c>
      <x:c r="K46" s="2" t="s">
        <x:v>120</x:v>
      </x:c>
      <x:c r="L46" s="2" t="s">
        <x:v>120</x:v>
      </x:c>
      <x:c r="M46" s="2" t="s">
        <x:v>120</x:v>
      </x:c>
      <x:c r="N46" s="2">
        <x:v>1</x:v>
      </x:c>
      <x:c r="O46" s="2" t="s">
        <x:v>60</x:v>
      </x:c>
      <x:c r="P46" s="2" t="s">
        <x:v>61</x:v>
      </x:c>
      <x:c r="Q46" s="2" t="s">
        <x:v>522</x:v>
      </x:c>
      <x:c r="R46" s="3" t="str">
        <x:f>IFERROR(VLOOKUP($Q46,'04_机制词条库_60条'!$B:$S,2,FALSE),"")</x:f>
        <x:v>无机制</x:v>
      </x:c>
      <x:c r="S46" s="2" t="s">
        <x:v>591</x:v>
      </x:c>
      <x:c r="T46" s="2" t="s">
        <x:v>1511</x:v>
      </x:c>
    </x:row>
    <x:row r="47" ht="22" customHeight="1">
      <x:c r="A47" s="2" t="s">
        <x:v>232</x:v>
      </x:c>
      <x:c r="B47" s="3" t="str">
        <x:f>IFERROR(VLOOKUP($A47,'01_宠物主表_好读版'!$A:$V,3,FALSE),"")</x:f>
        <x:v>月镰魔</x:v>
      </x:c>
      <x:c r="C47" s="3" t="str">
        <x:f>IFERROR(VLOOKUP($A47,'01_宠物主表_好读版'!$A:$V,4,FALSE),"")</x:f>
        <x:v>土</x:v>
      </x:c>
      <x:c r="D47" s="3" t="str">
        <x:f>IFERROR(VLOOKUP($A47,'01_宠物主表_好读版'!$A:$V,8,FALSE),"")</x:f>
        <x:v>坦克</x:v>
      </x:c>
      <x:c r="E47" s="2" t="s">
        <x:v>1512</x:v>
      </x:c>
      <x:c r="F47" s="2" t="s">
        <x:v>1513</x:v>
      </x:c>
      <x:c r="G47" s="2" t="s">
        <x:v>1514</x:v>
      </x:c>
      <x:c r="H47" s="2">
        <x:v>3</x:v>
      </x:c>
      <x:c r="I47" s="2" t="s">
        <x:v>1510</x:v>
      </x:c>
      <x:c r="J47" s="2">
        <x:v>3</x:v>
      </x:c>
      <x:c r="K47" s="2" t="s">
        <x:v>120</x:v>
      </x:c>
      <x:c r="L47" s="2" t="s">
        <x:v>120</x:v>
      </x:c>
      <x:c r="M47" s="2" t="s">
        <x:v>120</x:v>
      </x:c>
      <x:c r="N47" s="2">
        <x:v>1</x:v>
      </x:c>
      <x:c r="O47" s="2" t="s">
        <x:v>60</x:v>
      </x:c>
      <x:c r="P47" s="2" t="s">
        <x:v>61</x:v>
      </x:c>
      <x:c r="Q47" s="2" t="s">
        <x:v>522</x:v>
      </x:c>
      <x:c r="R47" s="3" t="str">
        <x:f>IFERROR(VLOOKUP($Q47,'04_机制词条库_60条'!$B:$S,2,FALSE),"")</x:f>
        <x:v>无机制</x:v>
      </x:c>
      <x:c r="S47" s="2" t="s">
        <x:v>591</x:v>
      </x:c>
      <x:c r="T47" s="2" t="s">
        <x:v>1511</x:v>
      </x:c>
    </x:row>
    <x:row r="48" ht="22" customHeight="1">
      <x:c r="A48" s="2" t="s">
        <x:v>235</x:v>
      </x:c>
      <x:c r="B48" s="3" t="str">
        <x:f>IFERROR(VLOOKUP($A48,'01_宠物主表_好读版'!$A:$V,3,FALSE),"")</x:f>
        <x:v>天擒鸟</x:v>
      </x:c>
      <x:c r="C48" s="3" t="str">
        <x:f>IFERROR(VLOOKUP($A48,'01_宠物主表_好读版'!$A:$V,4,FALSE),"")</x:f>
        <x:v>风</x:v>
      </x:c>
      <x:c r="D48" s="3" t="str">
        <x:f>IFERROR(VLOOKUP($A48,'01_宠物主表_好读版'!$A:$V,8,FALSE),"")</x:f>
        <x:v>机动</x:v>
      </x:c>
      <x:c r="E48" s="2" t="s">
        <x:v>1515</x:v>
      </x:c>
      <x:c r="F48" s="2" t="s">
        <x:v>1516</x:v>
      </x:c>
      <x:c r="G48" s="2" t="s">
        <x:v>1517</x:v>
      </x:c>
      <x:c r="H48" s="2">
        <x:v>4</x:v>
      </x:c>
      <x:c r="I48" s="2" t="s">
        <x:v>1510</x:v>
      </x:c>
      <x:c r="J48" s="2">
        <x:v>3</x:v>
      </x:c>
      <x:c r="K48" s="2" t="s">
        <x:v>43</x:v>
      </x:c>
      <x:c r="L48" s="2" t="s">
        <x:v>43</x:v>
      </x:c>
      <x:c r="M48" s="2" t="s">
        <x:v>43</x:v>
      </x:c>
      <x:c r="N48" s="2">
        <x:v>1</x:v>
      </x:c>
      <x:c r="O48" s="2" t="s">
        <x:v>113</x:v>
      </x:c>
      <x:c r="P48" s="2" t="s">
        <x:v>114</x:v>
      </x:c>
      <x:c r="Q48" s="2" t="s">
        <x:v>522</x:v>
      </x:c>
      <x:c r="R48" s="3" t="str">
        <x:f>IFERROR(VLOOKUP($Q48,'04_机制词条库_60条'!$B:$S,2,FALSE),"")</x:f>
        <x:v>无机制</x:v>
      </x:c>
      <x:c r="S48" s="2" t="s">
        <x:v>591</x:v>
      </x:c>
      <x:c r="T48" s="2" t="s">
        <x:v>1511</x:v>
      </x:c>
    </x:row>
    <x:row r="49" ht="22" customHeight="1">
      <x:c r="A49" s="2" t="s">
        <x:v>238</x:v>
      </x:c>
      <x:c r="B49" s="3" t="str">
        <x:f>IFERROR(VLOOKUP($A49,'01_宠物主表_好读版'!$A:$V,3,FALSE),"")</x:f>
        <x:v>羽箭射手</x:v>
      </x:c>
      <x:c r="C49" s="3" t="str">
        <x:f>IFERROR(VLOOKUP($A49,'01_宠物主表_好读版'!$A:$V,4,FALSE),"")</x:f>
        <x:v>风</x:v>
      </x:c>
      <x:c r="D49" s="3" t="str">
        <x:f>IFERROR(VLOOKUP($A49,'01_宠物主表_好读版'!$A:$V,8,FALSE),"")</x:f>
        <x:v>治疗</x:v>
      </x:c>
      <x:c r="E49" s="2" t="s">
        <x:v>1518</x:v>
      </x:c>
      <x:c r="F49" s="2" t="s">
        <x:v>1519</x:v>
      </x:c>
      <x:c r="G49" s="2" t="s">
        <x:v>1517</x:v>
      </x:c>
      <x:c r="H49" s="2">
        <x:v>4</x:v>
      </x:c>
      <x:c r="I49" s="2" t="s">
        <x:v>1510</x:v>
      </x:c>
      <x:c r="J49" s="2">
        <x:v>3</x:v>
      </x:c>
      <x:c r="K49" s="2" t="s">
        <x:v>43</x:v>
      </x:c>
      <x:c r="L49" s="2" t="s">
        <x:v>43</x:v>
      </x:c>
      <x:c r="M49" s="2" t="s">
        <x:v>43</x:v>
      </x:c>
      <x:c r="N49" s="2">
        <x:v>1</x:v>
      </x:c>
      <x:c r="O49" s="2" t="s">
        <x:v>73</x:v>
      </x:c>
      <x:c r="P49" s="2" t="s">
        <x:v>74</x:v>
      </x:c>
      <x:c r="Q49" s="2" t="s">
        <x:v>522</x:v>
      </x:c>
      <x:c r="R49" s="3" t="str">
        <x:f>IFERROR(VLOOKUP($Q49,'04_机制词条库_60条'!$B:$S,2,FALSE),"")</x:f>
        <x:v>无机制</x:v>
      </x:c>
      <x:c r="S49" s="2" t="s">
        <x:v>591</x:v>
      </x:c>
      <x:c r="T49" s="2" t="s">
        <x:v>1511</x:v>
      </x:c>
    </x:row>
    <x:row r="50" ht="22" customHeight="1">
      <x:c r="A50" s="2" t="s">
        <x:v>241</x:v>
      </x:c>
      <x:c r="B50" s="3" t="str">
        <x:f>IFERROR(VLOOKUP($A50,'01_宠物主表_好读版'!$A:$V,3,FALSE),"")</x:f>
        <x:v>铁拳猿</x:v>
      </x:c>
      <x:c r="C50" s="3" t="str">
        <x:f>IFERROR(VLOOKUP($A50,'01_宠物主表_好读版'!$A:$V,4,FALSE),"")</x:f>
        <x:v>风</x:v>
      </x:c>
      <x:c r="D50" s="3" t="str">
        <x:f>IFERROR(VLOOKUP($A50,'01_宠物主表_好读版'!$A:$V,8,FALSE),"")</x:f>
        <x:v>坦克</x:v>
      </x:c>
      <x:c r="E50" s="2" t="s">
        <x:v>1512</x:v>
      </x:c>
      <x:c r="F50" s="2" t="s">
        <x:v>1513</x:v>
      </x:c>
      <x:c r="G50" s="2" t="s">
        <x:v>1514</x:v>
      </x:c>
      <x:c r="H50" s="2">
        <x:v>3</x:v>
      </x:c>
      <x:c r="I50" s="2" t="s">
        <x:v>1510</x:v>
      </x:c>
      <x:c r="J50" s="2">
        <x:v>3</x:v>
      </x:c>
      <x:c r="K50" s="2" t="s">
        <x:v>43</x:v>
      </x:c>
      <x:c r="L50" s="2" t="s">
        <x:v>43</x:v>
      </x:c>
      <x:c r="M50" s="2" t="s">
        <x:v>43</x:v>
      </x:c>
      <x:c r="N50" s="2">
        <x:v>1</x:v>
      </x:c>
      <x:c r="O50" s="2" t="s">
        <x:v>60</x:v>
      </x:c>
      <x:c r="P50" s="2" t="s">
        <x:v>61</x:v>
      </x:c>
      <x:c r="Q50" s="2" t="s">
        <x:v>522</x:v>
      </x:c>
      <x:c r="R50" s="3" t="str">
        <x:f>IFERROR(VLOOKUP($Q50,'04_机制词条库_60条'!$B:$S,2,FALSE),"")</x:f>
        <x:v>无机制</x:v>
      </x:c>
      <x:c r="S50" s="2" t="s">
        <x:v>591</x:v>
      </x:c>
      <x:c r="T50" s="2" t="s">
        <x:v>1511</x:v>
      </x:c>
    </x:row>
    <x:row r="51" ht="22" customHeight="1">
      <x:c r="A51" s="2" t="s">
        <x:v>244</x:v>
      </x:c>
      <x:c r="B51" s="3" t="str">
        <x:f>IFERROR(VLOOKUP($A51,'01_宠物主表_好读版'!$A:$V,3,FALSE),"")</x:f>
        <x:v>骑士蜂</x:v>
      </x:c>
      <x:c r="C51" s="3" t="str">
        <x:f>IFERROR(VLOOKUP($A51,'01_宠物主表_好读版'!$A:$V,4,FALSE),"")</x:f>
        <x:v>风</x:v>
      </x:c>
      <x:c r="D51" s="3" t="str">
        <x:f>IFERROR(VLOOKUP($A51,'01_宠物主表_好读版'!$A:$V,8,FALSE),"")</x:f>
        <x:v>召唤</x:v>
      </x:c>
      <x:c r="E51" s="2" t="s">
        <x:v>1507</x:v>
      </x:c>
      <x:c r="F51" s="2" t="s">
        <x:v>1508</x:v>
      </x:c>
      <x:c r="G51" s="2" t="s">
        <x:v>1509</x:v>
      </x:c>
      <x:c r="H51" s="2">
        <x:v>1</x:v>
      </x:c>
      <x:c r="I51" s="2" t="s">
        <x:v>1510</x:v>
      </x:c>
      <x:c r="J51" s="2">
        <x:v>3</x:v>
      </x:c>
      <x:c r="K51" s="2" t="s">
        <x:v>43</x:v>
      </x:c>
      <x:c r="L51" s="2" t="s">
        <x:v>43</x:v>
      </x:c>
      <x:c r="M51" s="2" t="s">
        <x:v>43</x:v>
      </x:c>
      <x:c r="N51" s="2">
        <x:v>1</x:v>
      </x:c>
      <x:c r="O51" s="2" t="s">
        <x:v>50</x:v>
      </x:c>
      <x:c r="P51" s="2" t="s">
        <x:v>247</x:v>
      </x:c>
      <x:c r="Q51" s="2" t="s">
        <x:v>522</x:v>
      </x:c>
      <x:c r="R51" s="3" t="str">
        <x:f>IFERROR(VLOOKUP($Q51,'04_机制词条库_60条'!$B:$S,2,FALSE),"")</x:f>
        <x:v>无机制</x:v>
      </x:c>
      <x:c r="S51" s="2" t="s">
        <x:v>591</x:v>
      </x:c>
      <x:c r="T51" s="2" t="s">
        <x:v>1511</x:v>
      </x:c>
    </x:row>
    <x:row r="52" ht="22" customHeight="1">
      <x:c r="A52" s="2" t="s">
        <x:v>249</x:v>
      </x:c>
      <x:c r="B52" s="3" t="str">
        <x:f>IFERROR(VLOOKUP($A52,'01_宠物主表_好读版'!$A:$V,3,FALSE),"")</x:f>
        <x:v>女皇蜂</x:v>
      </x:c>
      <x:c r="C52" s="3" t="str">
        <x:f>IFERROR(VLOOKUP($A52,'01_宠物主表_好读版'!$A:$V,4,FALSE),"")</x:f>
        <x:v>风</x:v>
      </x:c>
      <x:c r="D52" s="3" t="str">
        <x:f>IFERROR(VLOOKUP($A52,'01_宠物主表_好读版'!$A:$V,8,FALSE),"")</x:f>
        <x:v>治疗</x:v>
      </x:c>
      <x:c r="E52" s="2" t="s">
        <x:v>1518</x:v>
      </x:c>
      <x:c r="F52" s="2" t="s">
        <x:v>1519</x:v>
      </x:c>
      <x:c r="G52" s="2" t="s">
        <x:v>1517</x:v>
      </x:c>
      <x:c r="H52" s="2">
        <x:v>4</x:v>
      </x:c>
      <x:c r="I52" s="2" t="s">
        <x:v>1510</x:v>
      </x:c>
      <x:c r="J52" s="2">
        <x:v>3</x:v>
      </x:c>
      <x:c r="K52" s="2" t="s">
        <x:v>43</x:v>
      </x:c>
      <x:c r="L52" s="2" t="s">
        <x:v>43</x:v>
      </x:c>
      <x:c r="M52" s="2" t="s">
        <x:v>43</x:v>
      </x:c>
      <x:c r="N52" s="2">
        <x:v>1</x:v>
      </x:c>
      <x:c r="O52" s="2" t="s">
        <x:v>73</x:v>
      </x:c>
      <x:c r="P52" s="2" t="s">
        <x:v>74</x:v>
      </x:c>
      <x:c r="Q52" s="2" t="s">
        <x:v>522</x:v>
      </x:c>
      <x:c r="R52" s="3" t="str">
        <x:f>IFERROR(VLOOKUP($Q52,'04_机制词条库_60条'!$B:$S,2,FALSE),"")</x:f>
        <x:v>无机制</x:v>
      </x:c>
      <x:c r="S52" s="2" t="s">
        <x:v>591</x:v>
      </x:c>
      <x:c r="T52" s="2" t="s">
        <x:v>1511</x:v>
      </x:c>
    </x:row>
    <x:row r="53" ht="22" customHeight="1">
      <x:c r="A53" s="2" t="s">
        <x:v>252</x:v>
      </x:c>
      <x:c r="B53" s="3" t="str">
        <x:f>IFERROR(VLOOKUP($A53,'01_宠物主表_好读版'!$A:$V,3,FALSE),"")</x:f>
        <x:v>笑魇猫</x:v>
      </x:c>
      <x:c r="C53" s="3" t="str">
        <x:f>IFERROR(VLOOKUP($A53,'01_宠物主表_好读版'!$A:$V,4,FALSE),"")</x:f>
        <x:v>风</x:v>
      </x:c>
      <x:c r="D53" s="3" t="str">
        <x:f>IFERROR(VLOOKUP($A53,'01_宠物主表_好读版'!$A:$V,8,FALSE),"")</x:f>
        <x:v>机动</x:v>
      </x:c>
      <x:c r="E53" s="2" t="s">
        <x:v>1515</x:v>
      </x:c>
      <x:c r="F53" s="2" t="s">
        <x:v>1516</x:v>
      </x:c>
      <x:c r="G53" s="2" t="s">
        <x:v>1517</x:v>
      </x:c>
      <x:c r="H53" s="2">
        <x:v>4</x:v>
      </x:c>
      <x:c r="I53" s="2" t="s">
        <x:v>1510</x:v>
      </x:c>
      <x:c r="J53" s="2">
        <x:v>3</x:v>
      </x:c>
      <x:c r="K53" s="2" t="s">
        <x:v>43</x:v>
      </x:c>
      <x:c r="L53" s="2" t="s">
        <x:v>43</x:v>
      </x:c>
      <x:c r="M53" s="2" t="s">
        <x:v>43</x:v>
      </x:c>
      <x:c r="N53" s="2">
        <x:v>1</x:v>
      </x:c>
      <x:c r="O53" s="2" t="s">
        <x:v>113</x:v>
      </x:c>
      <x:c r="P53" s="2" t="s">
        <x:v>114</x:v>
      </x:c>
      <x:c r="Q53" s="2" t="s">
        <x:v>522</x:v>
      </x:c>
      <x:c r="R53" s="3" t="str">
        <x:f>IFERROR(VLOOKUP($Q53,'04_机制词条库_60条'!$B:$S,2,FALSE),"")</x:f>
        <x:v>无机制</x:v>
      </x:c>
      <x:c r="S53" s="2" t="s">
        <x:v>591</x:v>
      </x:c>
      <x:c r="T53" s="2" t="s">
        <x:v>1511</x:v>
      </x:c>
    </x:row>
    <x:row r="54" ht="22" customHeight="1">
      <x:c r="A54" s="2" t="s">
        <x:v>255</x:v>
      </x:c>
      <x:c r="B54" s="3" t="str">
        <x:f>IFERROR(VLOOKUP($A54,'01_宠物主表_好读版'!$A:$V,3,FALSE),"")</x:f>
        <x:v>毛掸儿</x:v>
      </x:c>
      <x:c r="C54" s="3" t="str">
        <x:f>IFERROR(VLOOKUP($A54,'01_宠物主表_好读版'!$A:$V,4,FALSE),"")</x:f>
        <x:v>水</x:v>
      </x:c>
      <x:c r="D54" s="3" t="str">
        <x:f>IFERROR(VLOOKUP($A54,'01_宠物主表_好读版'!$A:$V,8,FALSE),"")</x:f>
        <x:v>控制</x:v>
      </x:c>
      <x:c r="E54" s="2" t="s">
        <x:v>1518</x:v>
      </x:c>
      <x:c r="F54" s="2" t="s">
        <x:v>1519</x:v>
      </x:c>
      <x:c r="G54" s="2" t="s">
        <x:v>1517</x:v>
      </x:c>
      <x:c r="H54" s="2">
        <x:v>4</x:v>
      </x:c>
      <x:c r="I54" s="2" t="s">
        <x:v>1510</x:v>
      </x:c>
      <x:c r="J54" s="2">
        <x:v>3</x:v>
      </x:c>
      <x:c r="K54" s="2" t="s">
        <x:v>87</x:v>
      </x:c>
      <x:c r="L54" s="2" t="s">
        <x:v>87</x:v>
      </x:c>
      <x:c r="M54" s="2" t="s">
        <x:v>87</x:v>
      </x:c>
      <x:c r="N54" s="2">
        <x:v>1</x:v>
      </x:c>
      <x:c r="O54" s="2" t="s">
        <x:v>113</x:v>
      </x:c>
      <x:c r="P54" s="2" t="s">
        <x:v>74</x:v>
      </x:c>
      <x:c r="Q54" s="2" t="s">
        <x:v>522</x:v>
      </x:c>
      <x:c r="R54" s="3" t="str">
        <x:f>IFERROR(VLOOKUP($Q54,'04_机制词条库_60条'!$B:$S,2,FALSE),"")</x:f>
        <x:v>无机制</x:v>
      </x:c>
      <x:c r="S54" s="2" t="s">
        <x:v>591</x:v>
      </x:c>
      <x:c r="T54" s="2" t="s">
        <x:v>1511</x:v>
      </x:c>
    </x:row>
    <x:row r="55" ht="22" customHeight="1">
      <x:c r="A55" s="2" t="s">
        <x:v>261</x:v>
      </x:c>
      <x:c r="B55" s="3" t="str">
        <x:f>IFERROR(VLOOKUP($A55,'01_宠物主表_好读版'!$A:$V,3,FALSE),"")</x:f>
        <x:v>毛老爹</x:v>
      </x:c>
      <x:c r="C55" s="3" t="str">
        <x:f>IFERROR(VLOOKUP($A55,'01_宠物主表_好读版'!$A:$V,4,FALSE),"")</x:f>
        <x:v>水</x:v>
      </x:c>
      <x:c r="D55" s="3" t="str">
        <x:f>IFERROR(VLOOKUP($A55,'01_宠物主表_好读版'!$A:$V,8,FALSE),"")</x:f>
        <x:v>控制</x:v>
      </x:c>
      <x:c r="E55" s="2" t="s">
        <x:v>1518</x:v>
      </x:c>
      <x:c r="F55" s="2" t="s">
        <x:v>1519</x:v>
      </x:c>
      <x:c r="G55" s="2" t="s">
        <x:v>1517</x:v>
      </x:c>
      <x:c r="H55" s="2">
        <x:v>4</x:v>
      </x:c>
      <x:c r="I55" s="2" t="s">
        <x:v>1510</x:v>
      </x:c>
      <x:c r="J55" s="2">
        <x:v>3</x:v>
      </x:c>
      <x:c r="K55" s="2" t="s">
        <x:v>87</x:v>
      </x:c>
      <x:c r="L55" s="2" t="s">
        <x:v>87</x:v>
      </x:c>
      <x:c r="M55" s="2" t="s">
        <x:v>87</x:v>
      </x:c>
      <x:c r="N55" s="2">
        <x:v>1</x:v>
      </x:c>
      <x:c r="O55" s="2" t="s">
        <x:v>113</x:v>
      </x:c>
      <x:c r="P55" s="2" t="s">
        <x:v>74</x:v>
      </x:c>
      <x:c r="Q55" s="2" t="s">
        <x:v>522</x:v>
      </x:c>
      <x:c r="R55" s="3" t="str">
        <x:f>IFERROR(VLOOKUP($Q55,'04_机制词条库_60条'!$B:$S,2,FALSE),"")</x:f>
        <x:v>无机制</x:v>
      </x:c>
      <x:c r="S55" s="2" t="s">
        <x:v>591</x:v>
      </x:c>
      <x:c r="T55" s="2" t="s">
        <x:v>1511</x:v>
      </x:c>
    </x:row>
    <x:row r="56" ht="22" customHeight="1">
      <x:c r="A56" s="2" t="s">
        <x:v>264</x:v>
      </x:c>
      <x:c r="B56" s="3" t="str">
        <x:f>IFERROR(VLOOKUP($A56,'01_宠物主表_好读版'!$A:$V,3,FALSE),"")</x:f>
        <x:v>疾旋鼬</x:v>
      </x:c>
      <x:c r="C56" s="3" t="str">
        <x:f>IFERROR(VLOOKUP($A56,'01_宠物主表_好读版'!$A:$V,4,FALSE),"")</x:f>
        <x:v>水</x:v>
      </x:c>
      <x:c r="D56" s="3" t="str">
        <x:f>IFERROR(VLOOKUP($A56,'01_宠物主表_好读版'!$A:$V,8,FALSE),"")</x:f>
        <x:v>控制</x:v>
      </x:c>
      <x:c r="E56" s="2" t="s">
        <x:v>1518</x:v>
      </x:c>
      <x:c r="F56" s="2" t="s">
        <x:v>1519</x:v>
      </x:c>
      <x:c r="G56" s="2" t="s">
        <x:v>1517</x:v>
      </x:c>
      <x:c r="H56" s="2">
        <x:v>4</x:v>
      </x:c>
      <x:c r="I56" s="2" t="s">
        <x:v>1510</x:v>
      </x:c>
      <x:c r="J56" s="2">
        <x:v>3</x:v>
      </x:c>
      <x:c r="K56" s="2" t="s">
        <x:v>87</x:v>
      </x:c>
      <x:c r="L56" s="2" t="s">
        <x:v>87</x:v>
      </x:c>
      <x:c r="M56" s="2" t="s">
        <x:v>87</x:v>
      </x:c>
      <x:c r="N56" s="2">
        <x:v>1</x:v>
      </x:c>
      <x:c r="O56" s="2" t="s">
        <x:v>113</x:v>
      </x:c>
      <x:c r="P56" s="2" t="s">
        <x:v>74</x:v>
      </x:c>
      <x:c r="Q56" s="2" t="s">
        <x:v>522</x:v>
      </x:c>
      <x:c r="R56" s="3" t="str">
        <x:f>IFERROR(VLOOKUP($Q56,'04_机制词条库_60条'!$B:$S,2,FALSE),"")</x:f>
        <x:v>无机制</x:v>
      </x:c>
      <x:c r="S56" s="2" t="s">
        <x:v>591</x:v>
      </x:c>
      <x:c r="T56" s="2" t="s">
        <x:v>1511</x:v>
      </x:c>
    </x:row>
    <x:row r="57" ht="22" customHeight="1">
      <x:c r="A57" s="2" t="s">
        <x:v>268</x:v>
      </x:c>
      <x:c r="B57" s="3" t="str">
        <x:f>IFERROR(VLOOKUP($A57,'01_宠物主表_好读版'!$A:$V,3,FALSE),"")</x:f>
        <x:v>雷角马</x:v>
      </x:c>
      <x:c r="C57" s="3" t="str">
        <x:f>IFERROR(VLOOKUP($A57,'01_宠物主表_好读版'!$A:$V,4,FALSE),"")</x:f>
        <x:v>风</x:v>
      </x:c>
      <x:c r="D57" s="3" t="str">
        <x:f>IFERROR(VLOOKUP($A57,'01_宠物主表_好读版'!$A:$V,8,FALSE),"")</x:f>
        <x:v>控制</x:v>
      </x:c>
      <x:c r="E57" s="2" t="s">
        <x:v>1515</x:v>
      </x:c>
      <x:c r="F57" s="2" t="s">
        <x:v>1516</x:v>
      </x:c>
      <x:c r="G57" s="2" t="s">
        <x:v>1517</x:v>
      </x:c>
      <x:c r="H57" s="2">
        <x:v>4</x:v>
      </x:c>
      <x:c r="I57" s="2" t="s">
        <x:v>1510</x:v>
      </x:c>
      <x:c r="J57" s="2">
        <x:v>3</x:v>
      </x:c>
      <x:c r="K57" s="2" t="s">
        <x:v>43</x:v>
      </x:c>
      <x:c r="L57" s="2" t="s">
        <x:v>43</x:v>
      </x:c>
      <x:c r="M57" s="2" t="s">
        <x:v>43</x:v>
      </x:c>
      <x:c r="N57" s="2">
        <x:v>1</x:v>
      </x:c>
      <x:c r="O57" s="2" t="s">
        <x:v>113</x:v>
      </x:c>
      <x:c r="P57" s="2" t="s">
        <x:v>114</x:v>
      </x:c>
      <x:c r="Q57" s="2" t="s">
        <x:v>522</x:v>
      </x:c>
      <x:c r="R57" s="3" t="str">
        <x:f>IFERROR(VLOOKUP($Q57,'04_机制词条库_60条'!$B:$S,2,FALSE),"")</x:f>
        <x:v>无机制</x:v>
      </x:c>
      <x:c r="S57" s="2" t="s">
        <x:v>591</x:v>
      </x:c>
      <x:c r="T57" s="2" t="s">
        <x:v>1511</x:v>
      </x:c>
    </x:row>
    <x:row r="58" ht="22" customHeight="1">
      <x:c r="A58" s="2" t="s">
        <x:v>271</x:v>
      </x:c>
      <x:c r="B58" s="3" t="str">
        <x:f>IFERROR(VLOOKUP($A58,'01_宠物主表_好读版'!$A:$V,3,FALSE),"")</x:f>
        <x:v>吹雪狐</x:v>
      </x:c>
      <x:c r="C58" s="3" t="str">
        <x:f>IFERROR(VLOOKUP($A58,'01_宠物主表_好读版'!$A:$V,4,FALSE),"")</x:f>
        <x:v>水</x:v>
      </x:c>
      <x:c r="D58" s="3" t="str">
        <x:f>IFERROR(VLOOKUP($A58,'01_宠物主表_好读版'!$A:$V,8,FALSE),"")</x:f>
        <x:v>控制</x:v>
      </x:c>
      <x:c r="E58" s="2" t="s">
        <x:v>1518</x:v>
      </x:c>
      <x:c r="F58" s="2" t="s">
        <x:v>1519</x:v>
      </x:c>
      <x:c r="G58" s="2" t="s">
        <x:v>1517</x:v>
      </x:c>
      <x:c r="H58" s="2">
        <x:v>4</x:v>
      </x:c>
      <x:c r="I58" s="2" t="s">
        <x:v>1510</x:v>
      </x:c>
      <x:c r="J58" s="2">
        <x:v>3</x:v>
      </x:c>
      <x:c r="K58" s="2" t="s">
        <x:v>87</x:v>
      </x:c>
      <x:c r="L58" s="2" t="s">
        <x:v>87</x:v>
      </x:c>
      <x:c r="M58" s="2" t="s">
        <x:v>87</x:v>
      </x:c>
      <x:c r="N58" s="2">
        <x:v>1</x:v>
      </x:c>
      <x:c r="O58" s="2" t="s">
        <x:v>113</x:v>
      </x:c>
      <x:c r="P58" s="2" t="s">
        <x:v>74</x:v>
      </x:c>
      <x:c r="Q58" s="2" t="s">
        <x:v>522</x:v>
      </x:c>
      <x:c r="R58" s="3" t="str">
        <x:f>IFERROR(VLOOKUP($Q58,'04_机制词条库_60条'!$B:$S,2,FALSE),"")</x:f>
        <x:v>无机制</x:v>
      </x:c>
      <x:c r="S58" s="2" t="s">
        <x:v>591</x:v>
      </x:c>
      <x:c r="T58" s="2" t="s">
        <x:v>1511</x:v>
      </x:c>
    </x:row>
    <x:row r="59" ht="22" customHeight="1">
      <x:c r="A59" s="2" t="s">
        <x:v>274</x:v>
      </x:c>
      <x:c r="B59" s="3" t="str">
        <x:f>IFERROR(VLOOKUP($A59,'01_宠物主表_好读版'!$A:$V,3,FALSE),"")</x:f>
        <x:v>火麒麟</x:v>
      </x:c>
      <x:c r="C59" s="3" t="str">
        <x:f>IFERROR(VLOOKUP($A59,'01_宠物主表_好读版'!$A:$V,4,FALSE),"")</x:f>
        <x:v>火</x:v>
      </x:c>
      <x:c r="D59" s="3" t="str">
        <x:f>IFERROR(VLOOKUP($A59,'01_宠物主表_好读版'!$A:$V,8,FALSE),"")</x:f>
        <x:v>输出</x:v>
      </x:c>
      <x:c r="E59" s="2" t="s">
        <x:v>1512</x:v>
      </x:c>
      <x:c r="F59" s="2" t="s">
        <x:v>1513</x:v>
      </x:c>
      <x:c r="G59" s="2" t="s">
        <x:v>1514</x:v>
      </x:c>
      <x:c r="H59" s="2">
        <x:v>3</x:v>
      </x:c>
      <x:c r="I59" s="2" t="s">
        <x:v>1510</x:v>
      </x:c>
      <x:c r="J59" s="2">
        <x:v>3</x:v>
      </x:c>
      <x:c r="K59" s="2" t="s">
        <x:v>79</x:v>
      </x:c>
      <x:c r="L59" s="2" t="s">
        <x:v>79</x:v>
      </x:c>
      <x:c r="M59" s="2" t="s">
        <x:v>79</x:v>
      </x:c>
      <x:c r="N59" s="2">
        <x:v>1</x:v>
      </x:c>
      <x:c r="O59" s="2" t="s">
        <x:v>81</x:v>
      </x:c>
      <x:c r="P59" s="2" t="s">
        <x:v>61</x:v>
      </x:c>
      <x:c r="Q59" s="2" t="s">
        <x:v>522</x:v>
      </x:c>
      <x:c r="R59" s="3" t="str">
        <x:f>IFERROR(VLOOKUP($Q59,'04_机制词条库_60条'!$B:$S,2,FALSE),"")</x:f>
        <x:v>无机制</x:v>
      </x:c>
      <x:c r="S59" s="2" t="s">
        <x:v>591</x:v>
      </x:c>
      <x:c r="T59" s="2" t="s">
        <x:v>1511</x:v>
      </x:c>
    </x:row>
    <x:row r="60" ht="22" customHeight="1">
      <x:c r="A60" s="2" t="s">
        <x:v>277</x:v>
      </x:c>
      <x:c r="B60" s="3" t="str">
        <x:f>IFERROR(VLOOKUP($A60,'01_宠物主表_好读版'!$A:$V,3,FALSE),"")</x:f>
        <x:v>严冬鹿</x:v>
      </x:c>
      <x:c r="C60" s="3" t="str">
        <x:f>IFERROR(VLOOKUP($A60,'01_宠物主表_好读版'!$A:$V,4,FALSE),"")</x:f>
        <x:v>水</x:v>
      </x:c>
      <x:c r="D60" s="3" t="str">
        <x:f>IFERROR(VLOOKUP($A60,'01_宠物主表_好读版'!$A:$V,8,FALSE),"")</x:f>
        <x:v>控制</x:v>
      </x:c>
      <x:c r="E60" s="2" t="s">
        <x:v>1518</x:v>
      </x:c>
      <x:c r="F60" s="2" t="s">
        <x:v>1519</x:v>
      </x:c>
      <x:c r="G60" s="2" t="s">
        <x:v>1517</x:v>
      </x:c>
      <x:c r="H60" s="2">
        <x:v>4</x:v>
      </x:c>
      <x:c r="I60" s="2" t="s">
        <x:v>1510</x:v>
      </x:c>
      <x:c r="J60" s="2">
        <x:v>3</x:v>
      </x:c>
      <x:c r="K60" s="2" t="s">
        <x:v>87</x:v>
      </x:c>
      <x:c r="L60" s="2" t="s">
        <x:v>87</x:v>
      </x:c>
      <x:c r="M60" s="2" t="s">
        <x:v>87</x:v>
      </x:c>
      <x:c r="N60" s="2">
        <x:v>1</x:v>
      </x:c>
      <x:c r="O60" s="2" t="s">
        <x:v>113</x:v>
      </x:c>
      <x:c r="P60" s="2" t="s">
        <x:v>74</x:v>
      </x:c>
      <x:c r="Q60" s="2" t="s">
        <x:v>522</x:v>
      </x:c>
      <x:c r="R60" s="3" t="str">
        <x:f>IFERROR(VLOOKUP($Q60,'04_机制词条库_60条'!$B:$S,2,FALSE),"")</x:f>
        <x:v>无机制</x:v>
      </x:c>
      <x:c r="S60" s="2" t="s">
        <x:v>591</x:v>
      </x:c>
      <x:c r="T60" s="2" t="s">
        <x:v>1511</x:v>
      </x:c>
    </x:row>
    <x:row r="61" ht="22" customHeight="1">
      <x:c r="A61" s="2" t="s">
        <x:v>280</x:v>
      </x:c>
      <x:c r="B61" s="3" t="str">
        <x:f>IFERROR(VLOOKUP($A61,'01_宠物主表_好读版'!$A:$V,3,FALSE),"")</x:f>
        <x:v>霹雳犬</x:v>
      </x:c>
      <x:c r="C61" s="3" t="str">
        <x:f>IFERROR(VLOOKUP($A61,'01_宠物主表_好读版'!$A:$V,4,FALSE),"")</x:f>
        <x:v>风</x:v>
      </x:c>
      <x:c r="D61" s="3" t="str">
        <x:f>IFERROR(VLOOKUP($A61,'01_宠物主表_好读版'!$A:$V,8,FALSE),"")</x:f>
        <x:v>控制</x:v>
      </x:c>
      <x:c r="E61" s="2" t="s">
        <x:v>1515</x:v>
      </x:c>
      <x:c r="F61" s="2" t="s">
        <x:v>1516</x:v>
      </x:c>
      <x:c r="G61" s="2" t="s">
        <x:v>1517</x:v>
      </x:c>
      <x:c r="H61" s="2">
        <x:v>4</x:v>
      </x:c>
      <x:c r="I61" s="2" t="s">
        <x:v>1510</x:v>
      </x:c>
      <x:c r="J61" s="2">
        <x:v>3</x:v>
      </x:c>
      <x:c r="K61" s="2" t="s">
        <x:v>43</x:v>
      </x:c>
      <x:c r="L61" s="2" t="s">
        <x:v>43</x:v>
      </x:c>
      <x:c r="M61" s="2" t="s">
        <x:v>43</x:v>
      </x:c>
      <x:c r="N61" s="2">
        <x:v>1</x:v>
      </x:c>
      <x:c r="O61" s="2" t="s">
        <x:v>113</x:v>
      </x:c>
      <x:c r="P61" s="2" t="s">
        <x:v>114</x:v>
      </x:c>
      <x:c r="Q61" s="2" t="s">
        <x:v>522</x:v>
      </x:c>
      <x:c r="R61" s="3" t="str">
        <x:f>IFERROR(VLOOKUP($Q61,'04_机制词条库_60条'!$B:$S,2,FALSE),"")</x:f>
        <x:v>无机制</x:v>
      </x:c>
      <x:c r="S61" s="2" t="s">
        <x:v>591</x:v>
      </x:c>
      <x:c r="T61" s="2" t="s">
        <x:v>1511</x:v>
      </x:c>
    </x:row>
    <x:row r="62" ht="22" customHeight="1">
      <x:c r="A62" s="2" t="s">
        <x:v>283</x:v>
      </x:c>
      <x:c r="B62" s="3" t="str">
        <x:f>IFERROR(VLOOKUP($A62,'01_宠物主表_好读版'!$A:$V,3,FALSE),"")</x:f>
        <x:v>苍焰狼</x:v>
      </x:c>
      <x:c r="C62" s="3" t="str">
        <x:f>IFERROR(VLOOKUP($A62,'01_宠物主表_好读版'!$A:$V,4,FALSE),"")</x:f>
        <x:v>火</x:v>
      </x:c>
      <x:c r="D62" s="3" t="str">
        <x:f>IFERROR(VLOOKUP($A62,'01_宠物主表_好读版'!$A:$V,8,FALSE),"")</x:f>
        <x:v>输出</x:v>
      </x:c>
      <x:c r="E62" s="2" t="s">
        <x:v>1512</x:v>
      </x:c>
      <x:c r="F62" s="2" t="s">
        <x:v>1513</x:v>
      </x:c>
      <x:c r="G62" s="2" t="s">
        <x:v>1514</x:v>
      </x:c>
      <x:c r="H62" s="2">
        <x:v>3</x:v>
      </x:c>
      <x:c r="I62" s="2" t="s">
        <x:v>1510</x:v>
      </x:c>
      <x:c r="J62" s="2">
        <x:v>3</x:v>
      </x:c>
      <x:c r="K62" s="2" t="s">
        <x:v>79</x:v>
      </x:c>
      <x:c r="L62" s="2" t="s">
        <x:v>79</x:v>
      </x:c>
      <x:c r="M62" s="2" t="s">
        <x:v>79</x:v>
      </x:c>
      <x:c r="N62" s="2">
        <x:v>1</x:v>
      </x:c>
      <x:c r="O62" s="2" t="s">
        <x:v>81</x:v>
      </x:c>
      <x:c r="P62" s="2" t="s">
        <x:v>61</x:v>
      </x:c>
      <x:c r="Q62" s="2" t="s">
        <x:v>522</x:v>
      </x:c>
      <x:c r="R62" s="3" t="str">
        <x:f>IFERROR(VLOOKUP($Q62,'04_机制词条库_60条'!$B:$S,2,FALSE),"")</x:f>
        <x:v>无机制</x:v>
      </x:c>
      <x:c r="S62" s="2" t="s">
        <x:v>591</x:v>
      </x:c>
      <x:c r="T62" s="2" t="s">
        <x:v>1511</x:v>
      </x:c>
    </x:row>
    <x:row r="63" ht="22" customHeight="1">
      <x:c r="A63" s="2" t="s">
        <x:v>286</x:v>
      </x:c>
      <x:c r="B63" s="3" t="str">
        <x:f>IFERROR(VLOOKUP($A63,'01_宠物主表_好读版'!$A:$V,3,FALSE),"")</x:f>
        <x:v>雷鸣童子</x:v>
      </x:c>
      <x:c r="C63" s="3" t="str">
        <x:f>IFERROR(VLOOKUP($A63,'01_宠物主表_好读版'!$A:$V,4,FALSE),"")</x:f>
        <x:v>风</x:v>
      </x:c>
      <x:c r="D63" s="3" t="str">
        <x:f>IFERROR(VLOOKUP($A63,'01_宠物主表_好读版'!$A:$V,8,FALSE),"")</x:f>
        <x:v>控制</x:v>
      </x:c>
      <x:c r="E63" s="2" t="s">
        <x:v>1515</x:v>
      </x:c>
      <x:c r="F63" s="2" t="s">
        <x:v>1516</x:v>
      </x:c>
      <x:c r="G63" s="2" t="s">
        <x:v>1517</x:v>
      </x:c>
      <x:c r="H63" s="2">
        <x:v>4</x:v>
      </x:c>
      <x:c r="I63" s="2" t="s">
        <x:v>1510</x:v>
      </x:c>
      <x:c r="J63" s="2">
        <x:v>3</x:v>
      </x:c>
      <x:c r="K63" s="2" t="s">
        <x:v>43</x:v>
      </x:c>
      <x:c r="L63" s="2" t="s">
        <x:v>43</x:v>
      </x:c>
      <x:c r="M63" s="2" t="s">
        <x:v>43</x:v>
      </x:c>
      <x:c r="N63" s="2">
        <x:v>1</x:v>
      </x:c>
      <x:c r="O63" s="2" t="s">
        <x:v>113</x:v>
      </x:c>
      <x:c r="P63" s="2" t="s">
        <x:v>114</x:v>
      </x:c>
      <x:c r="Q63" s="2" t="s">
        <x:v>522</x:v>
      </x:c>
      <x:c r="R63" s="3" t="str">
        <x:f>IFERROR(VLOOKUP($Q63,'04_机制词条库_60条'!$B:$S,2,FALSE),"")</x:f>
        <x:v>无机制</x:v>
      </x:c>
      <x:c r="S63" s="2" t="s">
        <x:v>591</x:v>
      </x:c>
      <x:c r="T63" s="2" t="s">
        <x:v>1511</x:v>
      </x:c>
    </x:row>
    <x:row r="64" ht="22" customHeight="1">
      <x:c r="A64" s="2" t="s">
        <x:v>289</x:v>
      </x:c>
      <x:c r="B64" s="3" t="str">
        <x:f>IFERROR(VLOOKUP($A64,'01_宠物主表_好读版'!$A:$V,3,FALSE),"")</x:f>
        <x:v>秘斯媞雅</x:v>
      </x:c>
      <x:c r="C64" s="3" t="str">
        <x:f>IFERROR(VLOOKUP($A64,'01_宠物主表_好读版'!$A:$V,4,FALSE),"")</x:f>
        <x:v>风</x:v>
      </x:c>
      <x:c r="D64" s="3" t="str">
        <x:f>IFERROR(VLOOKUP($A64,'01_宠物主表_好读版'!$A:$V,8,FALSE),"")</x:f>
        <x:v>召唤</x:v>
      </x:c>
      <x:c r="E64" s="2" t="s">
        <x:v>1507</x:v>
      </x:c>
      <x:c r="F64" s="2" t="s">
        <x:v>1508</x:v>
      </x:c>
      <x:c r="G64" s="2" t="s">
        <x:v>1509</x:v>
      </x:c>
      <x:c r="H64" s="2">
        <x:v>1</x:v>
      </x:c>
      <x:c r="I64" s="2" t="s">
        <x:v>1510</x:v>
      </x:c>
      <x:c r="J64" s="2">
        <x:v>3</x:v>
      </x:c>
      <x:c r="K64" s="2" t="s">
        <x:v>43</x:v>
      </x:c>
      <x:c r="L64" s="2" t="s">
        <x:v>43</x:v>
      </x:c>
      <x:c r="M64" s="2" t="s">
        <x:v>43</x:v>
      </x:c>
      <x:c r="N64" s="2">
        <x:v>1</x:v>
      </x:c>
      <x:c r="O64" s="2" t="s">
        <x:v>50</x:v>
      </x:c>
      <x:c r="P64" s="2" t="s">
        <x:v>247</x:v>
      </x:c>
      <x:c r="Q64" s="2" t="s">
        <x:v>522</x:v>
      </x:c>
      <x:c r="R64" s="3" t="str">
        <x:f>IFERROR(VLOOKUP($Q64,'04_机制词条库_60条'!$B:$S,2,FALSE),"")</x:f>
        <x:v>无机制</x:v>
      </x:c>
      <x:c r="S64" s="2" t="s">
        <x:v>591</x:v>
      </x:c>
      <x:c r="T64" s="2" t="s">
        <x:v>1511</x:v>
      </x:c>
    </x:row>
    <x:row r="65" ht="22" customHeight="1">
      <x:c r="A65" s="2" t="s">
        <x:v>292</x:v>
      </x:c>
      <x:c r="B65" s="3" t="str">
        <x:f>IFERROR(VLOOKUP($A65,'01_宠物主表_好读版'!$A:$V,3,FALSE),"")</x:f>
        <x:v>花冠龙</x:v>
      </x:c>
      <x:c r="C65" s="3" t="str">
        <x:f>IFERROR(VLOOKUP($A65,'01_宠物主表_好读版'!$A:$V,4,FALSE),"")</x:f>
        <x:v>风</x:v>
      </x:c>
      <x:c r="D65" s="3" t="str">
        <x:f>IFERROR(VLOOKUP($A65,'01_宠物主表_好读版'!$A:$V,8,FALSE),"")</x:f>
        <x:v>召唤</x:v>
      </x:c>
      <x:c r="E65" s="2" t="s">
        <x:v>1507</x:v>
      </x:c>
      <x:c r="F65" s="2" t="s">
        <x:v>1508</x:v>
      </x:c>
      <x:c r="G65" s="2" t="s">
        <x:v>1509</x:v>
      </x:c>
      <x:c r="H65" s="2">
        <x:v>1</x:v>
      </x:c>
      <x:c r="I65" s="2" t="s">
        <x:v>1510</x:v>
      </x:c>
      <x:c r="J65" s="2">
        <x:v>3</x:v>
      </x:c>
      <x:c r="K65" s="2" t="s">
        <x:v>43</x:v>
      </x:c>
      <x:c r="L65" s="2" t="s">
        <x:v>43</x:v>
      </x:c>
      <x:c r="M65" s="2" t="s">
        <x:v>43</x:v>
      </x:c>
      <x:c r="N65" s="2">
        <x:v>1</x:v>
      </x:c>
      <x:c r="O65" s="2" t="s">
        <x:v>50</x:v>
      </x:c>
      <x:c r="P65" s="2" t="s">
        <x:v>247</x:v>
      </x:c>
      <x:c r="Q65" s="2" t="s">
        <x:v>522</x:v>
      </x:c>
      <x:c r="R65" s="3" t="str">
        <x:f>IFERROR(VLOOKUP($Q65,'04_机制词条库_60条'!$B:$S,2,FALSE),"")</x:f>
        <x:v>无机制</x:v>
      </x:c>
      <x:c r="S65" s="2" t="s">
        <x:v>591</x:v>
      </x:c>
      <x:c r="T65" s="2" t="s">
        <x:v>1511</x:v>
      </x:c>
    </x:row>
    <x:row r="66" ht="22" customHeight="1">
      <x:c r="A66" s="2" t="s">
        <x:v>296</x:v>
      </x:c>
      <x:c r="B66" s="3" t="str">
        <x:f>IFERROR(VLOOKUP($A66,'01_宠物主表_好读版'!$A:$V,3,FALSE),"")</x:f>
        <x:v>雷冠龙</x:v>
      </x:c>
      <x:c r="C66" s="3" t="str">
        <x:f>IFERROR(VLOOKUP($A66,'01_宠物主表_好读版'!$A:$V,4,FALSE),"")</x:f>
        <x:v>风</x:v>
      </x:c>
      <x:c r="D66" s="3" t="str">
        <x:f>IFERROR(VLOOKUP($A66,'01_宠物主表_好读版'!$A:$V,8,FALSE),"")</x:f>
        <x:v>控制</x:v>
      </x:c>
      <x:c r="E66" s="2" t="s">
        <x:v>1515</x:v>
      </x:c>
      <x:c r="F66" s="2" t="s">
        <x:v>1516</x:v>
      </x:c>
      <x:c r="G66" s="2" t="s">
        <x:v>1517</x:v>
      </x:c>
      <x:c r="H66" s="2">
        <x:v>4</x:v>
      </x:c>
      <x:c r="I66" s="2" t="s">
        <x:v>1510</x:v>
      </x:c>
      <x:c r="J66" s="2">
        <x:v>3</x:v>
      </x:c>
      <x:c r="K66" s="2" t="s">
        <x:v>43</x:v>
      </x:c>
      <x:c r="L66" s="2" t="s">
        <x:v>43</x:v>
      </x:c>
      <x:c r="M66" s="2" t="s">
        <x:v>43</x:v>
      </x:c>
      <x:c r="N66" s="2">
        <x:v>1</x:v>
      </x:c>
      <x:c r="O66" s="2" t="s">
        <x:v>113</x:v>
      </x:c>
      <x:c r="P66" s="2" t="s">
        <x:v>114</x:v>
      </x:c>
      <x:c r="Q66" s="2" t="s">
        <x:v>522</x:v>
      </x:c>
      <x:c r="R66" s="3" t="str">
        <x:f>IFERROR(VLOOKUP($Q66,'04_机制词条库_60条'!$B:$S,2,FALSE),"")</x:f>
        <x:v>无机制</x:v>
      </x:c>
      <x:c r="S66" s="2" t="s">
        <x:v>591</x:v>
      </x:c>
      <x:c r="T66" s="2" t="s">
        <x:v>1511</x:v>
      </x:c>
    </x:row>
    <x:row r="67" ht="22" customHeight="1">
      <x:c r="A67" s="2" t="s">
        <x:v>300</x:v>
      </x:c>
      <x:c r="B67" s="3" t="str">
        <x:f>IFERROR(VLOOKUP($A67,'01_宠物主表_好读版'!$A:$V,3,FALSE),"")</x:f>
        <x:v>滑水蛇</x:v>
      </x:c>
      <x:c r="C67" s="3" t="str">
        <x:f>IFERROR(VLOOKUP($A67,'01_宠物主表_好读版'!$A:$V,4,FALSE),"")</x:f>
        <x:v>水</x:v>
      </x:c>
      <x:c r="D67" s="3" t="str">
        <x:f>IFERROR(VLOOKUP($A67,'01_宠物主表_好读版'!$A:$V,8,FALSE),"")</x:f>
        <x:v>治疗</x:v>
      </x:c>
      <x:c r="E67" s="2" t="s">
        <x:v>1518</x:v>
      </x:c>
      <x:c r="F67" s="2" t="s">
        <x:v>1519</x:v>
      </x:c>
      <x:c r="G67" s="2" t="s">
        <x:v>1517</x:v>
      </x:c>
      <x:c r="H67" s="2">
        <x:v>4</x:v>
      </x:c>
      <x:c r="I67" s="2" t="s">
        <x:v>1510</x:v>
      </x:c>
      <x:c r="J67" s="2">
        <x:v>3</x:v>
      </x:c>
      <x:c r="K67" s="2" t="s">
        <x:v>87</x:v>
      </x:c>
      <x:c r="L67" s="2" t="s">
        <x:v>87</x:v>
      </x:c>
      <x:c r="M67" s="2" t="s">
        <x:v>87</x:v>
      </x:c>
      <x:c r="N67" s="2">
        <x:v>1</x:v>
      </x:c>
      <x:c r="O67" s="2" t="s">
        <x:v>73</x:v>
      </x:c>
      <x:c r="P67" s="2" t="s">
        <x:v>74</x:v>
      </x:c>
      <x:c r="Q67" s="2" t="s">
        <x:v>522</x:v>
      </x:c>
      <x:c r="R67" s="3" t="str">
        <x:f>IFERROR(VLOOKUP($Q67,'04_机制词条库_60条'!$B:$S,2,FALSE),"")</x:f>
        <x:v>无机制</x:v>
      </x:c>
      <x:c r="S67" s="2" t="s">
        <x:v>591</x:v>
      </x:c>
      <x:c r="T67" s="2" t="s">
        <x:v>1511</x:v>
      </x:c>
    </x:row>
    <x:row r="68" ht="22" customHeight="1">
      <x:c r="A68" s="2" t="s">
        <x:v>303</x:v>
      </x:c>
      <x:c r="B68" s="3" t="str">
        <x:f>IFERROR(VLOOKUP($A68,'01_宠物主表_好读版'!$A:$V,3,FALSE),"")</x:f>
        <x:v>流沙蛇</x:v>
      </x:c>
      <x:c r="C68" s="3" t="str">
        <x:f>IFERROR(VLOOKUP($A68,'01_宠物主表_好读版'!$A:$V,4,FALSE),"")</x:f>
        <x:v>土</x:v>
      </x:c>
      <x:c r="D68" s="3" t="str">
        <x:f>IFERROR(VLOOKUP($A68,'01_宠物主表_好读版'!$A:$V,8,FALSE),"")</x:f>
        <x:v>坦克</x:v>
      </x:c>
      <x:c r="E68" s="2" t="s">
        <x:v>1512</x:v>
      </x:c>
      <x:c r="F68" s="2" t="s">
        <x:v>1513</x:v>
      </x:c>
      <x:c r="G68" s="2" t="s">
        <x:v>1514</x:v>
      </x:c>
      <x:c r="H68" s="2">
        <x:v>3</x:v>
      </x:c>
      <x:c r="I68" s="2" t="s">
        <x:v>1510</x:v>
      </x:c>
      <x:c r="J68" s="2">
        <x:v>3</x:v>
      </x:c>
      <x:c r="K68" s="2" t="s">
        <x:v>120</x:v>
      </x:c>
      <x:c r="L68" s="2" t="s">
        <x:v>120</x:v>
      </x:c>
      <x:c r="M68" s="2" t="s">
        <x:v>120</x:v>
      </x:c>
      <x:c r="N68" s="2">
        <x:v>1</x:v>
      </x:c>
      <x:c r="O68" s="2" t="s">
        <x:v>60</x:v>
      </x:c>
      <x:c r="P68" s="2" t="s">
        <x:v>61</x:v>
      </x:c>
      <x:c r="Q68" s="2" t="s">
        <x:v>522</x:v>
      </x:c>
      <x:c r="R68" s="3" t="str">
        <x:f>IFERROR(VLOOKUP($Q68,'04_机制词条库_60条'!$B:$S,2,FALSE),"")</x:f>
        <x:v>无机制</x:v>
      </x:c>
      <x:c r="S68" s="2" t="s">
        <x:v>591</x:v>
      </x:c>
      <x:c r="T68" s="2" t="s">
        <x:v>1511</x:v>
      </x:c>
    </x:row>
    <x:row r="69" ht="22" customHeight="1">
      <x:c r="A69" s="2" t="s">
        <x:v>306</x:v>
      </x:c>
      <x:c r="B69" s="3" t="str">
        <x:f>IFERROR(VLOOKUP($A69,'01_宠物主表_好读版'!$A:$V,3,FALSE),"")</x:f>
        <x:v>噬魂兽</x:v>
      </x:c>
      <x:c r="C69" s="3" t="str">
        <x:f>IFERROR(VLOOKUP($A69,'01_宠物主表_好读版'!$A:$V,4,FALSE),"")</x:f>
        <x:v>土</x:v>
      </x:c>
      <x:c r="D69" s="3" t="str">
        <x:f>IFERROR(VLOOKUP($A69,'01_宠物主表_好读版'!$A:$V,8,FALSE),"")</x:f>
        <x:v>坦克</x:v>
      </x:c>
      <x:c r="E69" s="2" t="s">
        <x:v>1512</x:v>
      </x:c>
      <x:c r="F69" s="2" t="s">
        <x:v>1513</x:v>
      </x:c>
      <x:c r="G69" s="2" t="s">
        <x:v>1514</x:v>
      </x:c>
      <x:c r="H69" s="2">
        <x:v>3</x:v>
      </x:c>
      <x:c r="I69" s="2" t="s">
        <x:v>1510</x:v>
      </x:c>
      <x:c r="J69" s="2">
        <x:v>3</x:v>
      </x:c>
      <x:c r="K69" s="2" t="s">
        <x:v>120</x:v>
      </x:c>
      <x:c r="L69" s="2" t="s">
        <x:v>120</x:v>
      </x:c>
      <x:c r="M69" s="2" t="s">
        <x:v>120</x:v>
      </x:c>
      <x:c r="N69" s="2">
        <x:v>1</x:v>
      </x:c>
      <x:c r="O69" s="2" t="s">
        <x:v>60</x:v>
      </x:c>
      <x:c r="P69" s="2" t="s">
        <x:v>61</x:v>
      </x:c>
      <x:c r="Q69" s="2" t="s">
        <x:v>522</x:v>
      </x:c>
      <x:c r="R69" s="3" t="str">
        <x:f>IFERROR(VLOOKUP($Q69,'04_机制词条库_60条'!$B:$S,2,FALSE),"")</x:f>
        <x:v>无机制</x:v>
      </x:c>
      <x:c r="S69" s="2" t="s">
        <x:v>591</x:v>
      </x:c>
      <x:c r="T69" s="2" t="s">
        <x:v>1511</x:v>
      </x:c>
    </x:row>
    <x:row r="70" ht="22" customHeight="1">
      <x:c r="A70" s="2" t="s">
        <x:v>309</x:v>
      </x:c>
      <x:c r="B70" s="3" t="str">
        <x:f>IFERROR(VLOOKUP($A70,'01_宠物主表_好读版'!$A:$V,3,FALSE),"")</x:f>
        <x:v>碎岩龟</x:v>
      </x:c>
      <x:c r="C70" s="3" t="str">
        <x:f>IFERROR(VLOOKUP($A70,'01_宠物主表_好读版'!$A:$V,4,FALSE),"")</x:f>
        <x:v>土</x:v>
      </x:c>
      <x:c r="D70" s="3" t="str">
        <x:f>IFERROR(VLOOKUP($A70,'01_宠物主表_好读版'!$A:$V,8,FALSE),"")</x:f>
        <x:v>坦克</x:v>
      </x:c>
      <x:c r="E70" s="2" t="s">
        <x:v>1512</x:v>
      </x:c>
      <x:c r="F70" s="2" t="s">
        <x:v>1513</x:v>
      </x:c>
      <x:c r="G70" s="2" t="s">
        <x:v>1514</x:v>
      </x:c>
      <x:c r="H70" s="2">
        <x:v>3</x:v>
      </x:c>
      <x:c r="I70" s="2" t="s">
        <x:v>1510</x:v>
      </x:c>
      <x:c r="J70" s="2">
        <x:v>3</x:v>
      </x:c>
      <x:c r="K70" s="2" t="s">
        <x:v>120</x:v>
      </x:c>
      <x:c r="L70" s="2" t="s">
        <x:v>120</x:v>
      </x:c>
      <x:c r="M70" s="2" t="s">
        <x:v>120</x:v>
      </x:c>
      <x:c r="N70" s="2">
        <x:v>1</x:v>
      </x:c>
      <x:c r="O70" s="2" t="s">
        <x:v>60</x:v>
      </x:c>
      <x:c r="P70" s="2" t="s">
        <x:v>61</x:v>
      </x:c>
      <x:c r="Q70" s="2" t="s">
        <x:v>522</x:v>
      </x:c>
      <x:c r="R70" s="3" t="str">
        <x:f>IFERROR(VLOOKUP($Q70,'04_机制词条库_60条'!$B:$S,2,FALSE),"")</x:f>
        <x:v>无机制</x:v>
      </x:c>
      <x:c r="S70" s="2" t="s">
        <x:v>591</x:v>
      </x:c>
      <x:c r="T70" s="2" t="s">
        <x:v>1511</x:v>
      </x:c>
    </x:row>
    <x:row r="71" ht="22" customHeight="1">
      <x:c r="A71" s="2" t="s">
        <x:v>312</x:v>
      </x:c>
      <x:c r="B71" s="3" t="str">
        <x:f>IFERROR(VLOOKUP($A71,'01_宠物主表_好读版'!$A:$V,3,FALSE),"")</x:f>
        <x:v>猫蝠怪</x:v>
      </x:c>
      <x:c r="C71" s="3" t="str">
        <x:f>IFERROR(VLOOKUP($A71,'01_宠物主表_好读版'!$A:$V,4,FALSE),"")</x:f>
        <x:v>土</x:v>
      </x:c>
      <x:c r="D71" s="3" t="str">
        <x:f>IFERROR(VLOOKUP($A71,'01_宠物主表_好读版'!$A:$V,8,FALSE),"")</x:f>
        <x:v>坦克</x:v>
      </x:c>
      <x:c r="E71" s="2" t="s">
        <x:v>1512</x:v>
      </x:c>
      <x:c r="F71" s="2" t="s">
        <x:v>1513</x:v>
      </x:c>
      <x:c r="G71" s="2" t="s">
        <x:v>1514</x:v>
      </x:c>
      <x:c r="H71" s="2">
        <x:v>3</x:v>
      </x:c>
      <x:c r="I71" s="2" t="s">
        <x:v>1510</x:v>
      </x:c>
      <x:c r="J71" s="2">
        <x:v>3</x:v>
      </x:c>
      <x:c r="K71" s="2" t="s">
        <x:v>120</x:v>
      </x:c>
      <x:c r="L71" s="2" t="s">
        <x:v>120</x:v>
      </x:c>
      <x:c r="M71" s="2" t="s">
        <x:v>120</x:v>
      </x:c>
      <x:c r="N71" s="2">
        <x:v>1</x:v>
      </x:c>
      <x:c r="O71" s="2" t="s">
        <x:v>60</x:v>
      </x:c>
      <x:c r="P71" s="2" t="s">
        <x:v>61</x:v>
      </x:c>
      <x:c r="Q71" s="2" t="s">
        <x:v>522</x:v>
      </x:c>
      <x:c r="R71" s="3" t="str">
        <x:f>IFERROR(VLOOKUP($Q71,'04_机制词条库_60条'!$B:$S,2,FALSE),"")</x:f>
        <x:v>无机制</x:v>
      </x:c>
      <x:c r="S71" s="2" t="s">
        <x:v>591</x:v>
      </x:c>
      <x:c r="T71" s="2" t="s">
        <x:v>1511</x:v>
      </x:c>
    </x:row>
    <x:row r="72" ht="22" customHeight="1">
      <x:c r="A72" s="2" t="s">
        <x:v>315</x:v>
      </x:c>
      <x:c r="B72" s="3" t="str">
        <x:f>IFERROR(VLOOKUP($A72,'01_宠物主表_好读版'!$A:$V,3,FALSE),"")</x:f>
        <x:v>博爱蜥</x:v>
      </x:c>
      <x:c r="C72" s="3" t="str">
        <x:f>IFERROR(VLOOKUP($A72,'01_宠物主表_好读版'!$A:$V,4,FALSE),"")</x:f>
        <x:v>风</x:v>
      </x:c>
      <x:c r="D72" s="3" t="str">
        <x:f>IFERROR(VLOOKUP($A72,'01_宠物主表_好读版'!$A:$V,8,FALSE),"")</x:f>
        <x:v>治疗</x:v>
      </x:c>
      <x:c r="E72" s="2" t="s">
        <x:v>1518</x:v>
      </x:c>
      <x:c r="F72" s="2" t="s">
        <x:v>1519</x:v>
      </x:c>
      <x:c r="G72" s="2" t="s">
        <x:v>1517</x:v>
      </x:c>
      <x:c r="H72" s="2">
        <x:v>4</x:v>
      </x:c>
      <x:c r="I72" s="2" t="s">
        <x:v>1510</x:v>
      </x:c>
      <x:c r="J72" s="2">
        <x:v>3</x:v>
      </x:c>
      <x:c r="K72" s="2" t="s">
        <x:v>43</x:v>
      </x:c>
      <x:c r="L72" s="2" t="s">
        <x:v>43</x:v>
      </x:c>
      <x:c r="M72" s="2" t="s">
        <x:v>43</x:v>
      </x:c>
      <x:c r="N72" s="2">
        <x:v>1</x:v>
      </x:c>
      <x:c r="O72" s="2" t="s">
        <x:v>73</x:v>
      </x:c>
      <x:c r="P72" s="2" t="s">
        <x:v>74</x:v>
      </x:c>
      <x:c r="Q72" s="2" t="s">
        <x:v>522</x:v>
      </x:c>
      <x:c r="R72" s="3" t="str">
        <x:f>IFERROR(VLOOKUP($Q72,'04_机制词条库_60条'!$B:$S,2,FALSE),"")</x:f>
        <x:v>无机制</x:v>
      </x:c>
      <x:c r="S72" s="2" t="s">
        <x:v>591</x:v>
      </x:c>
      <x:c r="T72" s="2" t="s">
        <x:v>1511</x:v>
      </x:c>
    </x:row>
    <x:row r="73" ht="22" customHeight="1">
      <x:c r="A73" s="2" t="s">
        <x:v>318</x:v>
      </x:c>
      <x:c r="B73" s="3" t="str">
        <x:f>IFERROR(VLOOKUP($A73,'01_宠物主表_好读版'!$A:$V,3,FALSE),"")</x:f>
        <x:v>融焰娘</x:v>
      </x:c>
      <x:c r="C73" s="3" t="str">
        <x:f>IFERROR(VLOOKUP($A73,'01_宠物主表_好读版'!$A:$V,4,FALSE),"")</x:f>
        <x:v>火</x:v>
      </x:c>
      <x:c r="D73" s="3" t="str">
        <x:f>IFERROR(VLOOKUP($A73,'01_宠物主表_好读版'!$A:$V,8,FALSE),"")</x:f>
        <x:v>召唤</x:v>
      </x:c>
      <x:c r="E73" s="2" t="s">
        <x:v>1507</x:v>
      </x:c>
      <x:c r="F73" s="2" t="s">
        <x:v>1508</x:v>
      </x:c>
      <x:c r="G73" s="2" t="s">
        <x:v>1509</x:v>
      </x:c>
      <x:c r="H73" s="2">
        <x:v>1</x:v>
      </x:c>
      <x:c r="I73" s="2" t="s">
        <x:v>1510</x:v>
      </x:c>
      <x:c r="J73" s="2">
        <x:v>3</x:v>
      </x:c>
      <x:c r="K73" s="2" t="s">
        <x:v>79</x:v>
      </x:c>
      <x:c r="L73" s="2" t="s">
        <x:v>79</x:v>
      </x:c>
      <x:c r="M73" s="2" t="s">
        <x:v>79</x:v>
      </x:c>
      <x:c r="N73" s="2">
        <x:v>1</x:v>
      </x:c>
      <x:c r="O73" s="2" t="s">
        <x:v>50</x:v>
      </x:c>
      <x:c r="P73" s="2" t="s">
        <x:v>247</x:v>
      </x:c>
      <x:c r="Q73" s="2" t="s">
        <x:v>522</x:v>
      </x:c>
      <x:c r="R73" s="3" t="str">
        <x:f>IFERROR(VLOOKUP($Q73,'04_机制词条库_60条'!$B:$S,2,FALSE),"")</x:f>
        <x:v>无机制</x:v>
      </x:c>
      <x:c r="S73" s="2" t="s">
        <x:v>591</x:v>
      </x:c>
      <x:c r="T73" s="2" t="s">
        <x:v>1511</x:v>
      </x:c>
    </x:row>
    <x:row r="74" ht="22" customHeight="1">
      <x:c r="A74" s="2" t="s">
        <x:v>322</x:v>
      </x:c>
      <x:c r="B74" s="3" t="str">
        <x:f>IFERROR(VLOOKUP($A74,'01_宠物主表_好读版'!$A:$V,3,FALSE),"")</x:f>
        <x:v>烽歌龙</x:v>
      </x:c>
      <x:c r="C74" s="3" t="str">
        <x:f>IFERROR(VLOOKUP($A74,'01_宠物主表_好读版'!$A:$V,4,FALSE),"")</x:f>
        <x:v>火</x:v>
      </x:c>
      <x:c r="D74" s="3" t="str">
        <x:f>IFERROR(VLOOKUP($A74,'01_宠物主表_好读版'!$A:$V,8,FALSE),"")</x:f>
        <x:v>机动</x:v>
      </x:c>
      <x:c r="E74" s="2" t="s">
        <x:v>1515</x:v>
      </x:c>
      <x:c r="F74" s="2" t="s">
        <x:v>1516</x:v>
      </x:c>
      <x:c r="G74" s="2" t="s">
        <x:v>1517</x:v>
      </x:c>
      <x:c r="H74" s="2">
        <x:v>4</x:v>
      </x:c>
      <x:c r="I74" s="2" t="s">
        <x:v>1510</x:v>
      </x:c>
      <x:c r="J74" s="2">
        <x:v>3</x:v>
      </x:c>
      <x:c r="K74" s="2" t="s">
        <x:v>79</x:v>
      </x:c>
      <x:c r="L74" s="2" t="s">
        <x:v>79</x:v>
      </x:c>
      <x:c r="M74" s="2" t="s">
        <x:v>79</x:v>
      </x:c>
      <x:c r="N74" s="2">
        <x:v>1</x:v>
      </x:c>
      <x:c r="O74" s="2" t="s">
        <x:v>113</x:v>
      </x:c>
      <x:c r="P74" s="2" t="s">
        <x:v>114</x:v>
      </x:c>
      <x:c r="Q74" s="2" t="s">
        <x:v>522</x:v>
      </x:c>
      <x:c r="R74" s="3" t="str">
        <x:f>IFERROR(VLOOKUP($Q74,'04_机制词条库_60条'!$B:$S,2,FALSE),"")</x:f>
        <x:v>无机制</x:v>
      </x:c>
      <x:c r="S74" s="2" t="s">
        <x:v>591</x:v>
      </x:c>
      <x:c r="T74" s="2" t="s">
        <x:v>1511</x:v>
      </x:c>
    </x:row>
    <x:row r="75" ht="22" customHeight="1">
      <x:c r="A75" s="2" t="s">
        <x:v>326</x:v>
      </x:c>
      <x:c r="B75" s="3" t="str">
        <x:f>IFERROR(VLOOKUP($A75,'01_宠物主表_好读版'!$A:$V,3,FALSE),"")</x:f>
        <x:v>霜歌龙</x:v>
      </x:c>
      <x:c r="C75" s="3" t="str">
        <x:f>IFERROR(VLOOKUP($A75,'01_宠物主表_好读版'!$A:$V,4,FALSE),"")</x:f>
        <x:v>水</x:v>
      </x:c>
      <x:c r="D75" s="3" t="str">
        <x:f>IFERROR(VLOOKUP($A75,'01_宠物主表_好读版'!$A:$V,8,FALSE),"")</x:f>
        <x:v>控制</x:v>
      </x:c>
      <x:c r="E75" s="2" t="s">
        <x:v>1518</x:v>
      </x:c>
      <x:c r="F75" s="2" t="s">
        <x:v>1519</x:v>
      </x:c>
      <x:c r="G75" s="2" t="s">
        <x:v>1517</x:v>
      </x:c>
      <x:c r="H75" s="2">
        <x:v>4</x:v>
      </x:c>
      <x:c r="I75" s="2" t="s">
        <x:v>1510</x:v>
      </x:c>
      <x:c r="J75" s="2">
        <x:v>3</x:v>
      </x:c>
      <x:c r="K75" s="2" t="s">
        <x:v>87</x:v>
      </x:c>
      <x:c r="L75" s="2" t="s">
        <x:v>87</x:v>
      </x:c>
      <x:c r="M75" s="2" t="s">
        <x:v>87</x:v>
      </x:c>
      <x:c r="N75" s="2">
        <x:v>1</x:v>
      </x:c>
      <x:c r="O75" s="2" t="s">
        <x:v>113</x:v>
      </x:c>
      <x:c r="P75" s="2" t="s">
        <x:v>74</x:v>
      </x:c>
      <x:c r="Q75" s="2" t="s">
        <x:v>522</x:v>
      </x:c>
      <x:c r="R75" s="3" t="str">
        <x:f>IFERROR(VLOOKUP($Q75,'04_机制词条库_60条'!$B:$S,2,FALSE),"")</x:f>
        <x:v>无机制</x:v>
      </x:c>
      <x:c r="S75" s="2" t="s">
        <x:v>591</x:v>
      </x:c>
      <x:c r="T75" s="2" t="s">
        <x:v>1511</x:v>
      </x:c>
    </x:row>
    <x:row r="76" ht="22" customHeight="1">
      <x:c r="A76" s="2" t="s">
        <x:v>330</x:v>
      </x:c>
      <x:c r="B76" s="3" t="str">
        <x:f>IFERROR(VLOOKUP($A76,'01_宠物主表_好读版'!$A:$V,3,FALSE),"")</x:f>
        <x:v>浪刃武士</x:v>
      </x:c>
      <x:c r="C76" s="3" t="str">
        <x:f>IFERROR(VLOOKUP($A76,'01_宠物主表_好读版'!$A:$V,4,FALSE),"")</x:f>
        <x:v>火</x:v>
      </x:c>
      <x:c r="D76" s="3" t="str">
        <x:f>IFERROR(VLOOKUP($A76,'01_宠物主表_好读版'!$A:$V,8,FALSE),"")</x:f>
        <x:v>输出</x:v>
      </x:c>
      <x:c r="E76" s="2" t="s">
        <x:v>1512</x:v>
      </x:c>
      <x:c r="F76" s="2" t="s">
        <x:v>1513</x:v>
      </x:c>
      <x:c r="G76" s="2" t="s">
        <x:v>1514</x:v>
      </x:c>
      <x:c r="H76" s="2">
        <x:v>3</x:v>
      </x:c>
      <x:c r="I76" s="2" t="s">
        <x:v>1510</x:v>
      </x:c>
      <x:c r="J76" s="2">
        <x:v>3</x:v>
      </x:c>
      <x:c r="K76" s="2" t="s">
        <x:v>79</x:v>
      </x:c>
      <x:c r="L76" s="2" t="s">
        <x:v>79</x:v>
      </x:c>
      <x:c r="M76" s="2" t="s">
        <x:v>79</x:v>
      </x:c>
      <x:c r="N76" s="2">
        <x:v>1</x:v>
      </x:c>
      <x:c r="O76" s="2" t="s">
        <x:v>81</x:v>
      </x:c>
      <x:c r="P76" s="2" t="s">
        <x:v>61</x:v>
      </x:c>
      <x:c r="Q76" s="2" t="s">
        <x:v>522</x:v>
      </x:c>
      <x:c r="R76" s="3" t="str">
        <x:f>IFERROR(VLOOKUP($Q76,'04_机制词条库_60条'!$B:$S,2,FALSE),"")</x:f>
        <x:v>无机制</x:v>
      </x:c>
      <x:c r="S76" s="2" t="s">
        <x:v>591</x:v>
      </x:c>
      <x:c r="T76" s="2" t="s">
        <x:v>1511</x:v>
      </x:c>
    </x:row>
    <x:row r="77" ht="22" customHeight="1">
      <x:c r="A77" s="2" t="s">
        <x:v>333</x:v>
      </x:c>
      <x:c r="B77" s="3" t="str">
        <x:f>IFERROR(VLOOKUP($A77,'01_宠物主表_好读版'!$A:$V,3,FALSE),"")</x:f>
        <x:v>迅雷鸟</x:v>
      </x:c>
      <x:c r="C77" s="3" t="str">
        <x:f>IFERROR(VLOOKUP($A77,'01_宠物主表_好读版'!$A:$V,4,FALSE),"")</x:f>
        <x:v>风</x:v>
      </x:c>
      <x:c r="D77" s="3" t="str">
        <x:f>IFERROR(VLOOKUP($A77,'01_宠物主表_好读版'!$A:$V,8,FALSE),"")</x:f>
        <x:v>控制</x:v>
      </x:c>
      <x:c r="E77" s="2" t="s">
        <x:v>1515</x:v>
      </x:c>
      <x:c r="F77" s="2" t="s">
        <x:v>1516</x:v>
      </x:c>
      <x:c r="G77" s="2" t="s">
        <x:v>1517</x:v>
      </x:c>
      <x:c r="H77" s="2">
        <x:v>4</x:v>
      </x:c>
      <x:c r="I77" s="2" t="s">
        <x:v>1510</x:v>
      </x:c>
      <x:c r="J77" s="2">
        <x:v>3</x:v>
      </x:c>
      <x:c r="K77" s="2" t="s">
        <x:v>43</x:v>
      </x:c>
      <x:c r="L77" s="2" t="s">
        <x:v>43</x:v>
      </x:c>
      <x:c r="M77" s="2" t="s">
        <x:v>43</x:v>
      </x:c>
      <x:c r="N77" s="2">
        <x:v>1</x:v>
      </x:c>
      <x:c r="O77" s="2" t="s">
        <x:v>113</x:v>
      </x:c>
      <x:c r="P77" s="2" t="s">
        <x:v>114</x:v>
      </x:c>
      <x:c r="Q77" s="2" t="s">
        <x:v>522</x:v>
      </x:c>
      <x:c r="R77" s="3" t="str">
        <x:f>IFERROR(VLOOKUP($Q77,'04_机制词条库_60条'!$B:$S,2,FALSE),"")</x:f>
        <x:v>无机制</x:v>
      </x:c>
      <x:c r="S77" s="2" t="s">
        <x:v>591</x:v>
      </x:c>
      <x:c r="T77" s="2" t="s">
        <x:v>1511</x:v>
      </x:c>
    </x:row>
    <x:row r="78" ht="22" customHeight="1">
      <x:c r="A78" s="2" t="s">
        <x:v>336</x:v>
      </x:c>
      <x:c r="B78" s="3" t="str">
        <x:f>IFERROR(VLOOKUP($A78,'01_宠物主表_好读版'!$A:$V,3,FALSE),"")</x:f>
        <x:v>燧火鸟</x:v>
      </x:c>
      <x:c r="C78" s="3" t="str">
        <x:f>IFERROR(VLOOKUP($A78,'01_宠物主表_好读版'!$A:$V,4,FALSE),"")</x:f>
        <x:v>火</x:v>
      </x:c>
      <x:c r="D78" s="3" t="str">
        <x:f>IFERROR(VLOOKUP($A78,'01_宠物主表_好读版'!$A:$V,8,FALSE),"")</x:f>
        <x:v>机动</x:v>
      </x:c>
      <x:c r="E78" s="2" t="s">
        <x:v>1515</x:v>
      </x:c>
      <x:c r="F78" s="2" t="s">
        <x:v>1516</x:v>
      </x:c>
      <x:c r="G78" s="2" t="s">
        <x:v>1517</x:v>
      </x:c>
      <x:c r="H78" s="2">
        <x:v>4</x:v>
      </x:c>
      <x:c r="I78" s="2" t="s">
        <x:v>1510</x:v>
      </x:c>
      <x:c r="J78" s="2">
        <x:v>3</x:v>
      </x:c>
      <x:c r="K78" s="2" t="s">
        <x:v>79</x:v>
      </x:c>
      <x:c r="L78" s="2" t="s">
        <x:v>79</x:v>
      </x:c>
      <x:c r="M78" s="2" t="s">
        <x:v>79</x:v>
      </x:c>
      <x:c r="N78" s="2">
        <x:v>1</x:v>
      </x:c>
      <x:c r="O78" s="2" t="s">
        <x:v>113</x:v>
      </x:c>
      <x:c r="P78" s="2" t="s">
        <x:v>114</x:v>
      </x:c>
      <x:c r="Q78" s="2" t="s">
        <x:v>522</x:v>
      </x:c>
      <x:c r="R78" s="3" t="str">
        <x:f>IFERROR(VLOOKUP($Q78,'04_机制词条库_60条'!$B:$S,2,FALSE),"")</x:f>
        <x:v>无机制</x:v>
      </x:c>
      <x:c r="S78" s="2" t="s">
        <x:v>591</x:v>
      </x:c>
      <x:c r="T78" s="2" t="s">
        <x:v>1511</x:v>
      </x:c>
    </x:row>
    <x:row r="79" ht="22" customHeight="1">
      <x:c r="A79" s="2" t="s">
        <x:v>339</x:v>
      </x:c>
      <x:c r="B79" s="3" t="str">
        <x:f>IFERROR(VLOOKUP($A79,'01_宠物主表_好读版'!$A:$V,3,FALSE),"")</x:f>
        <x:v>暗巫猫</x:v>
      </x:c>
      <x:c r="C79" s="3" t="str">
        <x:f>IFERROR(VLOOKUP($A79,'01_宠物主表_好读版'!$A:$V,4,FALSE),"")</x:f>
        <x:v>土</x:v>
      </x:c>
      <x:c r="D79" s="3" t="str">
        <x:f>IFERROR(VLOOKUP($A79,'01_宠物主表_好读版'!$A:$V,8,FALSE),"")</x:f>
        <x:v>治疗</x:v>
      </x:c>
      <x:c r="E79" s="2" t="s">
        <x:v>1518</x:v>
      </x:c>
      <x:c r="F79" s="2" t="s">
        <x:v>1519</x:v>
      </x:c>
      <x:c r="G79" s="2" t="s">
        <x:v>1517</x:v>
      </x:c>
      <x:c r="H79" s="2">
        <x:v>4</x:v>
      </x:c>
      <x:c r="I79" s="2" t="s">
        <x:v>1510</x:v>
      </x:c>
      <x:c r="J79" s="2">
        <x:v>3</x:v>
      </x:c>
      <x:c r="K79" s="2" t="s">
        <x:v>120</x:v>
      </x:c>
      <x:c r="L79" s="2" t="s">
        <x:v>120</x:v>
      </x:c>
      <x:c r="M79" s="2" t="s">
        <x:v>120</x:v>
      </x:c>
      <x:c r="N79" s="2">
        <x:v>1</x:v>
      </x:c>
      <x:c r="O79" s="2" t="s">
        <x:v>73</x:v>
      </x:c>
      <x:c r="P79" s="2" t="s">
        <x:v>74</x:v>
      </x:c>
      <x:c r="Q79" s="2" t="s">
        <x:v>522</x:v>
      </x:c>
      <x:c r="R79" s="3" t="str">
        <x:f>IFERROR(VLOOKUP($Q79,'04_机制词条库_60条'!$B:$S,2,FALSE),"")</x:f>
        <x:v>无机制</x:v>
      </x:c>
      <x:c r="S79" s="2" t="s">
        <x:v>591</x:v>
      </x:c>
      <x:c r="T79" s="2" t="s">
        <x:v>1511</x:v>
      </x:c>
    </x:row>
    <x:row r="80" ht="22" customHeight="1">
      <x:c r="A80" s="2" t="s">
        <x:v>342</x:v>
      </x:c>
      <x:c r="B80" s="3" t="str">
        <x:f>IFERROR(VLOOKUP($A80,'01_宠物主表_好读版'!$A:$V,3,FALSE),"")</x:f>
        <x:v>焰巫狐</x:v>
      </x:c>
      <x:c r="C80" s="3" t="str">
        <x:f>IFERROR(VLOOKUP($A80,'01_宠物主表_好读版'!$A:$V,4,FALSE),"")</x:f>
        <x:v>火</x:v>
      </x:c>
      <x:c r="D80" s="3" t="str">
        <x:f>IFERROR(VLOOKUP($A80,'01_宠物主表_好读版'!$A:$V,8,FALSE),"")</x:f>
        <x:v>输出</x:v>
      </x:c>
      <x:c r="E80" s="2" t="s">
        <x:v>1512</x:v>
      </x:c>
      <x:c r="F80" s="2" t="s">
        <x:v>1513</x:v>
      </x:c>
      <x:c r="G80" s="2" t="s">
        <x:v>1514</x:v>
      </x:c>
      <x:c r="H80" s="2">
        <x:v>3</x:v>
      </x:c>
      <x:c r="I80" s="2" t="s">
        <x:v>1510</x:v>
      </x:c>
      <x:c r="J80" s="2">
        <x:v>3</x:v>
      </x:c>
      <x:c r="K80" s="2" t="s">
        <x:v>79</x:v>
      </x:c>
      <x:c r="L80" s="2" t="s">
        <x:v>79</x:v>
      </x:c>
      <x:c r="M80" s="2" t="s">
        <x:v>79</x:v>
      </x:c>
      <x:c r="N80" s="2">
        <x:v>1</x:v>
      </x:c>
      <x:c r="O80" s="2" t="s">
        <x:v>81</x:v>
      </x:c>
      <x:c r="P80" s="2" t="s">
        <x:v>61</x:v>
      </x:c>
      <x:c r="Q80" s="2" t="s">
        <x:v>522</x:v>
      </x:c>
      <x:c r="R80" s="3" t="str">
        <x:f>IFERROR(VLOOKUP($Q80,'04_机制词条库_60条'!$B:$S,2,FALSE),"")</x:f>
        <x:v>无机制</x:v>
      </x:c>
      <x:c r="S80" s="2" t="s">
        <x:v>591</x:v>
      </x:c>
      <x:c r="T80" s="2" t="s">
        <x:v>1511</x:v>
      </x:c>
    </x:row>
    <x:row r="81" ht="22" customHeight="1">
      <x:c r="A81" s="2" t="s">
        <x:v>345</x:v>
      </x:c>
      <x:c r="B81" s="3" t="str">
        <x:f>IFERROR(VLOOKUP($A81,'01_宠物主表_好读版'!$A:$V,3,FALSE),"")</x:f>
        <x:v>踏春兔</x:v>
      </x:c>
      <x:c r="C81" s="3" t="str">
        <x:f>IFERROR(VLOOKUP($A81,'01_宠物主表_好读版'!$A:$V,4,FALSE),"")</x:f>
        <x:v>风</x:v>
      </x:c>
      <x:c r="D81" s="3" t="str">
        <x:f>IFERROR(VLOOKUP($A81,'01_宠物主表_好读版'!$A:$V,8,FALSE),"")</x:f>
        <x:v>治疗</x:v>
      </x:c>
      <x:c r="E81" s="2" t="s">
        <x:v>1518</x:v>
      </x:c>
      <x:c r="F81" s="2" t="s">
        <x:v>1519</x:v>
      </x:c>
      <x:c r="G81" s="2" t="s">
        <x:v>1517</x:v>
      </x:c>
      <x:c r="H81" s="2">
        <x:v>4</x:v>
      </x:c>
      <x:c r="I81" s="2" t="s">
        <x:v>1510</x:v>
      </x:c>
      <x:c r="J81" s="2">
        <x:v>3</x:v>
      </x:c>
      <x:c r="K81" s="2" t="s">
        <x:v>43</x:v>
      </x:c>
      <x:c r="L81" s="2" t="s">
        <x:v>43</x:v>
      </x:c>
      <x:c r="M81" s="2" t="s">
        <x:v>43</x:v>
      </x:c>
      <x:c r="N81" s="2">
        <x:v>1</x:v>
      </x:c>
      <x:c r="O81" s="2" t="s">
        <x:v>73</x:v>
      </x:c>
      <x:c r="P81" s="2" t="s">
        <x:v>74</x:v>
      </x:c>
      <x:c r="Q81" s="2" t="s">
        <x:v>522</x:v>
      </x:c>
      <x:c r="R81" s="3" t="str">
        <x:f>IFERROR(VLOOKUP($Q81,'04_机制词条库_60条'!$B:$S,2,FALSE),"")</x:f>
        <x:v>无机制</x:v>
      </x:c>
      <x:c r="S81" s="2" t="s">
        <x:v>591</x:v>
      </x:c>
      <x:c r="T81" s="2" t="s">
        <x:v>1511</x:v>
      </x:c>
    </x:row>
    <x:row r="82" ht="22" customHeight="1">
      <x:c r="A82" s="2" t="s">
        <x:v>348</x:v>
      </x:c>
      <x:c r="B82" s="3" t="str">
        <x:f>IFERROR(VLOOKUP($A82,'01_宠物主表_好读版'!$A:$V,3,FALSE),"")</x:f>
        <x:v>薇莉塔</x:v>
      </x:c>
      <x:c r="C82" s="3" t="str">
        <x:f>IFERROR(VLOOKUP($A82,'01_宠物主表_好读版'!$A:$V,4,FALSE),"")</x:f>
        <x:v>风</x:v>
      </x:c>
      <x:c r="D82" s="3" t="str">
        <x:f>IFERROR(VLOOKUP($A82,'01_宠物主表_好读版'!$A:$V,8,FALSE),"")</x:f>
        <x:v>治疗</x:v>
      </x:c>
      <x:c r="E82" s="2" t="s">
        <x:v>1518</x:v>
      </x:c>
      <x:c r="F82" s="2" t="s">
        <x:v>1519</x:v>
      </x:c>
      <x:c r="G82" s="2" t="s">
        <x:v>1517</x:v>
      </x:c>
      <x:c r="H82" s="2">
        <x:v>4</x:v>
      </x:c>
      <x:c r="I82" s="2" t="s">
        <x:v>1510</x:v>
      </x:c>
      <x:c r="J82" s="2">
        <x:v>3</x:v>
      </x:c>
      <x:c r="K82" s="2" t="s">
        <x:v>43</x:v>
      </x:c>
      <x:c r="L82" s="2" t="s">
        <x:v>43</x:v>
      </x:c>
      <x:c r="M82" s="2" t="s">
        <x:v>43</x:v>
      </x:c>
      <x:c r="N82" s="2">
        <x:v>1</x:v>
      </x:c>
      <x:c r="O82" s="2" t="s">
        <x:v>73</x:v>
      </x:c>
      <x:c r="P82" s="2" t="s">
        <x:v>74</x:v>
      </x:c>
      <x:c r="Q82" s="2" t="s">
        <x:v>522</x:v>
      </x:c>
      <x:c r="R82" s="3" t="str">
        <x:f>IFERROR(VLOOKUP($Q82,'04_机制词条库_60条'!$B:$S,2,FALSE),"")</x:f>
        <x:v>无机制</x:v>
      </x:c>
      <x:c r="S82" s="2" t="s">
        <x:v>591</x:v>
      </x:c>
      <x:c r="T82" s="2" t="s">
        <x:v>1511</x:v>
      </x:c>
    </x:row>
    <x:row r="83" ht="22" customHeight="1">
      <x:c r="A83" s="2" t="s">
        <x:v>351</x:v>
      </x:c>
      <x:c r="B83" s="3" t="str">
        <x:f>IFERROR(VLOOKUP($A83,'01_宠物主表_好读版'!$A:$V,3,FALSE),"")</x:f>
        <x:v>绸笠蛾</x:v>
      </x:c>
      <x:c r="C83" s="3" t="str">
        <x:f>IFERROR(VLOOKUP($A83,'01_宠物主表_好读版'!$A:$V,4,FALSE),"")</x:f>
        <x:v>水</x:v>
      </x:c>
      <x:c r="D83" s="3" t="str">
        <x:f>IFERROR(VLOOKUP($A83,'01_宠物主表_好读版'!$A:$V,8,FALSE),"")</x:f>
        <x:v>治疗</x:v>
      </x:c>
      <x:c r="E83" s="2" t="s">
        <x:v>1518</x:v>
      </x:c>
      <x:c r="F83" s="2" t="s">
        <x:v>1519</x:v>
      </x:c>
      <x:c r="G83" s="2" t="s">
        <x:v>1517</x:v>
      </x:c>
      <x:c r="H83" s="2">
        <x:v>4</x:v>
      </x:c>
      <x:c r="I83" s="2" t="s">
        <x:v>1510</x:v>
      </x:c>
      <x:c r="J83" s="2">
        <x:v>3</x:v>
      </x:c>
      <x:c r="K83" s="2" t="s">
        <x:v>87</x:v>
      </x:c>
      <x:c r="L83" s="2" t="s">
        <x:v>87</x:v>
      </x:c>
      <x:c r="M83" s="2" t="s">
        <x:v>87</x:v>
      </x:c>
      <x:c r="N83" s="2">
        <x:v>1</x:v>
      </x:c>
      <x:c r="O83" s="2" t="s">
        <x:v>73</x:v>
      </x:c>
      <x:c r="P83" s="2" t="s">
        <x:v>74</x:v>
      </x:c>
      <x:c r="Q83" s="2" t="s">
        <x:v>522</x:v>
      </x:c>
      <x:c r="R83" s="3" t="str">
        <x:f>IFERROR(VLOOKUP($Q83,'04_机制词条库_60条'!$B:$S,2,FALSE),"")</x:f>
        <x:v>无机制</x:v>
      </x:c>
      <x:c r="S83" s="2" t="s">
        <x:v>591</x:v>
      </x:c>
      <x:c r="T83" s="2" t="s">
        <x:v>1511</x:v>
      </x:c>
    </x:row>
    <x:row r="84" ht="22" customHeight="1">
      <x:c r="A84" s="2" t="s">
        <x:v>354</x:v>
      </x:c>
      <x:c r="B84" s="3" t="str">
        <x:f>IFERROR(VLOOKUP($A84,'01_宠物主表_好读版'!$A:$V,3,FALSE),"")</x:f>
        <x:v>精灵龙</x:v>
      </x:c>
      <x:c r="C84" s="3" t="str">
        <x:f>IFERROR(VLOOKUP($A84,'01_宠物主表_好读版'!$A:$V,4,FALSE),"")</x:f>
        <x:v>风</x:v>
      </x:c>
      <x:c r="D84" s="3" t="str">
        <x:f>IFERROR(VLOOKUP($A84,'01_宠物主表_好读版'!$A:$V,8,FALSE),"")</x:f>
        <x:v>召唤</x:v>
      </x:c>
      <x:c r="E84" s="2" t="s">
        <x:v>1507</x:v>
      </x:c>
      <x:c r="F84" s="2" t="s">
        <x:v>1508</x:v>
      </x:c>
      <x:c r="G84" s="2" t="s">
        <x:v>1509</x:v>
      </x:c>
      <x:c r="H84" s="2">
        <x:v>1</x:v>
      </x:c>
      <x:c r="I84" s="2" t="s">
        <x:v>1510</x:v>
      </x:c>
      <x:c r="J84" s="2">
        <x:v>3</x:v>
      </x:c>
      <x:c r="K84" s="2" t="s">
        <x:v>43</x:v>
      </x:c>
      <x:c r="L84" s="2" t="s">
        <x:v>43</x:v>
      </x:c>
      <x:c r="M84" s="2" t="s">
        <x:v>43</x:v>
      </x:c>
      <x:c r="N84" s="2">
        <x:v>1</x:v>
      </x:c>
      <x:c r="O84" s="2" t="s">
        <x:v>50</x:v>
      </x:c>
      <x:c r="P84" s="2" t="s">
        <x:v>247</x:v>
      </x:c>
      <x:c r="Q84" s="2" t="s">
        <x:v>522</x:v>
      </x:c>
      <x:c r="R84" s="3" t="str">
        <x:f>IFERROR(VLOOKUP($Q84,'04_机制词条库_60条'!$B:$S,2,FALSE),"")</x:f>
        <x:v>无机制</x:v>
      </x:c>
      <x:c r="S84" s="2" t="s">
        <x:v>591</x:v>
      </x:c>
      <x:c r="T84" s="2" t="s">
        <x:v>1511</x:v>
      </x:c>
    </x:row>
    <x:row r="85" ht="22" customHeight="1">
      <x:c r="A85" s="2" t="s">
        <x:v>358</x:v>
      </x:c>
      <x:c r="B85" s="3" t="str">
        <x:f>IFERROR(VLOOKUP($A85,'01_宠物主表_好读版'!$A:$V,3,FALSE),"")</x:f>
        <x:v>水灵龙</x:v>
      </x:c>
      <x:c r="C85" s="3" t="str">
        <x:f>IFERROR(VLOOKUP($A85,'01_宠物主表_好读版'!$A:$V,4,FALSE),"")</x:f>
        <x:v>水</x:v>
      </x:c>
      <x:c r="D85" s="3" t="str">
        <x:f>IFERROR(VLOOKUP($A85,'01_宠物主表_好读版'!$A:$V,8,FALSE),"")</x:f>
        <x:v>治疗</x:v>
      </x:c>
      <x:c r="E85" s="2" t="s">
        <x:v>1518</x:v>
      </x:c>
      <x:c r="F85" s="2" t="s">
        <x:v>1519</x:v>
      </x:c>
      <x:c r="G85" s="2" t="s">
        <x:v>1517</x:v>
      </x:c>
      <x:c r="H85" s="2">
        <x:v>4</x:v>
      </x:c>
      <x:c r="I85" s="2" t="s">
        <x:v>1510</x:v>
      </x:c>
      <x:c r="J85" s="2">
        <x:v>3</x:v>
      </x:c>
      <x:c r="K85" s="2" t="s">
        <x:v>87</x:v>
      </x:c>
      <x:c r="L85" s="2" t="s">
        <x:v>87</x:v>
      </x:c>
      <x:c r="M85" s="2" t="s">
        <x:v>87</x:v>
      </x:c>
      <x:c r="N85" s="2">
        <x:v>1</x:v>
      </x:c>
      <x:c r="O85" s="2" t="s">
        <x:v>73</x:v>
      </x:c>
      <x:c r="P85" s="2" t="s">
        <x:v>74</x:v>
      </x:c>
      <x:c r="Q85" s="2" t="s">
        <x:v>522</x:v>
      </x:c>
      <x:c r="R85" s="3" t="str">
        <x:f>IFERROR(VLOOKUP($Q85,'04_机制词条库_60条'!$B:$S,2,FALSE),"")</x:f>
        <x:v>无机制</x:v>
      </x:c>
      <x:c r="S85" s="2" t="s">
        <x:v>591</x:v>
      </x:c>
      <x:c r="T85" s="2" t="s">
        <x:v>1511</x:v>
      </x:c>
    </x:row>
    <x:row r="86" ht="22" customHeight="1">
      <x:c r="A86" s="2" t="s">
        <x:v>362</x:v>
      </x:c>
      <x:c r="B86" s="3" t="str">
        <x:f>IFERROR(VLOOKUP($A86,'01_宠物主表_好读版'!$A:$V,3,FALSE),"")</x:f>
        <x:v>水灵儿</x:v>
      </x:c>
      <x:c r="C86" s="3" t="str">
        <x:f>IFERROR(VLOOKUP($A86,'01_宠物主表_好读版'!$A:$V,4,FALSE),"")</x:f>
        <x:v>水</x:v>
      </x:c>
      <x:c r="D86" s="3" t="str">
        <x:f>IFERROR(VLOOKUP($A86,'01_宠物主表_好读版'!$A:$V,8,FALSE),"")</x:f>
        <x:v>治疗</x:v>
      </x:c>
      <x:c r="E86" s="2" t="s">
        <x:v>1518</x:v>
      </x:c>
      <x:c r="F86" s="2" t="s">
        <x:v>1519</x:v>
      </x:c>
      <x:c r="G86" s="2" t="s">
        <x:v>1517</x:v>
      </x:c>
      <x:c r="H86" s="2">
        <x:v>4</x:v>
      </x:c>
      <x:c r="I86" s="2" t="s">
        <x:v>1510</x:v>
      </x:c>
      <x:c r="J86" s="2">
        <x:v>3</x:v>
      </x:c>
      <x:c r="K86" s="2" t="s">
        <x:v>87</x:v>
      </x:c>
      <x:c r="L86" s="2" t="s">
        <x:v>87</x:v>
      </x:c>
      <x:c r="M86" s="2" t="s">
        <x:v>87</x:v>
      </x:c>
      <x:c r="N86" s="2">
        <x:v>1</x:v>
      </x:c>
      <x:c r="O86" s="2" t="s">
        <x:v>73</x:v>
      </x:c>
      <x:c r="P86" s="2" t="s">
        <x:v>74</x:v>
      </x:c>
      <x:c r="Q86" s="2" t="s">
        <x:v>522</x:v>
      </x:c>
      <x:c r="R86" s="3" t="str">
        <x:f>IFERROR(VLOOKUP($Q86,'04_机制词条库_60条'!$B:$S,2,FALSE),"")</x:f>
        <x:v>无机制</x:v>
      </x:c>
      <x:c r="S86" s="2" t="s">
        <x:v>591</x:v>
      </x:c>
      <x:c r="T86" s="2" t="s">
        <x:v>1511</x:v>
      </x:c>
    </x:row>
    <x:row r="87" ht="22" customHeight="1">
      <x:c r="A87" s="2" t="s">
        <x:v>365</x:v>
      </x:c>
      <x:c r="B87" s="3" t="str">
        <x:f>IFERROR(VLOOKUP($A87,'01_宠物主表_好读版'!$A:$V,3,FALSE),"")</x:f>
        <x:v>火灵儿</x:v>
      </x:c>
      <x:c r="C87" s="3" t="str">
        <x:f>IFERROR(VLOOKUP($A87,'01_宠物主表_好读版'!$A:$V,4,FALSE),"")</x:f>
        <x:v>火</x:v>
      </x:c>
      <x:c r="D87" s="3" t="str">
        <x:f>IFERROR(VLOOKUP($A87,'01_宠物主表_好读版'!$A:$V,8,FALSE),"")</x:f>
        <x:v>输出</x:v>
      </x:c>
      <x:c r="E87" s="2" t="s">
        <x:v>1512</x:v>
      </x:c>
      <x:c r="F87" s="2" t="s">
        <x:v>1513</x:v>
      </x:c>
      <x:c r="G87" s="2" t="s">
        <x:v>1514</x:v>
      </x:c>
      <x:c r="H87" s="2">
        <x:v>3</x:v>
      </x:c>
      <x:c r="I87" s="2" t="s">
        <x:v>1510</x:v>
      </x:c>
      <x:c r="J87" s="2">
        <x:v>3</x:v>
      </x:c>
      <x:c r="K87" s="2" t="s">
        <x:v>79</x:v>
      </x:c>
      <x:c r="L87" s="2" t="s">
        <x:v>79</x:v>
      </x:c>
      <x:c r="M87" s="2" t="s">
        <x:v>79</x:v>
      </x:c>
      <x:c r="N87" s="2">
        <x:v>1</x:v>
      </x:c>
      <x:c r="O87" s="2" t="s">
        <x:v>81</x:v>
      </x:c>
      <x:c r="P87" s="2" t="s">
        <x:v>61</x:v>
      </x:c>
      <x:c r="Q87" s="2" t="s">
        <x:v>522</x:v>
      </x:c>
      <x:c r="R87" s="3" t="str">
        <x:f>IFERROR(VLOOKUP($Q87,'04_机制词条库_60条'!$B:$S,2,FALSE),"")</x:f>
        <x:v>无机制</x:v>
      </x:c>
      <x:c r="S87" s="2" t="s">
        <x:v>591</x:v>
      </x:c>
      <x:c r="T87" s="2" t="s">
        <x:v>1511</x:v>
      </x:c>
    </x:row>
    <x:row r="88" ht="22" customHeight="1">
      <x:c r="A88" s="2" t="s">
        <x:v>368</x:v>
      </x:c>
      <x:c r="B88" s="3" t="str">
        <x:f>IFERROR(VLOOKUP($A88,'01_宠物主表_好读版'!$A:$V,3,FALSE),"")</x:f>
        <x:v>碧海龙</x:v>
      </x:c>
      <x:c r="C88" s="3" t="str">
        <x:f>IFERROR(VLOOKUP($A88,'01_宠物主表_好读版'!$A:$V,4,FALSE),"")</x:f>
        <x:v>水</x:v>
      </x:c>
      <x:c r="D88" s="3" t="str">
        <x:f>IFERROR(VLOOKUP($A88,'01_宠物主表_好读版'!$A:$V,8,FALSE),"")</x:f>
        <x:v>治疗</x:v>
      </x:c>
      <x:c r="E88" s="2" t="s">
        <x:v>1518</x:v>
      </x:c>
      <x:c r="F88" s="2" t="s">
        <x:v>1519</x:v>
      </x:c>
      <x:c r="G88" s="2" t="s">
        <x:v>1517</x:v>
      </x:c>
      <x:c r="H88" s="2">
        <x:v>4</x:v>
      </x:c>
      <x:c r="I88" s="2" t="s">
        <x:v>1510</x:v>
      </x:c>
      <x:c r="J88" s="2">
        <x:v>3</x:v>
      </x:c>
      <x:c r="K88" s="2" t="s">
        <x:v>87</x:v>
      </x:c>
      <x:c r="L88" s="2" t="s">
        <x:v>87</x:v>
      </x:c>
      <x:c r="M88" s="2" t="s">
        <x:v>87</x:v>
      </x:c>
      <x:c r="N88" s="2">
        <x:v>1</x:v>
      </x:c>
      <x:c r="O88" s="2" t="s">
        <x:v>73</x:v>
      </x:c>
      <x:c r="P88" s="2" t="s">
        <x:v>74</x:v>
      </x:c>
      <x:c r="Q88" s="2" t="s">
        <x:v>522</x:v>
      </x:c>
      <x:c r="R88" s="3" t="str">
        <x:f>IFERROR(VLOOKUP($Q88,'04_机制词条库_60条'!$B:$S,2,FALSE),"")</x:f>
        <x:v>无机制</x:v>
      </x:c>
      <x:c r="S88" s="2" t="s">
        <x:v>591</x:v>
      </x:c>
      <x:c r="T88" s="2" t="s">
        <x:v>1511</x:v>
      </x:c>
    </x:row>
    <x:row r="89" ht="22" customHeight="1">
      <x:c r="A89" s="2" t="s">
        <x:v>372</x:v>
      </x:c>
      <x:c r="B89" s="3" t="str">
        <x:f>IFERROR(VLOOKUP($A89,'01_宠物主表_好读版'!$A:$V,3,FALSE),"")</x:f>
        <x:v>冰棘兽</x:v>
      </x:c>
      <x:c r="C89" s="3" t="str">
        <x:f>IFERROR(VLOOKUP($A89,'01_宠物主表_好读版'!$A:$V,4,FALSE),"")</x:f>
        <x:v>水</x:v>
      </x:c>
      <x:c r="D89" s="3" t="str">
        <x:f>IFERROR(VLOOKUP($A89,'01_宠物主表_好读版'!$A:$V,8,FALSE),"")</x:f>
        <x:v>坦克</x:v>
      </x:c>
      <x:c r="E89" s="2" t="s">
        <x:v>1512</x:v>
      </x:c>
      <x:c r="F89" s="2" t="s">
        <x:v>1513</x:v>
      </x:c>
      <x:c r="G89" s="2" t="s">
        <x:v>1514</x:v>
      </x:c>
      <x:c r="H89" s="2">
        <x:v>3</x:v>
      </x:c>
      <x:c r="I89" s="2" t="s">
        <x:v>1510</x:v>
      </x:c>
      <x:c r="J89" s="2">
        <x:v>3</x:v>
      </x:c>
      <x:c r="K89" s="2" t="s">
        <x:v>87</x:v>
      </x:c>
      <x:c r="L89" s="2" t="s">
        <x:v>87</x:v>
      </x:c>
      <x:c r="M89" s="2" t="s">
        <x:v>87</x:v>
      </x:c>
      <x:c r="N89" s="2">
        <x:v>1</x:v>
      </x:c>
      <x:c r="O89" s="2" t="s">
        <x:v>60</x:v>
      </x:c>
      <x:c r="P89" s="2" t="s">
        <x:v>61</x:v>
      </x:c>
      <x:c r="Q89" s="2" t="s">
        <x:v>522</x:v>
      </x:c>
      <x:c r="R89" s="3" t="str">
        <x:f>IFERROR(VLOOKUP($Q89,'04_机制词条库_60条'!$B:$S,2,FALSE),"")</x:f>
        <x:v>无机制</x:v>
      </x:c>
      <x:c r="S89" s="2" t="s">
        <x:v>591</x:v>
      </x:c>
      <x:c r="T89" s="2" t="s">
        <x:v>1511</x:v>
      </x:c>
    </x:row>
    <x:row r="90" ht="22" customHeight="1">
      <x:c r="A90" s="2" t="s">
        <x:v>376</x:v>
      </x:c>
      <x:c r="B90" s="3" t="str">
        <x:f>IFERROR(VLOOKUP($A90,'01_宠物主表_好读版'!$A:$V,3,FALSE),"")</x:f>
        <x:v>狱焰王</x:v>
      </x:c>
      <x:c r="C90" s="3" t="str">
        <x:f>IFERROR(VLOOKUP($A90,'01_宠物主表_好读版'!$A:$V,4,FALSE),"")</x:f>
        <x:v>火</x:v>
      </x:c>
      <x:c r="D90" s="3" t="str">
        <x:f>IFERROR(VLOOKUP($A90,'01_宠物主表_好读版'!$A:$V,8,FALSE),"")</x:f>
        <x:v>输出</x:v>
      </x:c>
      <x:c r="E90" s="2" t="s">
        <x:v>1512</x:v>
      </x:c>
      <x:c r="F90" s="2" t="s">
        <x:v>1513</x:v>
      </x:c>
      <x:c r="G90" s="2" t="s">
        <x:v>1514</x:v>
      </x:c>
      <x:c r="H90" s="2">
        <x:v>3</x:v>
      </x:c>
      <x:c r="I90" s="2" t="s">
        <x:v>1510</x:v>
      </x:c>
      <x:c r="J90" s="2">
        <x:v>3</x:v>
      </x:c>
      <x:c r="K90" s="2" t="s">
        <x:v>79</x:v>
      </x:c>
      <x:c r="L90" s="2" t="s">
        <x:v>79</x:v>
      </x:c>
      <x:c r="M90" s="2" t="s">
        <x:v>79</x:v>
      </x:c>
      <x:c r="N90" s="2">
        <x:v>1</x:v>
      </x:c>
      <x:c r="O90" s="2" t="s">
        <x:v>81</x:v>
      </x:c>
      <x:c r="P90" s="2" t="s">
        <x:v>61</x:v>
      </x:c>
      <x:c r="Q90" s="2" t="s">
        <x:v>522</x:v>
      </x:c>
      <x:c r="R90" s="3" t="str">
        <x:f>IFERROR(VLOOKUP($Q90,'04_机制词条库_60条'!$B:$S,2,FALSE),"")</x:f>
        <x:v>无机制</x:v>
      </x:c>
      <x:c r="S90" s="2" t="s">
        <x:v>591</x:v>
      </x:c>
      <x:c r="T90" s="2" t="s">
        <x:v>1511</x:v>
      </x:c>
    </x:row>
    <x:row r="91" ht="22" customHeight="1">
      <x:c r="A91" s="2" t="s">
        <x:v>379</x:v>
      </x:c>
      <x:c r="B91" s="3" t="str">
        <x:f>IFERROR(VLOOKUP($A91,'01_宠物主表_好读版'!$A:$V,3,FALSE),"")</x:f>
        <x:v>狱阎王</x:v>
      </x:c>
      <x:c r="C91" s="3" t="str">
        <x:f>IFERROR(VLOOKUP($A91,'01_宠物主表_好读版'!$A:$V,4,FALSE),"")</x:f>
        <x:v>火</x:v>
      </x:c>
      <x:c r="D91" s="3" t="str">
        <x:f>IFERROR(VLOOKUP($A91,'01_宠物主表_好读版'!$A:$V,8,FALSE),"")</x:f>
        <x:v>输出</x:v>
      </x:c>
      <x:c r="E91" s="2" t="s">
        <x:v>1512</x:v>
      </x:c>
      <x:c r="F91" s="2" t="s">
        <x:v>1513</x:v>
      </x:c>
      <x:c r="G91" s="2" t="s">
        <x:v>1514</x:v>
      </x:c>
      <x:c r="H91" s="2">
        <x:v>3</x:v>
      </x:c>
      <x:c r="I91" s="2" t="s">
        <x:v>1510</x:v>
      </x:c>
      <x:c r="J91" s="2">
        <x:v>3</x:v>
      </x:c>
      <x:c r="K91" s="2" t="s">
        <x:v>79</x:v>
      </x:c>
      <x:c r="L91" s="2" t="s">
        <x:v>79</x:v>
      </x:c>
      <x:c r="M91" s="2" t="s">
        <x:v>79</x:v>
      </x:c>
      <x:c r="N91" s="2">
        <x:v>1</x:v>
      </x:c>
      <x:c r="O91" s="2" t="s">
        <x:v>81</x:v>
      </x:c>
      <x:c r="P91" s="2" t="s">
        <x:v>61</x:v>
      </x:c>
      <x:c r="Q91" s="2" t="s">
        <x:v>522</x:v>
      </x:c>
      <x:c r="R91" s="3" t="str">
        <x:f>IFERROR(VLOOKUP($Q91,'04_机制词条库_60条'!$B:$S,2,FALSE),"")</x:f>
        <x:v>无机制</x:v>
      </x:c>
      <x:c r="S91" s="2" t="s">
        <x:v>591</x:v>
      </x:c>
      <x:c r="T91" s="2" t="s">
        <x:v>1511</x:v>
      </x:c>
    </x:row>
    <x:row r="92" ht="22" customHeight="1">
      <x:c r="A92" s="2" t="s">
        <x:v>382</x:v>
      </x:c>
      <x:c r="B92" s="3" t="str">
        <x:f>IFERROR(VLOOKUP($A92,'01_宠物主表_好读版'!$A:$V,3,FALSE),"")</x:f>
        <x:v>佩克龙</x:v>
      </x:c>
      <x:c r="C92" s="3" t="str">
        <x:f>IFERROR(VLOOKUP($A92,'01_宠物主表_好读版'!$A:$V,4,FALSE),"")</x:f>
        <x:v>水</x:v>
      </x:c>
      <x:c r="D92" s="3" t="str">
        <x:f>IFERROR(VLOOKUP($A92,'01_宠物主表_好读版'!$A:$V,8,FALSE),"")</x:f>
        <x:v>坦克</x:v>
      </x:c>
      <x:c r="E92" s="2" t="s">
        <x:v>1512</x:v>
      </x:c>
      <x:c r="F92" s="2" t="s">
        <x:v>1513</x:v>
      </x:c>
      <x:c r="G92" s="2" t="s">
        <x:v>1514</x:v>
      </x:c>
      <x:c r="H92" s="2">
        <x:v>3</x:v>
      </x:c>
      <x:c r="I92" s="2" t="s">
        <x:v>1510</x:v>
      </x:c>
      <x:c r="J92" s="2">
        <x:v>3</x:v>
      </x:c>
      <x:c r="K92" s="2" t="s">
        <x:v>87</x:v>
      </x:c>
      <x:c r="L92" s="2" t="s">
        <x:v>87</x:v>
      </x:c>
      <x:c r="M92" s="2" t="s">
        <x:v>87</x:v>
      </x:c>
      <x:c r="N92" s="2">
        <x:v>1</x:v>
      </x:c>
      <x:c r="O92" s="2" t="s">
        <x:v>60</x:v>
      </x:c>
      <x:c r="P92" s="2" t="s">
        <x:v>61</x:v>
      </x:c>
      <x:c r="Q92" s="2" t="s">
        <x:v>522</x:v>
      </x:c>
      <x:c r="R92" s="3" t="str">
        <x:f>IFERROR(VLOOKUP($Q92,'04_机制词条库_60条'!$B:$S,2,FALSE),"")</x:f>
        <x:v>无机制</x:v>
      </x:c>
      <x:c r="S92" s="2" t="s">
        <x:v>591</x:v>
      </x:c>
      <x:c r="T92" s="2" t="s">
        <x:v>1511</x:v>
      </x:c>
    </x:row>
    <x:row r="93" ht="22" customHeight="1">
      <x:c r="A93" s="2" t="s">
        <x:v>385</x:v>
      </x:c>
      <x:c r="B93" s="3" t="str">
        <x:f>IFERROR(VLOOKUP($A93,'01_宠物主表_好读版'!$A:$V,3,FALSE),"")</x:f>
        <x:v>派克龙</x:v>
      </x:c>
      <x:c r="C93" s="3" t="str">
        <x:f>IFERROR(VLOOKUP($A93,'01_宠物主表_好读版'!$A:$V,4,FALSE),"")</x:f>
        <x:v>风</x:v>
      </x:c>
      <x:c r="D93" s="3" t="str">
        <x:f>IFERROR(VLOOKUP($A93,'01_宠物主表_好读版'!$A:$V,8,FALSE),"")</x:f>
        <x:v>控制</x:v>
      </x:c>
      <x:c r="E93" s="2" t="s">
        <x:v>1515</x:v>
      </x:c>
      <x:c r="F93" s="2" t="s">
        <x:v>1516</x:v>
      </x:c>
      <x:c r="G93" s="2" t="s">
        <x:v>1517</x:v>
      </x:c>
      <x:c r="H93" s="2">
        <x:v>4</x:v>
      </x:c>
      <x:c r="I93" s="2" t="s">
        <x:v>1510</x:v>
      </x:c>
      <x:c r="J93" s="2">
        <x:v>3</x:v>
      </x:c>
      <x:c r="K93" s="2" t="s">
        <x:v>43</x:v>
      </x:c>
      <x:c r="L93" s="2" t="s">
        <x:v>43</x:v>
      </x:c>
      <x:c r="M93" s="2" t="s">
        <x:v>43</x:v>
      </x:c>
      <x:c r="N93" s="2">
        <x:v>1</x:v>
      </x:c>
      <x:c r="O93" s="2" t="s">
        <x:v>113</x:v>
      </x:c>
      <x:c r="P93" s="2" t="s">
        <x:v>114</x:v>
      </x:c>
      <x:c r="Q93" s="2" t="s">
        <x:v>522</x:v>
      </x:c>
      <x:c r="R93" s="3" t="str">
        <x:f>IFERROR(VLOOKUP($Q93,'04_机制词条库_60条'!$B:$S,2,FALSE),"")</x:f>
        <x:v>无机制</x:v>
      </x:c>
      <x:c r="S93" s="2" t="s">
        <x:v>591</x:v>
      </x:c>
      <x:c r="T93" s="2" t="s">
        <x:v>1511</x:v>
      </x:c>
    </x:row>
    <x:row r="94" ht="22" customHeight="1">
      <x:c r="A94" s="2" t="s">
        <x:v>389</x:v>
      </x:c>
      <x:c r="B94" s="3" t="str">
        <x:f>IFERROR(VLOOKUP($A94,'01_宠物主表_好读版'!$A:$V,3,FALSE),"")</x:f>
        <x:v>连理龙</x:v>
      </x:c>
      <x:c r="C94" s="3" t="str">
        <x:f>IFERROR(VLOOKUP($A94,'01_宠物主表_好读版'!$A:$V,4,FALSE),"")</x:f>
        <x:v>风</x:v>
      </x:c>
      <x:c r="D94" s="3" t="str">
        <x:f>IFERROR(VLOOKUP($A94,'01_宠物主表_好读版'!$A:$V,8,FALSE),"")</x:f>
        <x:v>召唤</x:v>
      </x:c>
      <x:c r="E94" s="2" t="s">
        <x:v>1507</x:v>
      </x:c>
      <x:c r="F94" s="2" t="s">
        <x:v>1508</x:v>
      </x:c>
      <x:c r="G94" s="2" t="s">
        <x:v>1509</x:v>
      </x:c>
      <x:c r="H94" s="2">
        <x:v>1</x:v>
      </x:c>
      <x:c r="I94" s="2" t="s">
        <x:v>1510</x:v>
      </x:c>
      <x:c r="J94" s="2">
        <x:v>3</x:v>
      </x:c>
      <x:c r="K94" s="2" t="s">
        <x:v>43</x:v>
      </x:c>
      <x:c r="L94" s="2" t="s">
        <x:v>43</x:v>
      </x:c>
      <x:c r="M94" s="2" t="s">
        <x:v>43</x:v>
      </x:c>
      <x:c r="N94" s="2">
        <x:v>1</x:v>
      </x:c>
      <x:c r="O94" s="2" t="s">
        <x:v>50</x:v>
      </x:c>
      <x:c r="P94" s="2" t="s">
        <x:v>247</x:v>
      </x:c>
      <x:c r="Q94" s="2" t="s">
        <x:v>522</x:v>
      </x:c>
      <x:c r="R94" s="3" t="str">
        <x:f>IFERROR(VLOOKUP($Q94,'04_机制词条库_60条'!$B:$S,2,FALSE),"")</x:f>
        <x:v>无机制</x:v>
      </x:c>
      <x:c r="S94" s="2" t="s">
        <x:v>591</x:v>
      </x:c>
      <x:c r="T94" s="2" t="s">
        <x:v>1511</x:v>
      </x:c>
    </x:row>
    <x:row r="95" ht="22" customHeight="1">
      <x:c r="A95" s="2" t="s">
        <x:v>392</x:v>
      </x:c>
      <x:c r="B95" s="3" t="str">
        <x:f>IFERROR(VLOOKUP($A95,'01_宠物主表_好读版'!$A:$V,3,FALSE),"")</x:f>
        <x:v>海誓龙</x:v>
      </x:c>
      <x:c r="C95" s="3" t="str">
        <x:f>IFERROR(VLOOKUP($A95,'01_宠物主表_好读版'!$A:$V,4,FALSE),"")</x:f>
        <x:v>水</x:v>
      </x:c>
      <x:c r="D95" s="3" t="str">
        <x:f>IFERROR(VLOOKUP($A95,'01_宠物主表_好读版'!$A:$V,8,FALSE),"")</x:f>
        <x:v>治疗</x:v>
      </x:c>
      <x:c r="E95" s="2" t="s">
        <x:v>1518</x:v>
      </x:c>
      <x:c r="F95" s="2" t="s">
        <x:v>1519</x:v>
      </x:c>
      <x:c r="G95" s="2" t="s">
        <x:v>1517</x:v>
      </x:c>
      <x:c r="H95" s="2">
        <x:v>4</x:v>
      </x:c>
      <x:c r="I95" s="2" t="s">
        <x:v>1510</x:v>
      </x:c>
      <x:c r="J95" s="2">
        <x:v>3</x:v>
      </x:c>
      <x:c r="K95" s="2" t="s">
        <x:v>87</x:v>
      </x:c>
      <x:c r="L95" s="2" t="s">
        <x:v>87</x:v>
      </x:c>
      <x:c r="M95" s="2" t="s">
        <x:v>87</x:v>
      </x:c>
      <x:c r="N95" s="2">
        <x:v>1</x:v>
      </x:c>
      <x:c r="O95" s="2" t="s">
        <x:v>73</x:v>
      </x:c>
      <x:c r="P95" s="2" t="s">
        <x:v>74</x:v>
      </x:c>
      <x:c r="Q95" s="2" t="s">
        <x:v>522</x:v>
      </x:c>
      <x:c r="R95" s="3" t="str">
        <x:f>IFERROR(VLOOKUP($Q95,'04_机制词条库_60条'!$B:$S,2,FALSE),"")</x:f>
        <x:v>无机制</x:v>
      </x:c>
      <x:c r="S95" s="2" t="s">
        <x:v>591</x:v>
      </x:c>
      <x:c r="T95" s="2" t="s">
        <x:v>1511</x:v>
      </x:c>
    </x:row>
    <x:row r="96" ht="22" customHeight="1">
      <x:c r="A96" s="2" t="s">
        <x:v>396</x:v>
      </x:c>
      <x:c r="B96" s="3" t="str">
        <x:f>IFERROR(VLOOKUP($A96,'01_宠物主表_好读版'!$A:$V,3,FALSE),"")</x:f>
        <x:v>花丽娜</x:v>
      </x:c>
      <x:c r="C96" s="3" t="str">
        <x:f>IFERROR(VLOOKUP($A96,'01_宠物主表_好读版'!$A:$V,4,FALSE),"")</x:f>
        <x:v>风</x:v>
      </x:c>
      <x:c r="D96" s="3" t="str">
        <x:f>IFERROR(VLOOKUP($A96,'01_宠物主表_好读版'!$A:$V,8,FALSE),"")</x:f>
        <x:v>治疗</x:v>
      </x:c>
      <x:c r="E96" s="2" t="s">
        <x:v>1518</x:v>
      </x:c>
      <x:c r="F96" s="2" t="s">
        <x:v>1519</x:v>
      </x:c>
      <x:c r="G96" s="2" t="s">
        <x:v>1517</x:v>
      </x:c>
      <x:c r="H96" s="2">
        <x:v>4</x:v>
      </x:c>
      <x:c r="I96" s="2" t="s">
        <x:v>1510</x:v>
      </x:c>
      <x:c r="J96" s="2">
        <x:v>3</x:v>
      </x:c>
      <x:c r="K96" s="2" t="s">
        <x:v>43</x:v>
      </x:c>
      <x:c r="L96" s="2" t="s">
        <x:v>43</x:v>
      </x:c>
      <x:c r="M96" s="2" t="s">
        <x:v>43</x:v>
      </x:c>
      <x:c r="N96" s="2">
        <x:v>1</x:v>
      </x:c>
      <x:c r="O96" s="2" t="s">
        <x:v>73</x:v>
      </x:c>
      <x:c r="P96" s="2" t="s">
        <x:v>74</x:v>
      </x:c>
      <x:c r="Q96" s="2" t="s">
        <x:v>522</x:v>
      </x:c>
      <x:c r="R96" s="3" t="str">
        <x:f>IFERROR(VLOOKUP($Q96,'04_机制词条库_60条'!$B:$S,2,FALSE),"")</x:f>
        <x:v>无机制</x:v>
      </x:c>
      <x:c r="S96" s="2" t="s">
        <x:v>591</x:v>
      </x:c>
      <x:c r="T96" s="2" t="s">
        <x:v>1511</x:v>
      </x:c>
    </x:row>
    <x:row r="97" ht="22" customHeight="1">
      <x:c r="A97" s="2" t="s">
        <x:v>399</x:v>
      </x:c>
      <x:c r="B97" s="3" t="str">
        <x:f>IFERROR(VLOOKUP($A97,'01_宠物主表_好读版'!$A:$V,3,FALSE),"")</x:f>
        <x:v>熔岩兽</x:v>
      </x:c>
      <x:c r="C97" s="3" t="str">
        <x:f>IFERROR(VLOOKUP($A97,'01_宠物主表_好读版'!$A:$V,4,FALSE),"")</x:f>
        <x:v>火</x:v>
      </x:c>
      <x:c r="D97" s="3" t="str">
        <x:f>IFERROR(VLOOKUP($A97,'01_宠物主表_好读版'!$A:$V,8,FALSE),"")</x:f>
        <x:v>坦克</x:v>
      </x:c>
      <x:c r="E97" s="2" t="s">
        <x:v>1512</x:v>
      </x:c>
      <x:c r="F97" s="2" t="s">
        <x:v>1513</x:v>
      </x:c>
      <x:c r="G97" s="2" t="s">
        <x:v>1514</x:v>
      </x:c>
      <x:c r="H97" s="2">
        <x:v>3</x:v>
      </x:c>
      <x:c r="I97" s="2" t="s">
        <x:v>1510</x:v>
      </x:c>
      <x:c r="J97" s="2">
        <x:v>3</x:v>
      </x:c>
      <x:c r="K97" s="2" t="s">
        <x:v>79</x:v>
      </x:c>
      <x:c r="L97" s="2" t="s">
        <x:v>79</x:v>
      </x:c>
      <x:c r="M97" s="2" t="s">
        <x:v>79</x:v>
      </x:c>
      <x:c r="N97" s="2">
        <x:v>1</x:v>
      </x:c>
      <x:c r="O97" s="2" t="s">
        <x:v>60</x:v>
      </x:c>
      <x:c r="P97" s="2" t="s">
        <x:v>61</x:v>
      </x:c>
      <x:c r="Q97" s="2" t="s">
        <x:v>522</x:v>
      </x:c>
      <x:c r="R97" s="3" t="str">
        <x:f>IFERROR(VLOOKUP($Q97,'04_机制词条库_60条'!$B:$S,2,FALSE),"")</x:f>
        <x:v>无机制</x:v>
      </x:c>
      <x:c r="S97" s="2" t="s">
        <x:v>591</x:v>
      </x:c>
      <x:c r="T97" s="2" t="s">
        <x:v>1511</x:v>
      </x:c>
    </x:row>
    <x:row r="98" ht="22" customHeight="1">
      <x:c r="A98" s="2" t="s">
        <x:v>404</x:v>
      </x:c>
      <x:c r="B98" s="3" t="str">
        <x:f>IFERROR(VLOOKUP($A98,'01_宠物主表_好读版'!$A:$V,3,FALSE),"")</x:f>
        <x:v>寒霜兽</x:v>
      </x:c>
      <x:c r="C98" s="3" t="str">
        <x:f>IFERROR(VLOOKUP($A98,'01_宠物主表_好读版'!$A:$V,4,FALSE),"")</x:f>
        <x:v>水</x:v>
      </x:c>
      <x:c r="D98" s="3" t="str">
        <x:f>IFERROR(VLOOKUP($A98,'01_宠物主表_好读版'!$A:$V,8,FALSE),"")</x:f>
        <x:v>坦克</x:v>
      </x:c>
      <x:c r="E98" s="2" t="s">
        <x:v>1512</x:v>
      </x:c>
      <x:c r="F98" s="2" t="s">
        <x:v>1513</x:v>
      </x:c>
      <x:c r="G98" s="2" t="s">
        <x:v>1514</x:v>
      </x:c>
      <x:c r="H98" s="2">
        <x:v>3</x:v>
      </x:c>
      <x:c r="I98" s="2" t="s">
        <x:v>1510</x:v>
      </x:c>
      <x:c r="J98" s="2">
        <x:v>3</x:v>
      </x:c>
      <x:c r="K98" s="2" t="s">
        <x:v>87</x:v>
      </x:c>
      <x:c r="L98" s="2" t="s">
        <x:v>87</x:v>
      </x:c>
      <x:c r="M98" s="2" t="s">
        <x:v>87</x:v>
      </x:c>
      <x:c r="N98" s="2">
        <x:v>1</x:v>
      </x:c>
      <x:c r="O98" s="2" t="s">
        <x:v>60</x:v>
      </x:c>
      <x:c r="P98" s="2" t="s">
        <x:v>61</x:v>
      </x:c>
      <x:c r="Q98" s="2" t="s">
        <x:v>522</x:v>
      </x:c>
      <x:c r="R98" s="3" t="str">
        <x:f>IFERROR(VLOOKUP($Q98,'04_机制词条库_60条'!$B:$S,2,FALSE),"")</x:f>
        <x:v>无机制</x:v>
      </x:c>
      <x:c r="S98" s="2" t="s">
        <x:v>591</x:v>
      </x:c>
      <x:c r="T98" s="2" t="s">
        <x:v>1511</x:v>
      </x:c>
    </x:row>
    <x:row r="99" ht="22" customHeight="1">
      <x:c r="A99" s="2" t="s">
        <x:v>408</x:v>
      </x:c>
      <x:c r="B99" s="3" t="str">
        <x:f>IFERROR(VLOOKUP($A99,'01_宠物主表_好读版'!$A:$V,3,FALSE),"")</x:f>
        <x:v>君王美露帕</x:v>
      </x:c>
      <x:c r="C99" s="3" t="str">
        <x:f>IFERROR(VLOOKUP($A99,'01_宠物主表_好读版'!$A:$V,4,FALSE),"")</x:f>
        <x:v>风</x:v>
      </x:c>
      <x:c r="D99" s="3" t="str">
        <x:f>IFERROR(VLOOKUP($A99,'01_宠物主表_好读版'!$A:$V,8,FALSE),"")</x:f>
        <x:v>经济</x:v>
      </x:c>
      <x:c r="E99" s="2" t="s">
        <x:v>1507</x:v>
      </x:c>
      <x:c r="F99" s="2" t="s">
        <x:v>1508</x:v>
      </x:c>
      <x:c r="G99" s="2" t="s">
        <x:v>1509</x:v>
      </x:c>
      <x:c r="H99" s="2">
        <x:v>1</x:v>
      </x:c>
      <x:c r="I99" s="2" t="s">
        <x:v>1510</x:v>
      </x:c>
      <x:c r="J99" s="2">
        <x:v>3</x:v>
      </x:c>
      <x:c r="K99" s="2" t="s">
        <x:v>43</x:v>
      </x:c>
      <x:c r="L99" s="2" t="s">
        <x:v>43</x:v>
      </x:c>
      <x:c r="M99" s="2" t="s">
        <x:v>43</x:v>
      </x:c>
      <x:c r="N99" s="2">
        <x:v>1</x:v>
      </x:c>
      <x:c r="O99" s="2" t="s">
        <x:v>50</x:v>
      </x:c>
      <x:c r="P99" s="2" t="s">
        <x:v>51</x:v>
      </x:c>
      <x:c r="Q99" s="2" t="s">
        <x:v>522</x:v>
      </x:c>
      <x:c r="R99" s="3" t="str">
        <x:f>IFERROR(VLOOKUP($Q99,'04_机制词条库_60条'!$B:$S,2,FALSE),"")</x:f>
        <x:v>无机制</x:v>
      </x:c>
      <x:c r="S99" s="2" t="s">
        <x:v>591</x:v>
      </x:c>
      <x:c r="T99" s="2" t="s">
        <x:v>1511</x:v>
      </x:c>
    </x:row>
    <x:row r="100" ht="22" customHeight="1">
      <x:c r="A100" s="2" t="s">
        <x:v>411</x:v>
      </x:c>
      <x:c r="B100" s="3" t="str">
        <x:f>IFERROR(VLOOKUP($A100,'01_宠物主表_好读版'!$A:$V,3,FALSE),"")</x:f>
        <x:v>冰帝美露帕</x:v>
      </x:c>
      <x:c r="C100" s="3" t="str">
        <x:f>IFERROR(VLOOKUP($A100,'01_宠物主表_好读版'!$A:$V,4,FALSE),"")</x:f>
        <x:v>水</x:v>
      </x:c>
      <x:c r="D100" s="3" t="str">
        <x:f>IFERROR(VLOOKUP($A100,'01_宠物主表_好读版'!$A:$V,8,FALSE),"")</x:f>
        <x:v>坦克</x:v>
      </x:c>
      <x:c r="E100" s="2" t="s">
        <x:v>1512</x:v>
      </x:c>
      <x:c r="F100" s="2" t="s">
        <x:v>1513</x:v>
      </x:c>
      <x:c r="G100" s="2" t="s">
        <x:v>1514</x:v>
      </x:c>
      <x:c r="H100" s="2">
        <x:v>3</x:v>
      </x:c>
      <x:c r="I100" s="2" t="s">
        <x:v>1510</x:v>
      </x:c>
      <x:c r="J100" s="2">
        <x:v>3</x:v>
      </x:c>
      <x:c r="K100" s="2" t="s">
        <x:v>87</x:v>
      </x:c>
      <x:c r="L100" s="2" t="s">
        <x:v>87</x:v>
      </x:c>
      <x:c r="M100" s="2" t="s">
        <x:v>87</x:v>
      </x:c>
      <x:c r="N100" s="2">
        <x:v>1</x:v>
      </x:c>
      <x:c r="O100" s="2" t="s">
        <x:v>60</x:v>
      </x:c>
      <x:c r="P100" s="2" t="s">
        <x:v>61</x:v>
      </x:c>
      <x:c r="Q100" s="2" t="s">
        <x:v>522</x:v>
      </x:c>
      <x:c r="R100" s="3" t="str">
        <x:f>IFERROR(VLOOKUP($Q100,'04_机制词条库_60条'!$B:$S,2,FALSE),"")</x:f>
        <x:v>无机制</x:v>
      </x:c>
      <x:c r="S100" s="2" t="s">
        <x:v>591</x:v>
      </x:c>
      <x:c r="T100" s="2" t="s">
        <x:v>1511</x:v>
      </x:c>
    </x:row>
    <x:row r="101" ht="22" customHeight="1">
      <x:c r="A101" s="2" t="s">
        <x:v>414</x:v>
      </x:c>
      <x:c r="B101" s="3" t="str">
        <x:f>IFERROR(VLOOKUP($A101,'01_宠物主表_好读版'!$A:$V,3,FALSE),"")</x:f>
        <x:v>森猛犸</x:v>
      </x:c>
      <x:c r="C101" s="3" t="str">
        <x:f>IFERROR(VLOOKUP($A101,'01_宠物主表_好读版'!$A:$V,4,FALSE),"")</x:f>
        <x:v>风</x:v>
      </x:c>
      <x:c r="D101" s="3" t="str">
        <x:f>IFERROR(VLOOKUP($A101,'01_宠物主表_好读版'!$A:$V,8,FALSE),"")</x:f>
        <x:v>坦克</x:v>
      </x:c>
      <x:c r="E101" s="2" t="s">
        <x:v>1512</x:v>
      </x:c>
      <x:c r="F101" s="2" t="s">
        <x:v>1513</x:v>
      </x:c>
      <x:c r="G101" s="2" t="s">
        <x:v>1514</x:v>
      </x:c>
      <x:c r="H101" s="2">
        <x:v>3</x:v>
      </x:c>
      <x:c r="I101" s="2" t="s">
        <x:v>1510</x:v>
      </x:c>
      <x:c r="J101" s="2">
        <x:v>3</x:v>
      </x:c>
      <x:c r="K101" s="2" t="s">
        <x:v>43</x:v>
      </x:c>
      <x:c r="L101" s="2" t="s">
        <x:v>43</x:v>
      </x:c>
      <x:c r="M101" s="2" t="s">
        <x:v>43</x:v>
      </x:c>
      <x:c r="N101" s="2">
        <x:v>1</x:v>
      </x:c>
      <x:c r="O101" s="2" t="s">
        <x:v>60</x:v>
      </x:c>
      <x:c r="P101" s="2" t="s">
        <x:v>61</x:v>
      </x:c>
      <x:c r="Q101" s="2" t="s">
        <x:v>522</x:v>
      </x:c>
      <x:c r="R101" s="3" t="str">
        <x:f>IFERROR(VLOOKUP($Q101,'04_机制词条库_60条'!$B:$S,2,FALSE),"")</x:f>
        <x:v>无机制</x:v>
      </x:c>
      <x:c r="S101" s="2" t="s">
        <x:v>591</x:v>
      </x:c>
      <x:c r="T101" s="2" t="s">
        <x:v>1511</x:v>
      </x:c>
    </x:row>
    <x:row r="102" ht="22" customHeight="1">
      <x:c r="A102" s="2" t="s">
        <x:v>417</x:v>
      </x:c>
      <x:c r="B102" s="3" t="str">
        <x:f>IFERROR(VLOOKUP($A102,'01_宠物主表_好读版'!$A:$V,3,FALSE),"")</x:f>
        <x:v>雪猛犸</x:v>
      </x:c>
      <x:c r="C102" s="3" t="str">
        <x:f>IFERROR(VLOOKUP($A102,'01_宠物主表_好读版'!$A:$V,4,FALSE),"")</x:f>
        <x:v>水</x:v>
      </x:c>
      <x:c r="D102" s="3" t="str">
        <x:f>IFERROR(VLOOKUP($A102,'01_宠物主表_好读版'!$A:$V,8,FALSE),"")</x:f>
        <x:v>坦克</x:v>
      </x:c>
      <x:c r="E102" s="2" t="s">
        <x:v>1512</x:v>
      </x:c>
      <x:c r="F102" s="2" t="s">
        <x:v>1513</x:v>
      </x:c>
      <x:c r="G102" s="2" t="s">
        <x:v>1514</x:v>
      </x:c>
      <x:c r="H102" s="2">
        <x:v>3</x:v>
      </x:c>
      <x:c r="I102" s="2" t="s">
        <x:v>1510</x:v>
      </x:c>
      <x:c r="J102" s="2">
        <x:v>3</x:v>
      </x:c>
      <x:c r="K102" s="2" t="s">
        <x:v>87</x:v>
      </x:c>
      <x:c r="L102" s="2" t="s">
        <x:v>87</x:v>
      </x:c>
      <x:c r="M102" s="2" t="s">
        <x:v>87</x:v>
      </x:c>
      <x:c r="N102" s="2">
        <x:v>1</x:v>
      </x:c>
      <x:c r="O102" s="2" t="s">
        <x:v>60</x:v>
      </x:c>
      <x:c r="P102" s="2" t="s">
        <x:v>61</x:v>
      </x:c>
      <x:c r="Q102" s="2" t="s">
        <x:v>522</x:v>
      </x:c>
      <x:c r="R102" s="3" t="str">
        <x:f>IFERROR(VLOOKUP($Q102,'04_机制词条库_60条'!$B:$S,2,FALSE),"")</x:f>
        <x:v>无机制</x:v>
      </x:c>
      <x:c r="S102" s="2" t="s">
        <x:v>591</x:v>
      </x:c>
      <x:c r="T102" s="2" t="s">
        <x:v>1511</x:v>
      </x:c>
    </x:row>
    <x:row r="103" ht="22" customHeight="1">
      <x:c r="A103" s="2" t="s">
        <x:v>420</x:v>
      </x:c>
      <x:c r="B103" s="3" t="str">
        <x:f>IFERROR(VLOOKUP($A103,'01_宠物主表_好读版'!$A:$V,3,FALSE),"")</x:f>
        <x:v>白绒雪怪</x:v>
      </x:c>
      <x:c r="C103" s="3" t="str">
        <x:f>IFERROR(VLOOKUP($A103,'01_宠物主表_好读版'!$A:$V,4,FALSE),"")</x:f>
        <x:v>水</x:v>
      </x:c>
      <x:c r="D103" s="3" t="str">
        <x:f>IFERROR(VLOOKUP($A103,'01_宠物主表_好读版'!$A:$V,8,FALSE),"")</x:f>
        <x:v>坦克</x:v>
      </x:c>
      <x:c r="E103" s="2" t="s">
        <x:v>1512</x:v>
      </x:c>
      <x:c r="F103" s="2" t="s">
        <x:v>1513</x:v>
      </x:c>
      <x:c r="G103" s="2" t="s">
        <x:v>1514</x:v>
      </x:c>
      <x:c r="H103" s="2">
        <x:v>3</x:v>
      </x:c>
      <x:c r="I103" s="2" t="s">
        <x:v>1510</x:v>
      </x:c>
      <x:c r="J103" s="2">
        <x:v>3</x:v>
      </x:c>
      <x:c r="K103" s="2" t="s">
        <x:v>87</x:v>
      </x:c>
      <x:c r="L103" s="2" t="s">
        <x:v>87</x:v>
      </x:c>
      <x:c r="M103" s="2" t="s">
        <x:v>87</x:v>
      </x:c>
      <x:c r="N103" s="2">
        <x:v>1</x:v>
      </x:c>
      <x:c r="O103" s="2" t="s">
        <x:v>60</x:v>
      </x:c>
      <x:c r="P103" s="2" t="s">
        <x:v>61</x:v>
      </x:c>
      <x:c r="Q103" s="2" t="s">
        <x:v>522</x:v>
      </x:c>
      <x:c r="R103" s="3" t="str">
        <x:f>IFERROR(VLOOKUP($Q103,'04_机制词条库_60条'!$B:$S,2,FALSE),"")</x:f>
        <x:v>无机制</x:v>
      </x:c>
      <x:c r="S103" s="2" t="s">
        <x:v>591</x:v>
      </x:c>
      <x:c r="T103" s="2" t="s">
        <x:v>1511</x:v>
      </x:c>
    </x:row>
    <x:row r="104" ht="22" customHeight="1">
      <x:c r="A104" s="2" t="s">
        <x:v>423</x:v>
      </x:c>
      <x:c r="B104" s="3" t="str">
        <x:f>IFERROR(VLOOKUP($A104,'01_宠物主表_好读版'!$A:$V,3,FALSE),"")</x:f>
        <x:v>绿苔绒怪</x:v>
      </x:c>
      <x:c r="C104" s="3" t="str">
        <x:f>IFERROR(VLOOKUP($A104,'01_宠物主表_好读版'!$A:$V,4,FALSE),"")</x:f>
        <x:v>风</x:v>
      </x:c>
      <x:c r="D104" s="3" t="str">
        <x:f>IFERROR(VLOOKUP($A104,'01_宠物主表_好读版'!$A:$V,8,FALSE),"")</x:f>
        <x:v>坦克</x:v>
      </x:c>
      <x:c r="E104" s="2" t="s">
        <x:v>1512</x:v>
      </x:c>
      <x:c r="F104" s="2" t="s">
        <x:v>1513</x:v>
      </x:c>
      <x:c r="G104" s="2" t="s">
        <x:v>1514</x:v>
      </x:c>
      <x:c r="H104" s="2">
        <x:v>3</x:v>
      </x:c>
      <x:c r="I104" s="2" t="s">
        <x:v>1510</x:v>
      </x:c>
      <x:c r="J104" s="2">
        <x:v>3</x:v>
      </x:c>
      <x:c r="K104" s="2" t="s">
        <x:v>43</x:v>
      </x:c>
      <x:c r="L104" s="2" t="s">
        <x:v>43</x:v>
      </x:c>
      <x:c r="M104" s="2" t="s">
        <x:v>43</x:v>
      </x:c>
      <x:c r="N104" s="2">
        <x:v>1</x:v>
      </x:c>
      <x:c r="O104" s="2" t="s">
        <x:v>60</x:v>
      </x:c>
      <x:c r="P104" s="2" t="s">
        <x:v>61</x:v>
      </x:c>
      <x:c r="Q104" s="2" t="s">
        <x:v>522</x:v>
      </x:c>
      <x:c r="R104" s="3" t="str">
        <x:f>IFERROR(VLOOKUP($Q104,'04_机制词条库_60条'!$B:$S,2,FALSE),"")</x:f>
        <x:v>无机制</x:v>
      </x:c>
      <x:c r="S104" s="2" t="s">
        <x:v>591</x:v>
      </x:c>
      <x:c r="T104" s="2" t="s">
        <x:v>1511</x:v>
      </x:c>
    </x:row>
    <x:row r="105" ht="22" customHeight="1">
      <x:c r="A105" s="2" t="s">
        <x:v>426</x:v>
      </x:c>
      <x:c r="B105" s="3" t="str">
        <x:f>IFERROR(VLOOKUP($A105,'01_宠物主表_好读版'!$A:$V,3,FALSE),"")</x:f>
        <x:v>铠格力斯</x:v>
      </x:c>
      <x:c r="C105" s="3" t="str">
        <x:f>IFERROR(VLOOKUP($A105,'01_宠物主表_好读版'!$A:$V,4,FALSE),"")</x:f>
        <x:v>土</x:v>
      </x:c>
      <x:c r="D105" s="3" t="str">
        <x:f>IFERROR(VLOOKUP($A105,'01_宠物主表_好读版'!$A:$V,8,FALSE),"")</x:f>
        <x:v>坦克</x:v>
      </x:c>
      <x:c r="E105" s="2" t="s">
        <x:v>1512</x:v>
      </x:c>
      <x:c r="F105" s="2" t="s">
        <x:v>1513</x:v>
      </x:c>
      <x:c r="G105" s="2" t="s">
        <x:v>1514</x:v>
      </x:c>
      <x:c r="H105" s="2">
        <x:v>3</x:v>
      </x:c>
      <x:c r="I105" s="2" t="s">
        <x:v>1510</x:v>
      </x:c>
      <x:c r="J105" s="2">
        <x:v>3</x:v>
      </x:c>
      <x:c r="K105" s="2" t="s">
        <x:v>120</x:v>
      </x:c>
      <x:c r="L105" s="2" t="s">
        <x:v>120</x:v>
      </x:c>
      <x:c r="M105" s="2" t="s">
        <x:v>120</x:v>
      </x:c>
      <x:c r="N105" s="2">
        <x:v>1</x:v>
      </x:c>
      <x:c r="O105" s="2" t="s">
        <x:v>60</x:v>
      </x:c>
      <x:c r="P105" s="2" t="s">
        <x:v>61</x:v>
      </x:c>
      <x:c r="Q105" s="2" t="s">
        <x:v>522</x:v>
      </x:c>
      <x:c r="R105" s="3" t="str">
        <x:f>IFERROR(VLOOKUP($Q105,'04_机制词条库_60条'!$B:$S,2,FALSE),"")</x:f>
        <x:v>无机制</x:v>
      </x:c>
      <x:c r="S105" s="2" t="s">
        <x:v>591</x:v>
      </x:c>
      <x:c r="T105" s="2" t="s">
        <x:v>1511</x:v>
      </x:c>
    </x:row>
    <x:row r="106" ht="22" customHeight="1">
      <x:c r="A106" s="2" t="s">
        <x:v>430</x:v>
      </x:c>
      <x:c r="B106" s="3" t="str">
        <x:f>IFERROR(VLOOKUP($A106,'01_宠物主表_好读版'!$A:$V,3,FALSE),"")</x:f>
        <x:v>云海鹿</x:v>
      </x:c>
      <x:c r="C106" s="3" t="str">
        <x:f>IFERROR(VLOOKUP($A106,'01_宠物主表_好读版'!$A:$V,4,FALSE),"")</x:f>
        <x:v>风</x:v>
      </x:c>
      <x:c r="D106" s="3" t="str">
        <x:f>IFERROR(VLOOKUP($A106,'01_宠物主表_好读版'!$A:$V,8,FALSE),"")</x:f>
        <x:v>机动</x:v>
      </x:c>
      <x:c r="E106" s="2" t="s">
        <x:v>1515</x:v>
      </x:c>
      <x:c r="F106" s="2" t="s">
        <x:v>1516</x:v>
      </x:c>
      <x:c r="G106" s="2" t="s">
        <x:v>1517</x:v>
      </x:c>
      <x:c r="H106" s="2">
        <x:v>4</x:v>
      </x:c>
      <x:c r="I106" s="2" t="s">
        <x:v>1510</x:v>
      </x:c>
      <x:c r="J106" s="2">
        <x:v>3</x:v>
      </x:c>
      <x:c r="K106" s="2" t="s">
        <x:v>43</x:v>
      </x:c>
      <x:c r="L106" s="2" t="s">
        <x:v>43</x:v>
      </x:c>
      <x:c r="M106" s="2" t="s">
        <x:v>43</x:v>
      </x:c>
      <x:c r="N106" s="2">
        <x:v>1</x:v>
      </x:c>
      <x:c r="O106" s="2" t="s">
        <x:v>113</x:v>
      </x:c>
      <x:c r="P106" s="2" t="s">
        <x:v>114</x:v>
      </x:c>
      <x:c r="Q106" s="2" t="s">
        <x:v>522</x:v>
      </x:c>
      <x:c r="R106" s="3" t="str">
        <x:f>IFERROR(VLOOKUP($Q106,'04_机制词条库_60条'!$B:$S,2,FALSE),"")</x:f>
        <x:v>无机制</x:v>
      </x:c>
      <x:c r="S106" s="2" t="s">
        <x:v>591</x:v>
      </x:c>
      <x:c r="T106" s="2" t="s">
        <x:v>1511</x:v>
      </x:c>
    </x:row>
    <x:row r="107" ht="22" customHeight="1">
      <x:c r="A107" s="2" t="s">
        <x:v>433</x:v>
      </x:c>
      <x:c r="B107" s="3" t="str">
        <x:f>IFERROR(VLOOKUP($A107,'01_宠物主表_好读版'!$A:$V,3,FALSE),"")</x:f>
        <x:v>夜幕魔蝠</x:v>
      </x:c>
      <x:c r="C107" s="3" t="str">
        <x:f>IFERROR(VLOOKUP($A107,'01_宠物主表_好读版'!$A:$V,4,FALSE),"")</x:f>
        <x:v>土</x:v>
      </x:c>
      <x:c r="D107" s="3" t="str">
        <x:f>IFERROR(VLOOKUP($A107,'01_宠物主表_好读版'!$A:$V,8,FALSE),"")</x:f>
        <x:v>坦克</x:v>
      </x:c>
      <x:c r="E107" s="2" t="s">
        <x:v>1512</x:v>
      </x:c>
      <x:c r="F107" s="2" t="s">
        <x:v>1513</x:v>
      </x:c>
      <x:c r="G107" s="2" t="s">
        <x:v>1514</x:v>
      </x:c>
      <x:c r="H107" s="2">
        <x:v>3</x:v>
      </x:c>
      <x:c r="I107" s="2" t="s">
        <x:v>1510</x:v>
      </x:c>
      <x:c r="J107" s="2">
        <x:v>3</x:v>
      </x:c>
      <x:c r="K107" s="2" t="s">
        <x:v>120</x:v>
      </x:c>
      <x:c r="L107" s="2" t="s">
        <x:v>120</x:v>
      </x:c>
      <x:c r="M107" s="2" t="s">
        <x:v>120</x:v>
      </x:c>
      <x:c r="N107" s="2">
        <x:v>1</x:v>
      </x:c>
      <x:c r="O107" s="2" t="s">
        <x:v>60</x:v>
      </x:c>
      <x:c r="P107" s="2" t="s">
        <x:v>61</x:v>
      </x:c>
      <x:c r="Q107" s="2" t="s">
        <x:v>522</x:v>
      </x:c>
      <x:c r="R107" s="3" t="str">
        <x:f>IFERROR(VLOOKUP($Q107,'04_机制词条库_60条'!$B:$S,2,FALSE),"")</x:f>
        <x:v>无机制</x:v>
      </x:c>
      <x:c r="S107" s="2" t="s">
        <x:v>591</x:v>
      </x:c>
      <x:c r="T107" s="2" t="s">
        <x:v>1511</x:v>
      </x:c>
    </x:row>
    <x:row r="108" ht="22" customHeight="1">
      <x:c r="A108" s="2" t="s">
        <x:v>436</x:v>
      </x:c>
      <x:c r="B108" s="3" t="str">
        <x:f>IFERROR(VLOOKUP($A108,'01_宠物主表_好读版'!$A:$V,3,FALSE),"")</x:f>
        <x:v>天羽龙</x:v>
      </x:c>
      <x:c r="C108" s="3" t="str">
        <x:f>IFERROR(VLOOKUP($A108,'01_宠物主表_好读版'!$A:$V,4,FALSE),"")</x:f>
        <x:v>风</x:v>
      </x:c>
      <x:c r="D108" s="3" t="str">
        <x:f>IFERROR(VLOOKUP($A108,'01_宠物主表_好读版'!$A:$V,8,FALSE),"")</x:f>
        <x:v>机动</x:v>
      </x:c>
      <x:c r="E108" s="2" t="s">
        <x:v>1515</x:v>
      </x:c>
      <x:c r="F108" s="2" t="s">
        <x:v>1516</x:v>
      </x:c>
      <x:c r="G108" s="2" t="s">
        <x:v>1517</x:v>
      </x:c>
      <x:c r="H108" s="2">
        <x:v>4</x:v>
      </x:c>
      <x:c r="I108" s="2" t="s">
        <x:v>1510</x:v>
      </x:c>
      <x:c r="J108" s="2">
        <x:v>3</x:v>
      </x:c>
      <x:c r="K108" s="2" t="s">
        <x:v>43</x:v>
      </x:c>
      <x:c r="L108" s="2" t="s">
        <x:v>43</x:v>
      </x:c>
      <x:c r="M108" s="2" t="s">
        <x:v>43</x:v>
      </x:c>
      <x:c r="N108" s="2">
        <x:v>1</x:v>
      </x:c>
      <x:c r="O108" s="2" t="s">
        <x:v>113</x:v>
      </x:c>
      <x:c r="P108" s="2" t="s">
        <x:v>114</x:v>
      </x:c>
      <x:c r="Q108" s="2" t="s">
        <x:v>522</x:v>
      </x:c>
      <x:c r="R108" s="3" t="str">
        <x:f>IFERROR(VLOOKUP($Q108,'04_机制词条库_60条'!$B:$S,2,FALSE),"")</x:f>
        <x:v>无机制</x:v>
      </x:c>
      <x:c r="S108" s="2" t="s">
        <x:v>591</x:v>
      </x:c>
      <x:c r="T108" s="2" t="s">
        <x:v>1511</x:v>
      </x:c>
    </x:row>
    <x:row r="109" ht="22" customHeight="1">
      <x:c r="A109" s="2" t="s">
        <x:v>439</x:v>
      </x:c>
      <x:c r="B109" s="3" t="str">
        <x:f>IFERROR(VLOOKUP($A109,'01_宠物主表_好读版'!$A:$V,3,FALSE),"")</x:f>
        <x:v>焰煌</x:v>
      </x:c>
      <x:c r="C109" s="3" t="str">
        <x:f>IFERROR(VLOOKUP($A109,'01_宠物主表_好读版'!$A:$V,4,FALSE),"")</x:f>
        <x:v>火</x:v>
      </x:c>
      <x:c r="D109" s="3" t="str">
        <x:f>IFERROR(VLOOKUP($A109,'01_宠物主表_好读版'!$A:$V,8,FALSE),"")</x:f>
        <x:v>输出</x:v>
      </x:c>
      <x:c r="E109" s="2" t="s">
        <x:v>1512</x:v>
      </x:c>
      <x:c r="F109" s="2" t="s">
        <x:v>1513</x:v>
      </x:c>
      <x:c r="G109" s="2" t="s">
        <x:v>1514</x:v>
      </x:c>
      <x:c r="H109" s="2">
        <x:v>3</x:v>
      </x:c>
      <x:c r="I109" s="2" t="s">
        <x:v>1510</x:v>
      </x:c>
      <x:c r="J109" s="2">
        <x:v>3</x:v>
      </x:c>
      <x:c r="K109" s="2" t="s">
        <x:v>79</x:v>
      </x:c>
      <x:c r="L109" s="2" t="s">
        <x:v>79</x:v>
      </x:c>
      <x:c r="M109" s="2" t="s">
        <x:v>79</x:v>
      </x:c>
      <x:c r="N109" s="2">
        <x:v>1</x:v>
      </x:c>
      <x:c r="O109" s="2" t="s">
        <x:v>81</x:v>
      </x:c>
      <x:c r="P109" s="2" t="s">
        <x:v>61</x:v>
      </x:c>
      <x:c r="Q109" s="2" t="s">
        <x:v>522</x:v>
      </x:c>
      <x:c r="R109" s="3" t="str">
        <x:f>IFERROR(VLOOKUP($Q109,'04_机制词条库_60条'!$B:$S,2,FALSE),"")</x:f>
        <x:v>无机制</x:v>
      </x:c>
      <x:c r="S109" s="2" t="s">
        <x:v>591</x:v>
      </x:c>
      <x:c r="T109" s="2" t="s">
        <x:v>1511</x:v>
      </x:c>
    </x:row>
    <x:row r="110" ht="22" customHeight="1">
      <x:c r="A110" s="2" t="s">
        <x:v>442</x:v>
      </x:c>
      <x:c r="B110" s="3" t="str">
        <x:f>IFERROR(VLOOKUP($A110,'01_宠物主表_好读版'!$A:$V,3,FALSE),"")</x:f>
        <x:v>雷冥鸟</x:v>
      </x:c>
      <x:c r="C110" s="3" t="str">
        <x:f>IFERROR(VLOOKUP($A110,'01_宠物主表_好读版'!$A:$V,4,FALSE),"")</x:f>
        <x:v>土</x:v>
      </x:c>
      <x:c r="D110" s="3" t="str">
        <x:f>IFERROR(VLOOKUP($A110,'01_宠物主表_好读版'!$A:$V,8,FALSE),"")</x:f>
        <x:v>机动</x:v>
      </x:c>
      <x:c r="E110" s="2" t="s">
        <x:v>1515</x:v>
      </x:c>
      <x:c r="F110" s="2" t="s">
        <x:v>1516</x:v>
      </x:c>
      <x:c r="G110" s="2" t="s">
        <x:v>1517</x:v>
      </x:c>
      <x:c r="H110" s="2">
        <x:v>4</x:v>
      </x:c>
      <x:c r="I110" s="2" t="s">
        <x:v>1510</x:v>
      </x:c>
      <x:c r="J110" s="2">
        <x:v>3</x:v>
      </x:c>
      <x:c r="K110" s="2" t="s">
        <x:v>120</x:v>
      </x:c>
      <x:c r="L110" s="2" t="s">
        <x:v>120</x:v>
      </x:c>
      <x:c r="M110" s="2" t="s">
        <x:v>120</x:v>
      </x:c>
      <x:c r="N110" s="2">
        <x:v>1</x:v>
      </x:c>
      <x:c r="O110" s="2" t="s">
        <x:v>113</x:v>
      </x:c>
      <x:c r="P110" s="2" t="s">
        <x:v>114</x:v>
      </x:c>
      <x:c r="Q110" s="2" t="s">
        <x:v>522</x:v>
      </x:c>
      <x:c r="R110" s="3" t="str">
        <x:f>IFERROR(VLOOKUP($Q110,'04_机制词条库_60条'!$B:$S,2,FALSE),"")</x:f>
        <x:v>无机制</x:v>
      </x:c>
      <x:c r="S110" s="2" t="s">
        <x:v>591</x:v>
      </x:c>
      <x:c r="T110" s="2" t="s">
        <x:v>1511</x:v>
      </x:c>
    </x:row>
    <x:row r="111" ht="22" customHeight="1">
      <x:c r="A111" s="2" t="s">
        <x:v>446</x:v>
      </x:c>
      <x:c r="B111" s="3" t="str">
        <x:f>IFERROR(VLOOKUP($A111,'01_宠物主表_好读版'!$A:$V,3,FALSE),"")</x:f>
        <x:v>魔渊龙</x:v>
      </x:c>
      <x:c r="C111" s="3" t="str">
        <x:f>IFERROR(VLOOKUP($A111,'01_宠物主表_好读版'!$A:$V,4,FALSE),"")</x:f>
        <x:v>土</x:v>
      </x:c>
      <x:c r="D111" s="3" t="str">
        <x:f>IFERROR(VLOOKUP($A111,'01_宠物主表_好读版'!$A:$V,8,FALSE),"")</x:f>
        <x:v>坦克</x:v>
      </x:c>
      <x:c r="E111" s="2" t="s">
        <x:v>1512</x:v>
      </x:c>
      <x:c r="F111" s="2" t="s">
        <x:v>1513</x:v>
      </x:c>
      <x:c r="G111" s="2" t="s">
        <x:v>1514</x:v>
      </x:c>
      <x:c r="H111" s="2">
        <x:v>3</x:v>
      </x:c>
      <x:c r="I111" s="2" t="s">
        <x:v>1510</x:v>
      </x:c>
      <x:c r="J111" s="2">
        <x:v>3</x:v>
      </x:c>
      <x:c r="K111" s="2" t="s">
        <x:v>120</x:v>
      </x:c>
      <x:c r="L111" s="2" t="s">
        <x:v>120</x:v>
      </x:c>
      <x:c r="M111" s="2" t="s">
        <x:v>120</x:v>
      </x:c>
      <x:c r="N111" s="2">
        <x:v>1</x:v>
      </x:c>
      <x:c r="O111" s="2" t="s">
        <x:v>60</x:v>
      </x:c>
      <x:c r="P111" s="2" t="s">
        <x:v>61</x:v>
      </x:c>
      <x:c r="Q111" s="2" t="s">
        <x:v>522</x:v>
      </x:c>
      <x:c r="R111" s="3" t="str">
        <x:f>IFERROR(VLOOKUP($Q111,'04_机制词条库_60条'!$B:$S,2,FALSE),"")</x:f>
        <x:v>无机制</x:v>
      </x:c>
      <x:c r="S111" s="2" t="s">
        <x:v>591</x:v>
      </x:c>
      <x:c r="T111" s="2" t="s">
        <x:v>1511</x:v>
      </x:c>
    </x:row>
    <x:row r="112" ht="22" customHeight="1">
      <x:c r="A112" s="2" t="s">
        <x:v>450</x:v>
      </x:c>
      <x:c r="B112" s="3" t="str">
        <x:f>IFERROR(VLOOKUP($A112,'01_宠物主表_好读版'!$A:$V,3,FALSE),"")</x:f>
        <x:v>冥铠蝎</x:v>
      </x:c>
      <x:c r="C112" s="3" t="str">
        <x:f>IFERROR(VLOOKUP($A112,'01_宠物主表_好读版'!$A:$V,4,FALSE),"")</x:f>
        <x:v>土</x:v>
      </x:c>
      <x:c r="D112" s="3" t="str">
        <x:f>IFERROR(VLOOKUP($A112,'01_宠物主表_好读版'!$A:$V,8,FALSE),"")</x:f>
        <x:v>坦克</x:v>
      </x:c>
      <x:c r="E112" s="2" t="s">
        <x:v>1518</x:v>
      </x:c>
      <x:c r="F112" s="2" t="s">
        <x:v>1519</x:v>
      </x:c>
      <x:c r="G112" s="2" t="s">
        <x:v>1517</x:v>
      </x:c>
      <x:c r="H112" s="2">
        <x:v>4</x:v>
      </x:c>
      <x:c r="I112" s="2" t="s">
        <x:v>1510</x:v>
      </x:c>
      <x:c r="J112" s="2">
        <x:v>3</x:v>
      </x:c>
      <x:c r="K112" s="2" t="s">
        <x:v>120</x:v>
      </x:c>
      <x:c r="L112" s="2" t="s">
        <x:v>120</x:v>
      </x:c>
      <x:c r="M112" s="2" t="s">
        <x:v>120</x:v>
      </x:c>
      <x:c r="N112" s="2">
        <x:v>1</x:v>
      </x:c>
      <x:c r="O112" s="2" t="s">
        <x:v>60</x:v>
      </x:c>
      <x:c r="P112" s="2" t="s">
        <x:v>61</x:v>
      </x:c>
      <x:c r="Q112" s="2" t="s">
        <x:v>522</x:v>
      </x:c>
      <x:c r="R112" s="3" t="str">
        <x:f>IFERROR(VLOOKUP($Q112,'04_机制词条库_60条'!$B:$S,2,FALSE),"")</x:f>
        <x:v>无机制</x:v>
      </x:c>
      <x:c r="S112" s="2" t="s">
        <x:v>591</x:v>
      </x:c>
      <x:c r="T112" s="2" t="s">
        <x:v>1511</x:v>
      </x:c>
    </x:row>
    <x:row r="113" ht="22" customHeight="1">
      <x:c r="A113" s="2" t="s">
        <x:v>455</x:v>
      </x:c>
      <x:c r="B113" s="3" t="str">
        <x:f>IFERROR(VLOOKUP($A113,'01_宠物主表_好读版'!$A:$V,3,FALSE),"")</x:f>
        <x:v>阿努比斯</x:v>
      </x:c>
      <x:c r="C113" s="3" t="str">
        <x:f>IFERROR(VLOOKUP($A113,'01_宠物主表_好读版'!$A:$V,4,FALSE),"")</x:f>
        <x:v>土</x:v>
      </x:c>
      <x:c r="D113" s="3" t="str">
        <x:f>IFERROR(VLOOKUP($A113,'01_宠物主表_好读版'!$A:$V,8,FALSE),"")</x:f>
        <x:v>输出</x:v>
      </x:c>
      <x:c r="E113" s="2" t="s">
        <x:v>1520</x:v>
      </x:c>
      <x:c r="F113" s="2" t="s">
        <x:v>1521</x:v>
      </x:c>
      <x:c r="G113" s="2" t="s">
        <x:v>1514</x:v>
      </x:c>
      <x:c r="H113" s="2">
        <x:v>3</x:v>
      </x:c>
      <x:c r="I113" s="2" t="s">
        <x:v>1510</x:v>
      </x:c>
      <x:c r="J113" s="2">
        <x:v>3</x:v>
      </x:c>
      <x:c r="K113" s="2" t="s">
        <x:v>120</x:v>
      </x:c>
      <x:c r="L113" s="2" t="s">
        <x:v>120</x:v>
      </x:c>
      <x:c r="M113" s="2" t="s">
        <x:v>120</x:v>
      </x:c>
      <x:c r="N113" s="2">
        <x:v>1</x:v>
      </x:c>
      <x:c r="O113" s="2" t="s">
        <x:v>81</x:v>
      </x:c>
      <x:c r="P113" s="2" t="s">
        <x:v>82</x:v>
      </x:c>
      <x:c r="Q113" s="2" t="s">
        <x:v>522</x:v>
      </x:c>
      <x:c r="R113" s="3" t="str">
        <x:f>IFERROR(VLOOKUP($Q113,'04_机制词条库_60条'!$B:$S,2,FALSE),"")</x:f>
        <x:v>无机制</x:v>
      </x:c>
      <x:c r="S113" s="2" t="s">
        <x:v>591</x:v>
      </x:c>
      <x:c r="T113" s="2" t="s">
        <x:v>1511</x:v>
      </x:c>
    </x:row>
    <x:row r="114" ht="22" customHeight="1">
      <x:c r="A114" s="2" t="s">
        <x:v>460</x:v>
      </x:c>
      <x:c r="B114" s="3" t="str">
        <x:f>IFERROR(VLOOKUP($A114,'01_宠物主表_好读版'!$A:$V,3,FALSE),"")</x:f>
        <x:v>覆海龙</x:v>
      </x:c>
      <x:c r="C114" s="3" t="str">
        <x:f>IFERROR(VLOOKUP($A114,'01_宠物主表_好读版'!$A:$V,4,FALSE),"")</x:f>
        <x:v>水</x:v>
      </x:c>
      <x:c r="D114" s="3" t="str">
        <x:f>IFERROR(VLOOKUP($A114,'01_宠物主表_好读版'!$A:$V,8,FALSE),"")</x:f>
        <x:v>治疗</x:v>
      </x:c>
      <x:c r="E114" s="2" t="s">
        <x:v>1518</x:v>
      </x:c>
      <x:c r="F114" s="2" t="s">
        <x:v>1519</x:v>
      </x:c>
      <x:c r="G114" s="2" t="s">
        <x:v>1517</x:v>
      </x:c>
      <x:c r="H114" s="2">
        <x:v>4</x:v>
      </x:c>
      <x:c r="I114" s="2" t="s">
        <x:v>1510</x:v>
      </x:c>
      <x:c r="J114" s="2">
        <x:v>3</x:v>
      </x:c>
      <x:c r="K114" s="2" t="s">
        <x:v>87</x:v>
      </x:c>
      <x:c r="L114" s="2" t="s">
        <x:v>87</x:v>
      </x:c>
      <x:c r="M114" s="2" t="s">
        <x:v>87</x:v>
      </x:c>
      <x:c r="N114" s="2">
        <x:v>1</x:v>
      </x:c>
      <x:c r="O114" s="2" t="s">
        <x:v>73</x:v>
      </x:c>
      <x:c r="P114" s="2" t="s">
        <x:v>74</x:v>
      </x:c>
      <x:c r="Q114" s="2" t="s">
        <x:v>522</x:v>
      </x:c>
      <x:c r="R114" s="3" t="str">
        <x:f>IFERROR(VLOOKUP($Q114,'04_机制词条库_60条'!$B:$S,2,FALSE),"")</x:f>
        <x:v>无机制</x:v>
      </x:c>
      <x:c r="S114" s="2" t="s">
        <x:v>591</x:v>
      </x:c>
      <x:c r="T114" s="2" t="s">
        <x:v>1511</x:v>
      </x:c>
    </x:row>
    <x:row r="115" ht="22" customHeight="1">
      <x:c r="A115" s="2" t="s">
        <x:v>463</x:v>
      </x:c>
      <x:c r="B115" s="3" t="str">
        <x:f>IFERROR(VLOOKUP($A115,'01_宠物主表_好读版'!$A:$V,3,FALSE),"")</x:f>
        <x:v>腾炎龙</x:v>
      </x:c>
      <x:c r="C115" s="3" t="str">
        <x:f>IFERROR(VLOOKUP($A115,'01_宠物主表_好读版'!$A:$V,4,FALSE),"")</x:f>
        <x:v>火</x:v>
      </x:c>
      <x:c r="D115" s="3" t="str">
        <x:f>IFERROR(VLOOKUP($A115,'01_宠物主表_好读版'!$A:$V,8,FALSE),"")</x:f>
        <x:v>输出</x:v>
      </x:c>
      <x:c r="E115" s="2" t="s">
        <x:v>1520</x:v>
      </x:c>
      <x:c r="F115" s="2" t="s">
        <x:v>1521</x:v>
      </x:c>
      <x:c r="G115" s="2" t="s">
        <x:v>1514</x:v>
      </x:c>
      <x:c r="H115" s="2">
        <x:v>3</x:v>
      </x:c>
      <x:c r="I115" s="2" t="s">
        <x:v>1510</x:v>
      </x:c>
      <x:c r="J115" s="2">
        <x:v>3</x:v>
      </x:c>
      <x:c r="K115" s="2" t="s">
        <x:v>79</x:v>
      </x:c>
      <x:c r="L115" s="2" t="s">
        <x:v>79</x:v>
      </x:c>
      <x:c r="M115" s="2" t="s">
        <x:v>79</x:v>
      </x:c>
      <x:c r="N115" s="2">
        <x:v>1</x:v>
      </x:c>
      <x:c r="O115" s="2" t="s">
        <x:v>81</x:v>
      </x:c>
      <x:c r="P115" s="2" t="s">
        <x:v>82</x:v>
      </x:c>
      <x:c r="Q115" s="2" t="s">
        <x:v>522</x:v>
      </x:c>
      <x:c r="R115" s="3" t="str">
        <x:f>IFERROR(VLOOKUP($Q115,'04_机制词条库_60条'!$B:$S,2,FALSE),"")</x:f>
        <x:v>无机制</x:v>
      </x:c>
      <x:c r="S115" s="2" t="s">
        <x:v>591</x:v>
      </x:c>
      <x:c r="T115" s="2" t="s">
        <x:v>1511</x:v>
      </x:c>
    </x:row>
    <x:row r="116" ht="22" customHeight="1">
      <x:c r="A116" s="2" t="s">
        <x:v>467</x:v>
      </x:c>
      <x:c r="B116" s="3" t="str">
        <x:f>IFERROR(VLOOKUP($A116,'01_宠物主表_好读版'!$A:$V,3,FALSE),"")</x:f>
        <x:v>朱雀</x:v>
      </x:c>
      <x:c r="C116" s="3" t="str">
        <x:f>IFERROR(VLOOKUP($A116,'01_宠物主表_好读版'!$A:$V,4,FALSE),"")</x:f>
        <x:v>火</x:v>
      </x:c>
      <x:c r="D116" s="3" t="str">
        <x:f>IFERROR(VLOOKUP($A116,'01_宠物主表_好读版'!$A:$V,8,FALSE),"")</x:f>
        <x:v>机动</x:v>
      </x:c>
      <x:c r="E116" s="2" t="s">
        <x:v>1522</x:v>
      </x:c>
      <x:c r="F116" s="2" t="s">
        <x:v>1523</x:v>
      </x:c>
      <x:c r="G116" s="2" t="s">
        <x:v>1509</x:v>
      </x:c>
      <x:c r="H116" s="2">
        <x:v>1</x:v>
      </x:c>
      <x:c r="I116" s="2" t="s">
        <x:v>1510</x:v>
      </x:c>
      <x:c r="J116" s="2">
        <x:v>3</x:v>
      </x:c>
      <x:c r="K116" s="2" t="s">
        <x:v>79</x:v>
      </x:c>
      <x:c r="L116" s="2" t="s">
        <x:v>79</x:v>
      </x:c>
      <x:c r="M116" s="2" t="s">
        <x:v>79</x:v>
      </x:c>
      <x:c r="N116" s="2">
        <x:v>1</x:v>
      </x:c>
      <x:c r="O116" s="2" t="s">
        <x:v>113</x:v>
      </x:c>
      <x:c r="P116" s="2" t="s">
        <x:v>114</x:v>
      </x:c>
      <x:c r="Q116" s="2" t="s">
        <x:v>522</x:v>
      </x:c>
      <x:c r="R116" s="3" t="str">
        <x:f>IFERROR(VLOOKUP($Q116,'04_机制词条库_60条'!$B:$S,2,FALSE),"")</x:f>
        <x:v>无机制</x:v>
      </x:c>
      <x:c r="S116" s="2" t="s">
        <x:v>591</x:v>
      </x:c>
      <x:c r="T116" s="2" t="s">
        <x:v>1511</x:v>
      </x:c>
    </x:row>
    <x:row r="117" ht="22" customHeight="1">
      <x:c r="A117" s="2" t="s">
        <x:v>472</x:v>
      </x:c>
      <x:c r="B117" s="3" t="str">
        <x:f>IFERROR(VLOOKUP($A117,'01_宠物主表_好读版'!$A:$V,3,FALSE),"")</x:f>
        <x:v>清雀</x:v>
      </x:c>
      <x:c r="C117" s="3" t="str">
        <x:f>IFERROR(VLOOKUP($A117,'01_宠物主表_好读版'!$A:$V,4,FALSE),"")</x:f>
        <x:v>水</x:v>
      </x:c>
      <x:c r="D117" s="3" t="str">
        <x:f>IFERROR(VLOOKUP($A117,'01_宠物主表_好读版'!$A:$V,8,FALSE),"")</x:f>
        <x:v>治疗</x:v>
      </x:c>
      <x:c r="E117" s="2" t="s">
        <x:v>1518</x:v>
      </x:c>
      <x:c r="F117" s="2" t="s">
        <x:v>1519</x:v>
      </x:c>
      <x:c r="G117" s="2" t="s">
        <x:v>1517</x:v>
      </x:c>
      <x:c r="H117" s="2">
        <x:v>4</x:v>
      </x:c>
      <x:c r="I117" s="2" t="s">
        <x:v>1510</x:v>
      </x:c>
      <x:c r="J117" s="2">
        <x:v>3</x:v>
      </x:c>
      <x:c r="K117" s="2" t="s">
        <x:v>87</x:v>
      </x:c>
      <x:c r="L117" s="2" t="s">
        <x:v>87</x:v>
      </x:c>
      <x:c r="M117" s="2" t="s">
        <x:v>87</x:v>
      </x:c>
      <x:c r="N117" s="2">
        <x:v>1</x:v>
      </x:c>
      <x:c r="O117" s="2" t="s">
        <x:v>73</x:v>
      </x:c>
      <x:c r="P117" s="2" t="s">
        <x:v>74</x:v>
      </x:c>
      <x:c r="Q117" s="2" t="s">
        <x:v>522</x:v>
      </x:c>
      <x:c r="R117" s="3" t="str">
        <x:f>IFERROR(VLOOKUP($Q117,'04_机制词条库_60条'!$B:$S,2,FALSE),"")</x:f>
        <x:v>无机制</x:v>
      </x:c>
      <x:c r="S117" s="2" t="s">
        <x:v>591</x:v>
      </x:c>
      <x:c r="T117" s="2" t="s">
        <x:v>1511</x:v>
      </x:c>
    </x:row>
    <x:row r="118" ht="22" customHeight="1">
      <x:c r="A118" s="2" t="s">
        <x:v>475</x:v>
      </x:c>
      <x:c r="B118" s="3" t="str">
        <x:f>IFERROR(VLOOKUP($A118,'01_宠物主表_好读版'!$A:$V,3,FALSE),"")</x:f>
        <x:v>暴电熊</x:v>
      </x:c>
      <x:c r="C118" s="3" t="str">
        <x:f>IFERROR(VLOOKUP($A118,'01_宠物主表_好读版'!$A:$V,4,FALSE),"")</x:f>
        <x:v>风</x:v>
      </x:c>
      <x:c r="D118" s="3" t="str">
        <x:f>IFERROR(VLOOKUP($A118,'01_宠物主表_好读版'!$A:$V,8,FALSE),"")</x:f>
        <x:v>控制</x:v>
      </x:c>
      <x:c r="E118" s="2" t="s">
        <x:v>1522</x:v>
      </x:c>
      <x:c r="F118" s="2" t="s">
        <x:v>1523</x:v>
      </x:c>
      <x:c r="G118" s="2" t="s">
        <x:v>1509</x:v>
      </x:c>
      <x:c r="H118" s="2">
        <x:v>1</x:v>
      </x:c>
      <x:c r="I118" s="2" t="s">
        <x:v>1510</x:v>
      </x:c>
      <x:c r="J118" s="2">
        <x:v>3</x:v>
      </x:c>
      <x:c r="K118" s="2" t="s">
        <x:v>43</x:v>
      </x:c>
      <x:c r="L118" s="2" t="s">
        <x:v>43</x:v>
      </x:c>
      <x:c r="M118" s="2" t="s">
        <x:v>43</x:v>
      </x:c>
      <x:c r="N118" s="2">
        <x:v>1</x:v>
      </x:c>
      <x:c r="O118" s="2" t="s">
        <x:v>113</x:v>
      </x:c>
      <x:c r="P118" s="2" t="s">
        <x:v>114</x:v>
      </x:c>
      <x:c r="Q118" s="2" t="s">
        <x:v>522</x:v>
      </x:c>
      <x:c r="R118" s="3" t="str">
        <x:f>IFERROR(VLOOKUP($Q118,'04_机制词条库_60条'!$B:$S,2,FALSE),"")</x:f>
        <x:v>无机制</x:v>
      </x:c>
      <x:c r="S118" s="2" t="s">
        <x:v>591</x:v>
      </x:c>
      <x:c r="T118" s="2" t="s">
        <x:v>1511</x:v>
      </x:c>
    </x:row>
    <x:row r="119" ht="22" customHeight="1">
      <x:c r="A119" s="2" t="s">
        <x:v>478</x:v>
      </x:c>
      <x:c r="B119" s="3" t="str">
        <x:f>IFERROR(VLOOKUP($A119,'01_宠物主表_好读版'!$A:$V,3,FALSE),"")</x:f>
        <x:v>百合女王</x:v>
      </x:c>
      <x:c r="C119" s="3" t="str">
        <x:f>IFERROR(VLOOKUP($A119,'01_宠物主表_好读版'!$A:$V,4,FALSE),"")</x:f>
        <x:v>风</x:v>
      </x:c>
      <x:c r="D119" s="3" t="str">
        <x:f>IFERROR(VLOOKUP($A119,'01_宠物主表_好读版'!$A:$V,8,FALSE),"")</x:f>
        <x:v>治疗</x:v>
      </x:c>
      <x:c r="E119" s="2" t="s">
        <x:v>1518</x:v>
      </x:c>
      <x:c r="F119" s="2" t="s">
        <x:v>1519</x:v>
      </x:c>
      <x:c r="G119" s="2" t="s">
        <x:v>1517</x:v>
      </x:c>
      <x:c r="H119" s="2">
        <x:v>4</x:v>
      </x:c>
      <x:c r="I119" s="2" t="s">
        <x:v>1510</x:v>
      </x:c>
      <x:c r="J119" s="2">
        <x:v>3</x:v>
      </x:c>
      <x:c r="K119" s="2" t="s">
        <x:v>43</x:v>
      </x:c>
      <x:c r="L119" s="2" t="s">
        <x:v>43</x:v>
      </x:c>
      <x:c r="M119" s="2" t="s">
        <x:v>43</x:v>
      </x:c>
      <x:c r="N119" s="2">
        <x:v>1</x:v>
      </x:c>
      <x:c r="O119" s="2" t="s">
        <x:v>73</x:v>
      </x:c>
      <x:c r="P119" s="2" t="s">
        <x:v>74</x:v>
      </x:c>
      <x:c r="Q119" s="2" t="s">
        <x:v>522</x:v>
      </x:c>
      <x:c r="R119" s="3" t="str">
        <x:f>IFERROR(VLOOKUP($Q119,'04_机制词条库_60条'!$B:$S,2,FALSE),"")</x:f>
        <x:v>无机制</x:v>
      </x:c>
      <x:c r="S119" s="2" t="s">
        <x:v>591</x:v>
      </x:c>
      <x:c r="T119" s="2" t="s">
        <x:v>1511</x:v>
      </x:c>
    </x:row>
    <x:row r="120" ht="22" customHeight="1">
      <x:c r="A120" s="2" t="s">
        <x:v>481</x:v>
      </x:c>
      <x:c r="B120" s="3" t="str">
        <x:f>IFERROR(VLOOKUP($A120,'01_宠物主表_好读版'!$A:$V,3,FALSE),"")</x:f>
        <x:v>黑月女王</x:v>
      </x:c>
      <x:c r="C120" s="3" t="str">
        <x:f>IFERROR(VLOOKUP($A120,'01_宠物主表_好读版'!$A:$V,4,FALSE),"")</x:f>
        <x:v>土</x:v>
      </x:c>
      <x:c r="D120" s="3" t="str">
        <x:f>IFERROR(VLOOKUP($A120,'01_宠物主表_好读版'!$A:$V,8,FALSE),"")</x:f>
        <x:v>治疗</x:v>
      </x:c>
      <x:c r="E120" s="2" t="s">
        <x:v>1518</x:v>
      </x:c>
      <x:c r="F120" s="2" t="s">
        <x:v>1519</x:v>
      </x:c>
      <x:c r="G120" s="2" t="s">
        <x:v>1517</x:v>
      </x:c>
      <x:c r="H120" s="2">
        <x:v>4</x:v>
      </x:c>
      <x:c r="I120" s="2" t="s">
        <x:v>1510</x:v>
      </x:c>
      <x:c r="J120" s="2">
        <x:v>3</x:v>
      </x:c>
      <x:c r="K120" s="2" t="s">
        <x:v>120</x:v>
      </x:c>
      <x:c r="L120" s="2" t="s">
        <x:v>120</x:v>
      </x:c>
      <x:c r="M120" s="2" t="s">
        <x:v>120</x:v>
      </x:c>
      <x:c r="N120" s="2">
        <x:v>1</x:v>
      </x:c>
      <x:c r="O120" s="2" t="s">
        <x:v>73</x:v>
      </x:c>
      <x:c r="P120" s="2" t="s">
        <x:v>74</x:v>
      </x:c>
      <x:c r="Q120" s="2" t="s">
        <x:v>522</x:v>
      </x:c>
      <x:c r="R120" s="3" t="str">
        <x:f>IFERROR(VLOOKUP($Q120,'04_机制词条库_60条'!$B:$S,2,FALSE),"")</x:f>
        <x:v>无机制</x:v>
      </x:c>
      <x:c r="S120" s="2" t="s">
        <x:v>591</x:v>
      </x:c>
      <x:c r="T120" s="2" t="s">
        <x:v>1511</x:v>
      </x:c>
    </x:row>
    <x:row r="121" ht="22" customHeight="1">
      <x:c r="A121" s="2" t="s">
        <x:v>484</x:v>
      </x:c>
      <x:c r="B121" s="3" t="str">
        <x:f>IFERROR(VLOOKUP($A121,'01_宠物主表_好读版'!$A:$V,3,FALSE),"")</x:f>
        <x:v>荷鲁斯</x:v>
      </x:c>
      <x:c r="C121" s="3" t="str">
        <x:f>IFERROR(VLOOKUP($A121,'01_宠物主表_好读版'!$A:$V,4,FALSE),"")</x:f>
        <x:v>火</x:v>
      </x:c>
      <x:c r="D121" s="3" t="str">
        <x:f>IFERROR(VLOOKUP($A121,'01_宠物主表_好读版'!$A:$V,8,FALSE),"")</x:f>
        <x:v>机动</x:v>
      </x:c>
      <x:c r="E121" s="2" t="s">
        <x:v>1522</x:v>
      </x:c>
      <x:c r="F121" s="2" t="s">
        <x:v>1523</x:v>
      </x:c>
      <x:c r="G121" s="2" t="s">
        <x:v>1509</x:v>
      </x:c>
      <x:c r="H121" s="2">
        <x:v>1</x:v>
      </x:c>
      <x:c r="I121" s="2" t="s">
        <x:v>1510</x:v>
      </x:c>
      <x:c r="J121" s="2">
        <x:v>3</x:v>
      </x:c>
      <x:c r="K121" s="2" t="s">
        <x:v>79</x:v>
      </x:c>
      <x:c r="L121" s="2" t="s">
        <x:v>79</x:v>
      </x:c>
      <x:c r="M121" s="2" t="s">
        <x:v>79</x:v>
      </x:c>
      <x:c r="N121" s="2">
        <x:v>1</x:v>
      </x:c>
      <x:c r="O121" s="2" t="s">
        <x:v>113</x:v>
      </x:c>
      <x:c r="P121" s="2" t="s">
        <x:v>114</x:v>
      </x:c>
      <x:c r="Q121" s="2" t="s">
        <x:v>522</x:v>
      </x:c>
      <x:c r="R121" s="3" t="str">
        <x:f>IFERROR(VLOOKUP($Q121,'04_机制词条库_60条'!$B:$S,2,FALSE),"")</x:f>
        <x:v>无机制</x:v>
      </x:c>
      <x:c r="S121" s="2" t="s">
        <x:v>591</x:v>
      </x:c>
      <x:c r="T121" s="2" t="s">
        <x:v>1511</x:v>
      </x:c>
    </x:row>
    <x:row r="122" ht="22" customHeight="1">
      <x:c r="A122" s="2" t="s">
        <x:v>487</x:v>
      </x:c>
      <x:c r="B122" s="3" t="str">
        <x:f>IFERROR(VLOOKUP($A122,'01_宠物主表_好读版'!$A:$V,3,FALSE),"")</x:f>
        <x:v>波鲁杰克斯</x:v>
      </x:c>
      <x:c r="C122" s="3" t="str">
        <x:f>IFERROR(VLOOKUP($A122,'01_宠物主表_好读版'!$A:$V,4,FALSE),"")</x:f>
        <x:v>风</x:v>
      </x:c>
      <x:c r="D122" s="3" t="str">
        <x:f>IFERROR(VLOOKUP($A122,'01_宠物主表_好读版'!$A:$V,8,FALSE),"")</x:f>
        <x:v>控制</x:v>
      </x:c>
      <x:c r="E122" s="2" t="s">
        <x:v>1522</x:v>
      </x:c>
      <x:c r="F122" s="2" t="s">
        <x:v>1523</x:v>
      </x:c>
      <x:c r="G122" s="2" t="s">
        <x:v>1509</x:v>
      </x:c>
      <x:c r="H122" s="2">
        <x:v>1</x:v>
      </x:c>
      <x:c r="I122" s="2" t="s">
        <x:v>1510</x:v>
      </x:c>
      <x:c r="J122" s="2">
        <x:v>3</x:v>
      </x:c>
      <x:c r="K122" s="2" t="s">
        <x:v>43</x:v>
      </x:c>
      <x:c r="L122" s="2" t="s">
        <x:v>43</x:v>
      </x:c>
      <x:c r="M122" s="2" t="s">
        <x:v>43</x:v>
      </x:c>
      <x:c r="N122" s="2">
        <x:v>1</x:v>
      </x:c>
      <x:c r="O122" s="2" t="s">
        <x:v>113</x:v>
      </x:c>
      <x:c r="P122" s="2" t="s">
        <x:v>114</x:v>
      </x:c>
      <x:c r="Q122" s="2" t="s">
        <x:v>522</x:v>
      </x:c>
      <x:c r="R122" s="3" t="str">
        <x:f>IFERROR(VLOOKUP($Q122,'04_机制词条库_60条'!$B:$S,2,FALSE),"")</x:f>
        <x:v>无机制</x:v>
      </x:c>
      <x:c r="S122" s="2" t="s">
        <x:v>591</x:v>
      </x:c>
      <x:c r="T122" s="2" t="s">
        <x:v>1511</x:v>
      </x:c>
    </x:row>
    <x:row r="123" ht="22" customHeight="1">
      <x:c r="A123" s="2" t="s">
        <x:v>490</x:v>
      </x:c>
      <x:c r="B123" s="3" t="str">
        <x:f>IFERROR(VLOOKUP($A123,'01_宠物主表_好读版'!$A:$V,3,FALSE),"")</x:f>
        <x:v>异构格里芬</x:v>
      </x:c>
      <x:c r="C123" s="3" t="str">
        <x:f>IFERROR(VLOOKUP($A123,'01_宠物主表_好读版'!$A:$V,4,FALSE),"")</x:f>
        <x:v>土</x:v>
      </x:c>
      <x:c r="D123" s="3" t="str">
        <x:f>IFERROR(VLOOKUP($A123,'01_宠物主表_好读版'!$A:$V,8,FALSE),"")</x:f>
        <x:v>机动</x:v>
      </x:c>
      <x:c r="E123" s="2" t="s">
        <x:v>1522</x:v>
      </x:c>
      <x:c r="F123" s="2" t="s">
        <x:v>1523</x:v>
      </x:c>
      <x:c r="G123" s="2" t="s">
        <x:v>1509</x:v>
      </x:c>
      <x:c r="H123" s="2">
        <x:v>1</x:v>
      </x:c>
      <x:c r="I123" s="2" t="s">
        <x:v>1510</x:v>
      </x:c>
      <x:c r="J123" s="2">
        <x:v>3</x:v>
      </x:c>
      <x:c r="K123" s="2" t="s">
        <x:v>120</x:v>
      </x:c>
      <x:c r="L123" s="2" t="s">
        <x:v>120</x:v>
      </x:c>
      <x:c r="M123" s="2" t="s">
        <x:v>120</x:v>
      </x:c>
      <x:c r="N123" s="2">
        <x:v>1</x:v>
      </x:c>
      <x:c r="O123" s="2" t="s">
        <x:v>113</x:v>
      </x:c>
      <x:c r="P123" s="2" t="s">
        <x:v>114</x:v>
      </x:c>
      <x:c r="Q123" s="2" t="s">
        <x:v>522</x:v>
      </x:c>
      <x:c r="R123" s="3" t="str">
        <x:f>IFERROR(VLOOKUP($Q123,'04_机制词条库_60条'!$B:$S,2,FALSE),"")</x:f>
        <x:v>无机制</x:v>
      </x:c>
      <x:c r="S123" s="2" t="s">
        <x:v>591</x:v>
      </x:c>
      <x:c r="T123" s="2" t="s">
        <x:v>1511</x:v>
      </x:c>
    </x:row>
    <x:row r="124" ht="22" customHeight="1">
      <x:c r="A124" s="2" t="s">
        <x:v>493</x:v>
      </x:c>
      <x:c r="B124" s="3" t="str">
        <x:f>IFERROR(VLOOKUP($A124,'01_宠物主表_好读版'!$A:$V,3,FALSE),"")</x:f>
        <x:v>圣光骑士</x:v>
      </x:c>
      <x:c r="C124" s="3" t="str">
        <x:f>IFERROR(VLOOKUP($A124,'01_宠物主表_好读版'!$A:$V,4,FALSE),"")</x:f>
        <x:v>风</x:v>
      </x:c>
      <x:c r="D124" s="3" t="str">
        <x:f>IFERROR(VLOOKUP($A124,'01_宠物主表_好读版'!$A:$V,8,FALSE),"")</x:f>
        <x:v>坦克</x:v>
      </x:c>
      <x:c r="E124" s="2" t="s">
        <x:v>1518</x:v>
      </x:c>
      <x:c r="F124" s="2" t="s">
        <x:v>1519</x:v>
      </x:c>
      <x:c r="G124" s="2" t="s">
        <x:v>1517</x:v>
      </x:c>
      <x:c r="H124" s="2">
        <x:v>4</x:v>
      </x:c>
      <x:c r="I124" s="2" t="s">
        <x:v>1510</x:v>
      </x:c>
      <x:c r="J124" s="2">
        <x:v>3</x:v>
      </x:c>
      <x:c r="K124" s="2" t="s">
        <x:v>43</x:v>
      </x:c>
      <x:c r="L124" s="2" t="s">
        <x:v>43</x:v>
      </x:c>
      <x:c r="M124" s="2" t="s">
        <x:v>43</x:v>
      </x:c>
      <x:c r="N124" s="2">
        <x:v>1</x:v>
      </x:c>
      <x:c r="O124" s="2" t="s">
        <x:v>60</x:v>
      </x:c>
      <x:c r="P124" s="2" t="s">
        <x:v>61</x:v>
      </x:c>
      <x:c r="Q124" s="2" t="s">
        <x:v>522</x:v>
      </x:c>
      <x:c r="R124" s="3" t="str">
        <x:f>IFERROR(VLOOKUP($Q124,'04_机制词条库_60条'!$B:$S,2,FALSE),"")</x:f>
        <x:v>无机制</x:v>
      </x:c>
      <x:c r="S124" s="2" t="s">
        <x:v>591</x:v>
      </x:c>
      <x:c r="T124" s="2" t="s">
        <x:v>1511</x:v>
      </x:c>
    </x:row>
    <x:row r="125" ht="22" customHeight="1">
      <x:c r="A125" s="2" t="s">
        <x:v>496</x:v>
      </x:c>
      <x:c r="B125" s="3" t="str">
        <x:f>IFERROR(VLOOKUP($A125,'01_宠物主表_好读版'!$A:$V,3,FALSE),"")</x:f>
        <x:v>混沌骑士</x:v>
      </x:c>
      <x:c r="C125" s="3" t="str">
        <x:f>IFERROR(VLOOKUP($A125,'01_宠物主表_好读版'!$A:$V,4,FALSE),"")</x:f>
        <x:v>土</x:v>
      </x:c>
      <x:c r="D125" s="3" t="str">
        <x:f>IFERROR(VLOOKUP($A125,'01_宠物主表_好读版'!$A:$V,8,FALSE),"")</x:f>
        <x:v>坦克</x:v>
      </x:c>
      <x:c r="E125" s="2" t="s">
        <x:v>1518</x:v>
      </x:c>
      <x:c r="F125" s="2" t="s">
        <x:v>1519</x:v>
      </x:c>
      <x:c r="G125" s="2" t="s">
        <x:v>1517</x:v>
      </x:c>
      <x:c r="H125" s="2">
        <x:v>4</x:v>
      </x:c>
      <x:c r="I125" s="2" t="s">
        <x:v>1510</x:v>
      </x:c>
      <x:c r="J125" s="2">
        <x:v>3</x:v>
      </x:c>
      <x:c r="K125" s="2" t="s">
        <x:v>120</x:v>
      </x:c>
      <x:c r="L125" s="2" t="s">
        <x:v>120</x:v>
      </x:c>
      <x:c r="M125" s="2" t="s">
        <x:v>120</x:v>
      </x:c>
      <x:c r="N125" s="2">
        <x:v>1</x:v>
      </x:c>
      <x:c r="O125" s="2" t="s">
        <x:v>60</x:v>
      </x:c>
      <x:c r="P125" s="2" t="s">
        <x:v>61</x:v>
      </x:c>
      <x:c r="Q125" s="2" t="s">
        <x:v>522</x:v>
      </x:c>
      <x:c r="R125" s="3" t="str">
        <x:f>IFERROR(VLOOKUP($Q125,'04_机制词条库_60条'!$B:$S,2,FALSE),"")</x:f>
        <x:v>无机制</x:v>
      </x:c>
      <x:c r="S125" s="2" t="s">
        <x:v>591</x:v>
      </x:c>
      <x:c r="T125" s="2" t="s">
        <x:v>1511</x:v>
      </x:c>
    </x:row>
    <x:row r="126" ht="22" customHeight="1">
      <x:c r="A126" s="2" t="s">
        <x:v>499</x:v>
      </x:c>
      <x:c r="B126" s="3" t="str">
        <x:f>IFERROR(VLOOKUP($A126,'01_宠物主表_好读版'!$A:$V,3,FALSE),"")</x:f>
        <x:v>唤冬兽</x:v>
      </x:c>
      <x:c r="C126" s="3" t="str">
        <x:f>IFERROR(VLOOKUP($A126,'01_宠物主表_好读版'!$A:$V,4,FALSE),"")</x:f>
        <x:v>水</x:v>
      </x:c>
      <x:c r="D126" s="3" t="str">
        <x:f>IFERROR(VLOOKUP($A126,'01_宠物主表_好读版'!$A:$V,8,FALSE),"")</x:f>
        <x:v>控制</x:v>
      </x:c>
      <x:c r="E126" s="2" t="s">
        <x:v>1522</x:v>
      </x:c>
      <x:c r="F126" s="2" t="s">
        <x:v>1523</x:v>
      </x:c>
      <x:c r="G126" s="2" t="s">
        <x:v>1509</x:v>
      </x:c>
      <x:c r="H126" s="2">
        <x:v>1</x:v>
      </x:c>
      <x:c r="I126" s="2" t="s">
        <x:v>1510</x:v>
      </x:c>
      <x:c r="J126" s="2">
        <x:v>3</x:v>
      </x:c>
      <x:c r="K126" s="2" t="s">
        <x:v>87</x:v>
      </x:c>
      <x:c r="L126" s="2" t="s">
        <x:v>87</x:v>
      </x:c>
      <x:c r="M126" s="2" t="s">
        <x:v>87</x:v>
      </x:c>
      <x:c r="N126" s="2">
        <x:v>1</x:v>
      </x:c>
      <x:c r="O126" s="2" t="s">
        <x:v>113</x:v>
      </x:c>
      <x:c r="P126" s="2" t="s">
        <x:v>114</x:v>
      </x:c>
      <x:c r="Q126" s="2" t="s">
        <x:v>522</x:v>
      </x:c>
      <x:c r="R126" s="3" t="str">
        <x:f>IFERROR(VLOOKUP($Q126,'04_机制词条库_60条'!$B:$S,2,FALSE),"")</x:f>
        <x:v>无机制</x:v>
      </x:c>
      <x:c r="S126" s="2" t="s">
        <x:v>591</x:v>
      </x:c>
      <x:c r="T126" s="2" t="s">
        <x:v>1511</x:v>
      </x:c>
    </x:row>
    <x:row r="127" ht="22" customHeight="1">
      <x:c r="A127" s="2" t="s">
        <x:v>502</x:v>
      </x:c>
      <x:c r="B127" s="3" t="str">
        <x:f>IFERROR(VLOOKUP($A127,'01_宠物主表_好读版'!$A:$V,3,FALSE),"")</x:f>
        <x:v>唤夜兽</x:v>
      </x:c>
      <x:c r="C127" s="3" t="str">
        <x:f>IFERROR(VLOOKUP($A127,'01_宠物主表_好读版'!$A:$V,4,FALSE),"")</x:f>
        <x:v>土</x:v>
      </x:c>
      <x:c r="D127" s="3" t="str">
        <x:f>IFERROR(VLOOKUP($A127,'01_宠物主表_好读版'!$A:$V,8,FALSE),"")</x:f>
        <x:v>控制</x:v>
      </x:c>
      <x:c r="E127" s="2" t="s">
        <x:v>1518</x:v>
      </x:c>
      <x:c r="F127" s="2" t="s">
        <x:v>1519</x:v>
      </x:c>
      <x:c r="G127" s="2" t="s">
        <x:v>1517</x:v>
      </x:c>
      <x:c r="H127" s="2">
        <x:v>4</x:v>
      </x:c>
      <x:c r="I127" s="2" t="s">
        <x:v>1510</x:v>
      </x:c>
      <x:c r="J127" s="2">
        <x:v>3</x:v>
      </x:c>
      <x:c r="K127" s="2" t="s">
        <x:v>120</x:v>
      </x:c>
      <x:c r="L127" s="2" t="s">
        <x:v>120</x:v>
      </x:c>
      <x:c r="M127" s="2" t="s">
        <x:v>120</x:v>
      </x:c>
      <x:c r="N127" s="2">
        <x:v>1</x:v>
      </x:c>
      <x:c r="O127" s="2" t="s">
        <x:v>113</x:v>
      </x:c>
      <x:c r="P127" s="2" t="s">
        <x:v>74</x:v>
      </x:c>
      <x:c r="Q127" s="2" t="s">
        <x:v>522</x:v>
      </x:c>
      <x:c r="R127" s="3" t="str">
        <x:f>IFERROR(VLOOKUP($Q127,'04_机制词条库_60条'!$B:$S,2,FALSE),"")</x:f>
        <x:v>无机制</x:v>
      </x:c>
      <x:c r="S127" s="2" t="s">
        <x:v>591</x:v>
      </x:c>
      <x:c r="T127" s="2" t="s">
        <x:v>1511</x:v>
      </x:c>
    </x:row>
    <x:row r="128" ht="22" customHeight="1">
      <x:c r="A128" s="2" t="s">
        <x:v>506</x:v>
      </x:c>
      <x:c r="B128" s="3" t="str">
        <x:f>IFERROR(VLOOKUP($A128,'01_宠物主表_好读版'!$A:$V,3,FALSE),"")</x:f>
        <x:v>空涡龙</x:v>
      </x:c>
      <x:c r="C128" s="3" t="str">
        <x:f>IFERROR(VLOOKUP($A128,'01_宠物主表_好读版'!$A:$V,4,FALSE),"")</x:f>
        <x:v>风</x:v>
      </x:c>
      <x:c r="D128" s="3" t="str">
        <x:f>IFERROR(VLOOKUP($A128,'01_宠物主表_好读版'!$A:$V,8,FALSE),"")</x:f>
        <x:v>机动</x:v>
      </x:c>
      <x:c r="E128" s="2" t="s">
        <x:v>1522</x:v>
      </x:c>
      <x:c r="F128" s="2" t="s">
        <x:v>1523</x:v>
      </x:c>
      <x:c r="G128" s="2" t="s">
        <x:v>1509</x:v>
      </x:c>
      <x:c r="H128" s="2">
        <x:v>1</x:v>
      </x:c>
      <x:c r="I128" s="2" t="s">
        <x:v>1510</x:v>
      </x:c>
      <x:c r="J128" s="2">
        <x:v>3</x:v>
      </x:c>
      <x:c r="K128" s="2" t="s">
        <x:v>43</x:v>
      </x:c>
      <x:c r="L128" s="2" t="s">
        <x:v>43</x:v>
      </x:c>
      <x:c r="M128" s="2" t="s">
        <x:v>43</x:v>
      </x:c>
      <x:c r="N128" s="2">
        <x:v>1</x:v>
      </x:c>
      <x:c r="O128" s="2" t="s">
        <x:v>113</x:v>
      </x:c>
      <x:c r="P128" s="2" t="s">
        <x:v>114</x:v>
      </x:c>
      <x:c r="Q128" s="2" t="s">
        <x:v>522</x:v>
      </x:c>
      <x:c r="R128" s="3" t="str">
        <x:f>IFERROR(VLOOKUP($Q128,'04_机制词条库_60条'!$B:$S,2,FALSE),"")</x:f>
        <x:v>无机制</x:v>
      </x:c>
      <x:c r="S128" s="2" t="s">
        <x:v>591</x:v>
      </x:c>
      <x:c r="T128" s="2" t="s">
        <x:v>1511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4.100000381469727"/>
  <x:cols>
    <x:col min="1" max="1" width="18" customWidth="1"/>
    <x:col min="2" max="6" width="14" customWidth="1"/>
    <x:col min="7" max="7" width="32" customWidth="1"/>
    <x:col min="8" max="8" width="14" customWidth="1"/>
  </x:cols>
  <x:sheetData>
    <x:row r="1" ht="28" customHeight="1">
      <x:c r="A1" s="1" t="s">
        <x:v>1524</x:v>
      </x:c>
      <x:c r="B1" s="1" t="s">
        <x:v>1525</x:v>
      </x:c>
      <x:c r="C1" s="1" t="s">
        <x:v>1526</x:v>
      </x:c>
      <x:c r="D1" s="1" t="s">
        <x:v>1527</x:v>
      </x:c>
      <x:c r="E1" s="1" t="s">
        <x:v>1528</x:v>
      </x:c>
      <x:c r="F1" s="1" t="s">
        <x:v>577</x:v>
      </x:c>
      <x:c r="G1" s="1" t="s">
        <x:v>1529</x:v>
      </x:c>
      <x:c r="H1" s="1" t="s">
        <x:v>1530</x:v>
      </x:c>
    </x:row>
    <x:row r="2" ht="22" customHeight="1">
      <x:c r="A2" s="2" t="s">
        <x:v>1531</x:v>
      </x:c>
      <x:c r="B2" s="2" t="s">
        <x:v>1532</x:v>
      </x:c>
      <x:c r="C2" s="2" t="s">
        <x:v>18</x:v>
      </x:c>
      <x:c r="D2" s="2">
        <x:v>34</x:v>
      </x:c>
      <x:c r="E2" s="2">
        <x:v>0</x:v>
      </x:c>
      <x:c r="F2" s="2" t="s">
        <x:v>1533</x:v>
      </x:c>
      <x:c r="G2" s="2" t="s">
        <x:v>1534</x:v>
      </x:c>
      <x:c r="H2" s="2" t="s">
        <x:v>44</x:v>
      </x:c>
    </x:row>
    <x:row r="3" ht="22" customHeight="1">
      <x:c r="A3" s="2" t="s">
        <x:v>1535</x:v>
      </x:c>
      <x:c r="B3" s="2" t="s">
        <x:v>1536</x:v>
      </x:c>
      <x:c r="C3" s="2" t="s">
        <x:v>18</x:v>
      </x:c>
      <x:c r="D3" s="2">
        <x:v>134</x:v>
      </x:c>
      <x:c r="E3" s="2">
        <x:v>0</x:v>
      </x:c>
      <x:c r="F3" s="2" t="s">
        <x:v>1533</x:v>
      </x:c>
      <x:c r="G3" s="2" t="s">
        <x:v>1537</x:v>
      </x:c>
      <x:c r="H3" s="2" t="s">
        <x:v>44</x:v>
      </x:c>
    </x:row>
    <x:row r="4" ht="22" customHeight="1">
      <x:c r="A4" s="2" t="s">
        <x:v>1538</x:v>
      </x:c>
      <x:c r="B4" s="2" t="s">
        <x:v>1539</x:v>
      </x:c>
      <x:c r="C4" s="2" t="s">
        <x:v>32</x:v>
      </x:c>
      <x:c r="D4" s="2">
        <x:v>61</x:v>
      </x:c>
      <x:c r="E4" s="2">
        <x:v>0</x:v>
      </x:c>
      <x:c r="F4" s="2" t="s">
        <x:v>1533</x:v>
      </x:c>
      <x:c r="G4" s="2" t="s">
        <x:v>1540</x:v>
      </x:c>
      <x:c r="H4" s="2" t="s">
        <x:v>44</x:v>
      </x:c>
    </x:row>
    <x:row r="5" ht="22" customHeight="1">
      <x:c r="A5" s="2" t="s">
        <x:v>1541</x:v>
      </x:c>
      <x:c r="B5" s="2" t="s">
        <x:v>1542</x:v>
      </x:c>
      <x:c r="C5" s="2" t="s">
        <x:v>18</x:v>
      </x:c>
      <x:c r="D5" s="2">
        <x:v>32</x:v>
      </x:c>
      <x:c r="E5" s="2">
        <x:v>0</x:v>
      </x:c>
      <x:c r="F5" s="2" t="s">
        <x:v>1533</x:v>
      </x:c>
      <x:c r="G5" s="2" t="s">
        <x:v>1543</x:v>
      </x:c>
      <x:c r="H5" s="2" t="s">
        <x:v>44</x:v>
      </x:c>
    </x:row>
    <x:row r="6" ht="22" customHeight="1">
      <x:c r="A6" s="2" t="s">
        <x:v>1544</x:v>
      </x:c>
      <x:c r="B6" s="2" t="s">
        <x:v>1542</x:v>
      </x:c>
      <x:c r="C6" s="2" t="s">
        <x:v>32</x:v>
      </x:c>
      <x:c r="D6" s="2">
        <x:v>32</x:v>
      </x:c>
      <x:c r="E6" s="2">
        <x:v>0</x:v>
      </x:c>
      <x:c r="F6" s="2" t="s">
        <x:v>1533</x:v>
      </x:c>
      <x:c r="G6" s="2" t="s">
        <x:v>1545</x:v>
      </x:c>
      <x:c r="H6" s="2" t="s">
        <x:v>44</x:v>
      </x:c>
    </x:row>
    <x:row r="7" ht="22" customHeight="1">
      <x:c r="A7" s="2" t="s">
        <x:v>1546</x:v>
      </x:c>
      <x:c r="B7" s="2" t="s">
        <x:v>1547</x:v>
      </x:c>
      <x:c r="C7" s="2" t="s">
        <x:v>18</x:v>
      </x:c>
      <x:c r="D7" s="2">
        <x:v>127</x:v>
      </x:c>
      <x:c r="E7" s="2">
        <x:v>0</x:v>
      </x:c>
      <x:c r="F7" s="2" t="s">
        <x:v>1533</x:v>
      </x:c>
      <x:c r="G7" s="2" t="s">
        <x:v>1548</x:v>
      </x:c>
      <x:c r="H7" s="2" t="s">
        <x:v>44</x:v>
      </x:c>
    </x:row>
    <x:row r="8" ht="22" customHeight="1">
      <x:c r="A8" s="2" t="s">
        <x:v>1549</x:v>
      </x:c>
      <x:c r="B8" s="2" t="s">
        <x:v>1550</x:v>
      </x:c>
      <x:c r="C8" s="2" t="s">
        <x:v>18</x:v>
      </x:c>
      <x:c r="D8" s="2">
        <x:v>40</x:v>
      </x:c>
      <x:c r="E8" s="2">
        <x:v>0</x:v>
      </x:c>
      <x:c r="F8" s="2" t="s">
        <x:v>1533</x:v>
      </x:c>
      <x:c r="G8" s="2" t="s">
        <x:v>1551</x:v>
      </x:c>
      <x:c r="H8" s="2" t="s">
        <x:v>44</x:v>
      </x:c>
    </x:row>
    <x:row r="9" ht="22" customHeight="1">
      <x:c r="A9" s="2" t="s">
        <x:v>1552</x:v>
      </x:c>
      <x:c r="B9" s="2" t="s">
        <x:v>1550</x:v>
      </x:c>
      <x:c r="C9" s="2" t="s">
        <x:v>32</x:v>
      </x:c>
      <x:c r="D9" s="2">
        <x:v>40</x:v>
      </x:c>
      <x:c r="E9" s="2">
        <x:v>0</x:v>
      </x:c>
      <x:c r="F9" s="2" t="s">
        <x:v>1533</x:v>
      </x:c>
      <x:c r="G9" s="2" t="s">
        <x:v>1553</x:v>
      </x:c>
      <x:c r="H9" s="2" t="s">
        <x:v>44</x:v>
      </x:c>
    </x:row>
    <x:row r="10" ht="22" customHeight="1">
      <x:c r="A10" s="2" t="s">
        <x:v>1554</x:v>
      </x:c>
      <x:c r="B10" s="2" t="s">
        <x:v>1555</x:v>
      </x:c>
      <x:c r="C10" s="2" t="s">
        <x:v>18</x:v>
      </x:c>
      <x:c r="D10" s="2">
        <x:v>127</x:v>
      </x:c>
      <x:c r="E10" s="2">
        <x:v>0</x:v>
      </x:c>
      <x:c r="F10" s="2" t="s">
        <x:v>1533</x:v>
      </x:c>
      <x:c r="G10" s="2" t="s">
        <x:v>1556</x:v>
      </x:c>
      <x:c r="H10" s="2" t="s">
        <x:v>44</x:v>
      </x:c>
    </x:row>
    <x:row r="11" ht="22" customHeight="1">
      <x:c r="A11" s="2" t="s">
        <x:v>1557</x:v>
      </x:c>
      <x:c r="B11" s="2" t="s">
        <x:v>1555</x:v>
      </x:c>
      <x:c r="C11" s="2" t="s">
        <x:v>32</x:v>
      </x:c>
      <x:c r="D11" s="2">
        <x:v>127</x:v>
      </x:c>
      <x:c r="E11" s="2">
        <x:v>0</x:v>
      </x:c>
      <x:c r="F11" s="2" t="s">
        <x:v>1533</x:v>
      </x:c>
      <x:c r="G11" s="2" t="s">
        <x:v>1558</x:v>
      </x:c>
      <x:c r="H11" s="2" t="s">
        <x:v>44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60" hidden="0" customWidth="1"/>
  </x:cols>
  <x:sheetData>
    <x:row r="1">
      <x:c r="A1" s="58" t="str">
        <x:v>波次表改动说明</x:v>
      </x:c>
      <x:c r="B1" s="59" t="str"/>
      <x:c r="C1" s="59" t="str"/>
    </x:row>
    <x:row r="2">
      <x:c r="A2" s="56" t="str">
        <x:v>字段</x:v>
      </x:c>
      <x:c r="B2" s="56" t="str">
        <x:v>写法</x:v>
      </x:c>
      <x:c r="C2" s="56" t="str">
        <x:v>含义</x:v>
      </x:c>
    </x:row>
    <x:row r="3">
      <x:c r="A3" t="str">
        <x:v>宠物池-数量</x:v>
      </x:c>
      <x:c r="B3" t="str">
        <x:v>1,2,3,4,5-2</x:v>
      </x:c>
      <x:c r="C3" t="str">
        <x:v>从 pal_001 ~ pal_005 里随机出 2 只。数字会自动补成 pal_001 这种正式 ID。</x:v>
      </x:c>
    </x:row>
    <x:row r="4">
      <x:c r="A4" t="str">
        <x:v>品质权重</x:v>
      </x:c>
      <x:c r="B4" t="str">
        <x:v>90,10,0,0</x:v>
      </x:c>
      <x:c r="C4" t="str">
        <x:v>依次代表：青铜、白银、黄金、钻石。按权重归一化，不强制总和=100。</x:v>
      </x:c>
    </x:row>
    <x:row r="5">
      <x:c r="A5" t="str">
        <x:v>本行威胁(自动)</x:v>
      </x:c>
      <x:c r="B5" t="str">
        <x:v>公式自动计算</x:v>
      </x:c>
      <x:c r="C5" t="str">
        <x:v>候选池平均效果分 × 出怪数 × 品质期望倍率。</x:v>
      </x:c>
    </x:row>
    <x:row r="6">
      <x:c r="A6" t="str">
        <x:v>品质倍率</x:v>
      </x:c>
      <x:c r="B6" t="str">
        <x:v>1 / 1.5 / 2 / 2.5</x:v>
      </x:c>
      <x:c r="C6" t="str">
        <x:v>青铜×1.0，白银×1.5，黄金×2.0，钻石×2.5。</x:v>
      </x:c>
    </x:row>
    <x:row r="7">
      <x:c r="A7" t="str">
        <x:v>注意</x:v>
      </x:c>
      <x:c r="B7" t="str">
        <x:v>只改 E/F 列</x:v>
      </x:c>
      <x:c r="C7" t="str">
        <x:v>研究波次强度时，优先改“宠物池-数量”和“品质权重”。A-D 是波次定位，不建议频繁改。</x:v>
      </x:c>
    </x:row>
    <x:row r="8">
      <x:c r="A8" t="str">
        <x:v>不确定项</x:v>
      </x:c>
      <x:c r="B8" t="str">
        <x:v>后续可改</x:v>
      </x:c>
      <x:c r="C8" t="str">
        <x:v>目前我按截图规律把空白品质权重补成 90,10,0,回合-1；如果你要严格百分比，F列总和需要改成100。</x:v>
      </x:c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0" hidden="0" customWidth="1"/>
    <x:col min="4" max="4" width="50" hidden="0" customWidth="1"/>
  </x:cols>
  <x:sheetData>
    <x:row r="1">
      <x:c r="A1" s="77" t="str">
        <x:v>模块</x:v>
      </x:c>
      <x:c r="B1" s="77" t="str">
        <x:v>字段/规则</x:v>
      </x:c>
      <x:c r="C1" s="77" t="str">
        <x:v>当前定义</x:v>
      </x:c>
      <x:c r="D1" s="77" t="str">
        <x:v>边界说明</x:v>
      </x:c>
    </x:row>
    <x:row r="2">
      <x:c r="A2" t="str">
        <x:v>波次表</x:v>
      </x:c>
      <x:c r="B2" t="str">
        <x:v>宠物池-数量</x:v>
      </x:c>
      <x:c r="C2" t="str">
        <x:v>例如 1,2,3,4,5-2</x:v>
      </x:c>
      <x:c r="D2" t="str">
        <x:v>左边是候选宠物编号池；右边 -2 表示本回合出怪数。编号 1 自动映射为 pal_001。</x:v>
      </x:c>
    </x:row>
    <x:row r="3">
      <x:c r="A3" t="str">
        <x:v>波次表</x:v>
      </x:c>
      <x:c r="B3" t="str">
        <x:v>品质权重</x:v>
      </x:c>
      <x:c r="C3" t="str">
        <x:v>例如 90,10,0,1</x:v>
      </x:c>
      <x:c r="D3" t="str">
        <x:v>顺序固定为 青铜,白银,黄金,钻石；建议按权重处理，不要求合计100。</x:v>
      </x:c>
    </x:row>
    <x:row r="4">
      <x:c r="A4" t="str">
        <x:v>威胁分</x:v>
      </x:c>
      <x:c r="B4" t="str">
        <x:v>公式</x:v>
      </x:c>
      <x:c r="C4" t="str">
        <x:v>候选池平均效果分 × 出怪数 × 品质期望倍率</x:v>
      </x:c>
      <x:c r="D4" t="str">
        <x:v>候选池平均效果分来自宠物主表的 效果分 列。</x:v>
      </x:c>
    </x:row>
    <x:row r="5">
      <x:c r="A5" t="str">
        <x:v>品质倍率</x:v>
      </x:c>
      <x:c r="B5" t="str">
        <x:v>青铜</x:v>
      </x:c>
      <x:c r="C5" t="str">
        <x:v>1.0</x:v>
      </x:c>
      <x:c r="D5" t="str">
        <x:v>当前沿用你之前的倍率设定。</x:v>
      </x:c>
    </x:row>
    <x:row r="6">
      <x:c r="A6" t="str">
        <x:v>品质倍率</x:v>
      </x:c>
      <x:c r="B6" t="str">
        <x:v>白银</x:v>
      </x:c>
      <x:c r="C6" t="str">
        <x:v>1.5</x:v>
      </x:c>
      <x:c r="D6" t="str">
        <x:v>如果后续有品质进阶倍率表，应以倍率表为准。</x:v>
      </x:c>
    </x:row>
    <x:row r="7">
      <x:c r="A7" t="str">
        <x:v>品质倍率</x:v>
      </x:c>
      <x:c r="B7" t="str">
        <x:v>黄金</x:v>
      </x:c>
      <x:c r="C7" t="str">
        <x:v>2.0</x:v>
      </x:c>
      <x:c r="D7" t="str"/>
    </x:row>
    <x:row r="8">
      <x:c r="A8" t="str">
        <x:v>品质倍率</x:v>
      </x:c>
      <x:c r="B8" t="str">
        <x:v>钻石</x:v>
      </x:c>
      <x:c r="C8" t="str">
        <x:v>2.5</x:v>
      </x:c>
      <x:c r="D8" t="str"/>
    </x:row>
    <x:row r="9">
      <x:c r="A9" t="str">
        <x:v>怪物模板表</x:v>
      </x:c>
      <x:c r="B9" t="str">
        <x:v>存在意义</x:v>
      </x:c>
      <x:c r="C9" t="str">
        <x:v>只补充宠物作为敌方时的默认行为/AI/倍率/是否可随机等</x:v>
      </x:c>
      <x:c r="D9" t="str">
        <x:v>波次表不再通过 monster_id 找怪，仍直接走 pal_id。</x:v>
      </x:c>
    </x:row>
    <x:row r="10">
      <x:c r="A10" t="str">
        <x:v>建议字段名</x:v>
      </x:c>
      <x:c r="B10" t="str">
        <x:v>宠物ID</x:v>
      </x:c>
      <x:c r="C10" t="str">
        <x:v>建议改为 宠物池-数量</x:v>
      </x:c>
      <x:c r="D10" t="str">
        <x:v>因为它已经不是单个宠物ID。</x:v>
      </x:c>
    </x:row>
    <x:row r="11">
      <x:c r="A11" t="str">
        <x:v>建议字段名</x:v>
      </x:c>
      <x:c r="B11" t="str">
        <x:v>概率</x:v>
      </x:c>
      <x:c r="C11" t="str">
        <x:v>建议改为 品质权重</x:v>
      </x:c>
      <x:c r="D11" t="str">
        <x:v>因为 90,10,0,1 不一定合计100。</x:v>
      </x:c>
    </x:row>
    <x:row r="12">
      <x:c r="A12" t="str">
        <x:v>待确认</x:v>
      </x:c>
      <x:c r="B12" t="str">
        <x:v>抽样规则</x:v>
      </x:c>
      <x:c r="C12" t="str">
        <x:v>默认每只怪独立从候选池随机</x:v>
      </x:c>
      <x:c r="D12" t="str">
        <x:v>是否允许同一回合抽到重复宠物，需要你确认。</x:v>
      </x:c>
    </x:row>
    <x:row r="13">
      <x:c r="A13" t="str">
        <x:v>待确认</x:v>
      </x:c>
      <x:c r="B13" t="str">
        <x:v>品质规则</x:v>
      </x:c>
      <x:c r="C13" t="str">
        <x:v>默认每只怪独立随机品质</x:v>
      </x:c>
      <x:c r="D13" t="str">
        <x:v>是否整行共用一个品质，需要你确认。</x:v>
      </x:c>
    </x:row>
    <x:row r="14">
      <x:c r="A14" t="str">
        <x:v>待确认</x:v>
      </x:c>
      <x:c r="B14" t="str">
        <x:v>出怪数大于池大小</x:v>
      </x:c>
      <x:c r="C14" t="str">
        <x:v>默认如果不允许重复则报错；如果允许重复则可继续</x:v>
      </x:c>
      <x:c r="D14" t="str">
        <x:v>需要你确认。</x:v>
      </x:c>
    </x:row>
    <x:row r="16">
      <x:c r="A16" t="str">
        <x:v>实现说明</x:v>
      </x:c>
      <x:c r="B16" t="str">
        <x:v>当前表格</x:v>
      </x:c>
      <x:c r="C16" t="str">
        <x:v>本交付版已把威胁分、出怪数、品质期望倍率、候选池平均效果分算成当前值</x:v>
      </x:c>
      <x:c r="D16" t="str">
        <x:v>这样打开表就能直接看结果；如果改了宠物池/品质权重，需要程序或脚本重新计算。</x:v>
      </x:c>
    </x:row>
    <x:row r="17">
      <x:c r="A17" t="str">
        <x:v>实现说明</x:v>
      </x:c>
      <x:c r="B17" t="str">
        <x:v>程序接入</x:v>
      </x:c>
      <x:c r="C17" t="str">
        <x:v>建议程序读取 宠物池-数量 与 品质权重 后实时计算</x:v>
      </x:c>
      <x:c r="D17" t="str">
        <x:v>不要依赖 Excel 公式作为唯一逻辑。</x:v>
      </x:c>
    </x:row>
    <x:row r="18">
      <x:c r="A18" t="str">
        <x:v>实现说明</x:v>
      </x:c>
      <x:c r="B18" t="str">
        <x:v>ID简写</x:v>
      </x:c>
      <x:c r="C18" t="str">
        <x:v>1 等价 pal_001，5 等价 pal_005</x:v>
      </x:c>
      <x:c r="D18" t="str">
        <x:v>源ID仍以宠物主表的 pal_XXX 为准。</x:v>
      </x:c>
    </x:row>
    <x:row r="19">
      <x:c r="A19" t="str">
        <x:v>实现说明</x:v>
      </x:c>
      <x:c r="B19" t="str">
        <x:v>威胁分来源</x:v>
      </x:c>
      <x:c r="C19" t="str">
        <x:v>使用 01_宠物主表_好读版 的 效果分 列</x:v>
      </x:c>
      <x:c r="D19" t="str">
        <x:v>我按当前表内实际数值计算，未改宠物主表。</x:v>
      </x:c>
    </x:row>
    <x:row r="20">
      <x:c r="A20" t="str">
        <x:v>实现说明</x:v>
      </x:c>
      <x:c r="B20" t="str">
        <x:v>不确定项</x:v>
      </x:c>
      <x:c r="C20" t="str">
        <x:v>怪物模板表是否还要参与倍率，目前未纳入威胁分</x:v>
      </x:c>
      <x:c r="D20" t="str">
        <x:v>需要你确认。</x:v>
      </x:c>
    </x:row>
    <x:row r="21">
      <x:c r="A21" t="str">
        <x:v>实现说明</x:v>
      </x:c>
      <x:c r="B21" t="str">
        <x:v>不确定项</x:v>
      </x:c>
      <x:c r="C21" t="str">
        <x:v>是否允许同回合随机出重复宠，目前未影响期望威胁分</x:v>
      </x:c>
      <x:c r="D21" t="str">
        <x:v>但会影响实战阵容多样性。</x:v>
      </x:c>
    </x:row>
  </x:sheetData>
  <x:pageMargins left="0.7" right="0.7" top="0.75" bottom="0.75" header="0.3" footer="0.3"/>
</x:worksheet>
</file>