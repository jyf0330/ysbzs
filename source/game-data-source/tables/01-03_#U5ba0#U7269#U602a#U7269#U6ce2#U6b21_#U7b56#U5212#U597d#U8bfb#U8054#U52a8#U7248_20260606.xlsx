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4b98b0d59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读我_怎么维护" sheetId="1" r:id="R2b9398ad2ea34f29"/>
    <x:sheet xmlns:r="http://schemas.openxmlformats.org/officeDocument/2006/relationships" name="01_宠物主表_好读版" sheetId="2" r:id="R94473b6c715340e3"/>
    <x:sheet xmlns:r="http://schemas.openxmlformats.org/officeDocument/2006/relationships" name="02_怪物模板_好读版" sheetId="3" r:id="Rdf78ace3f0a94cda"/>
    <x:sheet xmlns:r="http://schemas.openxmlformats.org/officeDocument/2006/relationships" name="03_怪物波次_好读版" sheetId="4" r:id="R9273c89eb1bb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sz val="11"/>
      <x:color rgb="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5B3A1E"/>
      </x:patternFill>
    </x:fill>
    <x:fill>
      <x:patternFill patternType="solid">
        <x:fgColor rgb="FEF3C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bd1a4fdc143f1" /><Relationship Type="http://schemas.openxmlformats.org/officeDocument/2006/relationships/theme" Target="/xl/theme/theme1.xml" Id="R405ca303291e419e" /><Relationship Type="http://schemas.openxmlformats.org/officeDocument/2006/relationships/sharedStrings" Target="/xl/sharedStrings.xml" Id="R328157b323bc4fea" /><Relationship Type="http://schemas.openxmlformats.org/officeDocument/2006/relationships/worksheet" Target="/xl/worksheets/sheet1.xml" Id="R2b9398ad2ea34f29" /><Relationship Type="http://schemas.openxmlformats.org/officeDocument/2006/relationships/worksheet" Target="/xl/worksheets/sheet2.xml" Id="R94473b6c715340e3" /><Relationship Type="http://schemas.openxmlformats.org/officeDocument/2006/relationships/worksheet" Target="/xl/worksheets/sheet3.xml" Id="Rdf78ace3f0a94cda" /><Relationship Type="http://schemas.openxmlformats.org/officeDocument/2006/relationships/worksheet" Target="/xl/worksheets/sheet4.xml" Id="R9273c89eb1bb40e8" /></Relationships>
</file>

<file path=xl/tables/table1.xml><?xml version="1.0" encoding="utf-8"?>
<x:table xmlns:x="http://schemas.openxmlformats.org/spreadsheetml/2006/main" id="1" name="00读我怎么维护Tbl" displayName="00读我怎么维护Tbl" ref="A1:C6" headerRowCount="1">
  <x:tableColumns count="3">
    <x:tableColumn id="1" name="区域"/>
    <x:tableColumn id="2" name="怎么改"/>
    <x:tableColumn id="3" name="会同步到哪里"/>
  </x:tableColumns>
  <x:tableStyleInfo name="TableStyleMedium2" showRowStripes="1"/>
</x:table>
</file>

<file path=xl/tables/table2.xml><?xml version="1.0" encoding="utf-8"?>
<x:table xmlns:x="http://schemas.openxmlformats.org/spreadsheetml/2006/main" id="2" name="01宠物主表好读版Tbl" displayName="01宠物主表好读版Tbl" ref="A1:V128" headerRowCount="1">
  <x:tableColumns count="22">
    <x:tableColumn id="1" name="宠物ID"/>
    <x:tableColumn id="2" name="编号"/>
    <x:tableColumn id="3" name="名称"/>
    <x:tableColumn id="4" name="元素"/>
    <x:tableColumn id="5" name="副属"/>
    <x:tableColumn id="6" name="品质"/>
    <x:tableColumn id="7" name="体型"/>
    <x:tableColumn id="8" name="定位"/>
    <x:tableColumn id="9" name="效果分"/>
    <x:tableColumn id="10" name="HP"/>
    <x:tableColumn id="11" name="攻"/>
    <x:tableColumn id="12" name="防"/>
    <x:tableColumn id="13" name="盾"/>
    <x:tableColumn id="14" name="行动"/>
    <x:tableColumn id="15" name="机制ID"/>
    <x:tableColumn id="16" name="形状"/>
    <x:tableColumn id="17" name="范围"/>
    <x:tableColumn id="18" name="动作"/>
    <x:tableColumn id="19" name="技能"/>
    <x:tableColumn id="20" name="标签"/>
    <x:tableColumn id="21" name="可召"/>
    <x:tableColumn id="22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02怪物模板好读版Tbl" displayName="02怪物模板好读版Tbl" ref="A1:S35" headerRowCount="1">
  <x:tableColumns count="19">
    <x:tableColumn id="1" name="宠物ID"/>
    <x:tableColumn id="2" name="名称(自动)"/>
    <x:tableColumn id="3" name="元素(自动)"/>
    <x:tableColumn id="4" name="体型(自动)"/>
    <x:tableColumn id="5" name="宠物定位(自动)"/>
    <x:tableColumn id="6" name="阶段"/>
    <x:tableColumn id="7" name="敌方定位"/>
    <x:tableColumn id="8" name="HP"/>
    <x:tableColumn id="9" name="攻"/>
    <x:tableColumn id="10" name="防"/>
    <x:tableColumn id="11" name="盾"/>
    <x:tableColumn id="12" name="行动"/>
    <x:tableColumn id="13" name="机制ID"/>
    <x:tableColumn id="14" name="机制参数"/>
    <x:tableColumn id="15" name="面板分"/>
    <x:tableColumn id="16" name="机制分"/>
    <x:tableColumn id="17" name="克制"/>
    <x:tableColumn id="18" name="推荐日"/>
    <x:tableColumn id="19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03怪物波次好读版Tbl" displayName="03怪物波次好读版Tbl" ref="A1:T135" headerRowCount="1">
  <x:tableColumns count="20">
    <x:tableColumn id="1" name="波次ID"/>
    <x:tableColumn id="2" name="天数"/>
    <x:tableColumn id="3" name="时段"/>
    <x:tableColumn id="4" name="回合"/>
    <x:tableColumn id="5" name="宠物ID"/>
    <x:tableColumn id="6" name="名称(自动)"/>
    <x:tableColumn id="7" name="元素(自动)"/>
    <x:tableColumn id="8" name="怪物定位(自动)"/>
    <x:tableColumn id="9" name="HP(自动)"/>
    <x:tableColumn id="10" name="攻(自动)"/>
    <x:tableColumn id="11" name="防(自动)"/>
    <x:tableColumn id="12" name="盾(自动)"/>
    <x:tableColumn id="13" name="行动(自动)"/>
    <x:tableColumn id="14" name="数量"/>
    <x:tableColumn id="15" name="位置"/>
    <x:tableColumn id="16" name="本行威胁(自动)"/>
    <x:tableColumn id="17" name="设计目的"/>
    <x:tableColumn id="18" name="失败惩罚"/>
    <x:tableColumn id="19" name="奖励影响"/>
    <x:tableColumn id="2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2965b7201243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6a7431ef2944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e7e4ac41294f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aef0a8d6b3e46b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58" hidden="0" customWidth="1"/>
  </x:cols>
  <x:sheetData>
    <x:row r="1" ht="24" customHeight="1">
      <x:c r="A1" s="6" t="str">
        <x:v>区域</x:v>
      </x:c>
      <x:c r="B1" s="6" t="str">
        <x:v>怎么改</x:v>
      </x:c>
      <x:c r="C1" s="6" t="str">
        <x:v>会同步到哪里</x:v>
      </x:c>
    </x:row>
    <x:row r="2" ht="24" customHeight="1">
      <x:c r="A2" s="27" t="str">
        <x:v>01_宠物主表_好读版</x:v>
      </x:c>
      <x:c r="B2" s="27" t="str">
        <x:v>只改宠物基础信息：名称、元素、副属、品质、体型、定位、形状、范围、动作、技能、标签、可召、备注。灰色数值列从02自动显示。</x:v>
      </x:c>
      <x:c r="C2" s="27" t="str">
        <x:v>02会带出名称/元素/体型/定位；03也会通过02显示关键数据。</x:v>
      </x:c>
    </x:row>
    <x:row r="3" ht="24" customHeight="1">
      <x:c r="A3" s="27" t="str">
        <x:v>02_怪物模板_好读版</x:v>
      </x:c>
      <x:c r="B3" s="27" t="str">
        <x:v>只改最终战斗数值：阶段、敌方定位、HP、攻、防、盾、行动、机制ID、机制参数、面板分、机制分、克制、推荐日、备注。</x:v>
      </x:c>
      <x:c r="C3" s="27" t="str">
        <x:v>01的数值列会自动显示；03波次会自动带出名称/数值/定位。</x:v>
      </x:c>
    </x:row>
    <x:row r="4" ht="24" customHeight="1">
      <x:c r="A4" s="27" t="str">
        <x:v>03_怪物波次_好读版</x:v>
      </x:c>
      <x:c r="B4" s="27" t="str">
        <x:v>只改战斗编排：波次ID、天数、时段、回合、宠物ID、数量、位置、设计目的、失败惩罚、奖励影响、备注。</x:v>
      </x:c>
      <x:c r="C4" s="27" t="str">
        <x:v>名称、元素、定位、HP/攻/防/盾/行动、本行威胁自动从02带出。</x:v>
      </x:c>
    </x:row>
    <x:row r="5" ht="24" customHeight="1">
      <x:c r="A5" s="27" t="str">
        <x:v>颜色规则</x:v>
      </x:c>
      <x:c r="B5" s="27" t="str">
        <x:v>黄色=手动维护；灰色=公式自动同步，尽量不要手改。</x:v>
      </x:c>
      <x:c r="C5" s="27" t="str">
        <x:v>用宠物ID统一关联三表。</x:v>
      </x:c>
    </x:row>
    <x:row r="6" ht="24" customHeight="1">
      <x:c r="A6" s="27" t="str">
        <x:v>核心口径</x:v>
      </x:c>
      <x:c r="B6" s="27" t="str">
        <x:v>最终数值以02_怪物模板_好读版为准。宠物表不新增复杂来源列；不存在列放YAML/MD说明。</x:v>
      </x:c>
      <x:c r="C6" s="27" t="str">
        <x:v>脚本生成数据时以这三张表 + YAML 为真源。</x:v>
      </x:c>
    </x:row>
  </x:sheetData>
  <x:pageMargins left="0.7" right="0.7" top="0.75" bottom="0.75" header="0.3" footer="0.3"/>
  <x:tableParts count="1">
    <x:tablePart xmlns:r="http://schemas.openxmlformats.org/officeDocument/2006/relationships" r:id="R8f2965b7201243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12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14" hidden="0" customWidth="1"/>
    <x:col min="16" max="16" width="16" hidden="0" customWidth="1"/>
    <x:col min="17" max="17" width="18" hidden="0" customWidth="1"/>
    <x:col min="18" max="18" width="18" hidden="0" customWidth="1"/>
    <x:col min="19" max="19" width="18" hidden="0" customWidth="1"/>
    <x:col min="20" max="20" width="10" hidden="0" customWidth="1"/>
    <x:col min="21" max="21" width="18" hidden="0" customWidth="1"/>
    <x:col min="22" max="22" width="24" hidden="0" customWidth="1"/>
  </x:cols>
  <x:sheetData>
    <x:row r="1" ht="28" customHeight="1">
      <x:c r="A1" s="6" t="str">
        <x:v>宠物ID</x:v>
      </x:c>
      <x:c r="B1" s="6" t="str">
        <x:v>编号</x:v>
      </x:c>
      <x:c r="C1" s="6" t="str">
        <x:v>名称</x:v>
      </x:c>
      <x:c r="D1" s="6" t="str">
        <x:v>元素</x:v>
      </x:c>
      <x:c r="E1" s="6" t="str">
        <x:v>副属</x:v>
      </x:c>
      <x:c r="F1" s="6" t="str">
        <x:v>品质</x:v>
      </x:c>
      <x:c r="G1" s="6" t="str">
        <x:v>体型</x:v>
      </x:c>
      <x:c r="H1" s="6" t="str">
        <x:v>定位</x:v>
      </x:c>
      <x:c r="I1" s="6" t="str">
        <x:v>效果分</x:v>
      </x:c>
      <x:c r="J1" s="6" t="str">
        <x:v>HP</x:v>
      </x:c>
      <x:c r="K1" s="6" t="str">
        <x:v>攻</x:v>
      </x:c>
      <x:c r="L1" s="6" t="str">
        <x:v>防</x:v>
      </x:c>
      <x:c r="M1" s="6" t="str">
        <x:v>盾</x:v>
      </x:c>
      <x:c r="N1" s="6" t="str">
        <x:v>行动</x:v>
      </x:c>
      <x:c r="O1" s="6" t="str">
        <x:v>机制ID</x:v>
      </x:c>
      <x:c r="P1" s="6" t="str">
        <x:v>形状</x:v>
      </x:c>
      <x:c r="Q1" s="6" t="str">
        <x:v>范围</x:v>
      </x:c>
      <x:c r="R1" s="6" t="str">
        <x:v>动作</x:v>
      </x:c>
      <x:c r="S1" s="6" t="str">
        <x:v>技能</x:v>
      </x:c>
      <x:c r="T1" s="6" t="str">
        <x:v>标签</x:v>
      </x:c>
      <x:c r="U1" s="6" t="str">
        <x:v>可召</x:v>
      </x:c>
      <x:c r="V1" s="6" t="str">
        <x:v>备注</x:v>
      </x:c>
    </x:row>
    <x:row r="2" ht="22" customHeight="1">
      <x:c r="A2" s="29" t="str">
        <x:v>pal_001</x:v>
      </x:c>
      <x:c r="B2" s="29" t="str">
        <x:v>No.001</x:v>
      </x:c>
      <x:c r="C2" s="29" t="str">
        <x:v>棉悠悠</x:v>
      </x:c>
      <x:c r="D2" s="29" t="str">
        <x:v>风</x:v>
      </x:c>
      <x:c r="E2" s="29" t="str"/>
      <x:c r="F2" s="29" t="str">
        <x:v>青铜</x:v>
      </x:c>
      <x:c r="G2" s="29" t="str">
        <x:v>小型</x:v>
      </x:c>
      <x:c r="H2" s="29" t="str">
        <x:v>经济</x:v>
      </x:c>
      <x:c r="I2" s="31" t="n">
        <x:f>IFERROR(VLOOKUP($A2,'02_怪物模板_好读版'!$A:$S,15,FALSE),0)+IFERROR(VLOOKUP($A2,'02_怪物模板_好读版'!$A:$S,16,FALSE),0)</x:f>
        <x:v>0</x:v>
      </x:c>
      <x:c r="J2" s="31" t="n">
        <x:f>IFERROR(VLOOKUP($A2,'02_怪物模板_好读版'!$A:$Z,8,FALSE),6)</x:f>
        <x:v>6</x:v>
      </x:c>
      <x:c r="K2" s="31" t="n">
        <x:f>IFERROR(VLOOKUP($A2,'02_怪物模板_好读版'!$A:$Z,9,FALSE),1)</x:f>
        <x:v>1</x:v>
      </x:c>
      <x:c r="L2" s="31" t="n">
        <x:f>IFERROR(VLOOKUP($A2,'02_怪物模板_好读版'!$A:$Z,10,FALSE),0)</x:f>
        <x:v>0</x:v>
      </x:c>
      <x:c r="M2" s="31" t="n">
        <x:f>IFERROR(VLOOKUP($A2,'02_怪物模板_好读版'!$A:$Z,11,FALSE),0)</x:f>
        <x:v>0</x:v>
      </x:c>
      <x:c r="N2" s="31" t="n">
        <x:f>IFERROR(VLOOKUP($A2,'02_怪物模板_好读版'!$A:$Z,12,FALSE),3)</x:f>
        <x:v>3</x:v>
      </x:c>
      <x:c r="O2" s="31" t="str">
        <x:f>IFERROR(VLOOKUP($A2,'02_怪物模板_好读版'!$A:$Z,13,FALSE),"none")</x:f>
        <x:v>none</x:v>
      </x:c>
      <x:c r="P2" s="29" t="str">
        <x:v>A1 单点刺</x:v>
      </x:c>
      <x:c r="Q2" s="29" t="str">
        <x:v>直线/1格</x:v>
      </x:c>
      <x:c r="R2" s="29" t="str">
        <x:v>召唤</x:v>
      </x:c>
      <x:c r="S2" s="29" t="str">
        <x:v>buffAllSummons</x:v>
      </x:c>
      <x:c r="T2" s="29" t="str">
        <x:v>风、经济、召唤、发育</x:v>
      </x:c>
      <x:c r="U2" s="29" t="str">
        <x:v>是</x:v>
      </x:c>
      <x:c r="V2" s="29" t="str"/>
    </x:row>
    <x:row r="3" ht="22" customHeight="1">
      <x:c r="A3" s="29" t="str">
        <x:v>pal_002</x:v>
      </x:c>
      <x:c r="B3" s="29" t="str">
        <x:v>No.002</x:v>
      </x:c>
      <x:c r="C3" s="29" t="str">
        <x:v>捣蛋猫</x:v>
      </x:c>
      <x:c r="D3" s="29" t="str">
        <x:v>风</x:v>
      </x:c>
      <x:c r="E3" s="29" t="str"/>
      <x:c r="F3" s="29" t="str">
        <x:v>青铜</x:v>
      </x:c>
      <x:c r="G3" s="29" t="str">
        <x:v>小型</x:v>
      </x:c>
      <x:c r="H3" s="29" t="str">
        <x:v>坦克</x:v>
      </x:c>
      <x:c r="I3" s="31" t="n">
        <x:f>IFERROR(VLOOKUP($A3,'02_怪物模板_好读版'!$A:$S,15,FALSE),0)+IFERROR(VLOOKUP($A3,'02_怪物模板_好读版'!$A:$S,16,FALSE),0)</x:f>
        <x:v>0</x:v>
      </x:c>
      <x:c r="J3" s="31" t="n">
        <x:f>IFERROR(VLOOKUP($A3,'02_怪物模板_好读版'!$A:$Z,8,FALSE),20)</x:f>
        <x:v>20</x:v>
      </x:c>
      <x:c r="K3" s="31" t="n">
        <x:f>IFERROR(VLOOKUP($A3,'02_怪物模板_好读版'!$A:$Z,9,FALSE),3)</x:f>
        <x:v>3</x:v>
      </x:c>
      <x:c r="L3" s="31" t="n">
        <x:f>IFERROR(VLOOKUP($A3,'02_怪物模板_好读版'!$A:$Z,10,FALSE),0)</x:f>
        <x:v>0</x:v>
      </x:c>
      <x:c r="M3" s="31" t="n">
        <x:f>IFERROR(VLOOKUP($A3,'02_怪物模板_好读版'!$A:$Z,11,FALSE),0)</x:f>
        <x:v>0</x:v>
      </x:c>
      <x:c r="N3" s="31" t="n">
        <x:f>IFERROR(VLOOKUP($A3,'02_怪物模板_好读版'!$A:$Z,12,FALSE),3)</x:f>
        <x:v>3</x:v>
      </x:c>
      <x:c r="O3" s="31" t="str">
        <x:f>IFERROR(VLOOKUP($A3,'02_怪物模板_好读版'!$A:$Z,13,FALSE),"mech_first_hit_block")</x:f>
        <x:v>mech_first_hit_block</x:v>
      </x:c>
      <x:c r="P3" s="29" t="str">
        <x:v>B1 横扫三格</x:v>
      </x:c>
      <x:c r="Q3" s="29" t="str">
        <x:v>扫击/3格</x:v>
      </x:c>
      <x:c r="R3" s="29" t="str">
        <x:v>阻挡</x:v>
      </x:c>
      <x:c r="S3" s="29" t="str">
        <x:v>castleReduce</x:v>
      </x:c>
      <x:c r="T3" s="29" t="str">
        <x:v>风、防御、前排、阻挡</x:v>
      </x:c>
      <x:c r="U3" s="29" t="str">
        <x:v>—</x:v>
      </x:c>
      <x:c r="V3" s="29" t="str">
        <x:v>旧定位=防御</x:v>
      </x:c>
    </x:row>
    <x:row r="4" ht="22" customHeight="1">
      <x:c r="A4" s="29" t="str">
        <x:v>pal_003</x:v>
      </x:c>
      <x:c r="B4" s="29" t="str">
        <x:v>No.003</x:v>
      </x:c>
      <x:c r="C4" s="29" t="str">
        <x:v>皮皮鸡</x:v>
      </x:c>
      <x:c r="D4" s="29" t="str">
        <x:v>风</x:v>
      </x:c>
      <x:c r="E4" s="29" t="str"/>
      <x:c r="F4" s="29" t="str">
        <x:v>青铜</x:v>
      </x:c>
      <x:c r="G4" s="29" t="str">
        <x:v>小型</x:v>
      </x:c>
      <x:c r="H4" s="29" t="str">
        <x:v>经济</x:v>
      </x:c>
      <x:c r="I4" s="31" t="n">
        <x:f>IFERROR(VLOOKUP($A4,'02_怪物模板_好读版'!$A:$S,15,FALSE),0)+IFERROR(VLOOKUP($A4,'02_怪物模板_好读版'!$A:$S,16,FALSE),0)</x:f>
        <x:v>0</x:v>
      </x:c>
      <x:c r="J4" s="31" t="n">
        <x:f>IFERROR(VLOOKUP($A4,'02_怪物模板_好读版'!$A:$Z,8,FALSE),10)</x:f>
        <x:v>10</x:v>
      </x:c>
      <x:c r="K4" s="31" t="n">
        <x:f>IFERROR(VLOOKUP($A4,'02_怪物模板_好读版'!$A:$Z,9,FALSE),3)</x:f>
        <x:v>3</x:v>
      </x:c>
      <x:c r="L4" s="31" t="n">
        <x:f>IFERROR(VLOOKUP($A4,'02_怪物模板_好读版'!$A:$Z,10,FALSE),0)</x:f>
        <x:v>0</x:v>
      </x:c>
      <x:c r="M4" s="31" t="n">
        <x:f>IFERROR(VLOOKUP($A4,'02_怪物模板_好读版'!$A:$Z,11,FALSE),0)</x:f>
        <x:v>0</x:v>
      </x:c>
      <x:c r="N4" s="31" t="n">
        <x:f>IFERROR(VLOOKUP($A4,'02_怪物模板_好读版'!$A:$Z,12,FALSE),3)</x:f>
        <x:v>3</x:v>
      </x:c>
      <x:c r="O4" s="31" t="str">
        <x:f>IFERROR(VLOOKUP($A4,'02_怪物模板_好读版'!$A:$Z,13,FALSE),"mech_weaken")</x:f>
        <x:v>mech_weaken</x:v>
      </x:c>
      <x:c r="P4" s="29" t="str">
        <x:v>A1 单点刺</x:v>
      </x:c>
      <x:c r="Q4" s="29" t="str">
        <x:v>直线/1格</x:v>
      </x:c>
      <x:c r="R4" s="29" t="str">
        <x:v>召唤</x:v>
      </x:c>
      <x:c r="S4" s="29" t="str">
        <x:v>buffAllSummons</x:v>
      </x:c>
      <x:c r="T4" s="29" t="str">
        <x:v>风、经济、召唤、发育</x:v>
      </x:c>
      <x:c r="U4" s="29" t="str">
        <x:v>是</x:v>
      </x:c>
      <x:c r="V4" s="29" t="str"/>
    </x:row>
    <x:row r="5" ht="22" customHeight="1">
      <x:c r="A5" s="29" t="str">
        <x:v>pal_004</x:v>
      </x:c>
      <x:c r="B5" s="29" t="str">
        <x:v>No.004</x:v>
      </x:c>
      <x:c r="C5" s="29" t="str">
        <x:v>翠叶鼠</x:v>
      </x:c>
      <x:c r="D5" s="29" t="str">
        <x:v>风</x:v>
      </x:c>
      <x:c r="E5" s="29" t="str">
        <x:v>草</x:v>
      </x:c>
      <x:c r="F5" s="29" t="str">
        <x:v>青铜</x:v>
      </x:c>
      <x:c r="G5" s="29" t="str">
        <x:v>小型</x:v>
      </x:c>
      <x:c r="H5" s="29" t="str">
        <x:v>治疗</x:v>
      </x:c>
      <x:c r="I5" s="31" t="n">
        <x:f>IFERROR(VLOOKUP($A5,'02_怪物模板_好读版'!$A:$S,15,FALSE),0)+IFERROR(VLOOKUP($A5,'02_怪物模板_好读版'!$A:$S,16,FALSE),0)</x:f>
        <x:v>0</x:v>
      </x:c>
      <x:c r="J5" s="31" t="n">
        <x:f>IFERROR(VLOOKUP($A5,'02_怪物模板_好读版'!$A:$Z,8,FALSE),10)</x:f>
        <x:v>10</x:v>
      </x:c>
      <x:c r="K5" s="31" t="n">
        <x:f>IFERROR(VLOOKUP($A5,'02_怪物模板_好读版'!$A:$Z,9,FALSE),3)</x:f>
        <x:v>3</x:v>
      </x:c>
      <x:c r="L5" s="31" t="n">
        <x:f>IFERROR(VLOOKUP($A5,'02_怪物模板_好读版'!$A:$Z,10,FALSE),0)</x:f>
        <x:v>0</x:v>
      </x:c>
      <x:c r="M5" s="31" t="n">
        <x:f>IFERROR(VLOOKUP($A5,'02_怪物模板_好读版'!$A:$Z,11,FALSE),0)</x:f>
        <x:v>0</x:v>
      </x:c>
      <x:c r="N5" s="31" t="n">
        <x:f>IFERROR(VLOOKUP($A5,'02_怪物模板_好读版'!$A:$Z,12,FALSE),3)</x:f>
        <x:v>3</x:v>
      </x:c>
      <x:c r="O5" s="31" t="str">
        <x:f>IFERROR(VLOOKUP($A5,'02_怪物模板_好读版'!$A:$Z,13,FALSE),"REVIEW")</x:f>
        <x:v>REVIEW</x:v>
      </x:c>
      <x:c r="P5" s="29" t="str">
        <x:v>B1 横扫三格</x:v>
      </x:c>
      <x:c r="Q5" s="29" t="str">
        <x:v>扫击/3格</x:v>
      </x:c>
      <x:c r="R5" s="29" t="str">
        <x:v>场地</x:v>
      </x:c>
      <x:c r="S5" s="29" t="str">
        <x:v>healAmpBonus</x:v>
      </x:c>
      <x:c r="T5" s="29" t="str">
        <x:v>风、治疗、后排、增益</x:v>
      </x:c>
      <x:c r="U5" s="29" t="str">
        <x:v>—</x:v>
      </x:c>
      <x:c r="V5" s="29" t="str"/>
    </x:row>
    <x:row r="6" ht="22" customHeight="1">
      <x:c r="A6" s="29" t="str">
        <x:v>pal_005</x:v>
      </x:c>
      <x:c r="B6" s="29" t="str">
        <x:v>No.005</x:v>
      </x:c>
      <x:c r="C6" s="29" t="str">
        <x:v>火绒狐</x:v>
      </x:c>
      <x:c r="D6" s="29" t="str">
        <x:v>火</x:v>
      </x:c>
      <x:c r="E6" s="29" t="str"/>
      <x:c r="F6" s="29" t="str">
        <x:v>青铜</x:v>
      </x:c>
      <x:c r="G6" s="29" t="str">
        <x:v>中型</x:v>
      </x:c>
      <x:c r="H6" s="29" t="str">
        <x:v>输出</x:v>
      </x:c>
      <x:c r="I6" s="31" t="n">
        <x:f>IFERROR(VLOOKUP($A6,'02_怪物模板_好读版'!$A:$S,15,FALSE),0)+IFERROR(VLOOKUP($A6,'02_怪物模板_好读版'!$A:$S,16,FALSE),0)</x:f>
        <x:v>0</x:v>
      </x:c>
      <x:c r="J6" s="31" t="n">
        <x:f>IFERROR(VLOOKUP($A6,'02_怪物模板_好读版'!$A:$Z,8,FALSE),10)</x:f>
        <x:v>10</x:v>
      </x:c>
      <x:c r="K6" s="31" t="n">
        <x:f>IFERROR(VLOOKUP($A6,'02_怪物模板_好读版'!$A:$Z,9,FALSE),2)</x:f>
        <x:v>2</x:v>
      </x:c>
      <x:c r="L6" s="31" t="n">
        <x:f>IFERROR(VLOOKUP($A6,'02_怪物模板_好读版'!$A:$Z,10,FALSE),0)</x:f>
        <x:v>0</x:v>
      </x:c>
      <x:c r="M6" s="31" t="n">
        <x:f>IFERROR(VLOOKUP($A6,'02_怪物模板_好读版'!$A:$Z,11,FALSE),6)</x:f>
        <x:v>6</x:v>
      </x:c>
      <x:c r="N6" s="31" t="n">
        <x:f>IFERROR(VLOOKUP($A6,'02_怪物模板_好读版'!$A:$Z,12,FALSE),3)</x:f>
        <x:v>3</x:v>
      </x:c>
      <x:c r="O6" s="31" t="str">
        <x:f>IFERROR(VLOOKUP($A6,'02_怪物模板_好读版'!$A:$Z,13,FALSE),"mech_shielded_fragile")</x:f>
        <x:v>mech_shielded_fragile</x:v>
      </x:c>
      <x:c r="P6" s="29" t="str">
        <x:v>A1 单点刺</x:v>
      </x:c>
      <x:c r="Q6" s="29" t="str">
        <x:v>直线/1格</x:v>
      </x:c>
      <x:c r="R6" s="29" t="str">
        <x:v>输出</x:v>
      </x:c>
      <x:c r="S6" s="29" t="str">
        <x:v>spaceExplosionBonus</x:v>
      </x:c>
      <x:c r="T6" s="29" t="str">
        <x:v>火、输出、爆发、前排</x:v>
      </x:c>
      <x:c r="U6" s="29" t="str">
        <x:v>—</x:v>
      </x:c>
      <x:c r="V6" s="29" t="str"/>
    </x:row>
    <x:row r="7" ht="22" customHeight="1">
      <x:c r="A7" s="29" t="str">
        <x:v>pal_006</x:v>
      </x:c>
      <x:c r="B7" s="29" t="str">
        <x:v>No.006</x:v>
      </x:c>
      <x:c r="C7" s="29" t="str">
        <x:v>冲浪鸭</x:v>
      </x:c>
      <x:c r="D7" s="29" t="str">
        <x:v>水</x:v>
      </x:c>
      <x:c r="E7" s="29" t="str"/>
      <x:c r="F7" s="29" t="str">
        <x:v>青铜</x:v>
      </x:c>
      <x:c r="G7" s="29" t="str">
        <x:v>小型</x:v>
      </x:c>
      <x:c r="H7" s="29" t="str">
        <x:v>治疗</x:v>
      </x:c>
      <x:c r="I7" s="31" t="n">
        <x:f>IFERROR(VLOOKUP($A7,'02_怪物模板_好读版'!$A:$S,15,FALSE),0)+IFERROR(VLOOKUP($A7,'02_怪物模板_好读版'!$A:$S,16,FALSE),0)</x:f>
        <x:v>0</x:v>
      </x:c>
      <x:c r="J7" s="31" t="n">
        <x:f>IFERROR(VLOOKUP($A7,'02_怪物模板_好读版'!$A:$Z,8,FALSE),10)</x:f>
        <x:v>10</x:v>
      </x:c>
      <x:c r="K7" s="31" t="n">
        <x:f>IFERROR(VLOOKUP($A7,'02_怪物模板_好读版'!$A:$Z,9,FALSE),2)</x:f>
        <x:v>2</x:v>
      </x:c>
      <x:c r="L7" s="31" t="n">
        <x:f>IFERROR(VLOOKUP($A7,'02_怪物模板_好读版'!$A:$Z,10,FALSE),0)</x:f>
        <x:v>0</x:v>
      </x:c>
      <x:c r="M7" s="31" t="n">
        <x:f>IFERROR(VLOOKUP($A7,'02_怪物模板_好读版'!$A:$Z,11,FALSE),0)</x:f>
        <x:v>0</x:v>
      </x:c>
      <x:c r="N7" s="31" t="n">
        <x:f>IFERROR(VLOOKUP($A7,'02_怪物模板_好读版'!$A:$Z,12,FALSE),3)</x:f>
        <x:v>3</x:v>
      </x:c>
      <x:c r="O7" s="31" t="str">
        <x:f>IFERROR(VLOOKUP($A7,'02_怪物模板_好读版'!$A:$Z,13,FALSE),"mech_poison")</x:f>
        <x:v>mech_poison</x:v>
      </x:c>
      <x:c r="P7" s="29" t="str">
        <x:v>B1 横扫三格</x:v>
      </x:c>
      <x:c r="Q7" s="29" t="str">
        <x:v>扫击/3格</x:v>
      </x:c>
      <x:c r="R7" s="29" t="str">
        <x:v>场地</x:v>
      </x:c>
      <x:c r="S7" s="29" t="str">
        <x:v>healAmpBonus</x:v>
      </x:c>
      <x:c r="T7" s="29" t="str">
        <x:v>水、治疗、后排、增益</x:v>
      </x:c>
      <x:c r="U7" s="29" t="str">
        <x:v>—</x:v>
      </x:c>
      <x:c r="V7" s="29" t="str"/>
    </x:row>
    <x:row r="8" ht="22" customHeight="1">
      <x:c r="A8" s="29" t="str">
        <x:v>pal_007</x:v>
      </x:c>
      <x:c r="B8" s="29" t="str">
        <x:v>No.007</x:v>
      </x:c>
      <x:c r="C8" s="29" t="str">
        <x:v>伏特喵</x:v>
      </x:c>
      <x:c r="D8" s="29" t="str">
        <x:v>风</x:v>
      </x:c>
      <x:c r="E8" s="29" t="str">
        <x:v>雷</x:v>
      </x:c>
      <x:c r="F8" s="29" t="str">
        <x:v>青铜</x:v>
      </x:c>
      <x:c r="G8" s="29" t="str">
        <x:v>小型</x:v>
      </x:c>
      <x:c r="H8" s="29" t="str">
        <x:v>坦克</x:v>
      </x:c>
      <x:c r="I8" s="31" t="n">
        <x:f>IFERROR(VLOOKUP($A8,'02_怪物模板_好读版'!$A:$S,15,FALSE),0)+IFERROR(VLOOKUP($A8,'02_怪物模板_好读版'!$A:$S,16,FALSE),0)</x:f>
        <x:v>0</x:v>
      </x:c>
      <x:c r="J8" s="31" t="n">
        <x:f>IFERROR(VLOOKUP($A8,'02_怪物模板_好读版'!$A:$Z,8,FALSE),15)</x:f>
        <x:v>15</x:v>
      </x:c>
      <x:c r="K8" s="31" t="n">
        <x:f>IFERROR(VLOOKUP($A8,'02_怪物模板_好读版'!$A:$Z,9,FALSE),4)</x:f>
        <x:v>4</x:v>
      </x:c>
      <x:c r="L8" s="31" t="n">
        <x:f>IFERROR(VLOOKUP($A8,'02_怪物模板_好读版'!$A:$Z,10,FALSE),0)</x:f>
        <x:v>0</x:v>
      </x:c>
      <x:c r="M8" s="31" t="n">
        <x:f>IFERROR(VLOOKUP($A8,'02_怪物模板_好读版'!$A:$Z,11,FALSE),0)</x:f>
        <x:v>0</x:v>
      </x:c>
      <x:c r="N8" s="31" t="n">
        <x:f>IFERROR(VLOOKUP($A8,'02_怪物模板_好读版'!$A:$Z,12,FALSE),3)</x:f>
        <x:v>3</x:v>
      </x:c>
      <x:c r="O8" s="31" t="str">
        <x:f>IFERROR(VLOOKUP($A8,'02_怪物模板_好读版'!$A:$Z,13,FALSE),"REVIEW")</x:f>
        <x:v>REVIEW</x:v>
      </x:c>
      <x:c r="P8" s="29" t="str">
        <x:v>B1 横扫三格</x:v>
      </x:c>
      <x:c r="Q8" s="29" t="str">
        <x:v>扫击/3格</x:v>
      </x:c>
      <x:c r="R8" s="29" t="str">
        <x:v>阻挡</x:v>
      </x:c>
      <x:c r="S8" s="29" t="str">
        <x:v>castleReduce</x:v>
      </x:c>
      <x:c r="T8" s="29" t="str">
        <x:v>风、防御、前排、阻挡</x:v>
      </x:c>
      <x:c r="U8" s="29" t="str">
        <x:v>—</x:v>
      </x:c>
      <x:c r="V8" s="29" t="str">
        <x:v>旧定位=防御</x:v>
      </x:c>
    </x:row>
    <x:row r="9" ht="22" customHeight="1">
      <x:c r="A9" s="29" t="str">
        <x:v>pal_008</x:v>
      </x:c>
      <x:c r="B9" s="29" t="str">
        <x:v>No.008</x:v>
      </x:c>
      <x:c r="C9" s="29" t="str">
        <x:v>新叶猿</x:v>
      </x:c>
      <x:c r="D9" s="29" t="str">
        <x:v>风</x:v>
      </x:c>
      <x:c r="E9" s="29" t="str">
        <x:v>草</x:v>
      </x:c>
      <x:c r="F9" s="29" t="str">
        <x:v>青铜</x:v>
      </x:c>
      <x:c r="G9" s="29" t="str">
        <x:v>中型</x:v>
      </x:c>
      <x:c r="H9" s="29" t="str">
        <x:v>坦克</x:v>
      </x:c>
      <x:c r="I9" s="31" t="n">
        <x:f>IFERROR(VLOOKUP($A9,'02_怪物模板_好读版'!$A:$S,15,FALSE),0)+IFERROR(VLOOKUP($A9,'02_怪物模板_好读版'!$A:$S,16,FALSE),0)</x:f>
        <x:v>0</x:v>
      </x:c>
      <x:c r="J9" s="31" t="n">
        <x:f>IFERROR(VLOOKUP($A9,'02_怪物模板_好读版'!$A:$Z,8,FALSE),15)</x:f>
        <x:v>15</x:v>
      </x:c>
      <x:c r="K9" s="31" t="n">
        <x:f>IFERROR(VLOOKUP($A9,'02_怪物模板_好读版'!$A:$Z,9,FALSE),4)</x:f>
        <x:v>4</x:v>
      </x:c>
      <x:c r="L9" s="31" t="n">
        <x:f>IFERROR(VLOOKUP($A9,'02_怪物模板_好读版'!$A:$Z,10,FALSE),0)</x:f>
        <x:v>0</x:v>
      </x:c>
      <x:c r="M9" s="31" t="n">
        <x:f>IFERROR(VLOOKUP($A9,'02_怪物模板_好读版'!$A:$Z,11,FALSE),6)</x:f>
        <x:v>6</x:v>
      </x:c>
      <x:c r="N9" s="31" t="n">
        <x:f>IFERROR(VLOOKUP($A9,'02_怪物模板_好读版'!$A:$Z,12,FALSE),3)</x:f>
        <x:v>3</x:v>
      </x:c>
      <x:c r="O9" s="31" t="str">
        <x:f>IFERROR(VLOOKUP($A9,'02_怪物模板_好读版'!$A:$Z,13,FALSE),"REVIEW")</x:f>
        <x:v>REVIEW</x:v>
      </x:c>
      <x:c r="P9" s="29" t="str">
        <x:v>B1 横扫三格</x:v>
      </x:c>
      <x:c r="Q9" s="29" t="str">
        <x:v>扫击/3格</x:v>
      </x:c>
      <x:c r="R9" s="29" t="str">
        <x:v>阻挡</x:v>
      </x:c>
      <x:c r="S9" s="29" t="str">
        <x:v>castleReduce</x:v>
      </x:c>
      <x:c r="T9" s="29" t="str">
        <x:v>风、防御、前排、阻挡</x:v>
      </x:c>
      <x:c r="U9" s="29" t="str">
        <x:v>—</x:v>
      </x:c>
      <x:c r="V9" s="29" t="str">
        <x:v>旧定位=防御</x:v>
      </x:c>
    </x:row>
    <x:row r="10" ht="22" customHeight="1">
      <x:c r="A10" s="29" t="str">
        <x:v>pal_009</x:v>
      </x:c>
      <x:c r="B10" s="29" t="str">
        <x:v>No.009</x:v>
      </x:c>
      <x:c r="C10" s="29" t="str">
        <x:v>燎火鹿</x:v>
      </x:c>
      <x:c r="D10" s="29" t="str">
        <x:v>火</x:v>
      </x:c>
      <x:c r="E10" s="29" t="str"/>
      <x:c r="F10" s="29" t="str">
        <x:v>青铜</x:v>
      </x:c>
      <x:c r="G10" s="29" t="str">
        <x:v>中型</x:v>
      </x:c>
      <x:c r="H10" s="29" t="str">
        <x:v>输出</x:v>
      </x:c>
      <x:c r="I10" s="31" t="n">
        <x:f>IFERROR(VLOOKUP($A10,'02_怪物模板_好读版'!$A:$S,15,FALSE),0)+IFERROR(VLOOKUP($A10,'02_怪物模板_好读版'!$A:$S,16,FALSE),0)</x:f>
        <x:v>0</x:v>
      </x:c>
      <x:c r="J10" s="31" t="n">
        <x:f>IFERROR(VLOOKUP($A10,'02_怪物模板_好读版'!$A:$Z,8,FALSE),25)</x:f>
        <x:v>25</x:v>
      </x:c>
      <x:c r="K10" s="31" t="n">
        <x:f>IFERROR(VLOOKUP($A10,'02_怪物模板_好读版'!$A:$Z,9,FALSE),3)</x:f>
        <x:v>3</x:v>
      </x:c>
      <x:c r="L10" s="31" t="n">
        <x:f>IFERROR(VLOOKUP($A10,'02_怪物模板_好读版'!$A:$Z,10,FALSE),0)</x:f>
        <x:v>0</x:v>
      </x:c>
      <x:c r="M10" s="31" t="n">
        <x:f>IFERROR(VLOOKUP($A10,'02_怪物模板_好读版'!$A:$Z,11,FALSE),6)</x:f>
        <x:v>6</x:v>
      </x:c>
      <x:c r="N10" s="31" t="n">
        <x:f>IFERROR(VLOOKUP($A10,'02_怪物模板_好读版'!$A:$Z,12,FALSE),3)</x:f>
        <x:v>3</x:v>
      </x:c>
      <x:c r="O10" s="31" t="str">
        <x:f>IFERROR(VLOOKUP($A10,'02_怪物模板_好读版'!$A:$Z,13,FALSE),"mech_first_hit_block")</x:f>
        <x:v>mech_first_hit_block</x:v>
      </x:c>
      <x:c r="P10" s="29" t="str">
        <x:v>A1 单点刺</x:v>
      </x:c>
      <x:c r="Q10" s="29" t="str">
        <x:v>直线/1格</x:v>
      </x:c>
      <x:c r="R10" s="29" t="str">
        <x:v>输出</x:v>
      </x:c>
      <x:c r="S10" s="29" t="str">
        <x:v>spaceExplosionBonus</x:v>
      </x:c>
      <x:c r="T10" s="29" t="str">
        <x:v>火、输出、爆发、前排</x:v>
      </x:c>
      <x:c r="U10" s="29" t="str">
        <x:v>—</x:v>
      </x:c>
      <x:c r="V10" s="29" t="str"/>
    </x:row>
    <x:row r="11" ht="22" customHeight="1">
      <x:c r="A11" s="29" t="str">
        <x:v>pal_010</x:v>
      </x:c>
      <x:c r="B11" s="29" t="str">
        <x:v>No.010</x:v>
      </x:c>
      <x:c r="C11" s="29" t="str">
        <x:v>企丸丸</x:v>
      </x:c>
      <x:c r="D11" s="29" t="str">
        <x:v>水</x:v>
      </x:c>
      <x:c r="E11" s="29" t="str">
        <x:v>水、冰</x:v>
      </x:c>
      <x:c r="F11" s="29" t="str">
        <x:v>青铜</x:v>
      </x:c>
      <x:c r="G11" s="29" t="str">
        <x:v>小型</x:v>
      </x:c>
      <x:c r="H11" s="29" t="str">
        <x:v>治疗</x:v>
      </x:c>
      <x:c r="I11" s="31" t="n">
        <x:f>IFERROR(VLOOKUP($A11,'02_怪物模板_好读版'!$A:$S,15,FALSE),0)+IFERROR(VLOOKUP($A11,'02_怪物模板_好读版'!$A:$S,16,FALSE),0)</x:f>
        <x:v>0</x:v>
      </x:c>
      <x:c r="J11" s="31" t="n">
        <x:f>IFERROR(VLOOKUP($A11,'02_怪物模板_好读版'!$A:$Z,8,FALSE),10)</x:f>
        <x:v>10</x:v>
      </x:c>
      <x:c r="K11" s="31" t="n">
        <x:f>IFERROR(VLOOKUP($A11,'02_怪物模板_好读版'!$A:$Z,9,FALSE),3)</x:f>
        <x:v>3</x:v>
      </x:c>
      <x:c r="L11" s="31" t="n">
        <x:f>IFERROR(VLOOKUP($A11,'02_怪物模板_好读版'!$A:$Z,10,FALSE),0)</x:f>
        <x:v>0</x:v>
      </x:c>
      <x:c r="M11" s="31" t="n">
        <x:f>IFERROR(VLOOKUP($A11,'02_怪物模板_好读版'!$A:$Z,11,FALSE),0)</x:f>
        <x:v>0</x:v>
      </x:c>
      <x:c r="N11" s="31" t="n">
        <x:f>IFERROR(VLOOKUP($A11,'02_怪物模板_好读版'!$A:$Z,12,FALSE),3)</x:f>
        <x:v>3</x:v>
      </x:c>
      <x:c r="O11" s="31" t="str">
        <x:f>IFERROR(VLOOKUP($A11,'02_怪物模板_好读版'!$A:$Z,13,FALSE),"REVIEW")</x:f>
        <x:v>REVIEW</x:v>
      </x:c>
      <x:c r="P11" s="29" t="str">
        <x:v>B1 横扫三格</x:v>
      </x:c>
      <x:c r="Q11" s="29" t="str">
        <x:v>扫击/3格</x:v>
      </x:c>
      <x:c r="R11" s="29" t="str">
        <x:v>场地</x:v>
      </x:c>
      <x:c r="S11" s="29" t="str">
        <x:v>healAmpBonus</x:v>
      </x:c>
      <x:c r="T11" s="29" t="str">
        <x:v>水、治疗、后排、增益</x:v>
      </x:c>
      <x:c r="U11" s="29" t="str">
        <x:v>—</x:v>
      </x:c>
      <x:c r="V11" s="29" t="str"/>
    </x:row>
    <x:row r="12" ht="22" customHeight="1">
      <x:c r="A12" s="29" t="str">
        <x:v>pal_011</x:v>
      </x:c>
      <x:c r="B12" s="29" t="str">
        <x:v>No.011</x:v>
      </x:c>
      <x:c r="C12" s="29" t="str">
        <x:v>企丸王</x:v>
      </x:c>
      <x:c r="D12" s="29" t="str">
        <x:v>水</x:v>
      </x:c>
      <x:c r="E12" s="29" t="str">
        <x:v>水、冰</x:v>
      </x:c>
      <x:c r="F12" s="29" t="str">
        <x:v>青铜</x:v>
      </x:c>
      <x:c r="G12" s="29" t="str">
        <x:v>大型</x:v>
      </x:c>
      <x:c r="H12" s="29" t="str">
        <x:v>治疗</x:v>
      </x:c>
      <x:c r="I12" s="31" t="n">
        <x:f>IFERROR(VLOOKUP($A12,'02_怪物模板_好读版'!$A:$S,15,FALSE),0)+IFERROR(VLOOKUP($A12,'02_怪物模板_好读版'!$A:$S,16,FALSE),0)</x:f>
        <x:v>0</x:v>
      </x:c>
      <x:c r="J12" s="31" t="n">
        <x:f>IFERROR(VLOOKUP($A12,'02_怪物模板_好读版'!$A:$Z,8,FALSE),25)</x:f>
        <x:v>25</x:v>
      </x:c>
      <x:c r="K12" s="31" t="n">
        <x:f>IFERROR(VLOOKUP($A12,'02_怪物模板_好读版'!$A:$Z,9,FALSE),24)</x:f>
        <x:v>24</x:v>
      </x:c>
      <x:c r="L12" s="31" t="n">
        <x:f>IFERROR(VLOOKUP($A12,'02_怪物模板_好读版'!$A:$Z,10,FALSE),0)</x:f>
        <x:v>0</x:v>
      </x:c>
      <x:c r="M12" s="31" t="n">
        <x:f>IFERROR(VLOOKUP($A12,'02_怪物模板_好读版'!$A:$Z,11,FALSE),0)</x:f>
        <x:v>0</x:v>
      </x:c>
      <x:c r="N12" s="31" t="n">
        <x:f>IFERROR(VLOOKUP($A12,'02_怪物模板_好读版'!$A:$Z,12,FALSE),3)</x:f>
        <x:v>3</x:v>
      </x:c>
      <x:c r="O12" s="31" t="str">
        <x:f>IFERROR(VLOOKUP($A12,'02_怪物模板_好读版'!$A:$Z,13,FALSE),"REVIEW")</x:f>
        <x:v>REVIEW</x:v>
      </x:c>
      <x:c r="P12" s="29" t="str">
        <x:v>B1 横扫三格</x:v>
      </x:c>
      <x:c r="Q12" s="29" t="str">
        <x:v>扫击/3格</x:v>
      </x:c>
      <x:c r="R12" s="29" t="str">
        <x:v>场地</x:v>
      </x:c>
      <x:c r="S12" s="29" t="str">
        <x:v>healAmpBonus</x:v>
      </x:c>
      <x:c r="T12" s="29" t="str">
        <x:v>水、治疗、后排、增益</x:v>
      </x:c>
      <x:c r="U12" s="29" t="str">
        <x:v>—</x:v>
      </x:c>
      <x:c r="V12" s="29" t="str"/>
    </x:row>
    <x:row r="13" ht="22" customHeight="1">
      <x:c r="A13" s="29" t="str">
        <x:v>pal_012</x:v>
      </x:c>
      <x:c r="B13" s="29" t="str">
        <x:v>No.012</x:v>
      </x:c>
      <x:c r="C13" s="29" t="str">
        <x:v>电棘鼠</x:v>
      </x:c>
      <x:c r="D13" s="29" t="str">
        <x:v>风</x:v>
      </x:c>
      <x:c r="E13" s="29" t="str">
        <x:v>雷</x:v>
      </x:c>
      <x:c r="F13" s="29" t="str">
        <x:v>青铜</x:v>
      </x:c>
      <x:c r="G13" s="29" t="str">
        <x:v>小型</x:v>
      </x:c>
      <x:c r="H13" s="29" t="str">
        <x:v>控制</x:v>
      </x:c>
      <x:c r="I13" s="31" t="n">
        <x:f>IFERROR(VLOOKUP($A13,'02_怪物模板_好读版'!$A:$S,15,FALSE),0)+IFERROR(VLOOKUP($A13,'02_怪物模板_好读版'!$A:$S,16,FALSE),0)</x:f>
        <x:v>0</x:v>
      </x:c>
      <x:c r="J13" s="31" t="n">
        <x:f>IFERROR(VLOOKUP($A13,'02_怪物模板_好读版'!$A:$Z,8,FALSE),10)</x:f>
        <x:v>10</x:v>
      </x:c>
      <x:c r="K13" s="31" t="n">
        <x:f>IFERROR(VLOOKUP($A13,'02_怪物模板_好读版'!$A:$Z,9,FALSE),3)</x:f>
        <x:v>3</x:v>
      </x:c>
      <x:c r="L13" s="31" t="n">
        <x:f>IFERROR(VLOOKUP($A13,'02_怪物模板_好读版'!$A:$Z,10,FALSE),0)</x:f>
        <x:v>0</x:v>
      </x:c>
      <x:c r="M13" s="31" t="n">
        <x:f>IFERROR(VLOOKUP($A13,'02_怪物模板_好读版'!$A:$Z,11,FALSE),0)</x:f>
        <x:v>0</x:v>
      </x:c>
      <x:c r="N13" s="31" t="n">
        <x:f>IFERROR(VLOOKUP($A13,'02_怪物模板_好读版'!$A:$Z,12,FALSE),3)</x:f>
        <x:v>3</x:v>
      </x:c>
      <x:c r="O13" s="31" t="str">
        <x:f>IFERROR(VLOOKUP($A13,'02_怪物模板_好读版'!$A:$Z,13,FALSE),"REVIEW")</x:f>
        <x:v>REVIEW</x:v>
      </x:c>
      <x:c r="P13" s="29" t="str">
        <x:v>T2 长柄T</x:v>
      </x:c>
      <x:c r="Q13" s="29" t="str">
        <x:v>T形/5格</x:v>
      </x:c>
      <x:c r="R13" s="29" t="str">
        <x:v>牵制</x:v>
      </x:c>
      <x:c r="S13" s="29" t="str">
        <x:v>advHitBonus</x:v>
      </x:c>
      <x:c r="T13" s="29" t="str">
        <x:v>风、牵制、范围、机动</x:v>
      </x:c>
      <x:c r="U13" s="29" t="str">
        <x:v>—</x:v>
      </x:c>
      <x:c r="V13" s="29" t="str">
        <x:v>旧定位=牵制</x:v>
      </x:c>
    </x:row>
    <x:row r="14" ht="22" customHeight="1">
      <x:c r="A14" s="29" t="str">
        <x:v>pal_013</x:v>
      </x:c>
      <x:c r="B14" s="29" t="str">
        <x:v>No.013</x:v>
      </x:c>
      <x:c r="C14" s="29" t="str">
        <x:v>叶泥泥</x:v>
      </x:c>
      <x:c r="D14" s="29" t="str">
        <x:v>土</x:v>
      </x:c>
      <x:c r="E14" s="29" t="str">
        <x:v>草、地</x:v>
      </x:c>
      <x:c r="F14" s="29" t="str">
        <x:v>青铜</x:v>
      </x:c>
      <x:c r="G14" s="29" t="str">
        <x:v>小型</x:v>
      </x:c>
      <x:c r="H14" s="29" t="str">
        <x:v>坦克</x:v>
      </x:c>
      <x:c r="I14" s="31" t="n">
        <x:f>IFERROR(VLOOKUP($A14,'02_怪物模板_好读版'!$A:$S,15,FALSE),0)+IFERROR(VLOOKUP($A14,'02_怪物模板_好读版'!$A:$S,16,FALSE),0)</x:f>
        <x:v>0</x:v>
      </x:c>
      <x:c r="J14" s="31" t="n">
        <x:f>IFERROR(VLOOKUP($A14,'02_怪物模板_好读版'!$A:$Z,8,FALSE),15)</x:f>
        <x:v>15</x:v>
      </x:c>
      <x:c r="K14" s="31" t="n">
        <x:f>IFERROR(VLOOKUP($A14,'02_怪物模板_好读版'!$A:$Z,9,FALSE),4)</x:f>
        <x:v>4</x:v>
      </x:c>
      <x:c r="L14" s="31" t="n">
        <x:f>IFERROR(VLOOKUP($A14,'02_怪物模板_好读版'!$A:$Z,10,FALSE),0)</x:f>
        <x:v>0</x:v>
      </x:c>
      <x:c r="M14" s="31" t="n">
        <x:f>IFERROR(VLOOKUP($A14,'02_怪物模板_好读版'!$A:$Z,11,FALSE),0)</x:f>
        <x:v>0</x:v>
      </x:c>
      <x:c r="N14" s="31" t="n">
        <x:f>IFERROR(VLOOKUP($A14,'02_怪物模板_好读版'!$A:$Z,12,FALSE),3)</x:f>
        <x:v>3</x:v>
      </x:c>
      <x:c r="O14" s="31" t="str">
        <x:f>IFERROR(VLOOKUP($A14,'02_怪物模板_好读版'!$A:$Z,13,FALSE),"REVIEW")</x:f>
        <x:v>REVIEW</x:v>
      </x:c>
      <x:c r="P14" s="29" t="str">
        <x:v>B1 横扫三格</x:v>
      </x:c>
      <x:c r="Q14" s="29" t="str">
        <x:v>扫击/3格</x:v>
      </x:c>
      <x:c r="R14" s="29" t="str">
        <x:v>阻挡</x:v>
      </x:c>
      <x:c r="S14" s="29" t="str">
        <x:v>castleReduce</x:v>
      </x:c>
      <x:c r="T14" s="29" t="str">
        <x:v>土、防御、前排、阻挡</x:v>
      </x:c>
      <x:c r="U14" s="29" t="str">
        <x:v>—</x:v>
      </x:c>
      <x:c r="V14" s="29" t="str">
        <x:v>旧定位=防御</x:v>
      </x:c>
    </x:row>
    <x:row r="15" ht="22" customHeight="1">
      <x:c r="A15" s="29" t="str">
        <x:v>pal_014</x:v>
      </x:c>
      <x:c r="B15" s="29" t="str">
        <x:v>No.014</x:v>
      </x:c>
      <x:c r="C15" s="29" t="str">
        <x:v>玉藻狐</x:v>
      </x:c>
      <x:c r="D15" s="29" t="str">
        <x:v>风</x:v>
      </x:c>
      <x:c r="E15" s="29" t="str"/>
      <x:c r="F15" s="29" t="str">
        <x:v>青铜</x:v>
      </x:c>
      <x:c r="G15" s="29" t="str">
        <x:v>小型</x:v>
      </x:c>
      <x:c r="H15" s="29" t="str">
        <x:v>经济</x:v>
      </x:c>
      <x:c r="I15" s="31" t="n">
        <x:f>IFERROR(VLOOKUP($A15,'02_怪物模板_好读版'!$A:$S,15,FALSE),0)+IFERROR(VLOOKUP($A15,'02_怪物模板_好读版'!$A:$S,16,FALSE),0)</x:f>
        <x:v>0</x:v>
      </x:c>
      <x:c r="J15" s="31" t="n">
        <x:f>IFERROR(VLOOKUP($A15,'02_怪物模板_好读版'!$A:$Z,8,FALSE),15)</x:f>
        <x:v>15</x:v>
      </x:c>
      <x:c r="K15" s="31" t="n">
        <x:f>IFERROR(VLOOKUP($A15,'02_怪物模板_好读版'!$A:$Z,9,FALSE),2)</x:f>
        <x:v>2</x:v>
      </x:c>
      <x:c r="L15" s="31" t="n">
        <x:f>IFERROR(VLOOKUP($A15,'02_怪物模板_好读版'!$A:$Z,10,FALSE),0)</x:f>
        <x:v>0</x:v>
      </x:c>
      <x:c r="M15" s="31" t="n">
        <x:f>IFERROR(VLOOKUP($A15,'02_怪物模板_好读版'!$A:$Z,11,FALSE),0)</x:f>
        <x:v>0</x:v>
      </x:c>
      <x:c r="N15" s="31" t="n">
        <x:f>IFERROR(VLOOKUP($A15,'02_怪物模板_好读版'!$A:$Z,12,FALSE),4)</x:f>
        <x:v>4</x:v>
      </x:c>
      <x:c r="O15" s="31" t="str">
        <x:f>IFERROR(VLOOKUP($A15,'02_怪物模板_好读版'!$A:$Z,13,FALSE),"mech_steal_reward")</x:f>
        <x:v>mech_steal_reward</x:v>
      </x:c>
      <x:c r="P15" s="29" t="str">
        <x:v>A1 单点刺</x:v>
      </x:c>
      <x:c r="Q15" s="29" t="str">
        <x:v>直线/1格</x:v>
      </x:c>
      <x:c r="R15" s="29" t="str">
        <x:v>召唤</x:v>
      </x:c>
      <x:c r="S15" s="29" t="str">
        <x:v>buffAllSummons</x:v>
      </x:c>
      <x:c r="T15" s="29" t="str">
        <x:v>风、经济、召唤、发育</x:v>
      </x:c>
      <x:c r="U15" s="29" t="str">
        <x:v>是</x:v>
      </x:c>
      <x:c r="V15" s="29" t="str"/>
    </x:row>
    <x:row r="16" ht="22" customHeight="1">
      <x:c r="A16" s="29" t="str">
        <x:v>pal_015</x:v>
      </x:c>
      <x:c r="B16" s="29" t="str">
        <x:v>No.015</x:v>
      </x:c>
      <x:c r="C16" s="29" t="str">
        <x:v>啼卡尔</x:v>
      </x:c>
      <x:c r="D16" s="29" t="str">
        <x:v>土</x:v>
      </x:c>
      <x:c r="E16" s="29" t="str">
        <x:v>暗</x:v>
      </x:c>
      <x:c r="F16" s="29" t="str">
        <x:v>青铜</x:v>
      </x:c>
      <x:c r="G16" s="29" t="str">
        <x:v>小型</x:v>
      </x:c>
      <x:c r="H16" s="29" t="str">
        <x:v>坦克</x:v>
      </x:c>
      <x:c r="I16" s="31" t="n">
        <x:f>IFERROR(VLOOKUP($A16,'02_怪物模板_好读版'!$A:$S,15,FALSE),0)+IFERROR(VLOOKUP($A16,'02_怪物模板_好读版'!$A:$S,16,FALSE),0)</x:f>
        <x:v>0</x:v>
      </x:c>
      <x:c r="J16" s="31" t="n">
        <x:f>IFERROR(VLOOKUP($A16,'02_怪物模板_好读版'!$A:$Z,8,FALSE),15)</x:f>
        <x:v>15</x:v>
      </x:c>
      <x:c r="K16" s="31" t="n">
        <x:f>IFERROR(VLOOKUP($A16,'02_怪物模板_好读版'!$A:$Z,9,FALSE),4)</x:f>
        <x:v>4</x:v>
      </x:c>
      <x:c r="L16" s="31" t="n">
        <x:f>IFERROR(VLOOKUP($A16,'02_怪物模板_好读版'!$A:$Z,10,FALSE),0)</x:f>
        <x:v>0</x:v>
      </x:c>
      <x:c r="M16" s="31" t="n">
        <x:f>IFERROR(VLOOKUP($A16,'02_怪物模板_好读版'!$A:$Z,11,FALSE),0)</x:f>
        <x:v>0</x:v>
      </x:c>
      <x:c r="N16" s="31" t="n">
        <x:f>IFERROR(VLOOKUP($A16,'02_怪物模板_好读版'!$A:$Z,12,FALSE),3)</x:f>
        <x:v>3</x:v>
      </x:c>
      <x:c r="O16" s="31" t="str">
        <x:f>IFERROR(VLOOKUP($A16,'02_怪物模板_好读版'!$A:$Z,13,FALSE),"REVIEW")</x:f>
        <x:v>REVIEW</x:v>
      </x:c>
      <x:c r="P16" s="29" t="str">
        <x:v>B1 横扫三格</x:v>
      </x:c>
      <x:c r="Q16" s="29" t="str">
        <x:v>扫击/3格</x:v>
      </x:c>
      <x:c r="R16" s="29" t="str">
        <x:v>阻挡</x:v>
      </x:c>
      <x:c r="S16" s="29" t="str">
        <x:v>castleReduce</x:v>
      </x:c>
      <x:c r="T16" s="29" t="str">
        <x:v>土、防御、前排、阻挡</x:v>
      </x:c>
      <x:c r="U16" s="29" t="str">
        <x:v>—</x:v>
      </x:c>
      <x:c r="V16" s="29" t="str">
        <x:v>旧定位=防御</x:v>
      </x:c>
    </x:row>
    <x:row r="17" ht="22" customHeight="1">
      <x:c r="A17" s="29" t="str">
        <x:v>pal_016</x:v>
      </x:c>
      <x:c r="B17" s="29" t="str">
        <x:v>No.016</x:v>
      </x:c>
      <x:c r="C17" s="29" t="str">
        <x:v>壶小象</x:v>
      </x:c>
      <x:c r="D17" s="29" t="str">
        <x:v>水</x:v>
      </x:c>
      <x:c r="E17" s="29" t="str"/>
      <x:c r="F17" s="29" t="str">
        <x:v>青铜</x:v>
      </x:c>
      <x:c r="G17" s="29" t="str">
        <x:v>大型</x:v>
      </x:c>
      <x:c r="H17" s="29" t="str">
        <x:v>治疗</x:v>
      </x:c>
      <x:c r="I17" s="31" t="n">
        <x:f>IFERROR(VLOOKUP($A17,'02_怪物模板_好读版'!$A:$S,15,FALSE),0)+IFERROR(VLOOKUP($A17,'02_怪物模板_好读版'!$A:$S,16,FALSE),0)</x:f>
        <x:v>0</x:v>
      </x:c>
      <x:c r="J17" s="31" t="n">
        <x:f>IFERROR(VLOOKUP($A17,'02_怪物模板_好读版'!$A:$Z,8,FALSE),25)</x:f>
        <x:v>25</x:v>
      </x:c>
      <x:c r="K17" s="31" t="n">
        <x:f>IFERROR(VLOOKUP($A17,'02_怪物模板_好读版'!$A:$Z,9,FALSE),24)</x:f>
        <x:v>24</x:v>
      </x:c>
      <x:c r="L17" s="31" t="n">
        <x:f>IFERROR(VLOOKUP($A17,'02_怪物模板_好读版'!$A:$Z,10,FALSE),0)</x:f>
        <x:v>0</x:v>
      </x:c>
      <x:c r="M17" s="31" t="n">
        <x:f>IFERROR(VLOOKUP($A17,'02_怪物模板_好读版'!$A:$Z,11,FALSE),0)</x:f>
        <x:v>0</x:v>
      </x:c>
      <x:c r="N17" s="31" t="n">
        <x:f>IFERROR(VLOOKUP($A17,'02_怪物模板_好读版'!$A:$Z,12,FALSE),3)</x:f>
        <x:v>3</x:v>
      </x:c>
      <x:c r="O17" s="31" t="str">
        <x:f>IFERROR(VLOOKUP($A17,'02_怪物模板_好读版'!$A:$Z,13,FALSE),"REVIEW")</x:f>
        <x:v>REVIEW</x:v>
      </x:c>
      <x:c r="P17" s="29" t="str">
        <x:v>B1 横扫三格</x:v>
      </x:c>
      <x:c r="Q17" s="29" t="str">
        <x:v>扫击/3格</x:v>
      </x:c>
      <x:c r="R17" s="29" t="str">
        <x:v>场地</x:v>
      </x:c>
      <x:c r="S17" s="29" t="str">
        <x:v>healAmpBonus</x:v>
      </x:c>
      <x:c r="T17" s="29" t="str">
        <x:v>水、治疗、后排、增益</x:v>
      </x:c>
      <x:c r="U17" s="29" t="str">
        <x:v>—</x:v>
      </x:c>
      <x:c r="V17" s="29" t="str"/>
    </x:row>
    <x:row r="18" ht="22" customHeight="1">
      <x:c r="A18" s="29" t="str">
        <x:v>pal_017</x:v>
      </x:c>
      <x:c r="B18" s="29" t="str">
        <x:v>No.017</x:v>
      </x:c>
      <x:c r="C18" s="29" t="str">
        <x:v>瞅什魔</x:v>
      </x:c>
      <x:c r="D18" s="29" t="str">
        <x:v>土</x:v>
      </x:c>
      <x:c r="E18" s="29" t="str">
        <x:v>暗</x:v>
      </x:c>
      <x:c r="F18" s="29" t="str">
        <x:v>青铜</x:v>
      </x:c>
      <x:c r="G18" s="29" t="str">
        <x:v>大型</x:v>
      </x:c>
      <x:c r="H18" s="29" t="str">
        <x:v>坦克</x:v>
      </x:c>
      <x:c r="I18" s="31" t="n">
        <x:f>IFERROR(VLOOKUP($A18,'02_怪物模板_好读版'!$A:$S,15,FALSE),0)+IFERROR(VLOOKUP($A18,'02_怪物模板_好读版'!$A:$S,16,FALSE),0)</x:f>
        <x:v>0</x:v>
      </x:c>
      <x:c r="J18" s="31" t="n">
        <x:f>IFERROR(VLOOKUP($A18,'02_怪物模板_好读版'!$A:$Z,8,FALSE),40)</x:f>
        <x:v>40</x:v>
      </x:c>
      <x:c r="K18" s="31" t="n">
        <x:f>IFERROR(VLOOKUP($A18,'02_怪物模板_好读版'!$A:$Z,9,FALSE),3)</x:f>
        <x:v>3</x:v>
      </x:c>
      <x:c r="L18" s="31" t="n">
        <x:f>IFERROR(VLOOKUP($A18,'02_怪物模板_好读版'!$A:$Z,10,FALSE),0)</x:f>
        <x:v>0</x:v>
      </x:c>
      <x:c r="M18" s="31" t="n">
        <x:f>IFERROR(VLOOKUP($A18,'02_怪物模板_好读版'!$A:$Z,11,FALSE),0)</x:f>
        <x:v>0</x:v>
      </x:c>
      <x:c r="N18" s="31" t="n">
        <x:f>IFERROR(VLOOKUP($A18,'02_怪物模板_好读版'!$A:$Z,12,FALSE),2)</x:f>
        <x:v>2</x:v>
      </x:c>
      <x:c r="O18" s="31" t="str">
        <x:f>IFERROR(VLOOKUP($A18,'02_怪物模板_好读版'!$A:$Z,13,FALSE),"mech_firm_threshold")</x:f>
        <x:v>mech_firm_threshold</x:v>
      </x:c>
      <x:c r="P18" s="29" t="str">
        <x:v>B1 横扫三格</x:v>
      </x:c>
      <x:c r="Q18" s="29" t="str">
        <x:v>扫击/3格</x:v>
      </x:c>
      <x:c r="R18" s="29" t="str">
        <x:v>阻挡</x:v>
      </x:c>
      <x:c r="S18" s="29" t="str">
        <x:v>castleReduce</x:v>
      </x:c>
      <x:c r="T18" s="29" t="str">
        <x:v>土、防御、前排、阻挡</x:v>
      </x:c>
      <x:c r="U18" s="29" t="str">
        <x:v>—</x:v>
      </x:c>
      <x:c r="V18" s="29" t="str">
        <x:v>旧定位=防御</x:v>
      </x:c>
    </x:row>
    <x:row r="19" ht="22" customHeight="1">
      <x:c r="A19" s="29" t="str">
        <x:v>pal_018</x:v>
      </x:c>
      <x:c r="B19" s="29" t="str">
        <x:v>No.018</x:v>
      </x:c>
      <x:c r="C19" s="29" t="str">
        <x:v>米露菲</x:v>
      </x:c>
      <x:c r="D19" s="29" t="str">
        <x:v>风</x:v>
      </x:c>
      <x:c r="E19" s="29" t="str"/>
      <x:c r="F19" s="29" t="str">
        <x:v>青铜</x:v>
      </x:c>
      <x:c r="G19" s="29" t="str">
        <x:v>小型</x:v>
      </x:c>
      <x:c r="H19" s="29" t="str">
        <x:v>经济</x:v>
      </x:c>
      <x:c r="I19" s="31" t="n">
        <x:f>IFERROR(VLOOKUP($A19,'02_怪物模板_好读版'!$A:$S,15,FALSE),0)+IFERROR(VLOOKUP($A19,'02_怪物模板_好读版'!$A:$S,16,FALSE),0)</x:f>
        <x:v>0</x:v>
      </x:c>
      <x:c r="J19" s="31" t="n">
        <x:f>IFERROR(VLOOKUP($A19,'02_怪物模板_好读版'!$A:$Z,8,FALSE),10)</x:f>
        <x:v>10</x:v>
      </x:c>
      <x:c r="K19" s="31" t="n">
        <x:f>IFERROR(VLOOKUP($A19,'02_怪物模板_好读版'!$A:$Z,9,FALSE),3)</x:f>
        <x:v>3</x:v>
      </x:c>
      <x:c r="L19" s="31" t="n">
        <x:f>IFERROR(VLOOKUP($A19,'02_怪物模板_好读版'!$A:$Z,10,FALSE),0)</x:f>
        <x:v>0</x:v>
      </x:c>
      <x:c r="M19" s="31" t="n">
        <x:f>IFERROR(VLOOKUP($A19,'02_怪物模板_好读版'!$A:$Z,11,FALSE),0)</x:f>
        <x:v>0</x:v>
      </x:c>
      <x:c r="N19" s="31" t="n">
        <x:f>IFERROR(VLOOKUP($A19,'02_怪物模板_好读版'!$A:$Z,12,FALSE),3)</x:f>
        <x:v>3</x:v>
      </x:c>
      <x:c r="O19" s="31" t="str">
        <x:f>IFERROR(VLOOKUP($A19,'02_怪物模板_好读版'!$A:$Z,13,FALSE),"mech_aura")</x:f>
        <x:v>mech_aura</x:v>
      </x:c>
      <x:c r="P19" s="29" t="str">
        <x:v>A1 单点刺</x:v>
      </x:c>
      <x:c r="Q19" s="29" t="str">
        <x:v>直线/1格</x:v>
      </x:c>
      <x:c r="R19" s="29" t="str">
        <x:v>召唤</x:v>
      </x:c>
      <x:c r="S19" s="29" t="str">
        <x:v>buffAllSummons</x:v>
      </x:c>
      <x:c r="T19" s="29" t="str">
        <x:v>风、经济、召唤、发育</x:v>
      </x:c>
      <x:c r="U19" s="29" t="str">
        <x:v>是</x:v>
      </x:c>
      <x:c r="V19" s="29" t="str"/>
    </x:row>
    <x:row r="20" ht="22" customHeight="1">
      <x:c r="A20" s="29" t="str">
        <x:v>pal_019</x:v>
      </x:c>
      <x:c r="B20" s="29" t="str">
        <x:v>No.019</x:v>
      </x:c>
      <x:c r="C20" s="29" t="str">
        <x:v>寐魔</x:v>
      </x:c>
      <x:c r="D20" s="29" t="str">
        <x:v>土</x:v>
      </x:c>
      <x:c r="E20" s="29" t="str">
        <x:v>暗</x:v>
      </x:c>
      <x:c r="F20" s="29" t="str">
        <x:v>青铜</x:v>
      </x:c>
      <x:c r="G20" s="29" t="str">
        <x:v>大型</x:v>
      </x:c>
      <x:c r="H20" s="29" t="str">
        <x:v>坦克</x:v>
      </x:c>
      <x:c r="I20" s="31" t="n">
        <x:f>IFERROR(VLOOKUP($A20,'02_怪物模板_好读版'!$A:$S,15,FALSE),0)+IFERROR(VLOOKUP($A20,'02_怪物模板_好读版'!$A:$S,16,FALSE),0)</x:f>
        <x:v>0</x:v>
      </x:c>
      <x:c r="J20" s="31" t="n">
        <x:f>IFERROR(VLOOKUP($A20,'02_怪物模板_好读版'!$A:$Z,8,FALSE),30)</x:f>
        <x:v>30</x:v>
      </x:c>
      <x:c r="K20" s="31" t="n">
        <x:f>IFERROR(VLOOKUP($A20,'02_怪物模板_好读版'!$A:$Z,9,FALSE),3)</x:f>
        <x:v>3</x:v>
      </x:c>
      <x:c r="L20" s="31" t="n">
        <x:f>IFERROR(VLOOKUP($A20,'02_怪物模板_好读版'!$A:$Z,10,FALSE),0)</x:f>
        <x:v>0</x:v>
      </x:c>
      <x:c r="M20" s="31" t="n">
        <x:f>IFERROR(VLOOKUP($A20,'02_怪物模板_好读版'!$A:$Z,11,FALSE),10)</x:f>
        <x:v>10</x:v>
      </x:c>
      <x:c r="N20" s="31" t="n">
        <x:f>IFERROR(VLOOKUP($A20,'02_怪物模板_好读版'!$A:$Z,12,FALSE),3)</x:f>
        <x:v>3</x:v>
      </x:c>
      <x:c r="O20" s="31" t="str">
        <x:f>IFERROR(VLOOKUP($A20,'02_怪物模板_好读版'!$A:$Z,13,FALSE),"mech_grow_shield")</x:f>
        <x:v>mech_grow_shield</x:v>
      </x:c>
      <x:c r="P20" s="29" t="str">
        <x:v>B1 横扫三格</x:v>
      </x:c>
      <x:c r="Q20" s="29" t="str">
        <x:v>扫击/3格</x:v>
      </x:c>
      <x:c r="R20" s="29" t="str">
        <x:v>阻挡</x:v>
      </x:c>
      <x:c r="S20" s="29" t="str">
        <x:v>castleReduce</x:v>
      </x:c>
      <x:c r="T20" s="29" t="str">
        <x:v>土、防御、前排、阻挡</x:v>
      </x:c>
      <x:c r="U20" s="29" t="str">
        <x:v>—</x:v>
      </x:c>
      <x:c r="V20" s="29" t="str">
        <x:v>旧定位=防御</x:v>
      </x:c>
    </x:row>
    <x:row r="21" ht="22" customHeight="1">
      <x:c r="A21" s="29" t="str">
        <x:v>pal_020</x:v>
      </x:c>
      <x:c r="B21" s="29" t="str">
        <x:v>No.020</x:v>
      </x:c>
      <x:c r="C21" s="29" t="str">
        <x:v>草莽猪</x:v>
      </x:c>
      <x:c r="D21" s="29" t="str">
        <x:v>土</x:v>
      </x:c>
      <x:c r="E21" s="29" t="str">
        <x:v>地</x:v>
      </x:c>
      <x:c r="F21" s="29" t="str">
        <x:v>青铜</x:v>
      </x:c>
      <x:c r="G21" s="29" t="str">
        <x:v>小型</x:v>
      </x:c>
      <x:c r="H21" s="29" t="str">
        <x:v>坦克</x:v>
      </x:c>
      <x:c r="I21" s="31" t="n">
        <x:f>IFERROR(VLOOKUP($A21,'02_怪物模板_好读版'!$A:$S,15,FALSE),0)+IFERROR(VLOOKUP($A21,'02_怪物模板_好读版'!$A:$S,16,FALSE),0)</x:f>
        <x:v>0</x:v>
      </x:c>
      <x:c r="J21" s="31" t="n">
        <x:f>IFERROR(VLOOKUP($A21,'02_怪物模板_好读版'!$A:$Z,8,FALSE),15)</x:f>
        <x:v>15</x:v>
      </x:c>
      <x:c r="K21" s="31" t="n">
        <x:f>IFERROR(VLOOKUP($A21,'02_怪物模板_好读版'!$A:$Z,9,FALSE),4)</x:f>
        <x:v>4</x:v>
      </x:c>
      <x:c r="L21" s="31" t="n">
        <x:f>IFERROR(VLOOKUP($A21,'02_怪物模板_好读版'!$A:$Z,10,FALSE),0)</x:f>
        <x:v>0</x:v>
      </x:c>
      <x:c r="M21" s="31" t="n">
        <x:f>IFERROR(VLOOKUP($A21,'02_怪物模板_好读版'!$A:$Z,11,FALSE),0)</x:f>
        <x:v>0</x:v>
      </x:c>
      <x:c r="N21" s="31" t="n">
        <x:f>IFERROR(VLOOKUP($A21,'02_怪物模板_好读版'!$A:$Z,12,FALSE),3)</x:f>
        <x:v>3</x:v>
      </x:c>
      <x:c r="O21" s="31" t="str">
        <x:f>IFERROR(VLOOKUP($A21,'02_怪物模板_好读版'!$A:$Z,13,FALSE),"REVIEW")</x:f>
        <x:v>REVIEW</x:v>
      </x:c>
      <x:c r="P21" s="29" t="str">
        <x:v>B1 横扫三格</x:v>
      </x:c>
      <x:c r="Q21" s="29" t="str">
        <x:v>扫击/3格</x:v>
      </x:c>
      <x:c r="R21" s="29" t="str">
        <x:v>阻挡</x:v>
      </x:c>
      <x:c r="S21" s="29" t="str">
        <x:v>castleReduce</x:v>
      </x:c>
      <x:c r="T21" s="29" t="str">
        <x:v>土、防御、前排、阻挡</x:v>
      </x:c>
      <x:c r="U21" s="29" t="str">
        <x:v>—</x:v>
      </x:c>
      <x:c r="V21" s="29" t="str">
        <x:v>旧定位=防御</x:v>
      </x:c>
    </x:row>
    <x:row r="22" ht="22" customHeight="1">
      <x:c r="A22" s="29" t="str">
        <x:v>pal_021</x:v>
      </x:c>
      <x:c r="B22" s="29" t="str">
        <x:v>No.021</x:v>
      </x:c>
      <x:c r="C22" s="29" t="str">
        <x:v>露娜蒂</x:v>
      </x:c>
      <x:c r="D22" s="29" t="str">
        <x:v>土</x:v>
      </x:c>
      <x:c r="E22" s="29" t="str">
        <x:v>暗</x:v>
      </x:c>
      <x:c r="F22" s="29" t="str">
        <x:v>青铜</x:v>
      </x:c>
      <x:c r="G22" s="29" t="str">
        <x:v>小型</x:v>
      </x:c>
      <x:c r="H22" s="29" t="str">
        <x:v>坦克</x:v>
      </x:c>
      <x:c r="I22" s="31" t="n">
        <x:f>IFERROR(VLOOKUP($A22,'02_怪物模板_好读版'!$A:$S,15,FALSE),0)+IFERROR(VLOOKUP($A22,'02_怪物模板_好读版'!$A:$S,16,FALSE),0)</x:f>
        <x:v>0</x:v>
      </x:c>
      <x:c r="J22" s="31" t="n">
        <x:f>IFERROR(VLOOKUP($A22,'02_怪物模板_好读版'!$A:$Z,8,FALSE),15)</x:f>
        <x:v>15</x:v>
      </x:c>
      <x:c r="K22" s="31" t="n">
        <x:f>IFERROR(VLOOKUP($A22,'02_怪物模板_好读版'!$A:$Z,9,FALSE),4)</x:f>
        <x:v>4</x:v>
      </x:c>
      <x:c r="L22" s="31" t="n">
        <x:f>IFERROR(VLOOKUP($A22,'02_怪物模板_好读版'!$A:$Z,10,FALSE),0)</x:f>
        <x:v>0</x:v>
      </x:c>
      <x:c r="M22" s="31" t="n">
        <x:f>IFERROR(VLOOKUP($A22,'02_怪物模板_好读版'!$A:$Z,11,FALSE),0)</x:f>
        <x:v>0</x:v>
      </x:c>
      <x:c r="N22" s="31" t="n">
        <x:f>IFERROR(VLOOKUP($A22,'02_怪物模板_好读版'!$A:$Z,12,FALSE),3)</x:f>
        <x:v>3</x:v>
      </x:c>
      <x:c r="O22" s="31" t="str">
        <x:f>IFERROR(VLOOKUP($A22,'02_怪物模板_好读版'!$A:$Z,13,FALSE),"REVIEW")</x:f>
        <x:v>REVIEW</x:v>
      </x:c>
      <x:c r="P22" s="29" t="str">
        <x:v>B1 横扫三格</x:v>
      </x:c>
      <x:c r="Q22" s="29" t="str">
        <x:v>扫击/3格</x:v>
      </x:c>
      <x:c r="R22" s="29" t="str">
        <x:v>阻挡</x:v>
      </x:c>
      <x:c r="S22" s="29" t="str">
        <x:v>castleReduce</x:v>
      </x:c>
      <x:c r="T22" s="29" t="str">
        <x:v>土、防御、前排、阻挡</x:v>
      </x:c>
      <x:c r="U22" s="29" t="str">
        <x:v>—</x:v>
      </x:c>
      <x:c r="V22" s="29" t="str">
        <x:v>旧定位=防御</x:v>
      </x:c>
    </x:row>
    <x:row r="23" ht="22" customHeight="1">
      <x:c r="A23" s="29" t="str">
        <x:v>pal_022</x:v>
      </x:c>
      <x:c r="B23" s="29" t="str">
        <x:v>No.022</x:v>
      </x:c>
      <x:c r="C23" s="29" t="str">
        <x:v>遁地鼠</x:v>
      </x:c>
      <x:c r="D23" s="29" t="str">
        <x:v>土</x:v>
      </x:c>
      <x:c r="E23" s="29" t="str">
        <x:v>地</x:v>
      </x:c>
      <x:c r="F23" s="29" t="str">
        <x:v>青铜</x:v>
      </x:c>
      <x:c r="G23" s="29" t="str">
        <x:v>中型</x:v>
      </x:c>
      <x:c r="H23" s="29" t="str">
        <x:v>坦克</x:v>
      </x:c>
      <x:c r="I23" s="31" t="n">
        <x:f>IFERROR(VLOOKUP($A23,'02_怪物模板_好读版'!$A:$S,15,FALSE),0)+IFERROR(VLOOKUP($A23,'02_怪物模板_好读版'!$A:$S,16,FALSE),0)</x:f>
        <x:v>0</x:v>
      </x:c>
      <x:c r="J23" s="31" t="n">
        <x:f>IFERROR(VLOOKUP($A23,'02_怪物模板_好读版'!$A:$Z,8,FALSE),25)</x:f>
        <x:v>25</x:v>
      </x:c>
      <x:c r="K23" s="31" t="n">
        <x:f>IFERROR(VLOOKUP($A23,'02_怪物模板_好读版'!$A:$Z,9,FALSE),1)</x:f>
        <x:v>1</x:v>
      </x:c>
      <x:c r="L23" s="31" t="n">
        <x:f>IFERROR(VLOOKUP($A23,'02_怪物模板_好读版'!$A:$Z,10,FALSE),0)</x:f>
        <x:v>0</x:v>
      </x:c>
      <x:c r="M23" s="31" t="n">
        <x:f>IFERROR(VLOOKUP($A23,'02_怪物模板_好读版'!$A:$Z,11,FALSE),0)</x:f>
        <x:v>0</x:v>
      </x:c>
      <x:c r="N23" s="31" t="n">
        <x:f>IFERROR(VLOOKUP($A23,'02_怪物模板_好读版'!$A:$Z,12,FALSE),2)</x:f>
        <x:v>2</x:v>
      </x:c>
      <x:c r="O23" s="31" t="str">
        <x:f>IFERROR(VLOOKUP($A23,'02_怪物模板_好读版'!$A:$Z,13,FALSE),"none")</x:f>
        <x:v>none</x:v>
      </x:c>
      <x:c r="P23" s="29" t="str">
        <x:v>B1 横扫三格</x:v>
      </x:c>
      <x:c r="Q23" s="29" t="str">
        <x:v>扫击/3格</x:v>
      </x:c>
      <x:c r="R23" s="29" t="str">
        <x:v>阻挡</x:v>
      </x:c>
      <x:c r="S23" s="29" t="str">
        <x:v>castleReduce</x:v>
      </x:c>
      <x:c r="T23" s="29" t="str">
        <x:v>土、防御、前排、阻挡</x:v>
      </x:c>
      <x:c r="U23" s="29" t="str">
        <x:v>—</x:v>
      </x:c>
      <x:c r="V23" s="29" t="str">
        <x:v>旧定位=防御</x:v>
      </x:c>
    </x:row>
    <x:row r="24" ht="22" customHeight="1">
      <x:c r="A24" s="29" t="str">
        <x:v>pal_023</x:v>
      </x:c>
      <x:c r="B24" s="29" t="str">
        <x:v>No.023</x:v>
      </x:c>
      <x:c r="C24" s="29" t="str">
        <x:v>勾魂鱿</x:v>
      </x:c>
      <x:c r="D24" s="29" t="str">
        <x:v>土</x:v>
      </x:c>
      <x:c r="E24" s="29" t="str">
        <x:v>暗</x:v>
      </x:c>
      <x:c r="F24" s="29" t="str">
        <x:v>青铜</x:v>
      </x:c>
      <x:c r="G24" s="29" t="str">
        <x:v>中型</x:v>
      </x:c>
      <x:c r="H24" s="29" t="str">
        <x:v>坦克</x:v>
      </x:c>
      <x:c r="I24" s="31" t="n">
        <x:f>IFERROR(VLOOKUP($A24,'02_怪物模板_好读版'!$A:$S,15,FALSE),0)+IFERROR(VLOOKUP($A24,'02_怪物模板_好读版'!$A:$S,16,FALSE),0)</x:f>
        <x:v>0</x:v>
      </x:c>
      <x:c r="J24" s="31" t="n">
        <x:f>IFERROR(VLOOKUP($A24,'02_怪物模板_好读版'!$A:$Z,8,FALSE),25)</x:f>
        <x:v>25</x:v>
      </x:c>
      <x:c r="K24" s="31" t="n">
        <x:f>IFERROR(VLOOKUP($A24,'02_怪物模板_好读版'!$A:$Z,9,FALSE),2)</x:f>
        <x:v>2</x:v>
      </x:c>
      <x:c r="L24" s="31" t="n">
        <x:f>IFERROR(VLOOKUP($A24,'02_怪物模板_好读版'!$A:$Z,10,FALSE),0)</x:f>
        <x:v>0</x:v>
      </x:c>
      <x:c r="M24" s="31" t="n">
        <x:f>IFERROR(VLOOKUP($A24,'02_怪物模板_好读版'!$A:$Z,11,FALSE),6)</x:f>
        <x:v>6</x:v>
      </x:c>
      <x:c r="N24" s="31" t="n">
        <x:f>IFERROR(VLOOKUP($A24,'02_怪物模板_好读版'!$A:$Z,12,FALSE),3)</x:f>
        <x:v>3</x:v>
      </x:c>
      <x:c r="O24" s="31" t="str">
        <x:f>IFERROR(VLOOKUP($A24,'02_怪物模板_好读版'!$A:$Z,13,FALSE),"mech_shield_regen")</x:f>
        <x:v>mech_shield_regen</x:v>
      </x:c>
      <x:c r="P24" s="29" t="str">
        <x:v>B1 横扫三格</x:v>
      </x:c>
      <x:c r="Q24" s="29" t="str">
        <x:v>扫击/3格</x:v>
      </x:c>
      <x:c r="R24" s="29" t="str">
        <x:v>阻挡</x:v>
      </x:c>
      <x:c r="S24" s="29" t="str">
        <x:v>castleReduce</x:v>
      </x:c>
      <x:c r="T24" s="29" t="str">
        <x:v>土、防御、前排、阻挡</x:v>
      </x:c>
      <x:c r="U24" s="29" t="str">
        <x:v>—</x:v>
      </x:c>
      <x:c r="V24" s="29" t="str">
        <x:v>旧定位=防御</x:v>
      </x:c>
    </x:row>
    <x:row r="25" ht="22" customHeight="1">
      <x:c r="A25" s="29" t="str">
        <x:v>pal_024</x:v>
      </x:c>
      <x:c r="B25" s="29" t="str">
        <x:v>No.024</x:v>
      </x:c>
      <x:c r="C25" s="29" t="str">
        <x:v>喵丝特</x:v>
      </x:c>
      <x:c r="D25" s="29" t="str">
        <x:v>土</x:v>
      </x:c>
      <x:c r="E25" s="29" t="str">
        <x:v>暗</x:v>
      </x:c>
      <x:c r="F25" s="29" t="str">
        <x:v>青铜</x:v>
      </x:c>
      <x:c r="G25" s="29" t="str">
        <x:v>小型</x:v>
      </x:c>
      <x:c r="H25" s="29" t="str">
        <x:v>经济</x:v>
      </x:c>
      <x:c r="I25" s="31" t="n">
        <x:f>IFERROR(VLOOKUP($A25,'02_怪物模板_好读版'!$A:$S,15,FALSE),0)+IFERROR(VLOOKUP($A25,'02_怪物模板_好读版'!$A:$S,16,FALSE),0)</x:f>
        <x:v>0</x:v>
      </x:c>
      <x:c r="J25" s="31" t="n">
        <x:f>IFERROR(VLOOKUP($A25,'02_怪物模板_好读版'!$A:$Z,8,FALSE),10)</x:f>
        <x:v>10</x:v>
      </x:c>
      <x:c r="K25" s="31" t="n">
        <x:f>IFERROR(VLOOKUP($A25,'02_怪物模板_好读版'!$A:$Z,9,FALSE),3)</x:f>
        <x:v>3</x:v>
      </x:c>
      <x:c r="L25" s="31" t="n">
        <x:f>IFERROR(VLOOKUP($A25,'02_怪物模板_好读版'!$A:$Z,10,FALSE),0)</x:f>
        <x:v>0</x:v>
      </x:c>
      <x:c r="M25" s="31" t="n">
        <x:f>IFERROR(VLOOKUP($A25,'02_怪物模板_好读版'!$A:$Z,11,FALSE),0)</x:f>
        <x:v>0</x:v>
      </x:c>
      <x:c r="N25" s="31" t="n">
        <x:f>IFERROR(VLOOKUP($A25,'02_怪物模板_好读版'!$A:$Z,12,FALSE),3)</x:f>
        <x:v>3</x:v>
      </x:c>
      <x:c r="O25" s="31" t="str">
        <x:f>IFERROR(VLOOKUP($A25,'02_怪物模板_好读版'!$A:$Z,13,FALSE),"mech_aura")</x:f>
        <x:v>mech_aura</x:v>
      </x:c>
      <x:c r="P25" s="29" t="str">
        <x:v>A1 单点刺</x:v>
      </x:c>
      <x:c r="Q25" s="29" t="str">
        <x:v>直线/1格</x:v>
      </x:c>
      <x:c r="R25" s="29" t="str">
        <x:v>召唤</x:v>
      </x:c>
      <x:c r="S25" s="29" t="str">
        <x:v>buffAllSummons</x:v>
      </x:c>
      <x:c r="T25" s="29" t="str">
        <x:v>土、经济、召唤、发育</x:v>
      </x:c>
      <x:c r="U25" s="29" t="str">
        <x:v>是</x:v>
      </x:c>
      <x:c r="V25" s="29" t="str"/>
    </x:row>
    <x:row r="26" ht="22" customHeight="1">
      <x:c r="A26" s="29" t="str">
        <x:v>pal_025</x:v>
      </x:c>
      <x:c r="B26" s="29" t="str">
        <x:v>No.025</x:v>
      </x:c>
      <x:c r="C26" s="29" t="str">
        <x:v>鲁米儿</x:v>
      </x:c>
      <x:c r="D26" s="29" t="str">
        <x:v>水</x:v>
      </x:c>
      <x:c r="E26" s="29" t="str"/>
      <x:c r="F26" s="29" t="str">
        <x:v>青铜</x:v>
      </x:c>
      <x:c r="G26" s="29" t="str">
        <x:v>小型</x:v>
      </x:c>
      <x:c r="H26" s="29" t="str">
        <x:v>治疗</x:v>
      </x:c>
      <x:c r="I26" s="31" t="n">
        <x:f>IFERROR(VLOOKUP($A26,'02_怪物模板_好读版'!$A:$S,15,FALSE),0)+IFERROR(VLOOKUP($A26,'02_怪物模板_好读版'!$A:$S,16,FALSE),0)</x:f>
        <x:v>0</x:v>
      </x:c>
      <x:c r="J26" s="31" t="n">
        <x:f>IFERROR(VLOOKUP($A26,'02_怪物模板_好读版'!$A:$Z,8,FALSE),10)</x:f>
        <x:v>10</x:v>
      </x:c>
      <x:c r="K26" s="31" t="n">
        <x:f>IFERROR(VLOOKUP($A26,'02_怪物模板_好读版'!$A:$Z,9,FALSE),3)</x:f>
        <x:v>3</x:v>
      </x:c>
      <x:c r="L26" s="31" t="n">
        <x:f>IFERROR(VLOOKUP($A26,'02_怪物模板_好读版'!$A:$Z,10,FALSE),0)</x:f>
        <x:v>0</x:v>
      </x:c>
      <x:c r="M26" s="31" t="n">
        <x:f>IFERROR(VLOOKUP($A26,'02_怪物模板_好读版'!$A:$Z,11,FALSE),0)</x:f>
        <x:v>0</x:v>
      </x:c>
      <x:c r="N26" s="31" t="n">
        <x:f>IFERROR(VLOOKUP($A26,'02_怪物模板_好读版'!$A:$Z,12,FALSE),3)</x:f>
        <x:v>3</x:v>
      </x:c>
      <x:c r="O26" s="31" t="str">
        <x:f>IFERROR(VLOOKUP($A26,'02_怪物模板_好读版'!$A:$Z,13,FALSE),"REVIEW")</x:f>
        <x:v>REVIEW</x:v>
      </x:c>
      <x:c r="P26" s="29" t="str">
        <x:v>B1 横扫三格</x:v>
      </x:c>
      <x:c r="Q26" s="29" t="str">
        <x:v>扫击/3格</x:v>
      </x:c>
      <x:c r="R26" s="29" t="str">
        <x:v>场地</x:v>
      </x:c>
      <x:c r="S26" s="29" t="str">
        <x:v>healAmpBonus</x:v>
      </x:c>
      <x:c r="T26" s="29" t="str">
        <x:v>水、治疗、后排、增益</x:v>
      </x:c>
      <x:c r="U26" s="29" t="str">
        <x:v>—</x:v>
      </x:c>
      <x:c r="V26" s="29" t="str"/>
    </x:row>
    <x:row r="27" ht="22" customHeight="1">
      <x:c r="A27" s="29" t="str">
        <x:v>pal_026</x:v>
      </x:c>
      <x:c r="B27" s="29" t="str">
        <x:v>No.026</x:v>
      </x:c>
      <x:c r="C27" s="29" t="str">
        <x:v>猎狼</x:v>
      </x:c>
      <x:c r="D27" s="29" t="str">
        <x:v>风</x:v>
      </x:c>
      <x:c r="E27" s="29" t="str"/>
      <x:c r="F27" s="29" t="str">
        <x:v>青铜</x:v>
      </x:c>
      <x:c r="G27" s="29" t="str">
        <x:v>中型</x:v>
      </x:c>
      <x:c r="H27" s="29" t="str">
        <x:v>机动</x:v>
      </x:c>
      <x:c r="I27" s="31" t="n">
        <x:f>IFERROR(VLOOKUP($A27,'02_怪物模板_好读版'!$A:$S,15,FALSE),0)+IFERROR(VLOOKUP($A27,'02_怪物模板_好读版'!$A:$S,16,FALSE),0)</x:f>
        <x:v>0</x:v>
      </x:c>
      <x:c r="J27" s="31" t="n">
        <x:f>IFERROR(VLOOKUP($A27,'02_怪物模板_好读版'!$A:$Z,8,FALSE),20)</x:f>
        <x:v>20</x:v>
      </x:c>
      <x:c r="K27" s="31" t="n">
        <x:f>IFERROR(VLOOKUP($A27,'02_怪物模板_好读版'!$A:$Z,9,FALSE),3)</x:f>
        <x:v>3</x:v>
      </x:c>
      <x:c r="L27" s="31" t="n">
        <x:f>IFERROR(VLOOKUP($A27,'02_怪物模板_好读版'!$A:$Z,10,FALSE),0)</x:f>
        <x:v>0</x:v>
      </x:c>
      <x:c r="M27" s="31" t="n">
        <x:f>IFERROR(VLOOKUP($A27,'02_怪物模板_好读版'!$A:$Z,11,FALSE),6)</x:f>
        <x:v>6</x:v>
      </x:c>
      <x:c r="N27" s="31" t="n">
        <x:f>IFERROR(VLOOKUP($A27,'02_怪物模板_好读版'!$A:$Z,12,FALSE),4)</x:f>
        <x:v>4</x:v>
      </x:c>
      <x:c r="O27" s="31" t="str">
        <x:f>IFERROR(VLOOKUP($A27,'02_怪物模板_好读版'!$A:$Z,13,FALSE),"mech_steal_reward,mech_pierce_shield")</x:f>
        <x:v>mech_steal_reward,mech_pierce_shield</x:v>
      </x:c>
      <x:c r="P27" s="29" t="str">
        <x:v>A1 单点刺</x:v>
      </x:c>
      <x:c r="Q27" s="29" t="str">
        <x:v>直线/1格</x:v>
      </x:c>
      <x:c r="R27" s="29" t="str">
        <x:v>召唤</x:v>
      </x:c>
      <x:c r="S27" s="29" t="str">
        <x:v>buffAllSummons</x:v>
      </x:c>
      <x:c r="T27" s="29" t="str">
        <x:v>风、机动、灵活、泛用</x:v>
      </x:c>
      <x:c r="U27" s="29" t="str">
        <x:v>是</x:v>
      </x:c>
      <x:c r="V27" s="29" t="str"/>
    </x:row>
    <x:row r="28" ht="22" customHeight="1">
      <x:c r="A28" s="29" t="str">
        <x:v>pal_027</x:v>
      </x:c>
      <x:c r="B28" s="29" t="str">
        <x:v>No.027</x:v>
      </x:c>
      <x:c r="C28" s="29" t="str">
        <x:v>炸蛋鸟</x:v>
      </x:c>
      <x:c r="D28" s="29" t="str">
        <x:v>风</x:v>
      </x:c>
      <x:c r="E28" s="29" t="str"/>
      <x:c r="F28" s="29" t="str">
        <x:v>青铜</x:v>
      </x:c>
      <x:c r="G28" s="29" t="str">
        <x:v>中型</x:v>
      </x:c>
      <x:c r="H28" s="29" t="str">
        <x:v>机动</x:v>
      </x:c>
      <x:c r="I28" s="31" t="n">
        <x:f>IFERROR(VLOOKUP($A28,'02_怪物模板_好读版'!$A:$S,15,FALSE),0)+IFERROR(VLOOKUP($A28,'02_怪物模板_好读版'!$A:$S,16,FALSE),0)</x:f>
        <x:v>0</x:v>
      </x:c>
      <x:c r="J28" s="31" t="n">
        <x:f>IFERROR(VLOOKUP($A28,'02_怪物模板_好读版'!$A:$Z,8,FALSE),20)</x:f>
        <x:v>20</x:v>
      </x:c>
      <x:c r="K28" s="31" t="n">
        <x:f>IFERROR(VLOOKUP($A28,'02_怪物模板_好读版'!$A:$Z,9,FALSE),8)</x:f>
        <x:v>8</x:v>
      </x:c>
      <x:c r="L28" s="31" t="n">
        <x:f>IFERROR(VLOOKUP($A28,'02_怪物模板_好读版'!$A:$Z,10,FALSE),0)</x:f>
        <x:v>0</x:v>
      </x:c>
      <x:c r="M28" s="31" t="n">
        <x:f>IFERROR(VLOOKUP($A28,'02_怪物模板_好读版'!$A:$Z,11,FALSE),0)</x:f>
        <x:v>0</x:v>
      </x:c>
      <x:c r="N28" s="31" t="n">
        <x:f>IFERROR(VLOOKUP($A28,'02_怪物模板_好读版'!$A:$Z,12,FALSE),4)</x:f>
        <x:v>4</x:v>
      </x:c>
      <x:c r="O28" s="31" t="str">
        <x:f>IFERROR(VLOOKUP($A28,'02_怪物模板_好读版'!$A:$Z,13,FALSE),"mech_aura")</x:f>
        <x:v>mech_aura</x:v>
      </x:c>
      <x:c r="P28" s="29" t="str">
        <x:v>A1 单点刺</x:v>
      </x:c>
      <x:c r="Q28" s="29" t="str">
        <x:v>直线/1格</x:v>
      </x:c>
      <x:c r="R28" s="29" t="str">
        <x:v>召唤</x:v>
      </x:c>
      <x:c r="S28" s="29" t="str">
        <x:v>buffAllSummons</x:v>
      </x:c>
      <x:c r="T28" s="29" t="str">
        <x:v>风、机动、灵活、泛用</x:v>
      </x:c>
      <x:c r="U28" s="29" t="str">
        <x:v>是</x:v>
      </x:c>
      <x:c r="V28" s="29" t="str"/>
    </x:row>
    <x:row r="29" ht="22" customHeight="1">
      <x:c r="A29" s="29" t="str">
        <x:v>pal_028</x:v>
      </x:c>
      <x:c r="B29" s="29" t="str">
        <x:v>No.028</x:v>
      </x:c>
      <x:c r="C29" s="29" t="str">
        <x:v>波娜兔</x:v>
      </x:c>
      <x:c r="D29" s="29" t="str">
        <x:v>风</x:v>
      </x:c>
      <x:c r="E29" s="29" t="str">
        <x:v>草</x:v>
      </x:c>
      <x:c r="F29" s="29" t="str">
        <x:v>青铜</x:v>
      </x:c>
      <x:c r="G29" s="29" t="str">
        <x:v>小型</x:v>
      </x:c>
      <x:c r="H29" s="29" t="str">
        <x:v>治疗</x:v>
      </x:c>
      <x:c r="I29" s="31" t="n">
        <x:f>IFERROR(VLOOKUP($A29,'02_怪物模板_好读版'!$A:$S,15,FALSE),0)+IFERROR(VLOOKUP($A29,'02_怪物模板_好读版'!$A:$S,16,FALSE),0)</x:f>
        <x:v>0</x:v>
      </x:c>
      <x:c r="J29" s="31" t="n">
        <x:f>IFERROR(VLOOKUP($A29,'02_怪物模板_好读版'!$A:$Z,8,FALSE),10)</x:f>
        <x:v>10</x:v>
      </x:c>
      <x:c r="K29" s="31" t="n">
        <x:f>IFERROR(VLOOKUP($A29,'02_怪物模板_好读版'!$A:$Z,9,FALSE),3)</x:f>
        <x:v>3</x:v>
      </x:c>
      <x:c r="L29" s="31" t="n">
        <x:f>IFERROR(VLOOKUP($A29,'02_怪物模板_好读版'!$A:$Z,10,FALSE),0)</x:f>
        <x:v>0</x:v>
      </x:c>
      <x:c r="M29" s="31" t="n">
        <x:f>IFERROR(VLOOKUP($A29,'02_怪物模板_好读版'!$A:$Z,11,FALSE),0)</x:f>
        <x:v>0</x:v>
      </x:c>
      <x:c r="N29" s="31" t="n">
        <x:f>IFERROR(VLOOKUP($A29,'02_怪物模板_好读版'!$A:$Z,12,FALSE),3)</x:f>
        <x:v>3</x:v>
      </x:c>
      <x:c r="O29" s="31" t="str">
        <x:f>IFERROR(VLOOKUP($A29,'02_怪物模板_好读版'!$A:$Z,13,FALSE),"REVIEW")</x:f>
        <x:v>REVIEW</x:v>
      </x:c>
      <x:c r="P29" s="29" t="str">
        <x:v>B1 横扫三格</x:v>
      </x:c>
      <x:c r="Q29" s="29" t="str">
        <x:v>扫击/3格</x:v>
      </x:c>
      <x:c r="R29" s="29" t="str">
        <x:v>场地</x:v>
      </x:c>
      <x:c r="S29" s="29" t="str">
        <x:v>healAmpBonus</x:v>
      </x:c>
      <x:c r="T29" s="29" t="str">
        <x:v>风、治疗、后排、增益</x:v>
      </x:c>
      <x:c r="U29" s="29" t="str">
        <x:v>—</x:v>
      </x:c>
      <x:c r="V29" s="29" t="str"/>
    </x:row>
    <x:row r="30" ht="22" customHeight="1">
      <x:c r="A30" s="29" t="str">
        <x:v>pal_029</x:v>
      </x:c>
      <x:c r="B30" s="29" t="str">
        <x:v>No.029</x:v>
      </x:c>
      <x:c r="C30" s="29" t="str">
        <x:v>波霸牛</x:v>
      </x:c>
      <x:c r="D30" s="29" t="str">
        <x:v>风</x:v>
      </x:c>
      <x:c r="E30" s="29" t="str"/>
      <x:c r="F30" s="29" t="str">
        <x:v>青铜</x:v>
      </x:c>
      <x:c r="G30" s="29" t="str">
        <x:v>中型</x:v>
      </x:c>
      <x:c r="H30" s="29" t="str">
        <x:v>经济</x:v>
      </x:c>
      <x:c r="I30" s="31" t="n">
        <x:f>IFERROR(VLOOKUP($A30,'02_怪物模板_好读版'!$A:$S,15,FALSE),0)+IFERROR(VLOOKUP($A30,'02_怪物模板_好读版'!$A:$S,16,FALSE),0)</x:f>
        <x:v>0</x:v>
      </x:c>
      <x:c r="J30" s="31" t="n">
        <x:f>IFERROR(VLOOKUP($A30,'02_怪物模板_好读版'!$A:$Z,8,FALSE),25)</x:f>
        <x:v>25</x:v>
      </x:c>
      <x:c r="K30" s="31" t="n">
        <x:f>IFERROR(VLOOKUP($A30,'02_怪物模板_好读版'!$A:$Z,9,FALSE),2)</x:f>
        <x:v>2</x:v>
      </x:c>
      <x:c r="L30" s="31" t="n">
        <x:f>IFERROR(VLOOKUP($A30,'02_怪物模板_好读版'!$A:$Z,10,FALSE),0)</x:f>
        <x:v>0</x:v>
      </x:c>
      <x:c r="M30" s="31" t="n">
        <x:f>IFERROR(VLOOKUP($A30,'02_怪物模板_好读版'!$A:$Z,11,FALSE),6)</x:f>
        <x:v>6</x:v>
      </x:c>
      <x:c r="N30" s="31" t="n">
        <x:f>IFERROR(VLOOKUP($A30,'02_怪物模板_好读版'!$A:$Z,12,FALSE),3)</x:f>
        <x:v>3</x:v>
      </x:c>
      <x:c r="O30" s="31" t="str">
        <x:f>IFERROR(VLOOKUP($A30,'02_怪物模板_好读版'!$A:$Z,13,FALSE),"mech_aura,mech_curse")</x:f>
        <x:v>mech_aura,mech_curse</x:v>
      </x:c>
      <x:c r="P30" s="29" t="str">
        <x:v>A1 单点刺</x:v>
      </x:c>
      <x:c r="Q30" s="29" t="str">
        <x:v>直线/1格</x:v>
      </x:c>
      <x:c r="R30" s="29" t="str">
        <x:v>召唤</x:v>
      </x:c>
      <x:c r="S30" s="29" t="str">
        <x:v>buffAllSummons</x:v>
      </x:c>
      <x:c r="T30" s="29" t="str">
        <x:v>风、经济、召唤、发育</x:v>
      </x:c>
      <x:c r="U30" s="29" t="str">
        <x:v>是</x:v>
      </x:c>
      <x:c r="V30" s="29" t="str">
        <x:v>经济补预算</x:v>
      </x:c>
    </x:row>
    <x:row r="31" ht="22" customHeight="1">
      <x:c r="A31" s="29" t="str">
        <x:v>pal_030</x:v>
      </x:c>
      <x:c r="B31" s="29" t="str">
        <x:v>No.030</x:v>
      </x:c>
      <x:c r="C31" s="29" t="str">
        <x:v>荆棘魔仙</x:v>
      </x:c>
      <x:c r="D31" s="29" t="str">
        <x:v>风</x:v>
      </x:c>
      <x:c r="E31" s="29" t="str">
        <x:v>草</x:v>
      </x:c>
      <x:c r="F31" s="29" t="str">
        <x:v>青铜</x:v>
      </x:c>
      <x:c r="G31" s="29" t="str">
        <x:v>大型</x:v>
      </x:c>
      <x:c r="H31" s="29" t="str">
        <x:v>治疗</x:v>
      </x:c>
      <x:c r="I31" s="31" t="n">
        <x:f>IFERROR(VLOOKUP($A31,'02_怪物模板_好读版'!$A:$S,15,FALSE),0)+IFERROR(VLOOKUP($A31,'02_怪物模板_好读版'!$A:$S,16,FALSE),0)</x:f>
        <x:v>0</x:v>
      </x:c>
      <x:c r="J31" s="31" t="n">
        <x:f>IFERROR(VLOOKUP($A31,'02_怪物模板_好读版'!$A:$Z,8,FALSE),25)</x:f>
        <x:v>25</x:v>
      </x:c>
      <x:c r="K31" s="31" t="n">
        <x:f>IFERROR(VLOOKUP($A31,'02_怪物模板_好读版'!$A:$Z,9,FALSE),24)</x:f>
        <x:v>24</x:v>
      </x:c>
      <x:c r="L31" s="31" t="n">
        <x:f>IFERROR(VLOOKUP($A31,'02_怪物模板_好读版'!$A:$Z,10,FALSE),0)</x:f>
        <x:v>0</x:v>
      </x:c>
      <x:c r="M31" s="31" t="n">
        <x:f>IFERROR(VLOOKUP($A31,'02_怪物模板_好读版'!$A:$Z,11,FALSE),0)</x:f>
        <x:v>0</x:v>
      </x:c>
      <x:c r="N31" s="31" t="n">
        <x:f>IFERROR(VLOOKUP($A31,'02_怪物模板_好读版'!$A:$Z,12,FALSE),3)</x:f>
        <x:v>3</x:v>
      </x:c>
      <x:c r="O31" s="31" t="str">
        <x:f>IFERROR(VLOOKUP($A31,'02_怪物模板_好读版'!$A:$Z,13,FALSE),"REVIEW")</x:f>
        <x:v>REVIEW</x:v>
      </x:c>
      <x:c r="P31" s="29" t="str">
        <x:v>B1 横扫三格</x:v>
      </x:c>
      <x:c r="Q31" s="29" t="str">
        <x:v>扫击/3格</x:v>
      </x:c>
      <x:c r="R31" s="29" t="str">
        <x:v>场地</x:v>
      </x:c>
      <x:c r="S31" s="29" t="str">
        <x:v>healAmpBonus</x:v>
      </x:c>
      <x:c r="T31" s="29" t="str">
        <x:v>风、治疗、后排、增益</x:v>
      </x:c>
      <x:c r="U31" s="29" t="str">
        <x:v>—</x:v>
      </x:c>
      <x:c r="V31" s="29" t="str"/>
    </x:row>
    <x:row r="32" ht="22" customHeight="1">
      <x:c r="A32" s="29" t="str">
        <x:v>pal_031</x:v>
      </x:c>
      <x:c r="B32" s="29" t="str">
        <x:v>No.031</x:v>
      </x:c>
      <x:c r="C32" s="29" t="str">
        <x:v>鲨小子</x:v>
      </x:c>
      <x:c r="D32" s="29" t="str">
        <x:v>水</x:v>
      </x:c>
      <x:c r="E32" s="29" t="str"/>
      <x:c r="F32" s="29" t="str">
        <x:v>青铜</x:v>
      </x:c>
      <x:c r="G32" s="29" t="str">
        <x:v>中型</x:v>
      </x:c>
      <x:c r="H32" s="29" t="str">
        <x:v>治疗</x:v>
      </x:c>
      <x:c r="I32" s="31" t="n">
        <x:f>IFERROR(VLOOKUP($A32,'02_怪物模板_好读版'!$A:$S,15,FALSE),0)+IFERROR(VLOOKUP($A32,'02_怪物模板_好读版'!$A:$S,16,FALSE),0)</x:f>
        <x:v>0</x:v>
      </x:c>
      <x:c r="J32" s="31" t="n">
        <x:f>IFERROR(VLOOKUP($A32,'02_怪物模板_好读版'!$A:$Z,8,FALSE),25)</x:f>
        <x:v>25</x:v>
      </x:c>
      <x:c r="K32" s="31" t="n">
        <x:f>IFERROR(VLOOKUP($A32,'02_怪物模板_好读版'!$A:$Z,9,FALSE),2)</x:f>
        <x:v>2</x:v>
      </x:c>
      <x:c r="L32" s="31" t="n">
        <x:f>IFERROR(VLOOKUP($A32,'02_怪物模板_好读版'!$A:$Z,10,FALSE),0)</x:f>
        <x:v>0</x:v>
      </x:c>
      <x:c r="M32" s="31" t="n">
        <x:f>IFERROR(VLOOKUP($A32,'02_怪物模板_好读版'!$A:$Z,11,FALSE),6)</x:f>
        <x:v>6</x:v>
      </x:c>
      <x:c r="N32" s="31" t="n">
        <x:f>IFERROR(VLOOKUP($A32,'02_怪物模板_好读版'!$A:$Z,12,FALSE),3)</x:f>
        <x:v>3</x:v>
      </x:c>
      <x:c r="O32" s="31" t="str">
        <x:f>IFERROR(VLOOKUP($A32,'02_怪物模板_好读版'!$A:$Z,13,FALSE),"mech_grow_shield")</x:f>
        <x:v>mech_grow_shield</x:v>
      </x:c>
      <x:c r="P32" s="29" t="str">
        <x:v>B1 横扫三格</x:v>
      </x:c>
      <x:c r="Q32" s="29" t="str">
        <x:v>扫击/3格</x:v>
      </x:c>
      <x:c r="R32" s="29" t="str">
        <x:v>场地</x:v>
      </x:c>
      <x:c r="S32" s="29" t="str">
        <x:v>healAmpBonus</x:v>
      </x:c>
      <x:c r="T32" s="29" t="str">
        <x:v>水、治疗、后排、增益</x:v>
      </x:c>
      <x:c r="U32" s="29" t="str">
        <x:v>—</x:v>
      </x:c>
      <x:c r="V32" s="29" t="str"/>
    </x:row>
    <x:row r="33" ht="22" customHeight="1">
      <x:c r="A33" s="29" t="str">
        <x:v>pal_032</x:v>
      </x:c>
      <x:c r="B33" s="29" t="str">
        <x:v>No.032</x:v>
      </x:c>
      <x:c r="C33" s="29" t="str">
        <x:v>吊缚灵</x:v>
      </x:c>
      <x:c r="D33" s="29" t="str">
        <x:v>土</x:v>
      </x:c>
      <x:c r="E33" s="29" t="str">
        <x:v>地</x:v>
      </x:c>
      <x:c r="F33" s="29" t="str">
        <x:v>青铜</x:v>
      </x:c>
      <x:c r="G33" s="29" t="str">
        <x:v>中型</x:v>
      </x:c>
      <x:c r="H33" s="29" t="str">
        <x:v>坦克</x:v>
      </x:c>
      <x:c r="I33" s="31" t="n">
        <x:f>IFERROR(VLOOKUP($A33,'02_怪物模板_好读版'!$A:$S,15,FALSE),0)+IFERROR(VLOOKUP($A33,'02_怪物模板_好读版'!$A:$S,16,FALSE),0)</x:f>
        <x:v>0</x:v>
      </x:c>
      <x:c r="J33" s="31" t="n">
        <x:f>IFERROR(VLOOKUP($A33,'02_怪物模板_好读版'!$A:$Z,8,FALSE),30)</x:f>
        <x:v>30</x:v>
      </x:c>
      <x:c r="K33" s="31" t="n">
        <x:f>IFERROR(VLOOKUP($A33,'02_怪物模板_好读版'!$A:$Z,9,FALSE),3)</x:f>
        <x:v>3</x:v>
      </x:c>
      <x:c r="L33" s="31" t="n">
        <x:f>IFERROR(VLOOKUP($A33,'02_怪物模板_好读版'!$A:$Z,10,FALSE),0)</x:f>
        <x:v>0</x:v>
      </x:c>
      <x:c r="M33" s="31" t="n">
        <x:f>IFERROR(VLOOKUP($A33,'02_怪物模板_好读版'!$A:$Z,11,FALSE),0)</x:f>
        <x:v>0</x:v>
      </x:c>
      <x:c r="N33" s="31" t="n">
        <x:f>IFERROR(VLOOKUP($A33,'02_怪物模板_好读版'!$A:$Z,12,FALSE),3)</x:f>
        <x:v>3</x:v>
      </x:c>
      <x:c r="O33" s="31" t="str">
        <x:f>IFERROR(VLOOKUP($A33,'02_怪物模板_好读版'!$A:$Z,13,FALSE),"mech_damage_cap")</x:f>
        <x:v>mech_damage_cap</x:v>
      </x:c>
      <x:c r="P33" s="29" t="str">
        <x:v>B1 横扫三格</x:v>
      </x:c>
      <x:c r="Q33" s="29" t="str">
        <x:v>扫击/3格</x:v>
      </x:c>
      <x:c r="R33" s="29" t="str">
        <x:v>阻挡</x:v>
      </x:c>
      <x:c r="S33" s="29" t="str">
        <x:v>castleReduce</x:v>
      </x:c>
      <x:c r="T33" s="29" t="str">
        <x:v>土、防御、前排、阻挡</x:v>
      </x:c>
      <x:c r="U33" s="29" t="str">
        <x:v>—</x:v>
      </x:c>
      <x:c r="V33" s="29" t="str">
        <x:v>旧定位=防御</x:v>
      </x:c>
    </x:row>
    <x:row r="34" ht="22" customHeight="1">
      <x:c r="A34" s="29" t="str">
        <x:v>pal_033</x:v>
      </x:c>
      <x:c r="B34" s="29" t="str">
        <x:v>No.033</x:v>
      </x:c>
      <x:c r="C34" s="29" t="str">
        <x:v>叶胖达</x:v>
      </x:c>
      <x:c r="D34" s="29" t="str">
        <x:v>风</x:v>
      </x:c>
      <x:c r="E34" s="29" t="str">
        <x:v>草</x:v>
      </x:c>
      <x:c r="F34" s="29" t="str">
        <x:v>青铜</x:v>
      </x:c>
      <x:c r="G34" s="29" t="str">
        <x:v>中型</x:v>
      </x:c>
      <x:c r="H34" s="29" t="str">
        <x:v>坦克</x:v>
      </x:c>
      <x:c r="I34" s="31" t="n">
        <x:f>IFERROR(VLOOKUP($A34,'02_怪物模板_好读版'!$A:$S,15,FALSE),0)+IFERROR(VLOOKUP($A34,'02_怪物模板_好读版'!$A:$S,16,FALSE),0)</x:f>
        <x:v>0</x:v>
      </x:c>
      <x:c r="J34" s="31" t="n">
        <x:f>IFERROR(VLOOKUP($A34,'02_怪物模板_好读版'!$A:$Z,8,FALSE),15)</x:f>
        <x:v>15</x:v>
      </x:c>
      <x:c r="K34" s="31" t="n">
        <x:f>IFERROR(VLOOKUP($A34,'02_怪物模板_好读版'!$A:$Z,9,FALSE),4)</x:f>
        <x:v>4</x:v>
      </x:c>
      <x:c r="L34" s="31" t="n">
        <x:f>IFERROR(VLOOKUP($A34,'02_怪物模板_好读版'!$A:$Z,10,FALSE),0)</x:f>
        <x:v>0</x:v>
      </x:c>
      <x:c r="M34" s="31" t="n">
        <x:f>IFERROR(VLOOKUP($A34,'02_怪物模板_好读版'!$A:$Z,11,FALSE),6)</x:f>
        <x:v>6</x:v>
      </x:c>
      <x:c r="N34" s="31" t="n">
        <x:f>IFERROR(VLOOKUP($A34,'02_怪物模板_好读版'!$A:$Z,12,FALSE),3)</x:f>
        <x:v>3</x:v>
      </x:c>
      <x:c r="O34" s="31" t="str">
        <x:f>IFERROR(VLOOKUP($A34,'02_怪物模板_好读版'!$A:$Z,13,FALSE),"REVIEW")</x:f>
        <x:v>REVIEW</x:v>
      </x:c>
      <x:c r="P34" s="29" t="str">
        <x:v>B1 横扫三格</x:v>
      </x:c>
      <x:c r="Q34" s="29" t="str">
        <x:v>扫击/3格</x:v>
      </x:c>
      <x:c r="R34" s="29" t="str">
        <x:v>阻挡</x:v>
      </x:c>
      <x:c r="S34" s="29" t="str">
        <x:v>castleReduce</x:v>
      </x:c>
      <x:c r="T34" s="29" t="str">
        <x:v>风、防御、前排、阻挡</x:v>
      </x:c>
      <x:c r="U34" s="29" t="str">
        <x:v>—</x:v>
      </x:c>
      <x:c r="V34" s="29" t="str">
        <x:v>旧定位=防御</x:v>
      </x:c>
    </x:row>
    <x:row r="35" ht="22" customHeight="1">
      <x:c r="A35" s="29" t="str">
        <x:v>pal_034</x:v>
      </x:c>
      <x:c r="B35" s="29" t="str">
        <x:v>No.034</x:v>
      </x:c>
      <x:c r="C35" s="29" t="str">
        <x:v>棉花糖</x:v>
      </x:c>
      <x:c r="D35" s="29" t="str">
        <x:v>风</x:v>
      </x:c>
      <x:c r="E35" s="29" t="str"/>
      <x:c r="F35" s="29" t="str">
        <x:v>青铜</x:v>
      </x:c>
      <x:c r="G35" s="29" t="str">
        <x:v>小型</x:v>
      </x:c>
      <x:c r="H35" s="29" t="str">
        <x:v>经济</x:v>
      </x:c>
      <x:c r="I35" s="31" t="n">
        <x:f>IFERROR(VLOOKUP($A35,'02_怪物模板_好读版'!$A:$S,15,FALSE),0)+IFERROR(VLOOKUP($A35,'02_怪物模板_好读版'!$A:$S,16,FALSE),0)</x:f>
        <x:v>0</x:v>
      </x:c>
      <x:c r="J35" s="31" t="n">
        <x:f>IFERROR(VLOOKUP($A35,'02_怪物模板_好读版'!$A:$Z,8,FALSE),10)</x:f>
        <x:v>10</x:v>
      </x:c>
      <x:c r="K35" s="31" t="n">
        <x:f>IFERROR(VLOOKUP($A35,'02_怪物模板_好读版'!$A:$Z,9,FALSE),3)</x:f>
        <x:v>3</x:v>
      </x:c>
      <x:c r="L35" s="31" t="n">
        <x:f>IFERROR(VLOOKUP($A35,'02_怪物模板_好读版'!$A:$Z,10,FALSE),0)</x:f>
        <x:v>0</x:v>
      </x:c>
      <x:c r="M35" s="31" t="n">
        <x:f>IFERROR(VLOOKUP($A35,'02_怪物模板_好读版'!$A:$Z,11,FALSE),0)</x:f>
        <x:v>0</x:v>
      </x:c>
      <x:c r="N35" s="31" t="n">
        <x:f>IFERROR(VLOOKUP($A35,'02_怪物模板_好读版'!$A:$Z,12,FALSE),3)</x:f>
        <x:v>3</x:v>
      </x:c>
      <x:c r="O35" s="31" t="str">
        <x:f>IFERROR(VLOOKUP($A35,'02_怪物模板_好读版'!$A:$Z,13,FALSE),"mech_aura")</x:f>
        <x:v>mech_aura</x:v>
      </x:c>
      <x:c r="P35" s="29" t="str">
        <x:v>A1 单点刺</x:v>
      </x:c>
      <x:c r="Q35" s="29" t="str">
        <x:v>直线/1格</x:v>
      </x:c>
      <x:c r="R35" s="29" t="str">
        <x:v>召唤</x:v>
      </x:c>
      <x:c r="S35" s="29" t="str">
        <x:v>buffAllSummons</x:v>
      </x:c>
      <x:c r="T35" s="29" t="str">
        <x:v>风、经济、召唤、发育</x:v>
      </x:c>
      <x:c r="U35" s="29" t="str">
        <x:v>是</x:v>
      </x:c>
      <x:c r="V35" s="29" t="str"/>
    </x:row>
    <x:row r="36" ht="22" customHeight="1">
      <x:c r="A36" s="29" t="str">
        <x:v>pal_035</x:v>
      </x:c>
      <x:c r="B36" s="29" t="str">
        <x:v>No.035</x:v>
      </x:c>
      <x:c r="C36" s="29" t="str">
        <x:v>灌木羊</x:v>
      </x:c>
      <x:c r="D36" s="29" t="str">
        <x:v>风</x:v>
      </x:c>
      <x:c r="E36" s="29" t="str">
        <x:v>草</x:v>
      </x:c>
      <x:c r="F36" s="29" t="str">
        <x:v>青铜</x:v>
      </x:c>
      <x:c r="G36" s="29" t="str">
        <x:v>小型</x:v>
      </x:c>
      <x:c r="H36" s="29" t="str">
        <x:v>召唤</x:v>
      </x:c>
      <x:c r="I36" s="31" t="n">
        <x:f>IFERROR(VLOOKUP($A36,'02_怪物模板_好读版'!$A:$S,15,FALSE),0)+IFERROR(VLOOKUP($A36,'02_怪物模板_好读版'!$A:$S,16,FALSE),0)</x:f>
        <x:v>0</x:v>
      </x:c>
      <x:c r="J36" s="31" t="n">
        <x:f>IFERROR(VLOOKUP($A36,'02_怪物模板_好读版'!$A:$Z,8,FALSE),10)</x:f>
        <x:v>10</x:v>
      </x:c>
      <x:c r="K36" s="31" t="n">
        <x:f>IFERROR(VLOOKUP($A36,'02_怪物模板_好读版'!$A:$Z,9,FALSE),3)</x:f>
        <x:v>3</x:v>
      </x:c>
      <x:c r="L36" s="31" t="n">
        <x:f>IFERROR(VLOOKUP($A36,'02_怪物模板_好读版'!$A:$Z,10,FALSE),0)</x:f>
        <x:v>0</x:v>
      </x:c>
      <x:c r="M36" s="31" t="n">
        <x:f>IFERROR(VLOOKUP($A36,'02_怪物模板_好读版'!$A:$Z,11,FALSE),0)</x:f>
        <x:v>0</x:v>
      </x:c>
      <x:c r="N36" s="31" t="n">
        <x:f>IFERROR(VLOOKUP($A36,'02_怪物模板_好读版'!$A:$Z,12,FALSE),3)</x:f>
        <x:v>3</x:v>
      </x:c>
      <x:c r="O36" s="31" t="str">
        <x:f>IFERROR(VLOOKUP($A36,'02_怪物模板_好读版'!$A:$Z,13,FALSE),"mech_aura")</x:f>
        <x:v>mech_aura</x:v>
      </x:c>
      <x:c r="P36" s="29" t="str">
        <x:v>A1 单点刺</x:v>
      </x:c>
      <x:c r="Q36" s="29" t="str">
        <x:v>直线/1格</x:v>
      </x:c>
      <x:c r="R36" s="29" t="str">
        <x:v>召唤</x:v>
      </x:c>
      <x:c r="S36" s="29" t="str">
        <x:v>buffAllSummons</x:v>
      </x:c>
      <x:c r="T36" s="29" t="str">
        <x:v>风、召唤、成长、核心</x:v>
      </x:c>
      <x:c r="U36" s="29" t="str">
        <x:v>是</x:v>
      </x:c>
      <x:c r="V36" s="29" t="str"/>
    </x:row>
    <x:row r="37" ht="22" customHeight="1">
      <x:c r="A37" s="29" t="str">
        <x:v>pal_036</x:v>
      </x:c>
      <x:c r="B37" s="29" t="str">
        <x:v>No.036</x:v>
      </x:c>
      <x:c r="C37" s="29" t="str">
        <x:v>美露帕</x:v>
      </x:c>
      <x:c r="D37" s="29" t="str">
        <x:v>风</x:v>
      </x:c>
      <x:c r="E37" s="29" t="str"/>
      <x:c r="F37" s="29" t="str">
        <x:v>白银</x:v>
      </x:c>
      <x:c r="G37" s="29" t="str">
        <x:v>小型</x:v>
      </x:c>
      <x:c r="H37" s="29" t="str">
        <x:v>经济</x:v>
      </x:c>
      <x:c r="I37" s="31" t="n">
        <x:f>IFERROR(VLOOKUP($A37,'02_怪物模板_好读版'!$A:$S,15,FALSE),0)+IFERROR(VLOOKUP($A37,'02_怪物模板_好读版'!$A:$S,16,FALSE),0)</x:f>
        <x:v>0</x:v>
      </x:c>
      <x:c r="J37" s="31" t="n">
        <x:f>IFERROR(VLOOKUP($A37,'02_怪物模板_好读版'!$A:$Z,8,FALSE),20)</x:f>
        <x:v>20</x:v>
      </x:c>
      <x:c r="K37" s="31" t="n">
        <x:f>IFERROR(VLOOKUP($A37,'02_怪物模板_好读版'!$A:$Z,9,FALSE),11)</x:f>
        <x:v>11</x:v>
      </x:c>
      <x:c r="L37" s="31" t="n">
        <x:f>IFERROR(VLOOKUP($A37,'02_怪物模板_好读版'!$A:$Z,10,FALSE),0)</x:f>
        <x:v>0</x:v>
      </x:c>
      <x:c r="M37" s="31" t="n">
        <x:f>IFERROR(VLOOKUP($A37,'02_怪物模板_好读版'!$A:$Z,11,FALSE),0)</x:f>
        <x:v>0</x:v>
      </x:c>
      <x:c r="N37" s="31" t="n">
        <x:f>IFERROR(VLOOKUP($A37,'02_怪物模板_好读版'!$A:$Z,12,FALSE),3)</x:f>
        <x:v>3</x:v>
      </x:c>
      <x:c r="O37" s="31" t="str">
        <x:f>IFERROR(VLOOKUP($A37,'02_怪物模板_好读版'!$A:$Z,13,FALSE),"mech_aura")</x:f>
        <x:v>mech_aura</x:v>
      </x:c>
      <x:c r="P37" s="29" t="str">
        <x:v>A1 单点刺</x:v>
      </x:c>
      <x:c r="Q37" s="29" t="str">
        <x:v>直线/1格</x:v>
      </x:c>
      <x:c r="R37" s="29" t="str">
        <x:v>召唤</x:v>
      </x:c>
      <x:c r="S37" s="29" t="str">
        <x:v>buffAllSummons</x:v>
      </x:c>
      <x:c r="T37" s="29" t="str">
        <x:v>风、经济、召唤、发育</x:v>
      </x:c>
      <x:c r="U37" s="29" t="str">
        <x:v>是</x:v>
      </x:c>
      <x:c r="V37" s="29" t="str">
        <x:v>经济补预算</x:v>
      </x:c>
    </x:row>
    <x:row r="38" ht="22" customHeight="1">
      <x:c r="A38" s="29" t="str">
        <x:v>pal_037</x:v>
      </x:c>
      <x:c r="B38" s="29" t="str">
        <x:v>No.037</x:v>
      </x:c>
      <x:c r="C38" s="29" t="str">
        <x:v>紫霞鹿</x:v>
      </x:c>
      <x:c r="D38" s="29" t="str">
        <x:v>风</x:v>
      </x:c>
      <x:c r="E38" s="29" t="str"/>
      <x:c r="F38" s="29" t="str">
        <x:v>白银</x:v>
      </x:c>
      <x:c r="G38" s="29" t="str">
        <x:v>小型</x:v>
      </x:c>
      <x:c r="H38" s="29" t="str">
        <x:v>机动</x:v>
      </x:c>
      <x:c r="I38" s="31" t="n">
        <x:f>IFERROR(VLOOKUP($A38,'02_怪物模板_好读版'!$A:$S,15,FALSE),0)+IFERROR(VLOOKUP($A38,'02_怪物模板_好读版'!$A:$S,16,FALSE),0)</x:f>
        <x:v>0</x:v>
      </x:c>
      <x:c r="J38" s="31" t="n">
        <x:f>IFERROR(VLOOKUP($A38,'02_怪物模板_好读版'!$A:$Z,8,FALSE),10)</x:f>
        <x:v>10</x:v>
      </x:c>
      <x:c r="K38" s="31" t="n">
        <x:f>IFERROR(VLOOKUP($A38,'02_怪物模板_好读版'!$A:$Z,9,FALSE),17)</x:f>
        <x:v>17</x:v>
      </x:c>
      <x:c r="L38" s="31" t="n">
        <x:f>IFERROR(VLOOKUP($A38,'02_怪物模板_好读版'!$A:$Z,10,FALSE),0)</x:f>
        <x:v>0</x:v>
      </x:c>
      <x:c r="M38" s="31" t="n">
        <x:f>IFERROR(VLOOKUP($A38,'02_怪物模板_好读版'!$A:$Z,11,FALSE),0)</x:f>
        <x:v>0</x:v>
      </x:c>
      <x:c r="N38" s="31" t="n">
        <x:f>IFERROR(VLOOKUP($A38,'02_怪物模板_好读版'!$A:$Z,12,FALSE),3)</x:f>
        <x:v>3</x:v>
      </x:c>
      <x:c r="O38" s="31" t="str">
        <x:f>IFERROR(VLOOKUP($A38,'02_怪物模板_好读版'!$A:$Z,13,FALSE),"REVIEW")</x:f>
        <x:v>REVIEW</x:v>
      </x:c>
      <x:c r="P38" s="29" t="str">
        <x:v>T2 长柄T</x:v>
      </x:c>
      <x:c r="Q38" s="29" t="str">
        <x:v>T形/5格</x:v>
      </x:c>
      <x:c r="R38" s="29" t="str">
        <x:v>牵制</x:v>
      </x:c>
      <x:c r="S38" s="29" t="str">
        <x:v>advHitBonus</x:v>
      </x:c>
      <x:c r="T38" s="29" t="str">
        <x:v>风、机动、灵活、泛用</x:v>
      </x:c>
      <x:c r="U38" s="29" t="str">
        <x:v>—</x:v>
      </x:c>
      <x:c r="V38" s="29" t="str"/>
    </x:row>
    <x:row r="39" ht="22" customHeight="1">
      <x:c r="A39" s="29" t="str">
        <x:v>pal_038</x:v>
      </x:c>
      <x:c r="B39" s="29" t="str">
        <x:v>No.038</x:v>
      </x:c>
      <x:c r="C39" s="29" t="str">
        <x:v>疾风隼</x:v>
      </x:c>
      <x:c r="D39" s="29" t="str">
        <x:v>风</x:v>
      </x:c>
      <x:c r="E39" s="29" t="str"/>
      <x:c r="F39" s="29" t="str">
        <x:v>白银</x:v>
      </x:c>
      <x:c r="G39" s="29" t="str">
        <x:v>小型</x:v>
      </x:c>
      <x:c r="H39" s="29" t="str">
        <x:v>机动</x:v>
      </x:c>
      <x:c r="I39" s="31" t="n">
        <x:f>IFERROR(VLOOKUP($A39,'02_怪物模板_好读版'!$A:$S,15,FALSE),0)+IFERROR(VLOOKUP($A39,'02_怪物模板_好读版'!$A:$S,16,FALSE),0)</x:f>
        <x:v>0</x:v>
      </x:c>
      <x:c r="J39" s="31" t="n">
        <x:f>IFERROR(VLOOKUP($A39,'02_怪物模板_好读版'!$A:$Z,8,FALSE),10)</x:f>
        <x:v>10</x:v>
      </x:c>
      <x:c r="K39" s="31" t="n">
        <x:f>IFERROR(VLOOKUP($A39,'02_怪物模板_好读版'!$A:$Z,9,FALSE),17)</x:f>
        <x:v>17</x:v>
      </x:c>
      <x:c r="L39" s="31" t="n">
        <x:f>IFERROR(VLOOKUP($A39,'02_怪物模板_好读版'!$A:$Z,10,FALSE),0)</x:f>
        <x:v>0</x:v>
      </x:c>
      <x:c r="M39" s="31" t="n">
        <x:f>IFERROR(VLOOKUP($A39,'02_怪物模板_好读版'!$A:$Z,11,FALSE),0)</x:f>
        <x:v>0</x:v>
      </x:c>
      <x:c r="N39" s="31" t="n">
        <x:f>IFERROR(VLOOKUP($A39,'02_怪物模板_好读版'!$A:$Z,12,FALSE),3)</x:f>
        <x:v>3</x:v>
      </x:c>
      <x:c r="O39" s="31" t="str">
        <x:f>IFERROR(VLOOKUP($A39,'02_怪物模板_好读版'!$A:$Z,13,FALSE),"REVIEW")</x:f>
        <x:v>REVIEW</x:v>
      </x:c>
      <x:c r="P39" s="29" t="str">
        <x:v>T2 长柄T</x:v>
      </x:c>
      <x:c r="Q39" s="29" t="str">
        <x:v>T形/5格</x:v>
      </x:c>
      <x:c r="R39" s="29" t="str">
        <x:v>牵制</x:v>
      </x:c>
      <x:c r="S39" s="29" t="str">
        <x:v>advHitBonus</x:v>
      </x:c>
      <x:c r="T39" s="29" t="str">
        <x:v>风、机动、灵活、泛用</x:v>
      </x:c>
      <x:c r="U39" s="29" t="str">
        <x:v>—</x:v>
      </x:c>
      <x:c r="V39" s="29" t="str"/>
    </x:row>
    <x:row r="40" ht="22" customHeight="1">
      <x:c r="A40" s="29" t="str">
        <x:v>pal_039</x:v>
      </x:c>
      <x:c r="B40" s="29" t="str">
        <x:v>No.039</x:v>
      </x:c>
      <x:c r="C40" s="29" t="str">
        <x:v>姬小兔</x:v>
      </x:c>
      <x:c r="D40" s="29" t="str">
        <x:v>风</x:v>
      </x:c>
      <x:c r="E40" s="29" t="str"/>
      <x:c r="F40" s="29" t="str">
        <x:v>白银</x:v>
      </x:c>
      <x:c r="G40" s="29" t="str">
        <x:v>小型</x:v>
      </x:c>
      <x:c r="H40" s="29" t="str">
        <x:v>坦克</x:v>
      </x:c>
      <x:c r="I40" s="31" t="n">
        <x:f>IFERROR(VLOOKUP($A40,'02_怪物模板_好读版'!$A:$S,15,FALSE),0)+IFERROR(VLOOKUP($A40,'02_怪物模板_好读版'!$A:$S,16,FALSE),0)</x:f>
        <x:v>0</x:v>
      </x:c>
      <x:c r="J40" s="31" t="n">
        <x:f>IFERROR(VLOOKUP($A40,'02_怪物模板_好读版'!$A:$Z,8,FALSE),15)</x:f>
        <x:v>15</x:v>
      </x:c>
      <x:c r="K40" s="31" t="n">
        <x:f>IFERROR(VLOOKUP($A40,'02_怪物模板_好读版'!$A:$Z,9,FALSE),8)</x:f>
        <x:v>8</x:v>
      </x:c>
      <x:c r="L40" s="31" t="n">
        <x:f>IFERROR(VLOOKUP($A40,'02_怪物模板_好读版'!$A:$Z,10,FALSE),0)</x:f>
        <x:v>0</x:v>
      </x:c>
      <x:c r="M40" s="31" t="n">
        <x:f>IFERROR(VLOOKUP($A40,'02_怪物模板_好读版'!$A:$Z,11,FALSE),6)</x:f>
        <x:v>6</x:v>
      </x:c>
      <x:c r="N40" s="31" t="n">
        <x:f>IFERROR(VLOOKUP($A40,'02_怪物模板_好读版'!$A:$Z,12,FALSE),3)</x:f>
        <x:v>3</x:v>
      </x:c>
      <x:c r="O40" s="31" t="str">
        <x:f>IFERROR(VLOOKUP($A40,'02_怪物模板_好读版'!$A:$Z,13,FALSE),"REVIEW")</x:f>
        <x:v>REVIEW</x:v>
      </x:c>
      <x:c r="P40" s="29" t="str">
        <x:v>B1 横扫三格</x:v>
      </x:c>
      <x:c r="Q40" s="29" t="str">
        <x:v>扫击/3格</x:v>
      </x:c>
      <x:c r="R40" s="29" t="str">
        <x:v>阻挡</x:v>
      </x:c>
      <x:c r="S40" s="29" t="str">
        <x:v>castleReduce</x:v>
      </x:c>
      <x:c r="T40" s="29" t="str">
        <x:v>风、防御、前排、阻挡</x:v>
      </x:c>
      <x:c r="U40" s="29" t="str">
        <x:v>—</x:v>
      </x:c>
      <x:c r="V40" s="29" t="str">
        <x:v>旧定位=防御</x:v>
      </x:c>
    </x:row>
    <x:row r="41" ht="22" customHeight="1">
      <x:c r="A41" s="29" t="str">
        <x:v>pal_040</x:v>
      </x:c>
      <x:c r="B41" s="29" t="str">
        <x:v>No.040</x:v>
      </x:c>
      <x:c r="C41" s="29" t="str">
        <x:v>炎魔羊</x:v>
      </x:c>
      <x:c r="D41" s="29" t="str">
        <x:v>火</x:v>
      </x:c>
      <x:c r="E41" s="29" t="str">
        <x:v>火、暗</x:v>
      </x:c>
      <x:c r="F41" s="29" t="str">
        <x:v>白银</x:v>
      </x:c>
      <x:c r="G41" s="29" t="str">
        <x:v>中型</x:v>
      </x:c>
      <x:c r="H41" s="29" t="str">
        <x:v>输出</x:v>
      </x:c>
      <x:c r="I41" s="31" t="n">
        <x:f>IFERROR(VLOOKUP($A41,'02_怪物模板_好读版'!$A:$S,15,FALSE),0)+IFERROR(VLOOKUP($A41,'02_怪物模板_好读版'!$A:$S,16,FALSE),0)</x:f>
        <x:v>0</x:v>
      </x:c>
      <x:c r="J41" s="31" t="n">
        <x:f>IFERROR(VLOOKUP($A41,'02_怪物模板_好读版'!$A:$Z,8,FALSE),25)</x:f>
        <x:v>25</x:v>
      </x:c>
      <x:c r="K41" s="31" t="n">
        <x:f>IFERROR(VLOOKUP($A41,'02_怪物模板_好读版'!$A:$Z,9,FALSE),4)</x:f>
        <x:v>4</x:v>
      </x:c>
      <x:c r="L41" s="31" t="n">
        <x:f>IFERROR(VLOOKUP($A41,'02_怪物模板_好读版'!$A:$Z,10,FALSE),0)</x:f>
        <x:v>0</x:v>
      </x:c>
      <x:c r="M41" s="31" t="n">
        <x:f>IFERROR(VLOOKUP($A41,'02_怪物模板_好读版'!$A:$Z,11,FALSE),0)</x:f>
        <x:v>0</x:v>
      </x:c>
      <x:c r="N41" s="31" t="n">
        <x:f>IFERROR(VLOOKUP($A41,'02_怪物模板_好读版'!$A:$Z,12,FALSE),3)</x:f>
        <x:v>3</x:v>
      </x:c>
      <x:c r="O41" s="31" t="str">
        <x:f>IFERROR(VLOOKUP($A41,'02_怪物模板_好读版'!$A:$Z,13,FALSE),"mech_counter")</x:f>
        <x:v>mech_counter</x:v>
      </x:c>
      <x:c r="P41" s="29" t="str">
        <x:v>B1 横扫三格</x:v>
      </x:c>
      <x:c r="Q41" s="29" t="str">
        <x:v>扫击/3格</x:v>
      </x:c>
      <x:c r="R41" s="29" t="str">
        <x:v>输出</x:v>
      </x:c>
      <x:c r="S41" s="29" t="str">
        <x:v>castleReduce</x:v>
      </x:c>
      <x:c r="T41" s="29" t="str">
        <x:v>火、输出、爆发、前排</x:v>
      </x:c>
      <x:c r="U41" s="29" t="str">
        <x:v>—</x:v>
      </x:c>
      <x:c r="V41" s="29" t="str"/>
    </x:row>
    <x:row r="42" ht="22" customHeight="1">
      <x:c r="A42" s="29" t="str">
        <x:v>pal_041</x:v>
      </x:c>
      <x:c r="B42" s="29" t="str">
        <x:v>No.041</x:v>
      </x:c>
      <x:c r="C42" s="29" t="str">
        <x:v>幻悦蝶</x:v>
      </x:c>
      <x:c r="D42" s="29" t="str">
        <x:v>风</x:v>
      </x:c>
      <x:c r="E42" s="29" t="str">
        <x:v>草</x:v>
      </x:c>
      <x:c r="F42" s="29" t="str">
        <x:v>白银</x:v>
      </x:c>
      <x:c r="G42" s="29" t="str">
        <x:v>小型</x:v>
      </x:c>
      <x:c r="H42" s="29" t="str">
        <x:v>治疗</x:v>
      </x:c>
      <x:c r="I42" s="31" t="n">
        <x:f>IFERROR(VLOOKUP($A42,'02_怪物模板_好读版'!$A:$S,15,FALSE),0)+IFERROR(VLOOKUP($A42,'02_怪物模板_好读版'!$A:$S,16,FALSE),0)</x:f>
        <x:v>0</x:v>
      </x:c>
      <x:c r="J42" s="31" t="n">
        <x:f>IFERROR(VLOOKUP($A42,'02_怪物模板_好读版'!$A:$Z,8,FALSE),25)</x:f>
        <x:v>25</x:v>
      </x:c>
      <x:c r="K42" s="31" t="n">
        <x:f>IFERROR(VLOOKUP($A42,'02_怪物模板_好读版'!$A:$Z,9,FALSE),12)</x:f>
        <x:v>12</x:v>
      </x:c>
      <x:c r="L42" s="31" t="n">
        <x:f>IFERROR(VLOOKUP($A42,'02_怪物模板_好读版'!$A:$Z,10,FALSE),0)</x:f>
        <x:v>0</x:v>
      </x:c>
      <x:c r="M42" s="31" t="n">
        <x:f>IFERROR(VLOOKUP($A42,'02_怪物模板_好读版'!$A:$Z,11,FALSE),0)</x:f>
        <x:v>0</x:v>
      </x:c>
      <x:c r="N42" s="31" t="n">
        <x:f>IFERROR(VLOOKUP($A42,'02_怪物模板_好读版'!$A:$Z,12,FALSE),3)</x:f>
        <x:v>3</x:v>
      </x:c>
      <x:c r="O42" s="31" t="str">
        <x:f>IFERROR(VLOOKUP($A42,'02_怪物模板_好读版'!$A:$Z,13,FALSE),"REVIEW")</x:f>
        <x:v>REVIEW</x:v>
      </x:c>
      <x:c r="P42" s="29" t="str">
        <x:v>T1 标准前置T</x:v>
      </x:c>
      <x:c r="Q42" s="29" t="str">
        <x:v>T形/4格</x:v>
      </x:c>
      <x:c r="R42" s="29" t="str">
        <x:v>场地</x:v>
      </x:c>
      <x:c r="S42" s="29" t="str">
        <x:v>healAmpBonus</x:v>
      </x:c>
      <x:c r="T42" s="29" t="str">
        <x:v>风、治疗、后排、增益</x:v>
      </x:c>
      <x:c r="U42" s="29" t="str">
        <x:v>—</x:v>
      </x:c>
      <x:c r="V42" s="29" t="str">
        <x:v>治疗补预算</x:v>
      </x:c>
    </x:row>
    <x:row r="43" ht="22" customHeight="1">
      <x:c r="A43" s="29" t="str">
        <x:v>pal_042</x:v>
      </x:c>
      <x:c r="B43" s="29" t="str">
        <x:v>No.042</x:v>
      </x:c>
      <x:c r="C43" s="29" t="str">
        <x:v>炽焰牛</x:v>
      </x:c>
      <x:c r="D43" s="29" t="str">
        <x:v>火</x:v>
      </x:c>
      <x:c r="E43" s="29" t="str"/>
      <x:c r="F43" s="29" t="str">
        <x:v>白银</x:v>
      </x:c>
      <x:c r="G43" s="29" t="str">
        <x:v>小型</x:v>
      </x:c>
      <x:c r="H43" s="29" t="str">
        <x:v>输出</x:v>
      </x:c>
      <x:c r="I43" s="31" t="n">
        <x:f>IFERROR(VLOOKUP($A43,'02_怪物模板_好读版'!$A:$S,15,FALSE),0)+IFERROR(VLOOKUP($A43,'02_怪物模板_好读版'!$A:$S,16,FALSE),0)</x:f>
        <x:v>0</x:v>
      </x:c>
      <x:c r="J43" s="31" t="n">
        <x:f>IFERROR(VLOOKUP($A43,'02_怪物模板_好读版'!$A:$Z,8,FALSE),10)</x:f>
        <x:v>10</x:v>
      </x:c>
      <x:c r="K43" s="31" t="n">
        <x:f>IFERROR(VLOOKUP($A43,'02_怪物模板_好读版'!$A:$Z,9,FALSE),2)</x:f>
        <x:v>2</x:v>
      </x:c>
      <x:c r="L43" s="31" t="n">
        <x:f>IFERROR(VLOOKUP($A43,'02_怪物模板_好读版'!$A:$Z,10,FALSE),0)</x:f>
        <x:v>0</x:v>
      </x:c>
      <x:c r="M43" s="31" t="n">
        <x:f>IFERROR(VLOOKUP($A43,'02_怪物模板_好读版'!$A:$Z,11,FALSE),0)</x:f>
        <x:v>0</x:v>
      </x:c>
      <x:c r="N43" s="31" t="n">
        <x:f>IFERROR(VLOOKUP($A43,'02_怪物模板_好读版'!$A:$Z,12,FALSE),3)</x:f>
        <x:v>3</x:v>
      </x:c>
      <x:c r="O43" s="31" t="str">
        <x:f>IFERROR(VLOOKUP($A43,'02_怪物模板_好读版'!$A:$Z,13,FALSE),"mech_self_destruct")</x:f>
        <x:v>mech_self_destruct</x:v>
      </x:c>
      <x:c r="P43" s="29" t="str">
        <x:v>B1 横扫三格</x:v>
      </x:c>
      <x:c r="Q43" s="29" t="str">
        <x:v>扫击/3格</x:v>
      </x:c>
      <x:c r="R43" s="29" t="str">
        <x:v>输出</x:v>
      </x:c>
      <x:c r="S43" s="29" t="str">
        <x:v>castleReduce</x:v>
      </x:c>
      <x:c r="T43" s="29" t="str">
        <x:v>火、输出、爆发、前排</x:v>
      </x:c>
      <x:c r="U43" s="29" t="str">
        <x:v>—</x:v>
      </x:c>
      <x:c r="V43" s="29" t="str"/>
    </x:row>
    <x:row r="44" ht="22" customHeight="1">
      <x:c r="A44" s="29" t="str">
        <x:v>pal_043</x:v>
      </x:c>
      <x:c r="B44" s="29" t="str">
        <x:v>No.043</x:v>
      </x:c>
      <x:c r="C44" s="29" t="str">
        <x:v>趴趴鲶</x:v>
      </x:c>
      <x:c r="D44" s="29" t="str">
        <x:v>土</x:v>
      </x:c>
      <x:c r="E44" s="29" t="str">
        <x:v>地</x:v>
      </x:c>
      <x:c r="F44" s="29" t="str">
        <x:v>白银</x:v>
      </x:c>
      <x:c r="G44" s="29" t="str">
        <x:v>小型</x:v>
      </x:c>
      <x:c r="H44" s="29" t="str">
        <x:v>治疗</x:v>
      </x:c>
      <x:c r="I44" s="31" t="n">
        <x:f>IFERROR(VLOOKUP($A44,'02_怪物模板_好读版'!$A:$S,15,FALSE),0)+IFERROR(VLOOKUP($A44,'02_怪物模板_好读版'!$A:$S,16,FALSE),0)</x:f>
        <x:v>0</x:v>
      </x:c>
      <x:c r="J44" s="31" t="n">
        <x:f>IFERROR(VLOOKUP($A44,'02_怪物模板_好读版'!$A:$Z,8,FALSE),25)</x:f>
        <x:v>25</x:v>
      </x:c>
      <x:c r="K44" s="31" t="n">
        <x:f>IFERROR(VLOOKUP($A44,'02_怪物模板_好读版'!$A:$Z,9,FALSE),12)</x:f>
        <x:v>12</x:v>
      </x:c>
      <x:c r="L44" s="31" t="n">
        <x:f>IFERROR(VLOOKUP($A44,'02_怪物模板_好读版'!$A:$Z,10,FALSE),0)</x:f>
        <x:v>0</x:v>
      </x:c>
      <x:c r="M44" s="31" t="n">
        <x:f>IFERROR(VLOOKUP($A44,'02_怪物模板_好读版'!$A:$Z,11,FALSE),0)</x:f>
        <x:v>0</x:v>
      </x:c>
      <x:c r="N44" s="31" t="n">
        <x:f>IFERROR(VLOOKUP($A44,'02_怪物模板_好读版'!$A:$Z,12,FALSE),3)</x:f>
        <x:v>3</x:v>
      </x:c>
      <x:c r="O44" s="31" t="str">
        <x:f>IFERROR(VLOOKUP($A44,'02_怪物模板_好读版'!$A:$Z,13,FALSE),"REVIEW")</x:f>
        <x:v>REVIEW</x:v>
      </x:c>
      <x:c r="P44" s="29" t="str">
        <x:v>T1 标准前置T</x:v>
      </x:c>
      <x:c r="Q44" s="29" t="str">
        <x:v>T形/4格</x:v>
      </x:c>
      <x:c r="R44" s="29" t="str">
        <x:v>场地</x:v>
      </x:c>
      <x:c r="S44" s="29" t="str">
        <x:v>healAmpBonus</x:v>
      </x:c>
      <x:c r="T44" s="29" t="str">
        <x:v>土、治疗、后排、增益</x:v>
      </x:c>
      <x:c r="U44" s="29" t="str">
        <x:v>—</x:v>
      </x:c>
      <x:c r="V44" s="29" t="str">
        <x:v>治疗补预算</x:v>
      </x:c>
    </x:row>
    <x:row r="45" ht="22" customHeight="1">
      <x:c r="A45" s="29" t="str">
        <x:v>pal_044</x:v>
      </x:c>
      <x:c r="B45" s="29" t="str">
        <x:v>No.044</x:v>
      </x:c>
      <x:c r="C45" s="29" t="str">
        <x:v>黑鸦隐士</x:v>
      </x:c>
      <x:c r="D45" s="29" t="str">
        <x:v>土</x:v>
      </x:c>
      <x:c r="E45" s="29" t="str">
        <x:v>暗</x:v>
      </x:c>
      <x:c r="F45" s="29" t="str">
        <x:v>白银</x:v>
      </x:c>
      <x:c r="G45" s="29" t="str">
        <x:v>小型</x:v>
      </x:c>
      <x:c r="H45" s="29" t="str">
        <x:v>坦克</x:v>
      </x:c>
      <x:c r="I45" s="31" t="n">
        <x:f>IFERROR(VLOOKUP($A45,'02_怪物模板_好读版'!$A:$S,15,FALSE),0)+IFERROR(VLOOKUP($A45,'02_怪物模板_好读版'!$A:$S,16,FALSE),0)</x:f>
        <x:v>0</x:v>
      </x:c>
      <x:c r="J45" s="31" t="n">
        <x:f>IFERROR(VLOOKUP($A45,'02_怪物模板_好读版'!$A:$Z,8,FALSE),15)</x:f>
        <x:v>15</x:v>
      </x:c>
      <x:c r="K45" s="31" t="n">
        <x:f>IFERROR(VLOOKUP($A45,'02_怪物模板_好读版'!$A:$Z,9,FALSE),8)</x:f>
        <x:v>8</x:v>
      </x:c>
      <x:c r="L45" s="31" t="n">
        <x:f>IFERROR(VLOOKUP($A45,'02_怪物模板_好读版'!$A:$Z,10,FALSE),0)</x:f>
        <x:v>0</x:v>
      </x:c>
      <x:c r="M45" s="31" t="n">
        <x:f>IFERROR(VLOOKUP($A45,'02_怪物模板_好读版'!$A:$Z,11,FALSE),6)</x:f>
        <x:v>6</x:v>
      </x:c>
      <x:c r="N45" s="31" t="n">
        <x:f>IFERROR(VLOOKUP($A45,'02_怪物模板_好读版'!$A:$Z,12,FALSE),3)</x:f>
        <x:v>3</x:v>
      </x:c>
      <x:c r="O45" s="31" t="str">
        <x:f>IFERROR(VLOOKUP($A45,'02_怪物模板_好读版'!$A:$Z,13,FALSE),"REVIEW")</x:f>
        <x:v>REVIEW</x:v>
      </x:c>
      <x:c r="P45" s="29" t="str">
        <x:v>B1 横扫三格</x:v>
      </x:c>
      <x:c r="Q45" s="29" t="str">
        <x:v>扫击/3格</x:v>
      </x:c>
      <x:c r="R45" s="29" t="str">
        <x:v>阻挡</x:v>
      </x:c>
      <x:c r="S45" s="29" t="str">
        <x:v>castleReduce</x:v>
      </x:c>
      <x:c r="T45" s="29" t="str">
        <x:v>土、防御、前排、阻挡</x:v>
      </x:c>
      <x:c r="U45" s="29" t="str">
        <x:v>—</x:v>
      </x:c>
      <x:c r="V45" s="29" t="str">
        <x:v>旧定位=防御</x:v>
      </x:c>
    </x:row>
    <x:row r="46" ht="22" customHeight="1">
      <x:c r="A46" s="29" t="str">
        <x:v>pal_045</x:v>
      </x:c>
      <x:c r="B46" s="29" t="str">
        <x:v>No.045</x:v>
      </x:c>
      <x:c r="C46" s="29" t="str">
        <x:v>朋克蜥</x:v>
      </x:c>
      <x:c r="D46" s="29" t="str">
        <x:v>土</x:v>
      </x:c>
      <x:c r="E46" s="29" t="str">
        <x:v>暗</x:v>
      </x:c>
      <x:c r="F46" s="29" t="str">
        <x:v>白银</x:v>
      </x:c>
      <x:c r="G46" s="29" t="str">
        <x:v>小型</x:v>
      </x:c>
      <x:c r="H46" s="29" t="str">
        <x:v>坦克</x:v>
      </x:c>
      <x:c r="I46" s="31" t="n">
        <x:f>IFERROR(VLOOKUP($A46,'02_怪物模板_好读版'!$A:$S,15,FALSE),0)+IFERROR(VLOOKUP($A46,'02_怪物模板_好读版'!$A:$S,16,FALSE),0)</x:f>
        <x:v>0</x:v>
      </x:c>
      <x:c r="J46" s="31" t="n">
        <x:f>IFERROR(VLOOKUP($A46,'02_怪物模板_好读版'!$A:$Z,8,FALSE),15)</x:f>
        <x:v>15</x:v>
      </x:c>
      <x:c r="K46" s="31" t="n">
        <x:f>IFERROR(VLOOKUP($A46,'02_怪物模板_好读版'!$A:$Z,9,FALSE),8)</x:f>
        <x:v>8</x:v>
      </x:c>
      <x:c r="L46" s="31" t="n">
        <x:f>IFERROR(VLOOKUP($A46,'02_怪物模板_好读版'!$A:$Z,10,FALSE),0)</x:f>
        <x:v>0</x:v>
      </x:c>
      <x:c r="M46" s="31" t="n">
        <x:f>IFERROR(VLOOKUP($A46,'02_怪物模板_好读版'!$A:$Z,11,FALSE),6)</x:f>
        <x:v>6</x:v>
      </x:c>
      <x:c r="N46" s="31" t="n">
        <x:f>IFERROR(VLOOKUP($A46,'02_怪物模板_好读版'!$A:$Z,12,FALSE),3)</x:f>
        <x:v>3</x:v>
      </x:c>
      <x:c r="O46" s="31" t="str">
        <x:f>IFERROR(VLOOKUP($A46,'02_怪物模板_好读版'!$A:$Z,13,FALSE),"REVIEW")</x:f>
        <x:v>REVIEW</x:v>
      </x:c>
      <x:c r="P46" s="29" t="str">
        <x:v>B1 横扫三格</x:v>
      </x:c>
      <x:c r="Q46" s="29" t="str">
        <x:v>扫击/3格</x:v>
      </x:c>
      <x:c r="R46" s="29" t="str">
        <x:v>阻挡</x:v>
      </x:c>
      <x:c r="S46" s="29" t="str">
        <x:v>castleReduce</x:v>
      </x:c>
      <x:c r="T46" s="29" t="str">
        <x:v>土、防御、前排、阻挡</x:v>
      </x:c>
      <x:c r="U46" s="29" t="str">
        <x:v>—</x:v>
      </x:c>
      <x:c r="V46" s="29" t="str">
        <x:v>旧定位=防御</x:v>
      </x:c>
    </x:row>
    <x:row r="47" ht="22" customHeight="1">
      <x:c r="A47" s="29" t="str">
        <x:v>pal_046</x:v>
      </x:c>
      <x:c r="B47" s="29" t="str">
        <x:v>No.046</x:v>
      </x:c>
      <x:c r="C47" s="29" t="str">
        <x:v>月镰魔</x:v>
      </x:c>
      <x:c r="D47" s="29" t="str">
        <x:v>土</x:v>
      </x:c>
      <x:c r="E47" s="29" t="str">
        <x:v>暗</x:v>
      </x:c>
      <x:c r="F47" s="29" t="str">
        <x:v>白银</x:v>
      </x:c>
      <x:c r="G47" s="29" t="str">
        <x:v>中型</x:v>
      </x:c>
      <x:c r="H47" s="29" t="str">
        <x:v>坦克</x:v>
      </x:c>
      <x:c r="I47" s="31" t="n">
        <x:f>IFERROR(VLOOKUP($A47,'02_怪物模板_好读版'!$A:$S,15,FALSE),0)+IFERROR(VLOOKUP($A47,'02_怪物模板_好读版'!$A:$S,16,FALSE),0)</x:f>
        <x:v>0</x:v>
      </x:c>
      <x:c r="J47" s="31" t="n">
        <x:f>IFERROR(VLOOKUP($A47,'02_怪物模板_好读版'!$A:$Z,8,FALSE),30)</x:f>
        <x:v>30</x:v>
      </x:c>
      <x:c r="K47" s="31" t="n">
        <x:f>IFERROR(VLOOKUP($A47,'02_怪物模板_好读版'!$A:$Z,9,FALSE),4)</x:f>
        <x:v>4</x:v>
      </x:c>
      <x:c r="L47" s="31" t="n">
        <x:f>IFERROR(VLOOKUP($A47,'02_怪物模板_好读版'!$A:$Z,10,FALSE),0)</x:f>
        <x:v>0</x:v>
      </x:c>
      <x:c r="M47" s="31" t="n">
        <x:f>IFERROR(VLOOKUP($A47,'02_怪物模板_好读版'!$A:$Z,11,FALSE),6)</x:f>
        <x:v>6</x:v>
      </x:c>
      <x:c r="N47" s="31" t="n">
        <x:f>IFERROR(VLOOKUP($A47,'02_怪物模板_好读版'!$A:$Z,12,FALSE),3)</x:f>
        <x:v>3</x:v>
      </x:c>
      <x:c r="O47" s="31" t="str">
        <x:f>IFERROR(VLOOKUP($A47,'02_怪物模板_好读版'!$A:$Z,13,FALSE),"mech_counter")</x:f>
        <x:v>mech_counter</x:v>
      </x:c>
      <x:c r="P47" s="29" t="str">
        <x:v>B1 横扫三格</x:v>
      </x:c>
      <x:c r="Q47" s="29" t="str">
        <x:v>扫击/3格</x:v>
      </x:c>
      <x:c r="R47" s="29" t="str">
        <x:v>阻挡</x:v>
      </x:c>
      <x:c r="S47" s="29" t="str">
        <x:v>castleReduce</x:v>
      </x:c>
      <x:c r="T47" s="29" t="str">
        <x:v>土、防御、前排、阻挡</x:v>
      </x:c>
      <x:c r="U47" s="29" t="str">
        <x:v>—</x:v>
      </x:c>
      <x:c r="V47" s="29" t="str">
        <x:v>旧定位=防御</x:v>
      </x:c>
    </x:row>
    <x:row r="48" ht="22" customHeight="1">
      <x:c r="A48" s="29" t="str">
        <x:v>pal_047</x:v>
      </x:c>
      <x:c r="B48" s="29" t="str">
        <x:v>No.047</x:v>
      </x:c>
      <x:c r="C48" s="29" t="str">
        <x:v>天擒鸟</x:v>
      </x:c>
      <x:c r="D48" s="29" t="str">
        <x:v>风</x:v>
      </x:c>
      <x:c r="E48" s="29" t="str"/>
      <x:c r="F48" s="29" t="str">
        <x:v>白银</x:v>
      </x:c>
      <x:c r="G48" s="29" t="str">
        <x:v>小型</x:v>
      </x:c>
      <x:c r="H48" s="29" t="str">
        <x:v>机动</x:v>
      </x:c>
      <x:c r="I48" s="31" t="n">
        <x:f>IFERROR(VLOOKUP($A48,'02_怪物模板_好读版'!$A:$S,15,FALSE),0)+IFERROR(VLOOKUP($A48,'02_怪物模板_好读版'!$A:$S,16,FALSE),0)</x:f>
        <x:v>0</x:v>
      </x:c>
      <x:c r="J48" s="31" t="n">
        <x:f>IFERROR(VLOOKUP($A48,'02_怪物模板_好读版'!$A:$Z,8,FALSE),10)</x:f>
        <x:v>10</x:v>
      </x:c>
      <x:c r="K48" s="31" t="n">
        <x:f>IFERROR(VLOOKUP($A48,'02_怪物模板_好读版'!$A:$Z,9,FALSE),17)</x:f>
        <x:v>17</x:v>
      </x:c>
      <x:c r="L48" s="31" t="n">
        <x:f>IFERROR(VLOOKUP($A48,'02_怪物模板_好读版'!$A:$Z,10,FALSE),0)</x:f>
        <x:v>0</x:v>
      </x:c>
      <x:c r="M48" s="31" t="n">
        <x:f>IFERROR(VLOOKUP($A48,'02_怪物模板_好读版'!$A:$Z,11,FALSE),0)</x:f>
        <x:v>0</x:v>
      </x:c>
      <x:c r="N48" s="31" t="n">
        <x:f>IFERROR(VLOOKUP($A48,'02_怪物模板_好读版'!$A:$Z,12,FALSE),3)</x:f>
        <x:v>3</x:v>
      </x:c>
      <x:c r="O48" s="31" t="str">
        <x:f>IFERROR(VLOOKUP($A48,'02_怪物模板_好读版'!$A:$Z,13,FALSE),"REVIEW")</x:f>
        <x:v>REVIEW</x:v>
      </x:c>
      <x:c r="P48" s="29" t="str">
        <x:v>T2 长柄T</x:v>
      </x:c>
      <x:c r="Q48" s="29" t="str">
        <x:v>T形/5格</x:v>
      </x:c>
      <x:c r="R48" s="29" t="str">
        <x:v>牵制</x:v>
      </x:c>
      <x:c r="S48" s="29" t="str">
        <x:v>advHitBonus</x:v>
      </x:c>
      <x:c r="T48" s="29" t="str">
        <x:v>风、机动、灵活、泛用</x:v>
      </x:c>
      <x:c r="U48" s="29" t="str">
        <x:v>—</x:v>
      </x:c>
      <x:c r="V48" s="29" t="str"/>
    </x:row>
    <x:row r="49" ht="22" customHeight="1">
      <x:c r="A49" s="29" t="str">
        <x:v>pal_048</x:v>
      </x:c>
      <x:c r="B49" s="29" t="str">
        <x:v>No.048</x:v>
      </x:c>
      <x:c r="C49" s="29" t="str">
        <x:v>羽箭射手</x:v>
      </x:c>
      <x:c r="D49" s="29" t="str">
        <x:v>风</x:v>
      </x:c>
      <x:c r="E49" s="29" t="str">
        <x:v>草</x:v>
      </x:c>
      <x:c r="F49" s="29" t="str">
        <x:v>白银</x:v>
      </x:c>
      <x:c r="G49" s="29" t="str">
        <x:v>小型</x:v>
      </x:c>
      <x:c r="H49" s="29" t="str">
        <x:v>治疗</x:v>
      </x:c>
      <x:c r="I49" s="31" t="n">
        <x:f>IFERROR(VLOOKUP($A49,'02_怪物模板_好读版'!$A:$S,15,FALSE),0)+IFERROR(VLOOKUP($A49,'02_怪物模板_好读版'!$A:$S,16,FALSE),0)</x:f>
        <x:v>0</x:v>
      </x:c>
      <x:c r="J49" s="31" t="n">
        <x:f>IFERROR(VLOOKUP($A49,'02_怪物模板_好读版'!$A:$Z,8,FALSE),25)</x:f>
        <x:v>25</x:v>
      </x:c>
      <x:c r="K49" s="31" t="n">
        <x:f>IFERROR(VLOOKUP($A49,'02_怪物模板_好读版'!$A:$Z,9,FALSE),12)</x:f>
        <x:v>12</x:v>
      </x:c>
      <x:c r="L49" s="31" t="n">
        <x:f>IFERROR(VLOOKUP($A49,'02_怪物模板_好读版'!$A:$Z,10,FALSE),0)</x:f>
        <x:v>0</x:v>
      </x:c>
      <x:c r="M49" s="31" t="n">
        <x:f>IFERROR(VLOOKUP($A49,'02_怪物模板_好读版'!$A:$Z,11,FALSE),0)</x:f>
        <x:v>0</x:v>
      </x:c>
      <x:c r="N49" s="31" t="n">
        <x:f>IFERROR(VLOOKUP($A49,'02_怪物模板_好读版'!$A:$Z,12,FALSE),3)</x:f>
        <x:v>3</x:v>
      </x:c>
      <x:c r="O49" s="31" t="str">
        <x:f>IFERROR(VLOOKUP($A49,'02_怪物模板_好读版'!$A:$Z,13,FALSE),"REVIEW")</x:f>
        <x:v>REVIEW</x:v>
      </x:c>
      <x:c r="P49" s="29" t="str">
        <x:v>T1 标准前置T</x:v>
      </x:c>
      <x:c r="Q49" s="29" t="str">
        <x:v>T形/4格</x:v>
      </x:c>
      <x:c r="R49" s="29" t="str">
        <x:v>场地</x:v>
      </x:c>
      <x:c r="S49" s="29" t="str">
        <x:v>healAmpBonus</x:v>
      </x:c>
      <x:c r="T49" s="29" t="str">
        <x:v>风、治疗、后排、增益</x:v>
      </x:c>
      <x:c r="U49" s="29" t="str">
        <x:v>—</x:v>
      </x:c>
      <x:c r="V49" s="29" t="str">
        <x:v>治疗补预算</x:v>
      </x:c>
    </x:row>
    <x:row r="50" ht="22" customHeight="1">
      <x:c r="A50" s="29" t="str">
        <x:v>pal_049</x:v>
      </x:c>
      <x:c r="B50" s="29" t="str">
        <x:v>No.049</x:v>
      </x:c>
      <x:c r="C50" s="29" t="str">
        <x:v>铁拳猿</x:v>
      </x:c>
      <x:c r="D50" s="29" t="str">
        <x:v>风</x:v>
      </x:c>
      <x:c r="E50" s="29" t="str"/>
      <x:c r="F50" s="29" t="str">
        <x:v>白银</x:v>
      </x:c>
      <x:c r="G50" s="29" t="str">
        <x:v>小型</x:v>
      </x:c>
      <x:c r="H50" s="29" t="str">
        <x:v>坦克</x:v>
      </x:c>
      <x:c r="I50" s="31" t="n">
        <x:f>IFERROR(VLOOKUP($A50,'02_怪物模板_好读版'!$A:$S,15,FALSE),0)+IFERROR(VLOOKUP($A50,'02_怪物模板_好读版'!$A:$S,16,FALSE),0)</x:f>
        <x:v>0</x:v>
      </x:c>
      <x:c r="J50" s="31" t="n">
        <x:f>IFERROR(VLOOKUP($A50,'02_怪物模板_好读版'!$A:$Z,8,FALSE),15)</x:f>
        <x:v>15</x:v>
      </x:c>
      <x:c r="K50" s="31" t="n">
        <x:f>IFERROR(VLOOKUP($A50,'02_怪物模板_好读版'!$A:$Z,9,FALSE),8)</x:f>
        <x:v>8</x:v>
      </x:c>
      <x:c r="L50" s="31" t="n">
        <x:f>IFERROR(VLOOKUP($A50,'02_怪物模板_好读版'!$A:$Z,10,FALSE),0)</x:f>
        <x:v>0</x:v>
      </x:c>
      <x:c r="M50" s="31" t="n">
        <x:f>IFERROR(VLOOKUP($A50,'02_怪物模板_好读版'!$A:$Z,11,FALSE),6)</x:f>
        <x:v>6</x:v>
      </x:c>
      <x:c r="N50" s="31" t="n">
        <x:f>IFERROR(VLOOKUP($A50,'02_怪物模板_好读版'!$A:$Z,12,FALSE),3)</x:f>
        <x:v>3</x:v>
      </x:c>
      <x:c r="O50" s="31" t="str">
        <x:f>IFERROR(VLOOKUP($A50,'02_怪物模板_好读版'!$A:$Z,13,FALSE),"REVIEW")</x:f>
        <x:v>REVIEW</x:v>
      </x:c>
      <x:c r="P50" s="29" t="str">
        <x:v>B1 横扫三格</x:v>
      </x:c>
      <x:c r="Q50" s="29" t="str">
        <x:v>扫击/3格</x:v>
      </x:c>
      <x:c r="R50" s="29" t="str">
        <x:v>阻挡</x:v>
      </x:c>
      <x:c r="S50" s="29" t="str">
        <x:v>castleReduce</x:v>
      </x:c>
      <x:c r="T50" s="29" t="str">
        <x:v>风、防御、前排、阻挡</x:v>
      </x:c>
      <x:c r="U50" s="29" t="str">
        <x:v>—</x:v>
      </x:c>
      <x:c r="V50" s="29" t="str">
        <x:v>旧定位=防御</x:v>
      </x:c>
    </x:row>
    <x:row r="51" ht="22" customHeight="1">
      <x:c r="A51" s="29" t="str">
        <x:v>pal_050</x:v>
      </x:c>
      <x:c r="B51" s="29" t="str">
        <x:v>No.050</x:v>
      </x:c>
      <x:c r="C51" s="29" t="str">
        <x:v>骑士蜂</x:v>
      </x:c>
      <x:c r="D51" s="29" t="str">
        <x:v>风</x:v>
      </x:c>
      <x:c r="E51" s="29" t="str">
        <x:v>草</x:v>
      </x:c>
      <x:c r="F51" s="29" t="str">
        <x:v>白银</x:v>
      </x:c>
      <x:c r="G51" s="29" t="str">
        <x:v>中型</x:v>
      </x:c>
      <x:c r="H51" s="29" t="str">
        <x:v>召唤</x:v>
      </x:c>
      <x:c r="I51" s="31" t="n">
        <x:f>IFERROR(VLOOKUP($A51,'02_怪物模板_好读版'!$A:$S,15,FALSE),0)+IFERROR(VLOOKUP($A51,'02_怪物模板_好读版'!$A:$S,16,FALSE),0)</x:f>
        <x:v>0</x:v>
      </x:c>
      <x:c r="J51" s="31" t="n">
        <x:f>IFERROR(VLOOKUP($A51,'02_怪物模板_好读版'!$A:$Z,8,FALSE),35)</x:f>
        <x:v>35</x:v>
      </x:c>
      <x:c r="K51" s="31" t="n">
        <x:f>IFERROR(VLOOKUP($A51,'02_怪物模板_好读版'!$A:$Z,9,FALSE),26)</x:f>
        <x:v>26</x:v>
      </x:c>
      <x:c r="L51" s="31" t="n">
        <x:f>IFERROR(VLOOKUP($A51,'02_怪物模板_好读版'!$A:$Z,10,FALSE),0)</x:f>
        <x:v>0</x:v>
      </x:c>
      <x:c r="M51" s="31" t="n">
        <x:f>IFERROR(VLOOKUP($A51,'02_怪物模板_好读版'!$A:$Z,11,FALSE),0)</x:f>
        <x:v>0</x:v>
      </x:c>
      <x:c r="N51" s="31" t="n">
        <x:f>IFERROR(VLOOKUP($A51,'02_怪物模板_好读版'!$A:$Z,12,FALSE),3)</x:f>
        <x:v>3</x:v>
      </x:c>
      <x:c r="O51" s="31" t="str">
        <x:f>IFERROR(VLOOKUP($A51,'02_怪物模板_好读版'!$A:$Z,13,FALSE),"mech_summon")</x:f>
        <x:v>mech_summon</x:v>
      </x:c>
      <x:c r="P51" s="29" t="str">
        <x:v>A1 单点刺</x:v>
      </x:c>
      <x:c r="Q51" s="29" t="str">
        <x:v>直线/1格</x:v>
      </x:c>
      <x:c r="R51" s="29" t="str">
        <x:v>召唤</x:v>
      </x:c>
      <x:c r="S51" s="29" t="str">
        <x:v>summonFromCell</x:v>
      </x:c>
      <x:c r="T51" s="29" t="str">
        <x:v>风、召唤、成长、核心</x:v>
      </x:c>
      <x:c r="U51" s="29" t="str">
        <x:v>是</x:v>
      </x:c>
      <x:c r="V51" s="29" t="str">
        <x:v>召唤补预算</x:v>
      </x:c>
    </x:row>
    <x:row r="52" ht="22" customHeight="1">
      <x:c r="A52" s="29" t="str">
        <x:v>pal_051</x:v>
      </x:c>
      <x:c r="B52" s="29" t="str">
        <x:v>No.051</x:v>
      </x:c>
      <x:c r="C52" s="29" t="str">
        <x:v>女皇蜂</x:v>
      </x:c>
      <x:c r="D52" s="29" t="str">
        <x:v>风</x:v>
      </x:c>
      <x:c r="E52" s="29" t="str">
        <x:v>草</x:v>
      </x:c>
      <x:c r="F52" s="29" t="str">
        <x:v>白银</x:v>
      </x:c>
      <x:c r="G52" s="29" t="str">
        <x:v>小型</x:v>
      </x:c>
      <x:c r="H52" s="29" t="str">
        <x:v>治疗</x:v>
      </x:c>
      <x:c r="I52" s="31" t="n">
        <x:f>IFERROR(VLOOKUP($A52,'02_怪物模板_好读版'!$A:$S,15,FALSE),0)+IFERROR(VLOOKUP($A52,'02_怪物模板_好读版'!$A:$S,16,FALSE),0)</x:f>
        <x:v>0</x:v>
      </x:c>
      <x:c r="J52" s="31" t="n">
        <x:f>IFERROR(VLOOKUP($A52,'02_怪物模板_好读版'!$A:$Z,8,FALSE),25)</x:f>
        <x:v>25</x:v>
      </x:c>
      <x:c r="K52" s="31" t="n">
        <x:f>IFERROR(VLOOKUP($A52,'02_怪物模板_好读版'!$A:$Z,9,FALSE),12)</x:f>
        <x:v>12</x:v>
      </x:c>
      <x:c r="L52" s="31" t="n">
        <x:f>IFERROR(VLOOKUP($A52,'02_怪物模板_好读版'!$A:$Z,10,FALSE),0)</x:f>
        <x:v>0</x:v>
      </x:c>
      <x:c r="M52" s="31" t="n">
        <x:f>IFERROR(VLOOKUP($A52,'02_怪物模板_好读版'!$A:$Z,11,FALSE),0)</x:f>
        <x:v>0</x:v>
      </x:c>
      <x:c r="N52" s="31" t="n">
        <x:f>IFERROR(VLOOKUP($A52,'02_怪物模板_好读版'!$A:$Z,12,FALSE),3)</x:f>
        <x:v>3</x:v>
      </x:c>
      <x:c r="O52" s="31" t="str">
        <x:f>IFERROR(VLOOKUP($A52,'02_怪物模板_好读版'!$A:$Z,13,FALSE),"REVIEW")</x:f>
        <x:v>REVIEW</x:v>
      </x:c>
      <x:c r="P52" s="29" t="str">
        <x:v>T1 标准前置T</x:v>
      </x:c>
      <x:c r="Q52" s="29" t="str">
        <x:v>T形/4格</x:v>
      </x:c>
      <x:c r="R52" s="29" t="str">
        <x:v>场地</x:v>
      </x:c>
      <x:c r="S52" s="29" t="str">
        <x:v>healAmpBonus</x:v>
      </x:c>
      <x:c r="T52" s="29" t="str">
        <x:v>风、治疗、后排、增益</x:v>
      </x:c>
      <x:c r="U52" s="29" t="str">
        <x:v>—</x:v>
      </x:c>
      <x:c r="V52" s="29" t="str">
        <x:v>治疗补预算</x:v>
      </x:c>
    </x:row>
    <x:row r="53" ht="22" customHeight="1">
      <x:c r="A53" s="29" t="str">
        <x:v>pal_052</x:v>
      </x:c>
      <x:c r="B53" s="29" t="str">
        <x:v>No.052</x:v>
      </x:c>
      <x:c r="C53" s="29" t="str">
        <x:v>笑魇猫</x:v>
      </x:c>
      <x:c r="D53" s="29" t="str">
        <x:v>风</x:v>
      </x:c>
      <x:c r="E53" s="29" t="str"/>
      <x:c r="F53" s="29" t="str">
        <x:v>白银</x:v>
      </x:c>
      <x:c r="G53" s="29" t="str">
        <x:v>小型</x:v>
      </x:c>
      <x:c r="H53" s="29" t="str">
        <x:v>机动</x:v>
      </x:c>
      <x:c r="I53" s="31" t="n">
        <x:f>IFERROR(VLOOKUP($A53,'02_怪物模板_好读版'!$A:$S,15,FALSE),0)+IFERROR(VLOOKUP($A53,'02_怪物模板_好读版'!$A:$S,16,FALSE),0)</x:f>
        <x:v>0</x:v>
      </x:c>
      <x:c r="J53" s="31" t="n">
        <x:f>IFERROR(VLOOKUP($A53,'02_怪物模板_好读版'!$A:$Z,8,FALSE),10)</x:f>
        <x:v>10</x:v>
      </x:c>
      <x:c r="K53" s="31" t="n">
        <x:f>IFERROR(VLOOKUP($A53,'02_怪物模板_好读版'!$A:$Z,9,FALSE),17)</x:f>
        <x:v>17</x:v>
      </x:c>
      <x:c r="L53" s="31" t="n">
        <x:f>IFERROR(VLOOKUP($A53,'02_怪物模板_好读版'!$A:$Z,10,FALSE),0)</x:f>
        <x:v>0</x:v>
      </x:c>
      <x:c r="M53" s="31" t="n">
        <x:f>IFERROR(VLOOKUP($A53,'02_怪物模板_好读版'!$A:$Z,11,FALSE),0)</x:f>
        <x:v>0</x:v>
      </x:c>
      <x:c r="N53" s="31" t="n">
        <x:f>IFERROR(VLOOKUP($A53,'02_怪物模板_好读版'!$A:$Z,12,FALSE),3)</x:f>
        <x:v>3</x:v>
      </x:c>
      <x:c r="O53" s="31" t="str">
        <x:f>IFERROR(VLOOKUP($A53,'02_怪物模板_好读版'!$A:$Z,13,FALSE),"REVIEW")</x:f>
        <x:v>REVIEW</x:v>
      </x:c>
      <x:c r="P53" s="29" t="str">
        <x:v>T2 长柄T</x:v>
      </x:c>
      <x:c r="Q53" s="29" t="str">
        <x:v>T形/5格</x:v>
      </x:c>
      <x:c r="R53" s="29" t="str">
        <x:v>牵制</x:v>
      </x:c>
      <x:c r="S53" s="29" t="str">
        <x:v>advHitBonus</x:v>
      </x:c>
      <x:c r="T53" s="29" t="str">
        <x:v>风、机动、灵活、泛用</x:v>
      </x:c>
      <x:c r="U53" s="29" t="str">
        <x:v>—</x:v>
      </x:c>
      <x:c r="V53" s="29" t="str"/>
    </x:row>
    <x:row r="54" ht="22" customHeight="1">
      <x:c r="A54" s="29" t="str">
        <x:v>pal_053</x:v>
      </x:c>
      <x:c r="B54" s="29" t="str">
        <x:v>No.053</x:v>
      </x:c>
      <x:c r="C54" s="29" t="str">
        <x:v>毛掸儿</x:v>
      </x:c>
      <x:c r="D54" s="29" t="str">
        <x:v>水</x:v>
      </x:c>
      <x:c r="E54" s="29" t="str">
        <x:v>冰</x:v>
      </x:c>
      <x:c r="F54" s="29" t="str">
        <x:v>白银</x:v>
      </x:c>
      <x:c r="G54" s="29" t="str">
        <x:v>小型</x:v>
      </x:c>
      <x:c r="H54" s="29" t="str">
        <x:v>控制</x:v>
      </x:c>
      <x:c r="I54" s="31" t="n">
        <x:f>IFERROR(VLOOKUP($A54,'02_怪物模板_好读版'!$A:$S,15,FALSE),0)+IFERROR(VLOOKUP($A54,'02_怪物模板_好读版'!$A:$S,16,FALSE),0)</x:f>
        <x:v>0</x:v>
      </x:c>
      <x:c r="J54" s="31" t="n">
        <x:f>IFERROR(VLOOKUP($A54,'02_怪物模板_好读版'!$A:$Z,8,FALSE),20)</x:f>
        <x:v>20</x:v>
      </x:c>
      <x:c r="K54" s="31" t="n">
        <x:f>IFERROR(VLOOKUP($A54,'02_怪物模板_好读版'!$A:$Z,9,FALSE),12)</x:f>
        <x:v>12</x:v>
      </x:c>
      <x:c r="L54" s="31" t="n">
        <x:f>IFERROR(VLOOKUP($A54,'02_怪物模板_好读版'!$A:$Z,10,FALSE),0)</x:f>
        <x:v>0</x:v>
      </x:c>
      <x:c r="M54" s="31" t="n">
        <x:f>IFERROR(VLOOKUP($A54,'02_怪物模板_好读版'!$A:$Z,11,FALSE),0)</x:f>
        <x:v>0</x:v>
      </x:c>
      <x:c r="N54" s="31" t="n">
        <x:f>IFERROR(VLOOKUP($A54,'02_怪物模板_好读版'!$A:$Z,12,FALSE),4)</x:f>
        <x:v>4</x:v>
      </x:c>
      <x:c r="O54" s="31" t="str">
        <x:f>IFERROR(VLOOKUP($A54,'02_怪物模板_好读版'!$A:$Z,13,FALSE),"REVIEW")</x:f>
        <x:v>REVIEW</x:v>
      </x:c>
      <x:c r="P54" s="29" t="str">
        <x:v>T1 标准前置T</x:v>
      </x:c>
      <x:c r="Q54" s="29" t="str">
        <x:v>T形/4格</x:v>
      </x:c>
      <x:c r="R54" s="29" t="str">
        <x:v>牵制</x:v>
      </x:c>
      <x:c r="S54" s="29" t="str">
        <x:v>healAmpBonus</x:v>
      </x:c>
      <x:c r="T54" s="29" t="str">
        <x:v>水、牵制、范围、机动</x:v>
      </x:c>
      <x:c r="U54" s="29" t="str">
        <x:v>—</x:v>
      </x:c>
      <x:c r="V54" s="29" t="str">
        <x:v>旧定位=牵制；控制补预算</x:v>
      </x:c>
    </x:row>
    <x:row r="55" ht="22" customHeight="1">
      <x:c r="A55" s="29" t="str">
        <x:v>pal_054</x:v>
      </x:c>
      <x:c r="B55" s="29" t="str">
        <x:v>No.054</x:v>
      </x:c>
      <x:c r="C55" s="29" t="str">
        <x:v>毛老爹</x:v>
      </x:c>
      <x:c r="D55" s="29" t="str">
        <x:v>水</x:v>
      </x:c>
      <x:c r="E55" s="29" t="str">
        <x:v>冰</x:v>
      </x:c>
      <x:c r="F55" s="29" t="str">
        <x:v>白银</x:v>
      </x:c>
      <x:c r="G55" s="29" t="str">
        <x:v>小型</x:v>
      </x:c>
      <x:c r="H55" s="29" t="str">
        <x:v>控制</x:v>
      </x:c>
      <x:c r="I55" s="31" t="n">
        <x:f>IFERROR(VLOOKUP($A55,'02_怪物模板_好读版'!$A:$S,15,FALSE),0)+IFERROR(VLOOKUP($A55,'02_怪物模板_好读版'!$A:$S,16,FALSE),0)</x:f>
        <x:v>0</x:v>
      </x:c>
      <x:c r="J55" s="31" t="n">
        <x:f>IFERROR(VLOOKUP($A55,'02_怪物模板_好读版'!$A:$Z,8,FALSE),20)</x:f>
        <x:v>20</x:v>
      </x:c>
      <x:c r="K55" s="31" t="n">
        <x:f>IFERROR(VLOOKUP($A55,'02_怪物模板_好读版'!$A:$Z,9,FALSE),12)</x:f>
        <x:v>12</x:v>
      </x:c>
      <x:c r="L55" s="31" t="n">
        <x:f>IFERROR(VLOOKUP($A55,'02_怪物模板_好读版'!$A:$Z,10,FALSE),0)</x:f>
        <x:v>0</x:v>
      </x:c>
      <x:c r="M55" s="31" t="n">
        <x:f>IFERROR(VLOOKUP($A55,'02_怪物模板_好读版'!$A:$Z,11,FALSE),0)</x:f>
        <x:v>0</x:v>
      </x:c>
      <x:c r="N55" s="31" t="n">
        <x:f>IFERROR(VLOOKUP($A55,'02_怪物模板_好读版'!$A:$Z,12,FALSE),4)</x:f>
        <x:v>4</x:v>
      </x:c>
      <x:c r="O55" s="31" t="str">
        <x:f>IFERROR(VLOOKUP($A55,'02_怪物模板_好读版'!$A:$Z,13,FALSE),"REVIEW")</x:f>
        <x:v>REVIEW</x:v>
      </x:c>
      <x:c r="P55" s="29" t="str">
        <x:v>T1 标准前置T</x:v>
      </x:c>
      <x:c r="Q55" s="29" t="str">
        <x:v>T形/4格</x:v>
      </x:c>
      <x:c r="R55" s="29" t="str">
        <x:v>牵制</x:v>
      </x:c>
      <x:c r="S55" s="29" t="str">
        <x:v>healAmpBonus</x:v>
      </x:c>
      <x:c r="T55" s="29" t="str">
        <x:v>水、牵制、范围、机动</x:v>
      </x:c>
      <x:c r="U55" s="29" t="str">
        <x:v>—</x:v>
      </x:c>
      <x:c r="V55" s="29" t="str">
        <x:v>旧定位=牵制；控制补预算</x:v>
      </x:c>
    </x:row>
    <x:row r="56" ht="22" customHeight="1">
      <x:c r="A56" s="29" t="str">
        <x:v>pal_055</x:v>
      </x:c>
      <x:c r="B56" s="29" t="str">
        <x:v>No.055</x:v>
      </x:c>
      <x:c r="C56" s="29" t="str">
        <x:v>疾旋鼬</x:v>
      </x:c>
      <x:c r="D56" s="29" t="str">
        <x:v>水</x:v>
      </x:c>
      <x:c r="E56" s="29" t="str">
        <x:v>冰、龙</x:v>
      </x:c>
      <x:c r="F56" s="29" t="str">
        <x:v>白银</x:v>
      </x:c>
      <x:c r="G56" s="29" t="str">
        <x:v>中型</x:v>
      </x:c>
      <x:c r="H56" s="29" t="str">
        <x:v>控制</x:v>
      </x:c>
      <x:c r="I56" s="31" t="n">
        <x:f>IFERROR(VLOOKUP($A56,'02_怪物模板_好读版'!$A:$S,15,FALSE),0)+IFERROR(VLOOKUP($A56,'02_怪物模板_好读版'!$A:$S,16,FALSE),0)</x:f>
        <x:v>0</x:v>
      </x:c>
      <x:c r="J56" s="31" t="n">
        <x:f>IFERROR(VLOOKUP($A56,'02_怪物模板_好读版'!$A:$Z,8,FALSE),30)</x:f>
        <x:v>30</x:v>
      </x:c>
      <x:c r="K56" s="31" t="n">
        <x:f>IFERROR(VLOOKUP($A56,'02_怪物模板_好读版'!$A:$Z,9,FALSE),2)</x:f>
        <x:v>2</x:v>
      </x:c>
      <x:c r="L56" s="31" t="n">
        <x:f>IFERROR(VLOOKUP($A56,'02_怪物模板_好读版'!$A:$Z,10,FALSE),0)</x:f>
        <x:v>0</x:v>
      </x:c>
      <x:c r="M56" s="31" t="n">
        <x:f>IFERROR(VLOOKUP($A56,'02_怪物模板_好读版'!$A:$Z,11,FALSE),6)</x:f>
        <x:v>6</x:v>
      </x:c>
      <x:c r="N56" s="31" t="n">
        <x:f>IFERROR(VLOOKUP($A56,'02_怪物模板_好读版'!$A:$Z,12,FALSE),3)</x:f>
        <x:v>3</x:v>
      </x:c>
      <x:c r="O56" s="31" t="str">
        <x:f>IFERROR(VLOOKUP($A56,'02_怪物模板_好读版'!$A:$Z,13,FALSE),"mech_summon")</x:f>
        <x:v>mech_summon</x:v>
      </x:c>
      <x:c r="P56" s="29" t="str">
        <x:v>T1 标准前置T</x:v>
      </x:c>
      <x:c r="Q56" s="29" t="str">
        <x:v>T形/4格</x:v>
      </x:c>
      <x:c r="R56" s="29" t="str">
        <x:v>牵制</x:v>
      </x:c>
      <x:c r="S56" s="29" t="str">
        <x:v>healAmpBonus</x:v>
      </x:c>
      <x:c r="T56" s="29" t="str">
        <x:v>水、牵制、范围、机动</x:v>
      </x:c>
      <x:c r="U56" s="29" t="str">
        <x:v>—</x:v>
      </x:c>
      <x:c r="V56" s="29" t="str">
        <x:v>旧定位=牵制；控制补预算</x:v>
      </x:c>
    </x:row>
    <x:row r="57" ht="22" customHeight="1">
      <x:c r="A57" s="29" t="str">
        <x:v>pal_056</x:v>
      </x:c>
      <x:c r="B57" s="29" t="str">
        <x:v>No.056</x:v>
      </x:c>
      <x:c r="C57" s="29" t="str">
        <x:v>雷角马</x:v>
      </x:c>
      <x:c r="D57" s="29" t="str">
        <x:v>风</x:v>
      </x:c>
      <x:c r="E57" s="29" t="str">
        <x:v>雷</x:v>
      </x:c>
      <x:c r="F57" s="29" t="str">
        <x:v>白银</x:v>
      </x:c>
      <x:c r="G57" s="29" t="str">
        <x:v>小型</x:v>
      </x:c>
      <x:c r="H57" s="29" t="str">
        <x:v>控制</x:v>
      </x:c>
      <x:c r="I57" s="31" t="n">
        <x:f>IFERROR(VLOOKUP($A57,'02_怪物模板_好读版'!$A:$S,15,FALSE),0)+IFERROR(VLOOKUP($A57,'02_怪物模板_好读版'!$A:$S,16,FALSE),0)</x:f>
        <x:v>0</x:v>
      </x:c>
      <x:c r="J57" s="31" t="n">
        <x:f>IFERROR(VLOOKUP($A57,'02_怪物模板_好读版'!$A:$Z,8,FALSE),20)</x:f>
        <x:v>20</x:v>
      </x:c>
      <x:c r="K57" s="31" t="n">
        <x:f>IFERROR(VLOOKUP($A57,'02_怪物模板_好读版'!$A:$Z,9,FALSE),12)</x:f>
        <x:v>12</x:v>
      </x:c>
      <x:c r="L57" s="31" t="n">
        <x:f>IFERROR(VLOOKUP($A57,'02_怪物模板_好读版'!$A:$Z,10,FALSE),0)</x:f>
        <x:v>0</x:v>
      </x:c>
      <x:c r="M57" s="31" t="n">
        <x:f>IFERROR(VLOOKUP($A57,'02_怪物模板_好读版'!$A:$Z,11,FALSE),0)</x:f>
        <x:v>0</x:v>
      </x:c>
      <x:c r="N57" s="31" t="n">
        <x:f>IFERROR(VLOOKUP($A57,'02_怪物模板_好读版'!$A:$Z,12,FALSE),4)</x:f>
        <x:v>4</x:v>
      </x:c>
      <x:c r="O57" s="31" t="str">
        <x:f>IFERROR(VLOOKUP($A57,'02_怪物模板_好读版'!$A:$Z,13,FALSE),"REVIEW")</x:f>
        <x:v>REVIEW</x:v>
      </x:c>
      <x:c r="P57" s="29" t="str">
        <x:v>T2 长柄T</x:v>
      </x:c>
      <x:c r="Q57" s="29" t="str">
        <x:v>T形/5格</x:v>
      </x:c>
      <x:c r="R57" s="29" t="str">
        <x:v>牵制</x:v>
      </x:c>
      <x:c r="S57" s="29" t="str">
        <x:v>advHitBonus</x:v>
      </x:c>
      <x:c r="T57" s="29" t="str">
        <x:v>风、牵制、范围、机动</x:v>
      </x:c>
      <x:c r="U57" s="29" t="str">
        <x:v>—</x:v>
      </x:c>
      <x:c r="V57" s="29" t="str">
        <x:v>旧定位=牵制；控制补预算</x:v>
      </x:c>
    </x:row>
    <x:row r="58" ht="22" customHeight="1">
      <x:c r="A58" s="29" t="str">
        <x:v>pal_057</x:v>
      </x:c>
      <x:c r="B58" s="29" t="str">
        <x:v>No.057</x:v>
      </x:c>
      <x:c r="C58" s="29" t="str">
        <x:v>吹雪狐</x:v>
      </x:c>
      <x:c r="D58" s="29" t="str">
        <x:v>水</x:v>
      </x:c>
      <x:c r="E58" s="29" t="str">
        <x:v>冰</x:v>
      </x:c>
      <x:c r="F58" s="29" t="str">
        <x:v>白银</x:v>
      </x:c>
      <x:c r="G58" s="29" t="str">
        <x:v>小型</x:v>
      </x:c>
      <x:c r="H58" s="29" t="str">
        <x:v>控制</x:v>
      </x:c>
      <x:c r="I58" s="31" t="n">
        <x:f>IFERROR(VLOOKUP($A58,'02_怪物模板_好读版'!$A:$S,15,FALSE),0)+IFERROR(VLOOKUP($A58,'02_怪物模板_好读版'!$A:$S,16,FALSE),0)</x:f>
        <x:v>0</x:v>
      </x:c>
      <x:c r="J58" s="31" t="n">
        <x:f>IFERROR(VLOOKUP($A58,'02_怪物模板_好读版'!$A:$Z,8,FALSE),20)</x:f>
        <x:v>20</x:v>
      </x:c>
      <x:c r="K58" s="31" t="n">
        <x:f>IFERROR(VLOOKUP($A58,'02_怪物模板_好读版'!$A:$Z,9,FALSE),12)</x:f>
        <x:v>12</x:v>
      </x:c>
      <x:c r="L58" s="31" t="n">
        <x:f>IFERROR(VLOOKUP($A58,'02_怪物模板_好读版'!$A:$Z,10,FALSE),0)</x:f>
        <x:v>0</x:v>
      </x:c>
      <x:c r="M58" s="31" t="n">
        <x:f>IFERROR(VLOOKUP($A58,'02_怪物模板_好读版'!$A:$Z,11,FALSE),0)</x:f>
        <x:v>0</x:v>
      </x:c>
      <x:c r="N58" s="31" t="n">
        <x:f>IFERROR(VLOOKUP($A58,'02_怪物模板_好读版'!$A:$Z,12,FALSE),4)</x:f>
        <x:v>4</x:v>
      </x:c>
      <x:c r="O58" s="31" t="str">
        <x:f>IFERROR(VLOOKUP($A58,'02_怪物模板_好读版'!$A:$Z,13,FALSE),"REVIEW")</x:f>
        <x:v>REVIEW</x:v>
      </x:c>
      <x:c r="P58" s="29" t="str">
        <x:v>T1 标准前置T</x:v>
      </x:c>
      <x:c r="Q58" s="29" t="str">
        <x:v>T形/4格</x:v>
      </x:c>
      <x:c r="R58" s="29" t="str">
        <x:v>牵制</x:v>
      </x:c>
      <x:c r="S58" s="29" t="str">
        <x:v>healAmpBonus</x:v>
      </x:c>
      <x:c r="T58" s="29" t="str">
        <x:v>水、牵制、范围、机动</x:v>
      </x:c>
      <x:c r="U58" s="29" t="str">
        <x:v>—</x:v>
      </x:c>
      <x:c r="V58" s="29" t="str">
        <x:v>旧定位=牵制；控制补预算</x:v>
      </x:c>
    </x:row>
    <x:row r="59" ht="22" customHeight="1">
      <x:c r="A59" s="29" t="str">
        <x:v>pal_058</x:v>
      </x:c>
      <x:c r="B59" s="29" t="str">
        <x:v>No.058</x:v>
      </x:c>
      <x:c r="C59" s="29" t="str">
        <x:v>火麒麟</x:v>
      </x:c>
      <x:c r="D59" s="29" t="str">
        <x:v>火</x:v>
      </x:c>
      <x:c r="E59" s="29" t="str"/>
      <x:c r="F59" s="29" t="str">
        <x:v>白银</x:v>
      </x:c>
      <x:c r="G59" s="29" t="str">
        <x:v>小型</x:v>
      </x:c>
      <x:c r="H59" s="29" t="str">
        <x:v>输出</x:v>
      </x:c>
      <x:c r="I59" s="31" t="n">
        <x:f>IFERROR(VLOOKUP($A59,'02_怪物模板_好读版'!$A:$S,15,FALSE),0)+IFERROR(VLOOKUP($A59,'02_怪物模板_好读版'!$A:$S,16,FALSE),0)</x:f>
        <x:v>0</x:v>
      </x:c>
      <x:c r="J59" s="31" t="n">
        <x:f>IFERROR(VLOOKUP($A59,'02_怪物模板_好读版'!$A:$Z,8,FALSE),30)</x:f>
        <x:v>30</x:v>
      </x:c>
      <x:c r="K59" s="31" t="n">
        <x:f>IFERROR(VLOOKUP($A59,'02_怪物模板_好读版'!$A:$Z,9,FALSE),13)</x:f>
        <x:v>13</x:v>
      </x:c>
      <x:c r="L59" s="31" t="n">
        <x:f>IFERROR(VLOOKUP($A59,'02_怪物模板_好读版'!$A:$Z,10,FALSE),0)</x:f>
        <x:v>0</x:v>
      </x:c>
      <x:c r="M59" s="31" t="n">
        <x:f>IFERROR(VLOOKUP($A59,'02_怪物模板_好读版'!$A:$Z,11,FALSE),0)</x:f>
        <x:v>0</x:v>
      </x:c>
      <x:c r="N59" s="31" t="n">
        <x:f>IFERROR(VLOOKUP($A59,'02_怪物模板_好读版'!$A:$Z,12,FALSE),3)</x:f>
        <x:v>3</x:v>
      </x:c>
      <x:c r="O59" s="31" t="str">
        <x:f>IFERROR(VLOOKUP($A59,'02_怪物模板_好读版'!$A:$Z,13,FALSE),"REVIEW")</x:f>
        <x:v>REVIEW</x:v>
      </x:c>
      <x:c r="P59" s="29" t="str">
        <x:v>B1 横扫三格</x:v>
      </x:c>
      <x:c r="Q59" s="29" t="str">
        <x:v>扫击/3格</x:v>
      </x:c>
      <x:c r="R59" s="29" t="str">
        <x:v>输出</x:v>
      </x:c>
      <x:c r="S59" s="29" t="str">
        <x:v>castleReduce</x:v>
      </x:c>
      <x:c r="T59" s="29" t="str">
        <x:v>火、输出、爆发、前排</x:v>
      </x:c>
      <x:c r="U59" s="29" t="str">
        <x:v>—</x:v>
      </x:c>
      <x:c r="V59" s="29" t="str"/>
    </x:row>
    <x:row r="60" ht="22" customHeight="1">
      <x:c r="A60" s="29" t="str">
        <x:v>pal_059</x:v>
      </x:c>
      <x:c r="B60" s="29" t="str">
        <x:v>No.059</x:v>
      </x:c>
      <x:c r="C60" s="29" t="str">
        <x:v>严冬鹿</x:v>
      </x:c>
      <x:c r="D60" s="29" t="str">
        <x:v>水</x:v>
      </x:c>
      <x:c r="E60" s="29" t="str">
        <x:v>冰</x:v>
      </x:c>
      <x:c r="F60" s="29" t="str">
        <x:v>白银</x:v>
      </x:c>
      <x:c r="G60" s="29" t="str">
        <x:v>小型</x:v>
      </x:c>
      <x:c r="H60" s="29" t="str">
        <x:v>控制</x:v>
      </x:c>
      <x:c r="I60" s="31" t="n">
        <x:f>IFERROR(VLOOKUP($A60,'02_怪物模板_好读版'!$A:$S,15,FALSE),0)+IFERROR(VLOOKUP($A60,'02_怪物模板_好读版'!$A:$S,16,FALSE),0)</x:f>
        <x:v>0</x:v>
      </x:c>
      <x:c r="J60" s="31" t="n">
        <x:f>IFERROR(VLOOKUP($A60,'02_怪物模板_好读版'!$A:$Z,8,FALSE),20)</x:f>
        <x:v>20</x:v>
      </x:c>
      <x:c r="K60" s="31" t="n">
        <x:f>IFERROR(VLOOKUP($A60,'02_怪物模板_好读版'!$A:$Z,9,FALSE),12)</x:f>
        <x:v>12</x:v>
      </x:c>
      <x:c r="L60" s="31" t="n">
        <x:f>IFERROR(VLOOKUP($A60,'02_怪物模板_好读版'!$A:$Z,10,FALSE),0)</x:f>
        <x:v>0</x:v>
      </x:c>
      <x:c r="M60" s="31" t="n">
        <x:f>IFERROR(VLOOKUP($A60,'02_怪物模板_好读版'!$A:$Z,11,FALSE),0)</x:f>
        <x:v>0</x:v>
      </x:c>
      <x:c r="N60" s="31" t="n">
        <x:f>IFERROR(VLOOKUP($A60,'02_怪物模板_好读版'!$A:$Z,12,FALSE),4)</x:f>
        <x:v>4</x:v>
      </x:c>
      <x:c r="O60" s="31" t="str">
        <x:f>IFERROR(VLOOKUP($A60,'02_怪物模板_好读版'!$A:$Z,13,FALSE),"REVIEW")</x:f>
        <x:v>REVIEW</x:v>
      </x:c>
      <x:c r="P60" s="29" t="str">
        <x:v>T1 标准前置T</x:v>
      </x:c>
      <x:c r="Q60" s="29" t="str">
        <x:v>T形/4格</x:v>
      </x:c>
      <x:c r="R60" s="29" t="str">
        <x:v>牵制</x:v>
      </x:c>
      <x:c r="S60" s="29" t="str">
        <x:v>healAmpBonus</x:v>
      </x:c>
      <x:c r="T60" s="29" t="str">
        <x:v>水、牵制、范围、机动</x:v>
      </x:c>
      <x:c r="U60" s="29" t="str">
        <x:v>—</x:v>
      </x:c>
      <x:c r="V60" s="29" t="str">
        <x:v>旧定位=牵制；控制补预算</x:v>
      </x:c>
    </x:row>
    <x:row r="61" ht="22" customHeight="1">
      <x:c r="A61" s="29" t="str">
        <x:v>pal_060</x:v>
      </x:c>
      <x:c r="B61" s="29" t="str">
        <x:v>No.060</x:v>
      </x:c>
      <x:c r="C61" s="29" t="str">
        <x:v>霹雳犬</x:v>
      </x:c>
      <x:c r="D61" s="29" t="str">
        <x:v>风</x:v>
      </x:c>
      <x:c r="E61" s="29" t="str">
        <x:v>雷</x:v>
      </x:c>
      <x:c r="F61" s="29" t="str">
        <x:v>白银</x:v>
      </x:c>
      <x:c r="G61" s="29" t="str">
        <x:v>小型</x:v>
      </x:c>
      <x:c r="H61" s="29" t="str">
        <x:v>控制</x:v>
      </x:c>
      <x:c r="I61" s="31" t="n">
        <x:f>IFERROR(VLOOKUP($A61,'02_怪物模板_好读版'!$A:$S,15,FALSE),0)+IFERROR(VLOOKUP($A61,'02_怪物模板_好读版'!$A:$S,16,FALSE),0)</x:f>
        <x:v>0</x:v>
      </x:c>
      <x:c r="J61" s="31" t="n">
        <x:f>IFERROR(VLOOKUP($A61,'02_怪物模板_好读版'!$A:$Z,8,FALSE),20)</x:f>
        <x:v>20</x:v>
      </x:c>
      <x:c r="K61" s="31" t="n">
        <x:f>IFERROR(VLOOKUP($A61,'02_怪物模板_好读版'!$A:$Z,9,FALSE),12)</x:f>
        <x:v>12</x:v>
      </x:c>
      <x:c r="L61" s="31" t="n">
        <x:f>IFERROR(VLOOKUP($A61,'02_怪物模板_好读版'!$A:$Z,10,FALSE),0)</x:f>
        <x:v>0</x:v>
      </x:c>
      <x:c r="M61" s="31" t="n">
        <x:f>IFERROR(VLOOKUP($A61,'02_怪物模板_好读版'!$A:$Z,11,FALSE),0)</x:f>
        <x:v>0</x:v>
      </x:c>
      <x:c r="N61" s="31" t="n">
        <x:f>IFERROR(VLOOKUP($A61,'02_怪物模板_好读版'!$A:$Z,12,FALSE),4)</x:f>
        <x:v>4</x:v>
      </x:c>
      <x:c r="O61" s="31" t="str">
        <x:f>IFERROR(VLOOKUP($A61,'02_怪物模板_好读版'!$A:$Z,13,FALSE),"REVIEW")</x:f>
        <x:v>REVIEW</x:v>
      </x:c>
      <x:c r="P61" s="29" t="str">
        <x:v>T2 长柄T</x:v>
      </x:c>
      <x:c r="Q61" s="29" t="str">
        <x:v>T形/5格</x:v>
      </x:c>
      <x:c r="R61" s="29" t="str">
        <x:v>牵制</x:v>
      </x:c>
      <x:c r="S61" s="29" t="str">
        <x:v>advHitBonus</x:v>
      </x:c>
      <x:c r="T61" s="29" t="str">
        <x:v>风、牵制、范围、机动</x:v>
      </x:c>
      <x:c r="U61" s="29" t="str">
        <x:v>—</x:v>
      </x:c>
      <x:c r="V61" s="29" t="str">
        <x:v>旧定位=牵制；控制补预算</x:v>
      </x:c>
    </x:row>
    <x:row r="62" ht="22" customHeight="1">
      <x:c r="A62" s="29" t="str">
        <x:v>pal_061</x:v>
      </x:c>
      <x:c r="B62" s="29" t="str">
        <x:v>No.061</x:v>
      </x:c>
      <x:c r="C62" s="29" t="str">
        <x:v>苍焰狼</x:v>
      </x:c>
      <x:c r="D62" s="29" t="str">
        <x:v>火</x:v>
      </x:c>
      <x:c r="E62" s="29" t="str"/>
      <x:c r="F62" s="29" t="str">
        <x:v>白银</x:v>
      </x:c>
      <x:c r="G62" s="29" t="str">
        <x:v>中型</x:v>
      </x:c>
      <x:c r="H62" s="29" t="str">
        <x:v>输出</x:v>
      </x:c>
      <x:c r="I62" s="31" t="n">
        <x:f>IFERROR(VLOOKUP($A62,'02_怪物模板_好读版'!$A:$S,15,FALSE),0)+IFERROR(VLOOKUP($A62,'02_怪物模板_好读版'!$A:$S,16,FALSE),0)</x:f>
        <x:v>0</x:v>
      </x:c>
      <x:c r="J62" s="31" t="n">
        <x:f>IFERROR(VLOOKUP($A62,'02_怪物模板_好读版'!$A:$Z,8,FALSE),25)</x:f>
        <x:v>25</x:v>
      </x:c>
      <x:c r="K62" s="31" t="n">
        <x:f>IFERROR(VLOOKUP($A62,'02_怪物模板_好读版'!$A:$Z,9,FALSE),2)</x:f>
        <x:v>2</x:v>
      </x:c>
      <x:c r="L62" s="31" t="n">
        <x:f>IFERROR(VLOOKUP($A62,'02_怪物模板_好读版'!$A:$Z,10,FALSE),0)</x:f>
        <x:v>0</x:v>
      </x:c>
      <x:c r="M62" s="31" t="n">
        <x:f>IFERROR(VLOOKUP($A62,'02_怪物模板_好读版'!$A:$Z,11,FALSE),0)</x:f>
        <x:v>0</x:v>
      </x:c>
      <x:c r="N62" s="31" t="n">
        <x:f>IFERROR(VLOOKUP($A62,'02_怪物模板_好读版'!$A:$Z,12,FALSE),3)</x:f>
        <x:v>3</x:v>
      </x:c>
      <x:c r="O62" s="31" t="str">
        <x:f>IFERROR(VLOOKUP($A62,'02_怪物模板_好读版'!$A:$Z,13,FALSE),"mech_grow_attack")</x:f>
        <x:v>mech_grow_attack</x:v>
      </x:c>
      <x:c r="P62" s="29" t="str">
        <x:v>B1 横扫三格</x:v>
      </x:c>
      <x:c r="Q62" s="29" t="str">
        <x:v>扫击/3格</x:v>
      </x:c>
      <x:c r="R62" s="29" t="str">
        <x:v>输出</x:v>
      </x:c>
      <x:c r="S62" s="29" t="str">
        <x:v>castleReduce</x:v>
      </x:c>
      <x:c r="T62" s="29" t="str">
        <x:v>火、输出、爆发、前排</x:v>
      </x:c>
      <x:c r="U62" s="29" t="str">
        <x:v>—</x:v>
      </x:c>
      <x:c r="V62" s="29" t="str"/>
    </x:row>
    <x:row r="63" ht="22" customHeight="1">
      <x:c r="A63" s="29" t="str">
        <x:v>pal_062</x:v>
      </x:c>
      <x:c r="B63" s="29" t="str">
        <x:v>No.062</x:v>
      </x:c>
      <x:c r="C63" s="29" t="str">
        <x:v>雷鸣童子</x:v>
      </x:c>
      <x:c r="D63" s="29" t="str">
        <x:v>风</x:v>
      </x:c>
      <x:c r="E63" s="29" t="str">
        <x:v>雷</x:v>
      </x:c>
      <x:c r="F63" s="29" t="str">
        <x:v>白银</x:v>
      </x:c>
      <x:c r="G63" s="29" t="str">
        <x:v>小型</x:v>
      </x:c>
      <x:c r="H63" s="29" t="str">
        <x:v>控制</x:v>
      </x:c>
      <x:c r="I63" s="31" t="n">
        <x:f>IFERROR(VLOOKUP($A63,'02_怪物模板_好读版'!$A:$S,15,FALSE),0)+IFERROR(VLOOKUP($A63,'02_怪物模板_好读版'!$A:$S,16,FALSE),0)</x:f>
        <x:v>0</x:v>
      </x:c>
      <x:c r="J63" s="31" t="n">
        <x:f>IFERROR(VLOOKUP($A63,'02_怪物模板_好读版'!$A:$Z,8,FALSE),20)</x:f>
        <x:v>20</x:v>
      </x:c>
      <x:c r="K63" s="31" t="n">
        <x:f>IFERROR(VLOOKUP($A63,'02_怪物模板_好读版'!$A:$Z,9,FALSE),12)</x:f>
        <x:v>12</x:v>
      </x:c>
      <x:c r="L63" s="31" t="n">
        <x:f>IFERROR(VLOOKUP($A63,'02_怪物模板_好读版'!$A:$Z,10,FALSE),0)</x:f>
        <x:v>0</x:v>
      </x:c>
      <x:c r="M63" s="31" t="n">
        <x:f>IFERROR(VLOOKUP($A63,'02_怪物模板_好读版'!$A:$Z,11,FALSE),0)</x:f>
        <x:v>0</x:v>
      </x:c>
      <x:c r="N63" s="31" t="n">
        <x:f>IFERROR(VLOOKUP($A63,'02_怪物模板_好读版'!$A:$Z,12,FALSE),4)</x:f>
        <x:v>4</x:v>
      </x:c>
      <x:c r="O63" s="31" t="str">
        <x:f>IFERROR(VLOOKUP($A63,'02_怪物模板_好读版'!$A:$Z,13,FALSE),"REVIEW")</x:f>
        <x:v>REVIEW</x:v>
      </x:c>
      <x:c r="P63" s="29" t="str">
        <x:v>T2 长柄T</x:v>
      </x:c>
      <x:c r="Q63" s="29" t="str">
        <x:v>T形/5格</x:v>
      </x:c>
      <x:c r="R63" s="29" t="str">
        <x:v>牵制</x:v>
      </x:c>
      <x:c r="S63" s="29" t="str">
        <x:v>advHitBonus</x:v>
      </x:c>
      <x:c r="T63" s="29" t="str">
        <x:v>风、牵制、范围、机动</x:v>
      </x:c>
      <x:c r="U63" s="29" t="str">
        <x:v>—</x:v>
      </x:c>
      <x:c r="V63" s="29" t="str">
        <x:v>旧定位=牵制；控制补预算</x:v>
      </x:c>
    </x:row>
    <x:row r="64" ht="22" customHeight="1">
      <x:c r="A64" s="29" t="str">
        <x:v>pal_063</x:v>
      </x:c>
      <x:c r="B64" s="29" t="str">
        <x:v>No.063</x:v>
      </x:c>
      <x:c r="C64" s="29" t="str">
        <x:v>秘斯媞雅</x:v>
      </x:c>
      <x:c r="D64" s="29" t="str">
        <x:v>风</x:v>
      </x:c>
      <x:c r="E64" s="29" t="str"/>
      <x:c r="F64" s="29" t="str">
        <x:v>白银</x:v>
      </x:c>
      <x:c r="G64" s="29" t="str">
        <x:v>小型</x:v>
      </x:c>
      <x:c r="H64" s="29" t="str">
        <x:v>召唤</x:v>
      </x:c>
      <x:c r="I64" s="31" t="n">
        <x:f>IFERROR(VLOOKUP($A64,'02_怪物模板_好读版'!$A:$S,15,FALSE),0)+IFERROR(VLOOKUP($A64,'02_怪物模板_好读版'!$A:$S,16,FALSE),0)</x:f>
        <x:v>0</x:v>
      </x:c>
      <x:c r="J64" s="31" t="n">
        <x:f>IFERROR(VLOOKUP($A64,'02_怪物模板_好读版'!$A:$Z,8,FALSE),20)</x:f>
        <x:v>20</x:v>
      </x:c>
      <x:c r="K64" s="31" t="n">
        <x:f>IFERROR(VLOOKUP($A64,'02_怪物模板_好读版'!$A:$Z,9,FALSE),11)</x:f>
        <x:v>11</x:v>
      </x:c>
      <x:c r="L64" s="31" t="n">
        <x:f>IFERROR(VLOOKUP($A64,'02_怪物模板_好读版'!$A:$Z,10,FALSE),0)</x:f>
        <x:v>0</x:v>
      </x:c>
      <x:c r="M64" s="31" t="n">
        <x:f>IFERROR(VLOOKUP($A64,'02_怪物模板_好读版'!$A:$Z,11,FALSE),0)</x:f>
        <x:v>0</x:v>
      </x:c>
      <x:c r="N64" s="31" t="n">
        <x:f>IFERROR(VLOOKUP($A64,'02_怪物模板_好读版'!$A:$Z,12,FALSE),3)</x:f>
        <x:v>3</x:v>
      </x:c>
      <x:c r="O64" s="31" t="str">
        <x:f>IFERROR(VLOOKUP($A64,'02_怪物模板_好读版'!$A:$Z,13,FALSE),"mech_summon")</x:f>
        <x:v>mech_summon</x:v>
      </x:c>
      <x:c r="P64" s="29" t="str">
        <x:v>A1 单点刺</x:v>
      </x:c>
      <x:c r="Q64" s="29" t="str">
        <x:v>直线/1格</x:v>
      </x:c>
      <x:c r="R64" s="29" t="str">
        <x:v>召唤</x:v>
      </x:c>
      <x:c r="S64" s="29" t="str">
        <x:v>summonFromCell</x:v>
      </x:c>
      <x:c r="T64" s="29" t="str">
        <x:v>风、召唤、成长、核心</x:v>
      </x:c>
      <x:c r="U64" s="29" t="str">
        <x:v>是</x:v>
      </x:c>
      <x:c r="V64" s="29" t="str">
        <x:v>召唤补预算</x:v>
      </x:c>
    </x:row>
    <x:row r="65" ht="22" customHeight="1">
      <x:c r="A65" s="29" t="str">
        <x:v>pal_064</x:v>
      </x:c>
      <x:c r="B65" s="29" t="str">
        <x:v>No.064</x:v>
      </x:c>
      <x:c r="C65" s="29" t="str">
        <x:v>花冠龙</x:v>
      </x:c>
      <x:c r="D65" s="29" t="str">
        <x:v>风</x:v>
      </x:c>
      <x:c r="E65" s="29" t="str">
        <x:v>草、龙</x:v>
      </x:c>
      <x:c r="F65" s="29" t="str">
        <x:v>白银</x:v>
      </x:c>
      <x:c r="G65" s="29" t="str">
        <x:v>中型</x:v>
      </x:c>
      <x:c r="H65" s="29" t="str">
        <x:v>召唤</x:v>
      </x:c>
      <x:c r="I65" s="31" t="n">
        <x:f>IFERROR(VLOOKUP($A65,'02_怪物模板_好读版'!$A:$S,15,FALSE),0)+IFERROR(VLOOKUP($A65,'02_怪物模板_好读版'!$A:$S,16,FALSE),0)</x:f>
        <x:v>0</x:v>
      </x:c>
      <x:c r="J65" s="31" t="n">
        <x:f>IFERROR(VLOOKUP($A65,'02_怪物模板_好读版'!$A:$Z,8,FALSE),35)</x:f>
        <x:v>35</x:v>
      </x:c>
      <x:c r="K65" s="31" t="n">
        <x:f>IFERROR(VLOOKUP($A65,'02_怪物模板_好读版'!$A:$Z,9,FALSE),26)</x:f>
        <x:v>26</x:v>
      </x:c>
      <x:c r="L65" s="31" t="n">
        <x:f>IFERROR(VLOOKUP($A65,'02_怪物模板_好读版'!$A:$Z,10,FALSE),0)</x:f>
        <x:v>0</x:v>
      </x:c>
      <x:c r="M65" s="31" t="n">
        <x:f>IFERROR(VLOOKUP($A65,'02_怪物模板_好读版'!$A:$Z,11,FALSE),0)</x:f>
        <x:v>0</x:v>
      </x:c>
      <x:c r="N65" s="31" t="n">
        <x:f>IFERROR(VLOOKUP($A65,'02_怪物模板_好读版'!$A:$Z,12,FALSE),3)</x:f>
        <x:v>3</x:v>
      </x:c>
      <x:c r="O65" s="31" t="str">
        <x:f>IFERROR(VLOOKUP($A65,'02_怪物模板_好读版'!$A:$Z,13,FALSE),"mech_summon")</x:f>
        <x:v>mech_summon</x:v>
      </x:c>
      <x:c r="P65" s="29" t="str">
        <x:v>A1 单点刺</x:v>
      </x:c>
      <x:c r="Q65" s="29" t="str">
        <x:v>直线/1格</x:v>
      </x:c>
      <x:c r="R65" s="29" t="str">
        <x:v>召唤</x:v>
      </x:c>
      <x:c r="S65" s="29" t="str">
        <x:v>summonFromCell</x:v>
      </x:c>
      <x:c r="T65" s="29" t="str">
        <x:v>风、召唤、成长、核心</x:v>
      </x:c>
      <x:c r="U65" s="29" t="str">
        <x:v>是</x:v>
      </x:c>
      <x:c r="V65" s="29" t="str">
        <x:v>召唤补预算</x:v>
      </x:c>
    </x:row>
    <x:row r="66" ht="22" customHeight="1">
      <x:c r="A66" s="29" t="str">
        <x:v>pal_065</x:v>
      </x:c>
      <x:c r="B66" s="29" t="str">
        <x:v>No.064B</x:v>
      </x:c>
      <x:c r="C66" s="29" t="str">
        <x:v>雷冠龙</x:v>
      </x:c>
      <x:c r="D66" s="29" t="str">
        <x:v>风</x:v>
      </x:c>
      <x:c r="E66" s="29" t="str">
        <x:v>雷、龙</x:v>
      </x:c>
      <x:c r="F66" s="29" t="str">
        <x:v>白银</x:v>
      </x:c>
      <x:c r="G66" s="29" t="str">
        <x:v>中型</x:v>
      </x:c>
      <x:c r="H66" s="29" t="str">
        <x:v>控制</x:v>
      </x:c>
      <x:c r="I66" s="31" t="n">
        <x:f>IFERROR(VLOOKUP($A66,'02_怪物模板_好读版'!$A:$S,15,FALSE),0)+IFERROR(VLOOKUP($A66,'02_怪物模板_好读版'!$A:$S,16,FALSE),0)</x:f>
        <x:v>0</x:v>
      </x:c>
      <x:c r="J66" s="31" t="n">
        <x:f>IFERROR(VLOOKUP($A66,'02_怪物模板_好读版'!$A:$Z,8,FALSE),35)</x:f>
        <x:v>35</x:v>
      </x:c>
      <x:c r="K66" s="31" t="n">
        <x:f>IFERROR(VLOOKUP($A66,'02_怪物模板_好读版'!$A:$Z,9,FALSE),27)</x:f>
        <x:v>27</x:v>
      </x:c>
      <x:c r="L66" s="31" t="n">
        <x:f>IFERROR(VLOOKUP($A66,'02_怪物模板_好读版'!$A:$Z,10,FALSE),0)</x:f>
        <x:v>0</x:v>
      </x:c>
      <x:c r="M66" s="31" t="n">
        <x:f>IFERROR(VLOOKUP($A66,'02_怪物模板_好读版'!$A:$Z,11,FALSE),0)</x:f>
        <x:v>0</x:v>
      </x:c>
      <x:c r="N66" s="31" t="n">
        <x:f>IFERROR(VLOOKUP($A66,'02_怪物模板_好读版'!$A:$Z,12,FALSE),4)</x:f>
        <x:v>4</x:v>
      </x:c>
      <x:c r="O66" s="31" t="str">
        <x:f>IFERROR(VLOOKUP($A66,'02_怪物模板_好读版'!$A:$Z,13,FALSE),"REVIEW")</x:f>
        <x:v>REVIEW</x:v>
      </x:c>
      <x:c r="P66" s="29" t="str">
        <x:v>T2 长柄T</x:v>
      </x:c>
      <x:c r="Q66" s="29" t="str">
        <x:v>T形/5格</x:v>
      </x:c>
      <x:c r="R66" s="29" t="str">
        <x:v>牵制</x:v>
      </x:c>
      <x:c r="S66" s="29" t="str">
        <x:v>advHitBonus</x:v>
      </x:c>
      <x:c r="T66" s="29" t="str">
        <x:v>风、牵制、范围、机动</x:v>
      </x:c>
      <x:c r="U66" s="29" t="str">
        <x:v>—</x:v>
      </x:c>
      <x:c r="V66" s="29" t="str">
        <x:v>旧定位=牵制；控制补预算</x:v>
      </x:c>
    </x:row>
    <x:row r="67" ht="22" customHeight="1">
      <x:c r="A67" s="29" t="str">
        <x:v>pal_066</x:v>
      </x:c>
      <x:c r="B67" s="29" t="str">
        <x:v>No.065</x:v>
      </x:c>
      <x:c r="C67" s="29" t="str">
        <x:v>滑水蛇</x:v>
      </x:c>
      <x:c r="D67" s="29" t="str">
        <x:v>水</x:v>
      </x:c>
      <x:c r="E67" s="29" t="str"/>
      <x:c r="F67" s="29" t="str">
        <x:v>白银</x:v>
      </x:c>
      <x:c r="G67" s="29" t="str">
        <x:v>小型</x:v>
      </x:c>
      <x:c r="H67" s="29" t="str">
        <x:v>治疗</x:v>
      </x:c>
      <x:c r="I67" s="31" t="n">
        <x:f>IFERROR(VLOOKUP($A67,'02_怪物模板_好读版'!$A:$S,15,FALSE),0)+IFERROR(VLOOKUP($A67,'02_怪物模板_好读版'!$A:$S,16,FALSE),0)</x:f>
        <x:v>0</x:v>
      </x:c>
      <x:c r="J67" s="31" t="n">
        <x:f>IFERROR(VLOOKUP($A67,'02_怪物模板_好读版'!$A:$Z,8,FALSE),25)</x:f>
        <x:v>25</x:v>
      </x:c>
      <x:c r="K67" s="31" t="n">
        <x:f>IFERROR(VLOOKUP($A67,'02_怪物模板_好读版'!$A:$Z,9,FALSE),12)</x:f>
        <x:v>12</x:v>
      </x:c>
      <x:c r="L67" s="31" t="n">
        <x:f>IFERROR(VLOOKUP($A67,'02_怪物模板_好读版'!$A:$Z,10,FALSE),0)</x:f>
        <x:v>0</x:v>
      </x:c>
      <x:c r="M67" s="31" t="n">
        <x:f>IFERROR(VLOOKUP($A67,'02_怪物模板_好读版'!$A:$Z,11,FALSE),0)</x:f>
        <x:v>0</x:v>
      </x:c>
      <x:c r="N67" s="31" t="n">
        <x:f>IFERROR(VLOOKUP($A67,'02_怪物模板_好读版'!$A:$Z,12,FALSE),3)</x:f>
        <x:v>3</x:v>
      </x:c>
      <x:c r="O67" s="31" t="str">
        <x:f>IFERROR(VLOOKUP($A67,'02_怪物模板_好读版'!$A:$Z,13,FALSE),"REVIEW")</x:f>
        <x:v>REVIEW</x:v>
      </x:c>
      <x:c r="P67" s="29" t="str">
        <x:v>T1 标准前置T</x:v>
      </x:c>
      <x:c r="Q67" s="29" t="str">
        <x:v>T形/4格</x:v>
      </x:c>
      <x:c r="R67" s="29" t="str">
        <x:v>场地</x:v>
      </x:c>
      <x:c r="S67" s="29" t="str">
        <x:v>healAmpBonus</x:v>
      </x:c>
      <x:c r="T67" s="29" t="str">
        <x:v>水、治疗、后排、增益</x:v>
      </x:c>
      <x:c r="U67" s="29" t="str">
        <x:v>—</x:v>
      </x:c>
      <x:c r="V67" s="29" t="str">
        <x:v>治疗补预算</x:v>
      </x:c>
    </x:row>
    <x:row r="68" ht="22" customHeight="1">
      <x:c r="A68" s="29" t="str">
        <x:v>pal_067</x:v>
      </x:c>
      <x:c r="B68" s="29" t="str">
        <x:v>No.065B</x:v>
      </x:c>
      <x:c r="C68" s="29" t="str">
        <x:v>流沙蛇</x:v>
      </x:c>
      <x:c r="D68" s="29" t="str">
        <x:v>土</x:v>
      </x:c>
      <x:c r="E68" s="29" t="str">
        <x:v>地</x:v>
      </x:c>
      <x:c r="F68" s="29" t="str">
        <x:v>白银</x:v>
      </x:c>
      <x:c r="G68" s="29" t="str">
        <x:v>中型</x:v>
      </x:c>
      <x:c r="H68" s="29" t="str">
        <x:v>坦克</x:v>
      </x:c>
      <x:c r="I68" s="31" t="n">
        <x:f>IFERROR(VLOOKUP($A68,'02_怪物模板_好读版'!$A:$S,15,FALSE),0)+IFERROR(VLOOKUP($A68,'02_怪物模板_好读版'!$A:$S,16,FALSE),0)</x:f>
        <x:v>0</x:v>
      </x:c>
      <x:c r="J68" s="31" t="n">
        <x:f>IFERROR(VLOOKUP($A68,'02_怪物模板_好读版'!$A:$Z,8,FALSE),20)</x:f>
        <x:v>20</x:v>
      </x:c>
      <x:c r="K68" s="31" t="n">
        <x:f>IFERROR(VLOOKUP($A68,'02_怪物模板_好读版'!$A:$Z,9,FALSE),1)</x:f>
        <x:v>1</x:v>
      </x:c>
      <x:c r="L68" s="31" t="n">
        <x:f>IFERROR(VLOOKUP($A68,'02_怪物模板_好读版'!$A:$Z,10,FALSE),0)</x:f>
        <x:v>0</x:v>
      </x:c>
      <x:c r="M68" s="31" t="n">
        <x:f>IFERROR(VLOOKUP($A68,'02_怪物模板_好读版'!$A:$Z,11,FALSE),0)</x:f>
        <x:v>0</x:v>
      </x:c>
      <x:c r="N68" s="31" t="n">
        <x:f>IFERROR(VLOOKUP($A68,'02_怪物模板_好读版'!$A:$Z,12,FALSE),3)</x:f>
        <x:v>3</x:v>
      </x:c>
      <x:c r="O68" s="31" t="str">
        <x:f>IFERROR(VLOOKUP($A68,'02_怪物模板_好读版'!$A:$Z,13,FALSE),"mech_summon")</x:f>
        <x:v>mech_summon</x:v>
      </x:c>
      <x:c r="P68" s="29" t="str">
        <x:v>B1 横扫三格</x:v>
      </x:c>
      <x:c r="Q68" s="29" t="str">
        <x:v>扫击/3格</x:v>
      </x:c>
      <x:c r="R68" s="29" t="str">
        <x:v>阻挡</x:v>
      </x:c>
      <x:c r="S68" s="29" t="str">
        <x:v>castleReduce</x:v>
      </x:c>
      <x:c r="T68" s="29" t="str">
        <x:v>土、防御、前排、阻挡</x:v>
      </x:c>
      <x:c r="U68" s="29" t="str">
        <x:v>—</x:v>
      </x:c>
      <x:c r="V68" s="29" t="str">
        <x:v>旧定位=防御</x:v>
      </x:c>
    </x:row>
    <x:row r="69" ht="22" customHeight="1">
      <x:c r="A69" s="29" t="str">
        <x:v>pal_068</x:v>
      </x:c>
      <x:c r="B69" s="29" t="str">
        <x:v>No.066</x:v>
      </x:c>
      <x:c r="C69" s="29" t="str">
        <x:v>噬魂兽</x:v>
      </x:c>
      <x:c r="D69" s="29" t="str">
        <x:v>土</x:v>
      </x:c>
      <x:c r="E69" s="29" t="str">
        <x:v>暗</x:v>
      </x:c>
      <x:c r="F69" s="29" t="str">
        <x:v>白银</x:v>
      </x:c>
      <x:c r="G69" s="29" t="str">
        <x:v>中型</x:v>
      </x:c>
      <x:c r="H69" s="29" t="str">
        <x:v>坦克</x:v>
      </x:c>
      <x:c r="I69" s="31" t="n">
        <x:f>IFERROR(VLOOKUP($A69,'02_怪物模板_好读版'!$A:$S,15,FALSE),0)+IFERROR(VLOOKUP($A69,'02_怪物模板_好读版'!$A:$S,16,FALSE),0)</x:f>
        <x:v>0</x:v>
      </x:c>
      <x:c r="J69" s="31" t="n">
        <x:f>IFERROR(VLOOKUP($A69,'02_怪物模板_好读版'!$A:$Z,8,FALSE),25)</x:f>
        <x:v>25</x:v>
      </x:c>
      <x:c r="K69" s="31" t="n">
        <x:f>IFERROR(VLOOKUP($A69,'02_怪物模板_好读版'!$A:$Z,9,FALSE),3)</x:f>
        <x:v>3</x:v>
      </x:c>
      <x:c r="L69" s="31" t="n">
        <x:f>IFERROR(VLOOKUP($A69,'02_怪物模板_好读版'!$A:$Z,10,FALSE),0)</x:f>
        <x:v>0</x:v>
      </x:c>
      <x:c r="M69" s="31" t="n">
        <x:f>IFERROR(VLOOKUP($A69,'02_怪物模板_好读版'!$A:$Z,11,FALSE),0)</x:f>
        <x:v>0</x:v>
      </x:c>
      <x:c r="N69" s="31" t="n">
        <x:f>IFERROR(VLOOKUP($A69,'02_怪物模板_好读版'!$A:$Z,12,FALSE),2)</x:f>
        <x:v>2</x:v>
      </x:c>
      <x:c r="O69" s="31" t="str">
        <x:f>IFERROR(VLOOKUP($A69,'02_怪物模板_好读版'!$A:$Z,13,FALSE),"mech_break_castle")</x:f>
        <x:v>mech_break_castle</x:v>
      </x:c>
      <x:c r="P69" s="29" t="str">
        <x:v>B1 横扫三格</x:v>
      </x:c>
      <x:c r="Q69" s="29" t="str">
        <x:v>扫击/3格</x:v>
      </x:c>
      <x:c r="R69" s="29" t="str">
        <x:v>阻挡</x:v>
      </x:c>
      <x:c r="S69" s="29" t="str">
        <x:v>castleReduce</x:v>
      </x:c>
      <x:c r="T69" s="29" t="str">
        <x:v>土、防御、前排、阻挡</x:v>
      </x:c>
      <x:c r="U69" s="29" t="str">
        <x:v>—</x:v>
      </x:c>
      <x:c r="V69" s="29" t="str">
        <x:v>旧定位=防御</x:v>
      </x:c>
    </x:row>
    <x:row r="70" ht="22" customHeight="1">
      <x:c r="A70" s="29" t="str">
        <x:v>pal_069</x:v>
      </x:c>
      <x:c r="B70" s="29" t="str">
        <x:v>No.067</x:v>
      </x:c>
      <x:c r="C70" s="29" t="str">
        <x:v>碎岩龟</x:v>
      </x:c>
      <x:c r="D70" s="29" t="str">
        <x:v>土</x:v>
      </x:c>
      <x:c r="E70" s="29" t="str">
        <x:v>地</x:v>
      </x:c>
      <x:c r="F70" s="29" t="str">
        <x:v>白银</x:v>
      </x:c>
      <x:c r="G70" s="29" t="str">
        <x:v>中型</x:v>
      </x:c>
      <x:c r="H70" s="29" t="str">
        <x:v>坦克</x:v>
      </x:c>
      <x:c r="I70" s="31" t="n">
        <x:f>IFERROR(VLOOKUP($A70,'02_怪物模板_好读版'!$A:$S,15,FALSE),0)+IFERROR(VLOOKUP($A70,'02_怪物模板_好读版'!$A:$S,16,FALSE),0)</x:f>
        <x:v>0</x:v>
      </x:c>
      <x:c r="J70" s="31" t="n">
        <x:f>IFERROR(VLOOKUP($A70,'02_怪物模板_好读版'!$A:$Z,8,FALSE),25)</x:f>
        <x:v>25</x:v>
      </x:c>
      <x:c r="K70" s="31" t="n">
        <x:f>IFERROR(VLOOKUP($A70,'02_怪物模板_好读版'!$A:$Z,9,FALSE),18)</x:f>
        <x:v>18</x:v>
      </x:c>
      <x:c r="L70" s="31" t="n">
        <x:f>IFERROR(VLOOKUP($A70,'02_怪物模板_好读版'!$A:$Z,10,FALSE),0)</x:f>
        <x:v>0</x:v>
      </x:c>
      <x:c r="M70" s="31" t="n">
        <x:f>IFERROR(VLOOKUP($A70,'02_怪物模板_好读版'!$A:$Z,11,FALSE),10)</x:f>
        <x:v>10</x:v>
      </x:c>
      <x:c r="N70" s="31" t="n">
        <x:f>IFERROR(VLOOKUP($A70,'02_怪物模板_好读版'!$A:$Z,12,FALSE),3)</x:f>
        <x:v>3</x:v>
      </x:c>
      <x:c r="O70" s="31" t="str">
        <x:f>IFERROR(VLOOKUP($A70,'02_怪物模板_好读版'!$A:$Z,13,FALSE),"REVIEW")</x:f>
        <x:v>REVIEW</x:v>
      </x:c>
      <x:c r="P70" s="29" t="str">
        <x:v>B1 横扫三格</x:v>
      </x:c>
      <x:c r="Q70" s="29" t="str">
        <x:v>扫击/3格</x:v>
      </x:c>
      <x:c r="R70" s="29" t="str">
        <x:v>阻挡</x:v>
      </x:c>
      <x:c r="S70" s="29" t="str">
        <x:v>castleReduce</x:v>
      </x:c>
      <x:c r="T70" s="29" t="str">
        <x:v>土、防御、前排、阻挡</x:v>
      </x:c>
      <x:c r="U70" s="29" t="str">
        <x:v>—</x:v>
      </x:c>
      <x:c r="V70" s="29" t="str">
        <x:v>旧定位=防御</x:v>
      </x:c>
    </x:row>
    <x:row r="71" ht="22" customHeight="1">
      <x:c r="A71" s="29" t="str">
        <x:v>pal_070</x:v>
      </x:c>
      <x:c r="B71" s="29" t="str">
        <x:v>No.068</x:v>
      </x:c>
      <x:c r="C71" s="29" t="str">
        <x:v>猫蝠怪</x:v>
      </x:c>
      <x:c r="D71" s="29" t="str">
        <x:v>土</x:v>
      </x:c>
      <x:c r="E71" s="29" t="str">
        <x:v>暗</x:v>
      </x:c>
      <x:c r="F71" s="29" t="str">
        <x:v>白银</x:v>
      </x:c>
      <x:c r="G71" s="29" t="str">
        <x:v>中型</x:v>
      </x:c>
      <x:c r="H71" s="29" t="str">
        <x:v>坦克</x:v>
      </x:c>
      <x:c r="I71" s="31" t="n">
        <x:f>IFERROR(VLOOKUP($A71,'02_怪物模板_好读版'!$A:$S,15,FALSE),0)+IFERROR(VLOOKUP($A71,'02_怪物模板_好读版'!$A:$S,16,FALSE),0)</x:f>
        <x:v>0</x:v>
      </x:c>
      <x:c r="J71" s="31" t="n">
        <x:f>IFERROR(VLOOKUP($A71,'02_怪物模板_好读版'!$A:$Z,8,FALSE),25)</x:f>
        <x:v>25</x:v>
      </x:c>
      <x:c r="K71" s="31" t="n">
        <x:f>IFERROR(VLOOKUP($A71,'02_怪物模板_好读版'!$A:$Z,9,FALSE),18)</x:f>
        <x:v>18</x:v>
      </x:c>
      <x:c r="L71" s="31" t="n">
        <x:f>IFERROR(VLOOKUP($A71,'02_怪物模板_好读版'!$A:$Z,10,FALSE),0)</x:f>
        <x:v>0</x:v>
      </x:c>
      <x:c r="M71" s="31" t="n">
        <x:f>IFERROR(VLOOKUP($A71,'02_怪物模板_好读版'!$A:$Z,11,FALSE),10)</x:f>
        <x:v>10</x:v>
      </x:c>
      <x:c r="N71" s="31" t="n">
        <x:f>IFERROR(VLOOKUP($A71,'02_怪物模板_好读版'!$A:$Z,12,FALSE),3)</x:f>
        <x:v>3</x:v>
      </x:c>
      <x:c r="O71" s="31" t="str">
        <x:f>IFERROR(VLOOKUP($A71,'02_怪物模板_好读版'!$A:$Z,13,FALSE),"REVIEW")</x:f>
        <x:v>REVIEW</x:v>
      </x:c>
      <x:c r="P71" s="29" t="str">
        <x:v>B1 横扫三格</x:v>
      </x:c>
      <x:c r="Q71" s="29" t="str">
        <x:v>扫击/3格</x:v>
      </x:c>
      <x:c r="R71" s="29" t="str">
        <x:v>阻挡</x:v>
      </x:c>
      <x:c r="S71" s="29" t="str">
        <x:v>castleReduce</x:v>
      </x:c>
      <x:c r="T71" s="29" t="str">
        <x:v>土、防御、前排、阻挡</x:v>
      </x:c>
      <x:c r="U71" s="29" t="str">
        <x:v>—</x:v>
      </x:c>
      <x:c r="V71" s="29" t="str">
        <x:v>旧定位=防御</x:v>
      </x:c>
    </x:row>
    <x:row r="72" ht="22" customHeight="1">
      <x:c r="A72" s="29" t="str">
        <x:v>pal_071</x:v>
      </x:c>
      <x:c r="B72" s="29" t="str">
        <x:v>No.069</x:v>
      </x:c>
      <x:c r="C72" s="29" t="str">
        <x:v>博爱蜥</x:v>
      </x:c>
      <x:c r="D72" s="29" t="str">
        <x:v>风</x:v>
      </x:c>
      <x:c r="E72" s="29" t="str"/>
      <x:c r="F72" s="29" t="str">
        <x:v>白银</x:v>
      </x:c>
      <x:c r="G72" s="29" t="str">
        <x:v>小型</x:v>
      </x:c>
      <x:c r="H72" s="29" t="str">
        <x:v>治疗</x:v>
      </x:c>
      <x:c r="I72" s="31" t="n">
        <x:f>IFERROR(VLOOKUP($A72,'02_怪物模板_好读版'!$A:$S,15,FALSE),0)+IFERROR(VLOOKUP($A72,'02_怪物模板_好读版'!$A:$S,16,FALSE),0)</x:f>
        <x:v>0</x:v>
      </x:c>
      <x:c r="J72" s="31" t="n">
        <x:f>IFERROR(VLOOKUP($A72,'02_怪物模板_好读版'!$A:$Z,8,FALSE),25)</x:f>
        <x:v>25</x:v>
      </x:c>
      <x:c r="K72" s="31" t="n">
        <x:f>IFERROR(VLOOKUP($A72,'02_怪物模板_好读版'!$A:$Z,9,FALSE),12)</x:f>
        <x:v>12</x:v>
      </x:c>
      <x:c r="L72" s="31" t="n">
        <x:f>IFERROR(VLOOKUP($A72,'02_怪物模板_好读版'!$A:$Z,10,FALSE),0)</x:f>
        <x:v>0</x:v>
      </x:c>
      <x:c r="M72" s="31" t="n">
        <x:f>IFERROR(VLOOKUP($A72,'02_怪物模板_好读版'!$A:$Z,11,FALSE),0)</x:f>
        <x:v>0</x:v>
      </x:c>
      <x:c r="N72" s="31" t="n">
        <x:f>IFERROR(VLOOKUP($A72,'02_怪物模板_好读版'!$A:$Z,12,FALSE),3)</x:f>
        <x:v>3</x:v>
      </x:c>
      <x:c r="O72" s="31" t="str">
        <x:f>IFERROR(VLOOKUP($A72,'02_怪物模板_好读版'!$A:$Z,13,FALSE),"REVIEW")</x:f>
        <x:v>REVIEW</x:v>
      </x:c>
      <x:c r="P72" s="29" t="str">
        <x:v>T1 标准前置T</x:v>
      </x:c>
      <x:c r="Q72" s="29" t="str">
        <x:v>T形/4格</x:v>
      </x:c>
      <x:c r="R72" s="29" t="str">
        <x:v>场地</x:v>
      </x:c>
      <x:c r="S72" s="29" t="str">
        <x:v>healAmpBonus</x:v>
      </x:c>
      <x:c r="T72" s="29" t="str">
        <x:v>风、治疗、后排、增益</x:v>
      </x:c>
      <x:c r="U72" s="29" t="str">
        <x:v>—</x:v>
      </x:c>
      <x:c r="V72" s="29" t="str">
        <x:v>治疗补预算</x:v>
      </x:c>
    </x:row>
    <x:row r="73" ht="22" customHeight="1">
      <x:c r="A73" s="29" t="str">
        <x:v>pal_072</x:v>
      </x:c>
      <x:c r="B73" s="29" t="str">
        <x:v>No.070</x:v>
      </x:c>
      <x:c r="C73" s="29" t="str">
        <x:v>融焰娘</x:v>
      </x:c>
      <x:c r="D73" s="29" t="str">
        <x:v>火</x:v>
      </x:c>
      <x:c r="E73" s="29" t="str"/>
      <x:c r="F73" s="29" t="str">
        <x:v>白银</x:v>
      </x:c>
      <x:c r="G73" s="29" t="str">
        <x:v>小型</x:v>
      </x:c>
      <x:c r="H73" s="29" t="str">
        <x:v>召唤</x:v>
      </x:c>
      <x:c r="I73" s="31" t="n">
        <x:f>IFERROR(VLOOKUP($A73,'02_怪物模板_好读版'!$A:$S,15,FALSE),0)+IFERROR(VLOOKUP($A73,'02_怪物模板_好读版'!$A:$S,16,FALSE),0)</x:f>
        <x:v>0</x:v>
      </x:c>
      <x:c r="J73" s="31" t="n">
        <x:f>IFERROR(VLOOKUP($A73,'02_怪物模板_好读版'!$A:$Z,8,FALSE),20)</x:f>
        <x:v>20</x:v>
      </x:c>
      <x:c r="K73" s="31" t="n">
        <x:f>IFERROR(VLOOKUP($A73,'02_怪物模板_好读版'!$A:$Z,9,FALSE),2)</x:f>
        <x:v>2</x:v>
      </x:c>
      <x:c r="L73" s="31" t="n">
        <x:f>IFERROR(VLOOKUP($A73,'02_怪物模板_好读版'!$A:$Z,10,FALSE),0)</x:f>
        <x:v>0</x:v>
      </x:c>
      <x:c r="M73" s="31" t="n">
        <x:f>IFERROR(VLOOKUP($A73,'02_怪物模板_好读版'!$A:$Z,11,FALSE),0)</x:f>
        <x:v>0</x:v>
      </x:c>
      <x:c r="N73" s="31" t="n">
        <x:f>IFERROR(VLOOKUP($A73,'02_怪物模板_好读版'!$A:$Z,12,FALSE),3)</x:f>
        <x:v>3</x:v>
      </x:c>
      <x:c r="O73" s="31" t="str">
        <x:f>IFERROR(VLOOKUP($A73,'02_怪物模板_好读版'!$A:$Z,13,FALSE),"mech_aura")</x:f>
        <x:v>mech_aura</x:v>
      </x:c>
      <x:c r="P73" s="29" t="str">
        <x:v>A1 单点刺</x:v>
      </x:c>
      <x:c r="Q73" s="29" t="str">
        <x:v>直线/1格</x:v>
      </x:c>
      <x:c r="R73" s="29" t="str">
        <x:v>召唤</x:v>
      </x:c>
      <x:c r="S73" s="29" t="str">
        <x:v>summonFromCell</x:v>
      </x:c>
      <x:c r="T73" s="29" t="str">
        <x:v>火、召唤、成长、核心</x:v>
      </x:c>
      <x:c r="U73" s="29" t="str">
        <x:v>是</x:v>
      </x:c>
      <x:c r="V73" s="29" t="str">
        <x:v>召唤补预算</x:v>
      </x:c>
    </x:row>
    <x:row r="74" ht="22" customHeight="1">
      <x:c r="A74" s="29" t="str">
        <x:v>pal_073</x:v>
      </x:c>
      <x:c r="B74" s="29" t="str">
        <x:v>No.071</x:v>
      </x:c>
      <x:c r="C74" s="29" t="str">
        <x:v>烽歌龙</x:v>
      </x:c>
      <x:c r="D74" s="29" t="str">
        <x:v>火</x:v>
      </x:c>
      <x:c r="E74" s="29" t="str">
        <x:v>火、暗</x:v>
      </x:c>
      <x:c r="F74" s="29" t="str">
        <x:v>白银</x:v>
      </x:c>
      <x:c r="G74" s="29" t="str">
        <x:v>中型</x:v>
      </x:c>
      <x:c r="H74" s="29" t="str">
        <x:v>机动</x:v>
      </x:c>
      <x:c r="I74" s="31" t="n">
        <x:f>IFERROR(VLOOKUP($A74,'02_怪物模板_好读版'!$A:$S,15,FALSE),0)+IFERROR(VLOOKUP($A74,'02_怪物模板_好读版'!$A:$S,16,FALSE),0)</x:f>
        <x:v>0</x:v>
      </x:c>
      <x:c r="J74" s="31" t="n">
        <x:f>IFERROR(VLOOKUP($A74,'02_怪物模板_好读版'!$A:$Z,8,FALSE),30)</x:f>
        <x:v>30</x:v>
      </x:c>
      <x:c r="K74" s="31" t="n">
        <x:f>IFERROR(VLOOKUP($A74,'02_怪物模板_好读版'!$A:$Z,9,FALSE),4)</x:f>
        <x:v>4</x:v>
      </x:c>
      <x:c r="L74" s="31" t="n">
        <x:f>IFERROR(VLOOKUP($A74,'02_怪物模板_好读版'!$A:$Z,10,FALSE),0)</x:f>
        <x:v>0</x:v>
      </x:c>
      <x:c r="M74" s="31" t="n">
        <x:f>IFERROR(VLOOKUP($A74,'02_怪物模板_好读版'!$A:$Z,11,FALSE),0)</x:f>
        <x:v>0</x:v>
      </x:c>
      <x:c r="N74" s="31" t="n">
        <x:f>IFERROR(VLOOKUP($A74,'02_怪物模板_好读版'!$A:$Z,12,FALSE),3)</x:f>
        <x:v>3</x:v>
      </x:c>
      <x:c r="O74" s="31" t="str">
        <x:f>IFERROR(VLOOKUP($A74,'02_怪物模板_好读版'!$A:$Z,13,FALSE),"mech_break_castle,mech_multi_hit")</x:f>
        <x:v>mech_break_castle,mech_multi_hit</x:v>
      </x:c>
      <x:c r="P74" s="29" t="str">
        <x:v>T2 长柄T</x:v>
      </x:c>
      <x:c r="Q74" s="29" t="str">
        <x:v>T形/5格</x:v>
      </x:c>
      <x:c r="R74" s="29" t="str">
        <x:v>牵制</x:v>
      </x:c>
      <x:c r="S74" s="29" t="str">
        <x:v>advHitBonus</x:v>
      </x:c>
      <x:c r="T74" s="29" t="str">
        <x:v>火、机动、灵活、泛用</x:v>
      </x:c>
      <x:c r="U74" s="29" t="str">
        <x:v>—</x:v>
      </x:c>
      <x:c r="V74" s="29" t="str"/>
    </x:row>
    <x:row r="75" ht="22" customHeight="1">
      <x:c r="A75" s="29" t="str">
        <x:v>pal_074</x:v>
      </x:c>
      <x:c r="B75" s="29" t="str">
        <x:v>No.071B</x:v>
      </x:c>
      <x:c r="C75" s="29" t="str">
        <x:v>霜歌龙</x:v>
      </x:c>
      <x:c r="D75" s="29" t="str">
        <x:v>水</x:v>
      </x:c>
      <x:c r="E75" s="29" t="str">
        <x:v>冰、暗</x:v>
      </x:c>
      <x:c r="F75" s="29" t="str">
        <x:v>白银</x:v>
      </x:c>
      <x:c r="G75" s="29" t="str">
        <x:v>中型</x:v>
      </x:c>
      <x:c r="H75" s="29" t="str">
        <x:v>控制</x:v>
      </x:c>
      <x:c r="I75" s="31" t="n">
        <x:f>IFERROR(VLOOKUP($A75,'02_怪物模板_好读版'!$A:$S,15,FALSE),0)+IFERROR(VLOOKUP($A75,'02_怪物模板_好读版'!$A:$S,16,FALSE),0)</x:f>
        <x:v>0</x:v>
      </x:c>
      <x:c r="J75" s="31" t="n">
        <x:f>IFERROR(VLOOKUP($A75,'02_怪物模板_好读版'!$A:$Z,8,FALSE),35)</x:f>
        <x:v>35</x:v>
      </x:c>
      <x:c r="K75" s="31" t="n">
        <x:f>IFERROR(VLOOKUP($A75,'02_怪物模板_好读版'!$A:$Z,9,FALSE),27)</x:f>
        <x:v>27</x:v>
      </x:c>
      <x:c r="L75" s="31" t="n">
        <x:f>IFERROR(VLOOKUP($A75,'02_怪物模板_好读版'!$A:$Z,10,FALSE),0)</x:f>
        <x:v>0</x:v>
      </x:c>
      <x:c r="M75" s="31" t="n">
        <x:f>IFERROR(VLOOKUP($A75,'02_怪物模板_好读版'!$A:$Z,11,FALSE),0)</x:f>
        <x:v>0</x:v>
      </x:c>
      <x:c r="N75" s="31" t="n">
        <x:f>IFERROR(VLOOKUP($A75,'02_怪物模板_好读版'!$A:$Z,12,FALSE),4)</x:f>
        <x:v>4</x:v>
      </x:c>
      <x:c r="O75" s="31" t="str">
        <x:f>IFERROR(VLOOKUP($A75,'02_怪物模板_好读版'!$A:$Z,13,FALSE),"REVIEW")</x:f>
        <x:v>REVIEW</x:v>
      </x:c>
      <x:c r="P75" s="29" t="str">
        <x:v>T1 标准前置T</x:v>
      </x:c>
      <x:c r="Q75" s="29" t="str">
        <x:v>T形/4格</x:v>
      </x:c>
      <x:c r="R75" s="29" t="str">
        <x:v>牵制</x:v>
      </x:c>
      <x:c r="S75" s="29" t="str">
        <x:v>healAmpBonus</x:v>
      </x:c>
      <x:c r="T75" s="29" t="str">
        <x:v>水、牵制、范围、机动</x:v>
      </x:c>
      <x:c r="U75" s="29" t="str">
        <x:v>—</x:v>
      </x:c>
      <x:c r="V75" s="29" t="str">
        <x:v>旧定位=牵制；控制补预算</x:v>
      </x:c>
    </x:row>
    <x:row r="76" ht="22" customHeight="1">
      <x:c r="A76" s="29" t="str">
        <x:v>pal_075</x:v>
      </x:c>
      <x:c r="B76" s="29" t="str">
        <x:v>No.072</x:v>
      </x:c>
      <x:c r="C76" s="29" t="str">
        <x:v>浪刃武士</x:v>
      </x:c>
      <x:c r="D76" s="29" t="str">
        <x:v>火</x:v>
      </x:c>
      <x:c r="E76" s="29" t="str"/>
      <x:c r="F76" s="29" t="str">
        <x:v>白银</x:v>
      </x:c>
      <x:c r="G76" s="29" t="str">
        <x:v>小型</x:v>
      </x:c>
      <x:c r="H76" s="29" t="str">
        <x:v>输出</x:v>
      </x:c>
      <x:c r="I76" s="31" t="n">
        <x:f>IFERROR(VLOOKUP($A76,'02_怪物模板_好读版'!$A:$S,15,FALSE),0)+IFERROR(VLOOKUP($A76,'02_怪物模板_好读版'!$A:$S,16,FALSE),0)</x:f>
        <x:v>0</x:v>
      </x:c>
      <x:c r="J76" s="31" t="n">
        <x:f>IFERROR(VLOOKUP($A76,'02_怪物模板_好读版'!$A:$Z,8,FALSE),30)</x:f>
        <x:v>30</x:v>
      </x:c>
      <x:c r="K76" s="31" t="n">
        <x:f>IFERROR(VLOOKUP($A76,'02_怪物模板_好读版'!$A:$Z,9,FALSE),13)</x:f>
        <x:v>13</x:v>
      </x:c>
      <x:c r="L76" s="31" t="n">
        <x:f>IFERROR(VLOOKUP($A76,'02_怪物模板_好读版'!$A:$Z,10,FALSE),0)</x:f>
        <x:v>0</x:v>
      </x:c>
      <x:c r="M76" s="31" t="n">
        <x:f>IFERROR(VLOOKUP($A76,'02_怪物模板_好读版'!$A:$Z,11,FALSE),0)</x:f>
        <x:v>0</x:v>
      </x:c>
      <x:c r="N76" s="31" t="n">
        <x:f>IFERROR(VLOOKUP($A76,'02_怪物模板_好读版'!$A:$Z,12,FALSE),3)</x:f>
        <x:v>3</x:v>
      </x:c>
      <x:c r="O76" s="31" t="str">
        <x:f>IFERROR(VLOOKUP($A76,'02_怪物模板_好读版'!$A:$Z,13,FALSE),"REVIEW")</x:f>
        <x:v>REVIEW</x:v>
      </x:c>
      <x:c r="P76" s="29" t="str">
        <x:v>B1 横扫三格</x:v>
      </x:c>
      <x:c r="Q76" s="29" t="str">
        <x:v>扫击/3格</x:v>
      </x:c>
      <x:c r="R76" s="29" t="str">
        <x:v>输出</x:v>
      </x:c>
      <x:c r="S76" s="29" t="str">
        <x:v>castleReduce</x:v>
      </x:c>
      <x:c r="T76" s="29" t="str">
        <x:v>火、输出、爆发、前排</x:v>
      </x:c>
      <x:c r="U76" s="29" t="str">
        <x:v>—</x:v>
      </x:c>
      <x:c r="V76" s="29" t="str"/>
    </x:row>
    <x:row r="77" ht="22" customHeight="1">
      <x:c r="A77" s="29" t="str">
        <x:v>pal_076</x:v>
      </x:c>
      <x:c r="B77" s="29" t="str">
        <x:v>No.073</x:v>
      </x:c>
      <x:c r="C77" s="29" t="str">
        <x:v>迅雷鸟</x:v>
      </x:c>
      <x:c r="D77" s="29" t="str">
        <x:v>风</x:v>
      </x:c>
      <x:c r="E77" s="29" t="str">
        <x:v>雷</x:v>
      </x:c>
      <x:c r="F77" s="29" t="str">
        <x:v>白银</x:v>
      </x:c>
      <x:c r="G77" s="29" t="str">
        <x:v>大型</x:v>
      </x:c>
      <x:c r="H77" s="29" t="str">
        <x:v>控制</x:v>
      </x:c>
      <x:c r="I77" s="31" t="n">
        <x:f>IFERROR(VLOOKUP($A77,'02_怪物模板_好读版'!$A:$S,15,FALSE),0)+IFERROR(VLOOKUP($A77,'02_怪物模板_好读版'!$A:$S,16,FALSE),0)</x:f>
        <x:v>0</x:v>
      </x:c>
      <x:c r="J77" s="31" t="n">
        <x:f>IFERROR(VLOOKUP($A77,'02_怪物模板_好读版'!$A:$Z,8,FALSE),70)</x:f>
        <x:v>70</x:v>
      </x:c>
      <x:c r="K77" s="31" t="n">
        <x:f>IFERROR(VLOOKUP($A77,'02_怪物模板_好读版'!$A:$Z,9,FALSE),49)</x:f>
        <x:v>49</x:v>
      </x:c>
      <x:c r="L77" s="31" t="n">
        <x:f>IFERROR(VLOOKUP($A77,'02_怪物模板_好读版'!$A:$Z,10,FALSE),0)</x:f>
        <x:v>0</x:v>
      </x:c>
      <x:c r="M77" s="31" t="n">
        <x:f>IFERROR(VLOOKUP($A77,'02_怪物模板_好读版'!$A:$Z,11,FALSE),0)</x:f>
        <x:v>0</x:v>
      </x:c>
      <x:c r="N77" s="31" t="n">
        <x:f>IFERROR(VLOOKUP($A77,'02_怪物模板_好读版'!$A:$Z,12,FALSE),3)</x:f>
        <x:v>3</x:v>
      </x:c>
      <x:c r="O77" s="31" t="str">
        <x:f>IFERROR(VLOOKUP($A77,'02_怪物模板_好读版'!$A:$Z,13,FALSE),"REVIEW")</x:f>
        <x:v>REVIEW</x:v>
      </x:c>
      <x:c r="P77" s="29" t="str">
        <x:v>T2 长柄T</x:v>
      </x:c>
      <x:c r="Q77" s="29" t="str">
        <x:v>T形/5格</x:v>
      </x:c>
      <x:c r="R77" s="29" t="str">
        <x:v>牵制</x:v>
      </x:c>
      <x:c r="S77" s="29" t="str">
        <x:v>advHitBonus</x:v>
      </x:c>
      <x:c r="T77" s="29" t="str">
        <x:v>风、牵制、范围、机动</x:v>
      </x:c>
      <x:c r="U77" s="29" t="str">
        <x:v>—</x:v>
      </x:c>
      <x:c r="V77" s="29" t="str">
        <x:v>旧定位=牵制；控制补预算</x:v>
      </x:c>
    </x:row>
    <x:row r="78" ht="22" customHeight="1">
      <x:c r="A78" s="29" t="str">
        <x:v>pal_077</x:v>
      </x:c>
      <x:c r="B78" s="29" t="str">
        <x:v>No.074</x:v>
      </x:c>
      <x:c r="C78" s="29" t="str">
        <x:v>燧火鸟</x:v>
      </x:c>
      <x:c r="D78" s="29" t="str">
        <x:v>火</x:v>
      </x:c>
      <x:c r="E78" s="29" t="str"/>
      <x:c r="F78" s="29" t="str">
        <x:v>白银</x:v>
      </x:c>
      <x:c r="G78" s="29" t="str">
        <x:v>中型</x:v>
      </x:c>
      <x:c r="H78" s="29" t="str">
        <x:v>机动</x:v>
      </x:c>
      <x:c r="I78" s="31" t="n">
        <x:f>IFERROR(VLOOKUP($A78,'02_怪物模板_好读版'!$A:$S,15,FALSE),0)+IFERROR(VLOOKUP($A78,'02_怪物模板_好读版'!$A:$S,16,FALSE),0)</x:f>
        <x:v>0</x:v>
      </x:c>
      <x:c r="J78" s="31" t="n">
        <x:f>IFERROR(VLOOKUP($A78,'02_怪物模板_好读版'!$A:$Z,8,FALSE),35)</x:f>
        <x:v>35</x:v>
      </x:c>
      <x:c r="K78" s="31" t="n">
        <x:f>IFERROR(VLOOKUP($A78,'02_怪物模板_好读版'!$A:$Z,9,FALSE),27)</x:f>
        <x:v>27</x:v>
      </x:c>
      <x:c r="L78" s="31" t="n">
        <x:f>IFERROR(VLOOKUP($A78,'02_怪物模板_好读版'!$A:$Z,10,FALSE),0)</x:f>
        <x:v>0</x:v>
      </x:c>
      <x:c r="M78" s="31" t="n">
        <x:f>IFERROR(VLOOKUP($A78,'02_怪物模板_好读版'!$A:$Z,11,FALSE),0)</x:f>
        <x:v>0</x:v>
      </x:c>
      <x:c r="N78" s="31" t="n">
        <x:f>IFERROR(VLOOKUP($A78,'02_怪物模板_好读版'!$A:$Z,12,FALSE),4)</x:f>
        <x:v>4</x:v>
      </x:c>
      <x:c r="O78" s="31" t="str">
        <x:f>IFERROR(VLOOKUP($A78,'02_怪物模板_好读版'!$A:$Z,13,FALSE),"REVIEW")</x:f>
        <x:v>REVIEW</x:v>
      </x:c>
      <x:c r="P78" s="29" t="str">
        <x:v>T2 长柄T</x:v>
      </x:c>
      <x:c r="Q78" s="29" t="str">
        <x:v>T形/5格</x:v>
      </x:c>
      <x:c r="R78" s="29" t="str">
        <x:v>牵制</x:v>
      </x:c>
      <x:c r="S78" s="29" t="str">
        <x:v>advHitBonus</x:v>
      </x:c>
      <x:c r="T78" s="29" t="str">
        <x:v>火、机动、灵活、泛用</x:v>
      </x:c>
      <x:c r="U78" s="29" t="str">
        <x:v>—</x:v>
      </x:c>
      <x:c r="V78" s="29" t="str"/>
    </x:row>
    <x:row r="79" ht="22" customHeight="1">
      <x:c r="A79" s="29" t="str">
        <x:v>pal_078</x:v>
      </x:c>
      <x:c r="B79" s="29" t="str">
        <x:v>No.075</x:v>
      </x:c>
      <x:c r="C79" s="29" t="str">
        <x:v>暗巫猫</x:v>
      </x:c>
      <x:c r="D79" s="29" t="str">
        <x:v>土</x:v>
      </x:c>
      <x:c r="E79" s="29" t="str">
        <x:v>暗</x:v>
      </x:c>
      <x:c r="F79" s="29" t="str">
        <x:v>白银</x:v>
      </x:c>
      <x:c r="G79" s="29" t="str">
        <x:v>小型</x:v>
      </x:c>
      <x:c r="H79" s="29" t="str">
        <x:v>治疗</x:v>
      </x:c>
      <x:c r="I79" s="31" t="n">
        <x:f>IFERROR(VLOOKUP($A79,'02_怪物模板_好读版'!$A:$S,15,FALSE),0)+IFERROR(VLOOKUP($A79,'02_怪物模板_好读版'!$A:$S,16,FALSE),0)</x:f>
        <x:v>0</x:v>
      </x:c>
      <x:c r="J79" s="31" t="n">
        <x:f>IFERROR(VLOOKUP($A79,'02_怪物模板_好读版'!$A:$Z,8,FALSE),25)</x:f>
        <x:v>25</x:v>
      </x:c>
      <x:c r="K79" s="31" t="n">
        <x:f>IFERROR(VLOOKUP($A79,'02_怪物模板_好读版'!$A:$Z,9,FALSE),12)</x:f>
        <x:v>12</x:v>
      </x:c>
      <x:c r="L79" s="31" t="n">
        <x:f>IFERROR(VLOOKUP($A79,'02_怪物模板_好读版'!$A:$Z,10,FALSE),0)</x:f>
        <x:v>0</x:v>
      </x:c>
      <x:c r="M79" s="31" t="n">
        <x:f>IFERROR(VLOOKUP($A79,'02_怪物模板_好读版'!$A:$Z,11,FALSE),0)</x:f>
        <x:v>0</x:v>
      </x:c>
      <x:c r="N79" s="31" t="n">
        <x:f>IFERROR(VLOOKUP($A79,'02_怪物模板_好读版'!$A:$Z,12,FALSE),3)</x:f>
        <x:v>3</x:v>
      </x:c>
      <x:c r="O79" s="31" t="str">
        <x:f>IFERROR(VLOOKUP($A79,'02_怪物模板_好读版'!$A:$Z,13,FALSE),"REVIEW")</x:f>
        <x:v>REVIEW</x:v>
      </x:c>
      <x:c r="P79" s="29" t="str">
        <x:v>T1 标准前置T</x:v>
      </x:c>
      <x:c r="Q79" s="29" t="str">
        <x:v>T形/4格</x:v>
      </x:c>
      <x:c r="R79" s="29" t="str">
        <x:v>场地</x:v>
      </x:c>
      <x:c r="S79" s="29" t="str">
        <x:v>healAmpBonus</x:v>
      </x:c>
      <x:c r="T79" s="29" t="str">
        <x:v>土、治疗、后排、增益</x:v>
      </x:c>
      <x:c r="U79" s="29" t="str">
        <x:v>—</x:v>
      </x:c>
      <x:c r="V79" s="29" t="str">
        <x:v>治疗补预算</x:v>
      </x:c>
    </x:row>
    <x:row r="80" ht="22" customHeight="1">
      <x:c r="A80" s="29" t="str">
        <x:v>pal_079</x:v>
      </x:c>
      <x:c r="B80" s="29" t="str">
        <x:v>No.076</x:v>
      </x:c>
      <x:c r="C80" s="29" t="str">
        <x:v>焰巫狐</x:v>
      </x:c>
      <x:c r="D80" s="29" t="str">
        <x:v>火</x:v>
      </x:c>
      <x:c r="E80" s="29" t="str"/>
      <x:c r="F80" s="29" t="str">
        <x:v>白银</x:v>
      </x:c>
      <x:c r="G80" s="29" t="str">
        <x:v>中型</x:v>
      </x:c>
      <x:c r="H80" s="29" t="str">
        <x:v>输出</x:v>
      </x:c>
      <x:c r="I80" s="31" t="n">
        <x:f>IFERROR(VLOOKUP($A80,'02_怪物模板_好读版'!$A:$S,15,FALSE),0)+IFERROR(VLOOKUP($A80,'02_怪物模板_好读版'!$A:$S,16,FALSE),0)</x:f>
        <x:v>0</x:v>
      </x:c>
      <x:c r="J80" s="31" t="n">
        <x:f>IFERROR(VLOOKUP($A80,'02_怪物模板_好读版'!$A:$Z,8,FALSE),35)</x:f>
        <x:v>35</x:v>
      </x:c>
      <x:c r="K80" s="31" t="n">
        <x:f>IFERROR(VLOOKUP($A80,'02_怪物模板_好读版'!$A:$Z,9,FALSE),3)</x:f>
        <x:v>3</x:v>
      </x:c>
      <x:c r="L80" s="31" t="n">
        <x:f>IFERROR(VLOOKUP($A80,'02_怪物模板_好读版'!$A:$Z,10,FALSE),0)</x:f>
        <x:v>0</x:v>
      </x:c>
      <x:c r="M80" s="31" t="n">
        <x:f>IFERROR(VLOOKUP($A80,'02_怪物模板_好读版'!$A:$Z,11,FALSE),0)</x:f>
        <x:v>0</x:v>
      </x:c>
      <x:c r="N80" s="31" t="n">
        <x:f>IFERROR(VLOOKUP($A80,'02_怪物模板_好读版'!$A:$Z,12,FALSE),3)</x:f>
        <x:v>3</x:v>
      </x:c>
      <x:c r="O80" s="31" t="str">
        <x:f>IFERROR(VLOOKUP($A80,'02_怪物模板_好读版'!$A:$Z,13,FALSE),"mech_grow_attack")</x:f>
        <x:v>mech_grow_attack</x:v>
      </x:c>
      <x:c r="P80" s="29" t="str">
        <x:v>B1 横扫三格</x:v>
      </x:c>
      <x:c r="Q80" s="29" t="str">
        <x:v>扫击/3格</x:v>
      </x:c>
      <x:c r="R80" s="29" t="str">
        <x:v>输出</x:v>
      </x:c>
      <x:c r="S80" s="29" t="str">
        <x:v>castleReduce</x:v>
      </x:c>
      <x:c r="T80" s="29" t="str">
        <x:v>火、输出、爆发、前排</x:v>
      </x:c>
      <x:c r="U80" s="29" t="str">
        <x:v>—</x:v>
      </x:c>
      <x:c r="V80" s="29" t="str"/>
    </x:row>
    <x:row r="81" ht="22" customHeight="1">
      <x:c r="A81" s="29" t="str">
        <x:v>pal_080</x:v>
      </x:c>
      <x:c r="B81" s="29" t="str">
        <x:v>No.077</x:v>
      </x:c>
      <x:c r="C81" s="29" t="str">
        <x:v>踏春兔</x:v>
      </x:c>
      <x:c r="D81" s="29" t="str">
        <x:v>风</x:v>
      </x:c>
      <x:c r="E81" s="29" t="str">
        <x:v>草</x:v>
      </x:c>
      <x:c r="F81" s="29" t="str">
        <x:v>白银</x:v>
      </x:c>
      <x:c r="G81" s="29" t="str">
        <x:v>小型</x:v>
      </x:c>
      <x:c r="H81" s="29" t="str">
        <x:v>治疗</x:v>
      </x:c>
      <x:c r="I81" s="31" t="n">
        <x:f>IFERROR(VLOOKUP($A81,'02_怪物模板_好读版'!$A:$S,15,FALSE),0)+IFERROR(VLOOKUP($A81,'02_怪物模板_好读版'!$A:$S,16,FALSE),0)</x:f>
        <x:v>0</x:v>
      </x:c>
      <x:c r="J81" s="31" t="n">
        <x:f>IFERROR(VLOOKUP($A81,'02_怪物模板_好读版'!$A:$Z,8,FALSE),25)</x:f>
        <x:v>25</x:v>
      </x:c>
      <x:c r="K81" s="31" t="n">
        <x:f>IFERROR(VLOOKUP($A81,'02_怪物模板_好读版'!$A:$Z,9,FALSE),12)</x:f>
        <x:v>12</x:v>
      </x:c>
      <x:c r="L81" s="31" t="n">
        <x:f>IFERROR(VLOOKUP($A81,'02_怪物模板_好读版'!$A:$Z,10,FALSE),0)</x:f>
        <x:v>0</x:v>
      </x:c>
      <x:c r="M81" s="31" t="n">
        <x:f>IFERROR(VLOOKUP($A81,'02_怪物模板_好读版'!$A:$Z,11,FALSE),0)</x:f>
        <x:v>0</x:v>
      </x:c>
      <x:c r="N81" s="31" t="n">
        <x:f>IFERROR(VLOOKUP($A81,'02_怪物模板_好读版'!$A:$Z,12,FALSE),3)</x:f>
        <x:v>3</x:v>
      </x:c>
      <x:c r="O81" s="31" t="str">
        <x:f>IFERROR(VLOOKUP($A81,'02_怪物模板_好读版'!$A:$Z,13,FALSE),"REVIEW")</x:f>
        <x:v>REVIEW</x:v>
      </x:c>
      <x:c r="P81" s="29" t="str">
        <x:v>T1 标准前置T</x:v>
      </x:c>
      <x:c r="Q81" s="29" t="str">
        <x:v>T形/4格</x:v>
      </x:c>
      <x:c r="R81" s="29" t="str">
        <x:v>场地</x:v>
      </x:c>
      <x:c r="S81" s="29" t="str">
        <x:v>healAmpBonus</x:v>
      </x:c>
      <x:c r="T81" s="29" t="str">
        <x:v>风、治疗、后排、增益</x:v>
      </x:c>
      <x:c r="U81" s="29" t="str">
        <x:v>—</x:v>
      </x:c>
      <x:c r="V81" s="29" t="str">
        <x:v>治疗补预算</x:v>
      </x:c>
    </x:row>
    <x:row r="82" ht="22" customHeight="1">
      <x:c r="A82" s="29" t="str">
        <x:v>pal_081</x:v>
      </x:c>
      <x:c r="B82" s="29" t="str">
        <x:v>No.078</x:v>
      </x:c>
      <x:c r="C82" s="29" t="str">
        <x:v>薇莉塔</x:v>
      </x:c>
      <x:c r="D82" s="29" t="str">
        <x:v>风</x:v>
      </x:c>
      <x:c r="E82" s="29" t="str">
        <x:v>草</x:v>
      </x:c>
      <x:c r="F82" s="29" t="str">
        <x:v>白银</x:v>
      </x:c>
      <x:c r="G82" s="29" t="str">
        <x:v>小型</x:v>
      </x:c>
      <x:c r="H82" s="29" t="str">
        <x:v>治疗</x:v>
      </x:c>
      <x:c r="I82" s="31" t="n">
        <x:f>IFERROR(VLOOKUP($A82,'02_怪物模板_好读版'!$A:$S,15,FALSE),0)+IFERROR(VLOOKUP($A82,'02_怪物模板_好读版'!$A:$S,16,FALSE),0)</x:f>
        <x:v>0</x:v>
      </x:c>
      <x:c r="J82" s="31" t="n">
        <x:f>IFERROR(VLOOKUP($A82,'02_怪物模板_好读版'!$A:$Z,8,FALSE),25)</x:f>
        <x:v>25</x:v>
      </x:c>
      <x:c r="K82" s="31" t="n">
        <x:f>IFERROR(VLOOKUP($A82,'02_怪物模板_好读版'!$A:$Z,9,FALSE),12)</x:f>
        <x:v>12</x:v>
      </x:c>
      <x:c r="L82" s="31" t="n">
        <x:f>IFERROR(VLOOKUP($A82,'02_怪物模板_好读版'!$A:$Z,10,FALSE),0)</x:f>
        <x:v>0</x:v>
      </x:c>
      <x:c r="M82" s="31" t="n">
        <x:f>IFERROR(VLOOKUP($A82,'02_怪物模板_好读版'!$A:$Z,11,FALSE),0)</x:f>
        <x:v>0</x:v>
      </x:c>
      <x:c r="N82" s="31" t="n">
        <x:f>IFERROR(VLOOKUP($A82,'02_怪物模板_好读版'!$A:$Z,12,FALSE),3)</x:f>
        <x:v>3</x:v>
      </x:c>
      <x:c r="O82" s="31" t="str">
        <x:f>IFERROR(VLOOKUP($A82,'02_怪物模板_好读版'!$A:$Z,13,FALSE),"REVIEW")</x:f>
        <x:v>REVIEW</x:v>
      </x:c>
      <x:c r="P82" s="29" t="str">
        <x:v>T1 标准前置T</x:v>
      </x:c>
      <x:c r="Q82" s="29" t="str">
        <x:v>T形/4格</x:v>
      </x:c>
      <x:c r="R82" s="29" t="str">
        <x:v>场地</x:v>
      </x:c>
      <x:c r="S82" s="29" t="str">
        <x:v>healAmpBonus</x:v>
      </x:c>
      <x:c r="T82" s="29" t="str">
        <x:v>风、治疗、后排、增益</x:v>
      </x:c>
      <x:c r="U82" s="29" t="str">
        <x:v>—</x:v>
      </x:c>
      <x:c r="V82" s="29" t="str">
        <x:v>治疗补预算</x:v>
      </x:c>
    </x:row>
    <x:row r="83" ht="22" customHeight="1">
      <x:c r="A83" s="29" t="str">
        <x:v>pal_082</x:v>
      </x:c>
      <x:c r="B83" s="29" t="str">
        <x:v>No.079</x:v>
      </x:c>
      <x:c r="C83" s="29" t="str">
        <x:v>绸笠蛾</x:v>
      </x:c>
      <x:c r="D83" s="29" t="str">
        <x:v>水</x:v>
      </x:c>
      <x:c r="E83" s="29" t="str">
        <x:v>冰</x:v>
      </x:c>
      <x:c r="F83" s="29" t="str">
        <x:v>白银</x:v>
      </x:c>
      <x:c r="G83" s="29" t="str">
        <x:v>小型</x:v>
      </x:c>
      <x:c r="H83" s="29" t="str">
        <x:v>治疗</x:v>
      </x:c>
      <x:c r="I83" s="31" t="n">
        <x:f>IFERROR(VLOOKUP($A83,'02_怪物模板_好读版'!$A:$S,15,FALSE),0)+IFERROR(VLOOKUP($A83,'02_怪物模板_好读版'!$A:$S,16,FALSE),0)</x:f>
        <x:v>0</x:v>
      </x:c>
      <x:c r="J83" s="31" t="n">
        <x:f>IFERROR(VLOOKUP($A83,'02_怪物模板_好读版'!$A:$Z,8,FALSE),25)</x:f>
        <x:v>25</x:v>
      </x:c>
      <x:c r="K83" s="31" t="n">
        <x:f>IFERROR(VLOOKUP($A83,'02_怪物模板_好读版'!$A:$Z,9,FALSE),12)</x:f>
        <x:v>12</x:v>
      </x:c>
      <x:c r="L83" s="31" t="n">
        <x:f>IFERROR(VLOOKUP($A83,'02_怪物模板_好读版'!$A:$Z,10,FALSE),0)</x:f>
        <x:v>0</x:v>
      </x:c>
      <x:c r="M83" s="31" t="n">
        <x:f>IFERROR(VLOOKUP($A83,'02_怪物模板_好读版'!$A:$Z,11,FALSE),0)</x:f>
        <x:v>0</x:v>
      </x:c>
      <x:c r="N83" s="31" t="n">
        <x:f>IFERROR(VLOOKUP($A83,'02_怪物模板_好读版'!$A:$Z,12,FALSE),3)</x:f>
        <x:v>3</x:v>
      </x:c>
      <x:c r="O83" s="31" t="str">
        <x:f>IFERROR(VLOOKUP($A83,'02_怪物模板_好读版'!$A:$Z,13,FALSE),"REVIEW")</x:f>
        <x:v>REVIEW</x:v>
      </x:c>
      <x:c r="P83" s="29" t="str">
        <x:v>T1 标准前置T</x:v>
      </x:c>
      <x:c r="Q83" s="29" t="str">
        <x:v>T形/4格</x:v>
      </x:c>
      <x:c r="R83" s="29" t="str">
        <x:v>场地</x:v>
      </x:c>
      <x:c r="S83" s="29" t="str">
        <x:v>healAmpBonus</x:v>
      </x:c>
      <x:c r="T83" s="29" t="str">
        <x:v>水、治疗、后排、增益</x:v>
      </x:c>
      <x:c r="U83" s="29" t="str">
        <x:v>—</x:v>
      </x:c>
      <x:c r="V83" s="29" t="str">
        <x:v>治疗补预算</x:v>
      </x:c>
    </x:row>
    <x:row r="84" ht="22" customHeight="1">
      <x:c r="A84" s="29" t="str">
        <x:v>pal_083</x:v>
      </x:c>
      <x:c r="B84" s="29" t="str">
        <x:v>No.080</x:v>
      </x:c>
      <x:c r="C84" s="29" t="str">
        <x:v>精灵龙</x:v>
      </x:c>
      <x:c r="D84" s="29" t="str">
        <x:v>风</x:v>
      </x:c>
      <x:c r="E84" s="29" t="str">
        <x:v>龙</x:v>
      </x:c>
      <x:c r="F84" s="29" t="str">
        <x:v>白银</x:v>
      </x:c>
      <x:c r="G84" s="29" t="str">
        <x:v>中型</x:v>
      </x:c>
      <x:c r="H84" s="29" t="str">
        <x:v>召唤</x:v>
      </x:c>
      <x:c r="I84" s="31" t="n">
        <x:f>IFERROR(VLOOKUP($A84,'02_怪物模板_好读版'!$A:$S,15,FALSE),0)+IFERROR(VLOOKUP($A84,'02_怪物模板_好读版'!$A:$S,16,FALSE),0)</x:f>
        <x:v>0</x:v>
      </x:c>
      <x:c r="J84" s="31" t="n">
        <x:f>IFERROR(VLOOKUP($A84,'02_怪物模板_好读版'!$A:$Z,8,FALSE),35)</x:f>
        <x:v>35</x:v>
      </x:c>
      <x:c r="K84" s="31" t="n">
        <x:f>IFERROR(VLOOKUP($A84,'02_怪物模板_好读版'!$A:$Z,9,FALSE),26)</x:f>
        <x:v>26</x:v>
      </x:c>
      <x:c r="L84" s="31" t="n">
        <x:f>IFERROR(VLOOKUP($A84,'02_怪物模板_好读版'!$A:$Z,10,FALSE),0)</x:f>
        <x:v>0</x:v>
      </x:c>
      <x:c r="M84" s="31" t="n">
        <x:f>IFERROR(VLOOKUP($A84,'02_怪物模板_好读版'!$A:$Z,11,FALSE),0)</x:f>
        <x:v>0</x:v>
      </x:c>
      <x:c r="N84" s="31" t="n">
        <x:f>IFERROR(VLOOKUP($A84,'02_怪物模板_好读版'!$A:$Z,12,FALSE),3)</x:f>
        <x:v>3</x:v>
      </x:c>
      <x:c r="O84" s="31" t="str">
        <x:f>IFERROR(VLOOKUP($A84,'02_怪物模板_好读版'!$A:$Z,13,FALSE),"mech_summon")</x:f>
        <x:v>mech_summon</x:v>
      </x:c>
      <x:c r="P84" s="29" t="str">
        <x:v>A1 单点刺</x:v>
      </x:c>
      <x:c r="Q84" s="29" t="str">
        <x:v>直线/1格</x:v>
      </x:c>
      <x:c r="R84" s="29" t="str">
        <x:v>召唤</x:v>
      </x:c>
      <x:c r="S84" s="29" t="str">
        <x:v>summonFromCell</x:v>
      </x:c>
      <x:c r="T84" s="29" t="str">
        <x:v>风、召唤、成长、核心</x:v>
      </x:c>
      <x:c r="U84" s="29" t="str">
        <x:v>是</x:v>
      </x:c>
      <x:c r="V84" s="29" t="str">
        <x:v>召唤补预算</x:v>
      </x:c>
    </x:row>
    <x:row r="85" ht="22" customHeight="1">
      <x:c r="A85" s="29" t="str">
        <x:v>pal_084</x:v>
      </x:c>
      <x:c r="B85" s="29" t="str">
        <x:v>No.080B</x:v>
      </x:c>
      <x:c r="C85" s="29" t="str">
        <x:v>水灵龙</x:v>
      </x:c>
      <x:c r="D85" s="29" t="str">
        <x:v>水</x:v>
      </x:c>
      <x:c r="E85" s="29" t="str">
        <x:v>龙、水</x:v>
      </x:c>
      <x:c r="F85" s="29" t="str">
        <x:v>白银</x:v>
      </x:c>
      <x:c r="G85" s="29" t="str">
        <x:v>中型</x:v>
      </x:c>
      <x:c r="H85" s="29" t="str">
        <x:v>治疗</x:v>
      </x:c>
      <x:c r="I85" s="31" t="n">
        <x:f>IFERROR(VLOOKUP($A85,'02_怪物模板_好读版'!$A:$S,15,FALSE),0)+IFERROR(VLOOKUP($A85,'02_怪物模板_好读版'!$A:$S,16,FALSE),0)</x:f>
        <x:v>0</x:v>
      </x:c>
      <x:c r="J85" s="31" t="n">
        <x:f>IFERROR(VLOOKUP($A85,'02_怪物模板_好读版'!$A:$Z,8,FALSE),40)</x:f>
        <x:v>40</x:v>
      </x:c>
      <x:c r="K85" s="31" t="n">
        <x:f>IFERROR(VLOOKUP($A85,'02_怪物模板_好读版'!$A:$Z,9,FALSE),27)</x:f>
        <x:v>27</x:v>
      </x:c>
      <x:c r="L85" s="31" t="n">
        <x:f>IFERROR(VLOOKUP($A85,'02_怪物模板_好读版'!$A:$Z,10,FALSE),0)</x:f>
        <x:v>0</x:v>
      </x:c>
      <x:c r="M85" s="31" t="n">
        <x:f>IFERROR(VLOOKUP($A85,'02_怪物模板_好读版'!$A:$Z,11,FALSE),0)</x:f>
        <x:v>0</x:v>
      </x:c>
      <x:c r="N85" s="31" t="n">
        <x:f>IFERROR(VLOOKUP($A85,'02_怪物模板_好读版'!$A:$Z,12,FALSE),3)</x:f>
        <x:v>3</x:v>
      </x:c>
      <x:c r="O85" s="31" t="str">
        <x:f>IFERROR(VLOOKUP($A85,'02_怪物模板_好读版'!$A:$Z,13,FALSE),"REVIEW")</x:f>
        <x:v>REVIEW</x:v>
      </x:c>
      <x:c r="P85" s="29" t="str">
        <x:v>T1 标准前置T</x:v>
      </x:c>
      <x:c r="Q85" s="29" t="str">
        <x:v>T形/4格</x:v>
      </x:c>
      <x:c r="R85" s="29" t="str">
        <x:v>场地</x:v>
      </x:c>
      <x:c r="S85" s="29" t="str">
        <x:v>healAmpBonus</x:v>
      </x:c>
      <x:c r="T85" s="29" t="str">
        <x:v>水、治疗、后排、增益</x:v>
      </x:c>
      <x:c r="U85" s="29" t="str">
        <x:v>—</x:v>
      </x:c>
      <x:c r="V85" s="29" t="str">
        <x:v>治疗补预算</x:v>
      </x:c>
    </x:row>
    <x:row r="86" ht="22" customHeight="1">
      <x:c r="A86" s="29" t="str">
        <x:v>pal_085</x:v>
      </x:c>
      <x:c r="B86" s="29" t="str">
        <x:v>No.081</x:v>
      </x:c>
      <x:c r="C86" s="29" t="str">
        <x:v>水灵儿</x:v>
      </x:c>
      <x:c r="D86" s="29" t="str">
        <x:v>水</x:v>
      </x:c>
      <x:c r="E86" s="29" t="str"/>
      <x:c r="F86" s="29" t="str">
        <x:v>白银</x:v>
      </x:c>
      <x:c r="G86" s="29" t="str">
        <x:v>小型</x:v>
      </x:c>
      <x:c r="H86" s="29" t="str">
        <x:v>治疗</x:v>
      </x:c>
      <x:c r="I86" s="31" t="n">
        <x:f>IFERROR(VLOOKUP($A86,'02_怪物模板_好读版'!$A:$S,15,FALSE),0)+IFERROR(VLOOKUP($A86,'02_怪物模板_好读版'!$A:$S,16,FALSE),0)</x:f>
        <x:v>0</x:v>
      </x:c>
      <x:c r="J86" s="31" t="n">
        <x:f>IFERROR(VLOOKUP($A86,'02_怪物模板_好读版'!$A:$Z,8,FALSE),25)</x:f>
        <x:v>25</x:v>
      </x:c>
      <x:c r="K86" s="31" t="n">
        <x:f>IFERROR(VLOOKUP($A86,'02_怪物模板_好读版'!$A:$Z,9,FALSE),12)</x:f>
        <x:v>12</x:v>
      </x:c>
      <x:c r="L86" s="31" t="n">
        <x:f>IFERROR(VLOOKUP($A86,'02_怪物模板_好读版'!$A:$Z,10,FALSE),0)</x:f>
        <x:v>0</x:v>
      </x:c>
      <x:c r="M86" s="31" t="n">
        <x:f>IFERROR(VLOOKUP($A86,'02_怪物模板_好读版'!$A:$Z,11,FALSE),0)</x:f>
        <x:v>0</x:v>
      </x:c>
      <x:c r="N86" s="31" t="n">
        <x:f>IFERROR(VLOOKUP($A86,'02_怪物模板_好读版'!$A:$Z,12,FALSE),3)</x:f>
        <x:v>3</x:v>
      </x:c>
      <x:c r="O86" s="31" t="str">
        <x:f>IFERROR(VLOOKUP($A86,'02_怪物模板_好读版'!$A:$Z,13,FALSE),"REVIEW")</x:f>
        <x:v>REVIEW</x:v>
      </x:c>
      <x:c r="P86" s="29" t="str">
        <x:v>T1 标准前置T</x:v>
      </x:c>
      <x:c r="Q86" s="29" t="str">
        <x:v>T形/4格</x:v>
      </x:c>
      <x:c r="R86" s="29" t="str">
        <x:v>场地</x:v>
      </x:c>
      <x:c r="S86" s="29" t="str">
        <x:v>healAmpBonus</x:v>
      </x:c>
      <x:c r="T86" s="29" t="str">
        <x:v>水、治疗、后排、增益</x:v>
      </x:c>
      <x:c r="U86" s="29" t="str">
        <x:v>—</x:v>
      </x:c>
      <x:c r="V86" s="29" t="str">
        <x:v>治疗补预算</x:v>
      </x:c>
    </x:row>
    <x:row r="87" ht="22" customHeight="1">
      <x:c r="A87" s="29" t="str">
        <x:v>pal_086</x:v>
      </x:c>
      <x:c r="B87" s="29" t="str">
        <x:v>No.081B</x:v>
      </x:c>
      <x:c r="C87" s="29" t="str">
        <x:v>火灵儿</x:v>
      </x:c>
      <x:c r="D87" s="29" t="str">
        <x:v>火</x:v>
      </x:c>
      <x:c r="E87" s="29" t="str"/>
      <x:c r="F87" s="29" t="str">
        <x:v>白银</x:v>
      </x:c>
      <x:c r="G87" s="29" t="str">
        <x:v>小型</x:v>
      </x:c>
      <x:c r="H87" s="29" t="str">
        <x:v>输出</x:v>
      </x:c>
      <x:c r="I87" s="31" t="n">
        <x:f>IFERROR(VLOOKUP($A87,'02_怪物模板_好读版'!$A:$S,15,FALSE),0)+IFERROR(VLOOKUP($A87,'02_怪物模板_好读版'!$A:$S,16,FALSE),0)</x:f>
        <x:v>0</x:v>
      </x:c>
      <x:c r="J87" s="31" t="n">
        <x:f>IFERROR(VLOOKUP($A87,'02_怪物模板_好读版'!$A:$Z,8,FALSE),30)</x:f>
        <x:v>30</x:v>
      </x:c>
      <x:c r="K87" s="31" t="n">
        <x:f>IFERROR(VLOOKUP($A87,'02_怪物模板_好读版'!$A:$Z,9,FALSE),13)</x:f>
        <x:v>13</x:v>
      </x:c>
      <x:c r="L87" s="31" t="n">
        <x:f>IFERROR(VLOOKUP($A87,'02_怪物模板_好读版'!$A:$Z,10,FALSE),0)</x:f>
        <x:v>0</x:v>
      </x:c>
      <x:c r="M87" s="31" t="n">
        <x:f>IFERROR(VLOOKUP($A87,'02_怪物模板_好读版'!$A:$Z,11,FALSE),0)</x:f>
        <x:v>0</x:v>
      </x:c>
      <x:c r="N87" s="31" t="n">
        <x:f>IFERROR(VLOOKUP($A87,'02_怪物模板_好读版'!$A:$Z,12,FALSE),3)</x:f>
        <x:v>3</x:v>
      </x:c>
      <x:c r="O87" s="31" t="str">
        <x:f>IFERROR(VLOOKUP($A87,'02_怪物模板_好读版'!$A:$Z,13,FALSE),"REVIEW")</x:f>
        <x:v>REVIEW</x:v>
      </x:c>
      <x:c r="P87" s="29" t="str">
        <x:v>B1 横扫三格</x:v>
      </x:c>
      <x:c r="Q87" s="29" t="str">
        <x:v>扫击/3格</x:v>
      </x:c>
      <x:c r="R87" s="29" t="str">
        <x:v>输出</x:v>
      </x:c>
      <x:c r="S87" s="29" t="str">
        <x:v>castleReduce</x:v>
      </x:c>
      <x:c r="T87" s="29" t="str">
        <x:v>火、输出、爆发、前排</x:v>
      </x:c>
      <x:c r="U87" s="29" t="str">
        <x:v>—</x:v>
      </x:c>
      <x:c r="V87" s="29" t="str"/>
    </x:row>
    <x:row r="88" ht="22" customHeight="1">
      <x:c r="A88" s="29" t="str">
        <x:v>pal_087</x:v>
      </x:c>
      <x:c r="B88" s="29" t="str">
        <x:v>No.082</x:v>
      </x:c>
      <x:c r="C88" s="29" t="str">
        <x:v>碧海龙</x:v>
      </x:c>
      <x:c r="D88" s="29" t="str">
        <x:v>水</x:v>
      </x:c>
      <x:c r="E88" s="29" t="str">
        <x:v>水、龙</x:v>
      </x:c>
      <x:c r="F88" s="29" t="str">
        <x:v>白银</x:v>
      </x:c>
      <x:c r="G88" s="29" t="str">
        <x:v>中型</x:v>
      </x:c>
      <x:c r="H88" s="29" t="str">
        <x:v>治疗</x:v>
      </x:c>
      <x:c r="I88" s="31" t="n">
        <x:f>IFERROR(VLOOKUP($A88,'02_怪物模板_好读版'!$A:$S,15,FALSE),0)+IFERROR(VLOOKUP($A88,'02_怪物模板_好读版'!$A:$S,16,FALSE),0)</x:f>
        <x:v>0</x:v>
      </x:c>
      <x:c r="J88" s="31" t="n">
        <x:f>IFERROR(VLOOKUP($A88,'02_怪物模板_好读版'!$A:$Z,8,FALSE),40)</x:f>
        <x:v>40</x:v>
      </x:c>
      <x:c r="K88" s="31" t="n">
        <x:f>IFERROR(VLOOKUP($A88,'02_怪物模板_好读版'!$A:$Z,9,FALSE),27)</x:f>
        <x:v>27</x:v>
      </x:c>
      <x:c r="L88" s="31" t="n">
        <x:f>IFERROR(VLOOKUP($A88,'02_怪物模板_好读版'!$A:$Z,10,FALSE),0)</x:f>
        <x:v>0</x:v>
      </x:c>
      <x:c r="M88" s="31" t="n">
        <x:f>IFERROR(VLOOKUP($A88,'02_怪物模板_好读版'!$A:$Z,11,FALSE),0)</x:f>
        <x:v>0</x:v>
      </x:c>
      <x:c r="N88" s="31" t="n">
        <x:f>IFERROR(VLOOKUP($A88,'02_怪物模板_好读版'!$A:$Z,12,FALSE),3)</x:f>
        <x:v>3</x:v>
      </x:c>
      <x:c r="O88" s="31" t="str">
        <x:f>IFERROR(VLOOKUP($A88,'02_怪物模板_好读版'!$A:$Z,13,FALSE),"REVIEW")</x:f>
        <x:v>REVIEW</x:v>
      </x:c>
      <x:c r="P88" s="29" t="str">
        <x:v>T1 标准前置T</x:v>
      </x:c>
      <x:c r="Q88" s="29" t="str">
        <x:v>T形/4格</x:v>
      </x:c>
      <x:c r="R88" s="29" t="str">
        <x:v>场地</x:v>
      </x:c>
      <x:c r="S88" s="29" t="str">
        <x:v>healAmpBonus</x:v>
      </x:c>
      <x:c r="T88" s="29" t="str">
        <x:v>水、治疗、后排、增益</x:v>
      </x:c>
      <x:c r="U88" s="29" t="str">
        <x:v>—</x:v>
      </x:c>
      <x:c r="V88" s="29" t="str">
        <x:v>治疗补预算</x:v>
      </x:c>
    </x:row>
    <x:row r="89" ht="22" customHeight="1">
      <x:c r="A89" s="29" t="str">
        <x:v>pal_088</x:v>
      </x:c>
      <x:c r="B89" s="29" t="str">
        <x:v>No.083</x:v>
      </x:c>
      <x:c r="C89" s="29" t="str">
        <x:v>冰棘兽</x:v>
      </x:c>
      <x:c r="D89" s="29" t="str">
        <x:v>水</x:v>
      </x:c>
      <x:c r="E89" s="29" t="str">
        <x:v>冰</x:v>
      </x:c>
      <x:c r="F89" s="29" t="str">
        <x:v>白银</x:v>
      </x:c>
      <x:c r="G89" s="29" t="str">
        <x:v>中型</x:v>
      </x:c>
      <x:c r="H89" s="29" t="str">
        <x:v>坦克</x:v>
      </x:c>
      <x:c r="I89" s="31" t="n">
        <x:f>IFERROR(VLOOKUP($A89,'02_怪物模板_好读版'!$A:$S,15,FALSE),0)+IFERROR(VLOOKUP($A89,'02_怪物模板_好读版'!$A:$S,16,FALSE),0)</x:f>
        <x:v>0</x:v>
      </x:c>
      <x:c r="J89" s="31" t="n">
        <x:f>IFERROR(VLOOKUP($A89,'02_怪物模板_好读版'!$A:$Z,8,FALSE),15)</x:f>
        <x:v>15</x:v>
      </x:c>
      <x:c r="K89" s="31" t="n">
        <x:f>IFERROR(VLOOKUP($A89,'02_怪物模板_好读版'!$A:$Z,9,FALSE),2)</x:f>
        <x:v>2</x:v>
      </x:c>
      <x:c r="L89" s="31" t="n">
        <x:f>IFERROR(VLOOKUP($A89,'02_怪物模板_好读版'!$A:$Z,10,FALSE),0)</x:f>
        <x:v>0</x:v>
      </x:c>
      <x:c r="M89" s="31" t="n">
        <x:f>IFERROR(VLOOKUP($A89,'02_怪物模板_好读版'!$A:$Z,11,FALSE),6)</x:f>
        <x:v>6</x:v>
      </x:c>
      <x:c r="N89" s="31" t="n">
        <x:f>IFERROR(VLOOKUP($A89,'02_怪物模板_好读版'!$A:$Z,12,FALSE),3)</x:f>
        <x:v>3</x:v>
      </x:c>
      <x:c r="O89" s="31" t="str">
        <x:f>IFERROR(VLOOKUP($A89,'02_怪物模板_好读版'!$A:$Z,13,FALSE),"mech_opening_shield")</x:f>
        <x:v>mech_opening_shield</x:v>
      </x:c>
      <x:c r="P89" s="29" t="str">
        <x:v>B1 横扫三格</x:v>
      </x:c>
      <x:c r="Q89" s="29" t="str">
        <x:v>扫击/3格</x:v>
      </x:c>
      <x:c r="R89" s="29" t="str">
        <x:v>阻挡</x:v>
      </x:c>
      <x:c r="S89" s="29" t="str">
        <x:v>castleReduce</x:v>
      </x:c>
      <x:c r="T89" s="29" t="str">
        <x:v>水、防御、前排、阻挡</x:v>
      </x:c>
      <x:c r="U89" s="29" t="str">
        <x:v>—</x:v>
      </x:c>
      <x:c r="V89" s="29" t="str">
        <x:v>旧定位=防御</x:v>
      </x:c>
    </x:row>
    <x:row r="90" ht="22" customHeight="1">
      <x:c r="A90" s="29" t="str">
        <x:v>pal_089</x:v>
      </x:c>
      <x:c r="B90" s="29" t="str">
        <x:v>No.084</x:v>
      </x:c>
      <x:c r="C90" s="29" t="str">
        <x:v>狱焰王</x:v>
      </x:c>
      <x:c r="D90" s="29" t="str">
        <x:v>火</x:v>
      </x:c>
      <x:c r="E90" s="29" t="str"/>
      <x:c r="F90" s="29" t="str">
        <x:v>白银</x:v>
      </x:c>
      <x:c r="G90" s="29" t="str">
        <x:v>大型</x:v>
      </x:c>
      <x:c r="H90" s="29" t="str">
        <x:v>输出</x:v>
      </x:c>
      <x:c r="I90" s="31" t="n">
        <x:f>IFERROR(VLOOKUP($A90,'02_怪物模板_好读版'!$A:$S,15,FALSE),0)+IFERROR(VLOOKUP($A90,'02_怪物模板_好读版'!$A:$S,16,FALSE),0)</x:f>
        <x:v>0</x:v>
      </x:c>
      <x:c r="J90" s="31" t="n">
        <x:f>IFERROR(VLOOKUP($A90,'02_怪物模板_好读版'!$A:$Z,8,FALSE),40)</x:f>
        <x:v>40</x:v>
      </x:c>
      <x:c r="K90" s="31" t="n">
        <x:f>IFERROR(VLOOKUP($A90,'02_怪物模板_好读版'!$A:$Z,9,FALSE),5)</x:f>
        <x:v>5</x:v>
      </x:c>
      <x:c r="L90" s="31" t="n">
        <x:f>IFERROR(VLOOKUP($A90,'02_怪物模板_好读版'!$A:$Z,10,FALSE),0)</x:f>
        <x:v>0</x:v>
      </x:c>
      <x:c r="M90" s="31" t="n">
        <x:f>IFERROR(VLOOKUP($A90,'02_怪物模板_好读版'!$A:$Z,11,FALSE),10)</x:f>
        <x:v>10</x:v>
      </x:c>
      <x:c r="N90" s="31" t="n">
        <x:f>IFERROR(VLOOKUP($A90,'02_怪物模板_好读版'!$A:$Z,12,FALSE),4)</x:f>
        <x:v>4</x:v>
      </x:c>
      <x:c r="O90" s="31" t="str">
        <x:f>IFERROR(VLOOKUP($A90,'02_怪物模板_好读版'!$A:$Z,13,FALSE),"mech_multi_hit,mech_armor_break")</x:f>
        <x:v>mech_multi_hit,mech_armor_break</x:v>
      </x:c>
      <x:c r="P90" s="29" t="str">
        <x:v>B1 横扫三格</x:v>
      </x:c>
      <x:c r="Q90" s="29" t="str">
        <x:v>扫击/3格</x:v>
      </x:c>
      <x:c r="R90" s="29" t="str">
        <x:v>输出</x:v>
      </x:c>
      <x:c r="S90" s="29" t="str">
        <x:v>castleReduce</x:v>
      </x:c>
      <x:c r="T90" s="29" t="str">
        <x:v>火、输出、爆发、前排</x:v>
      </x:c>
      <x:c r="U90" s="29" t="str">
        <x:v>—</x:v>
      </x:c>
      <x:c r="V90" s="29" t="str"/>
    </x:row>
    <x:row r="91" ht="22" customHeight="1">
      <x:c r="A91" s="29" t="str">
        <x:v>pal_090</x:v>
      </x:c>
      <x:c r="B91" s="29" t="str">
        <x:v>No.084B</x:v>
      </x:c>
      <x:c r="C91" s="29" t="str">
        <x:v>狱阎王</x:v>
      </x:c>
      <x:c r="D91" s="29" t="str">
        <x:v>火</x:v>
      </x:c>
      <x:c r="E91" s="29" t="str">
        <x:v>火、暗</x:v>
      </x:c>
      <x:c r="F91" s="29" t="str">
        <x:v>白银</x:v>
      </x:c>
      <x:c r="G91" s="29" t="str">
        <x:v>大型</x:v>
      </x:c>
      <x:c r="H91" s="29" t="str">
        <x:v>输出</x:v>
      </x:c>
      <x:c r="I91" s="31" t="n">
        <x:f>IFERROR(VLOOKUP($A91,'02_怪物模板_好读版'!$A:$S,15,FALSE),0)+IFERROR(VLOOKUP($A91,'02_怪物模板_好读版'!$A:$S,16,FALSE),0)</x:f>
        <x:v>0</x:v>
      </x:c>
      <x:c r="J91" s="31" t="n">
        <x:f>IFERROR(VLOOKUP($A91,'02_怪物模板_好读版'!$A:$Z,8,FALSE),70)</x:f>
        <x:v>70</x:v>
      </x:c>
      <x:c r="K91" s="31" t="n">
        <x:f>IFERROR(VLOOKUP($A91,'02_怪物模板_好读版'!$A:$Z,9,FALSE),5)</x:f>
        <x:v>5</x:v>
      </x:c>
      <x:c r="L91" s="31" t="n">
        <x:f>IFERROR(VLOOKUP($A91,'02_怪物模板_好读版'!$A:$Z,10,FALSE),10)</x:f>
        <x:v>10</x:v>
      </x:c>
      <x:c r="M91" s="31" t="n">
        <x:f>IFERROR(VLOOKUP($A91,'02_怪物模板_好读版'!$A:$Z,11,FALSE),10)</x:f>
        <x:v>10</x:v>
      </x:c>
      <x:c r="N91" s="31" t="n">
        <x:f>IFERROR(VLOOKUP($A91,'02_怪物模板_好读版'!$A:$Z,12,FALSE),5)</x:f>
        <x:v>5</x:v>
      </x:c>
      <x:c r="O91" s="31" t="str">
        <x:f>IFERROR(VLOOKUP($A91,'02_怪物模板_好读版'!$A:$Z,13,FALSE),"mech_damage_cap,mech_summon,mech_aura")</x:f>
        <x:v>mech_damage_cap,mech_summon,mech_aura</x:v>
      </x:c>
      <x:c r="P91" s="29" t="str">
        <x:v>B1 横扫三格</x:v>
      </x:c>
      <x:c r="Q91" s="29" t="str">
        <x:v>扫击/3格</x:v>
      </x:c>
      <x:c r="R91" s="29" t="str">
        <x:v>输出</x:v>
      </x:c>
      <x:c r="S91" s="29" t="str">
        <x:v>castleReduce</x:v>
      </x:c>
      <x:c r="T91" s="29" t="str">
        <x:v>火、输出、爆发、前排</x:v>
      </x:c>
      <x:c r="U91" s="29" t="str">
        <x:v>—</x:v>
      </x:c>
      <x:c r="V91" s="29" t="str"/>
    </x:row>
    <x:row r="92" ht="22" customHeight="1">
      <x:c r="A92" s="29" t="str">
        <x:v>pal_091</x:v>
      </x:c>
      <x:c r="B92" s="29" t="str">
        <x:v>No.085</x:v>
      </x:c>
      <x:c r="C92" s="29" t="str">
        <x:v>佩克龙</x:v>
      </x:c>
      <x:c r="D92" s="29" t="str">
        <x:v>水</x:v>
      </x:c>
      <x:c r="E92" s="29" t="str">
        <x:v>龙、水</x:v>
      </x:c>
      <x:c r="F92" s="29" t="str">
        <x:v>白银</x:v>
      </x:c>
      <x:c r="G92" s="29" t="str">
        <x:v>大型</x:v>
      </x:c>
      <x:c r="H92" s="29" t="str">
        <x:v>坦克</x:v>
      </x:c>
      <x:c r="I92" s="31" t="n">
        <x:f>IFERROR(VLOOKUP($A92,'02_怪物模板_好读版'!$A:$S,15,FALSE),0)+IFERROR(VLOOKUP($A92,'02_怪物模板_好读版'!$A:$S,16,FALSE),0)</x:f>
        <x:v>0</x:v>
      </x:c>
      <x:c r="J92" s="31" t="n">
        <x:f>IFERROR(VLOOKUP($A92,'02_怪物模板_好读版'!$A:$Z,8,FALSE),35)</x:f>
        <x:v>35</x:v>
      </x:c>
      <x:c r="K92" s="31" t="n">
        <x:f>IFERROR(VLOOKUP($A92,'02_怪物模板_好读版'!$A:$Z,9,FALSE),2)</x:f>
        <x:v>2</x:v>
      </x:c>
      <x:c r="L92" s="31" t="n">
        <x:f>IFERROR(VLOOKUP($A92,'02_怪物模板_好读版'!$A:$Z,10,FALSE),0)</x:f>
        <x:v>0</x:v>
      </x:c>
      <x:c r="M92" s="31" t="n">
        <x:f>IFERROR(VLOOKUP($A92,'02_怪物模板_好读版'!$A:$Z,11,FALSE),6)</x:f>
        <x:v>6</x:v>
      </x:c>
      <x:c r="N92" s="31" t="n">
        <x:f>IFERROR(VLOOKUP($A92,'02_怪物模板_好读版'!$A:$Z,12,FALSE),2)</x:f>
        <x:v>2</x:v>
      </x:c>
      <x:c r="O92" s="31" t="str">
        <x:f>IFERROR(VLOOKUP($A92,'02_怪物模板_好读版'!$A:$Z,13,FALSE),"mech_revive")</x:f>
        <x:v>mech_revive</x:v>
      </x:c>
      <x:c r="P92" s="29" t="str">
        <x:v>B1 横扫三格</x:v>
      </x:c>
      <x:c r="Q92" s="29" t="str">
        <x:v>扫击/3格</x:v>
      </x:c>
      <x:c r="R92" s="29" t="str">
        <x:v>阻挡</x:v>
      </x:c>
      <x:c r="S92" s="29" t="str">
        <x:v>castleReduce</x:v>
      </x:c>
      <x:c r="T92" s="29" t="str">
        <x:v>水、防御、前排、阻挡</x:v>
      </x:c>
      <x:c r="U92" s="29" t="str">
        <x:v>—</x:v>
      </x:c>
      <x:c r="V92" s="29" t="str">
        <x:v>旧定位=防御</x:v>
      </x:c>
    </x:row>
    <x:row r="93" ht="22" customHeight="1">
      <x:c r="A93" s="29" t="str">
        <x:v>pal_092</x:v>
      </x:c>
      <x:c r="B93" s="29" t="str">
        <x:v>No.085B</x:v>
      </x:c>
      <x:c r="C93" s="29" t="str">
        <x:v>派克龙</x:v>
      </x:c>
      <x:c r="D93" s="29" t="str">
        <x:v>风</x:v>
      </x:c>
      <x:c r="E93" s="29" t="str">
        <x:v>龙、雷</x:v>
      </x:c>
      <x:c r="F93" s="29" t="str">
        <x:v>白银</x:v>
      </x:c>
      <x:c r="G93" s="29" t="str">
        <x:v>中型</x:v>
      </x:c>
      <x:c r="H93" s="29" t="str">
        <x:v>控制</x:v>
      </x:c>
      <x:c r="I93" s="31" t="n">
        <x:f>IFERROR(VLOOKUP($A93,'02_怪物模板_好读版'!$A:$S,15,FALSE),0)+IFERROR(VLOOKUP($A93,'02_怪物模板_好读版'!$A:$S,16,FALSE),0)</x:f>
        <x:v>0</x:v>
      </x:c>
      <x:c r="J93" s="31" t="n">
        <x:f>IFERROR(VLOOKUP($A93,'02_怪物模板_好读版'!$A:$Z,8,FALSE),35)</x:f>
        <x:v>35</x:v>
      </x:c>
      <x:c r="K93" s="31" t="n">
        <x:f>IFERROR(VLOOKUP($A93,'02_怪物模板_好读版'!$A:$Z,9,FALSE),27)</x:f>
        <x:v>27</x:v>
      </x:c>
      <x:c r="L93" s="31" t="n">
        <x:f>IFERROR(VLOOKUP($A93,'02_怪物模板_好读版'!$A:$Z,10,FALSE),0)</x:f>
        <x:v>0</x:v>
      </x:c>
      <x:c r="M93" s="31" t="n">
        <x:f>IFERROR(VLOOKUP($A93,'02_怪物模板_好读版'!$A:$Z,11,FALSE),0)</x:f>
        <x:v>0</x:v>
      </x:c>
      <x:c r="N93" s="31" t="n">
        <x:f>IFERROR(VLOOKUP($A93,'02_怪物模板_好读版'!$A:$Z,12,FALSE),4)</x:f>
        <x:v>4</x:v>
      </x:c>
      <x:c r="O93" s="31" t="str">
        <x:f>IFERROR(VLOOKUP($A93,'02_怪物模板_好读版'!$A:$Z,13,FALSE),"REVIEW")</x:f>
        <x:v>REVIEW</x:v>
      </x:c>
      <x:c r="P93" s="29" t="str">
        <x:v>T2 长柄T</x:v>
      </x:c>
      <x:c r="Q93" s="29" t="str">
        <x:v>T形/5格</x:v>
      </x:c>
      <x:c r="R93" s="29" t="str">
        <x:v>牵制</x:v>
      </x:c>
      <x:c r="S93" s="29" t="str">
        <x:v>advHitBonus</x:v>
      </x:c>
      <x:c r="T93" s="29" t="str">
        <x:v>风、牵制、范围、机动</x:v>
      </x:c>
      <x:c r="U93" s="29" t="str">
        <x:v>—</x:v>
      </x:c>
      <x:c r="V93" s="29" t="str">
        <x:v>旧定位=牵制；控制补预算</x:v>
      </x:c>
    </x:row>
    <x:row r="94" ht="22" customHeight="1">
      <x:c r="A94" s="29" t="str">
        <x:v>pal_093</x:v>
      </x:c>
      <x:c r="B94" s="29" t="str">
        <x:v>No.086</x:v>
      </x:c>
      <x:c r="C94" s="29" t="str">
        <x:v>连理龙</x:v>
      </x:c>
      <x:c r="D94" s="29" t="str">
        <x:v>风</x:v>
      </x:c>
      <x:c r="E94" s="29" t="str">
        <x:v>草</x:v>
      </x:c>
      <x:c r="F94" s="29" t="str">
        <x:v>白银</x:v>
      </x:c>
      <x:c r="G94" s="29" t="str">
        <x:v>中型</x:v>
      </x:c>
      <x:c r="H94" s="29" t="str">
        <x:v>召唤</x:v>
      </x:c>
      <x:c r="I94" s="31" t="n">
        <x:f>IFERROR(VLOOKUP($A94,'02_怪物模板_好读版'!$A:$S,15,FALSE),0)+IFERROR(VLOOKUP($A94,'02_怪物模板_好读版'!$A:$S,16,FALSE),0)</x:f>
        <x:v>0</x:v>
      </x:c>
      <x:c r="J94" s="31" t="n">
        <x:f>IFERROR(VLOOKUP($A94,'02_怪物模板_好读版'!$A:$Z,8,FALSE),35)</x:f>
        <x:v>35</x:v>
      </x:c>
      <x:c r="K94" s="31" t="n">
        <x:f>IFERROR(VLOOKUP($A94,'02_怪物模板_好读版'!$A:$Z,9,FALSE),26)</x:f>
        <x:v>26</x:v>
      </x:c>
      <x:c r="L94" s="31" t="n">
        <x:f>IFERROR(VLOOKUP($A94,'02_怪物模板_好读版'!$A:$Z,10,FALSE),0)</x:f>
        <x:v>0</x:v>
      </x:c>
      <x:c r="M94" s="31" t="n">
        <x:f>IFERROR(VLOOKUP($A94,'02_怪物模板_好读版'!$A:$Z,11,FALSE),0)</x:f>
        <x:v>0</x:v>
      </x:c>
      <x:c r="N94" s="31" t="n">
        <x:f>IFERROR(VLOOKUP($A94,'02_怪物模板_好读版'!$A:$Z,12,FALSE),3)</x:f>
        <x:v>3</x:v>
      </x:c>
      <x:c r="O94" s="31" t="str">
        <x:f>IFERROR(VLOOKUP($A94,'02_怪物模板_好读版'!$A:$Z,13,FALSE),"mech_summon")</x:f>
        <x:v>mech_summon</x:v>
      </x:c>
      <x:c r="P94" s="29" t="str">
        <x:v>A1 单点刺</x:v>
      </x:c>
      <x:c r="Q94" s="29" t="str">
        <x:v>直线/1格</x:v>
      </x:c>
      <x:c r="R94" s="29" t="str">
        <x:v>召唤</x:v>
      </x:c>
      <x:c r="S94" s="29" t="str">
        <x:v>summonFromCell</x:v>
      </x:c>
      <x:c r="T94" s="29" t="str">
        <x:v>风、召唤、成长、核心</x:v>
      </x:c>
      <x:c r="U94" s="29" t="str">
        <x:v>是</x:v>
      </x:c>
      <x:c r="V94" s="29" t="str">
        <x:v>召唤补预算</x:v>
      </x:c>
    </x:row>
    <x:row r="95" ht="22" customHeight="1">
      <x:c r="A95" s="29" t="str">
        <x:v>pal_094</x:v>
      </x:c>
      <x:c r="B95" s="29" t="str">
        <x:v>No.086B</x:v>
      </x:c>
      <x:c r="C95" s="29" t="str">
        <x:v>海誓龙</x:v>
      </x:c>
      <x:c r="D95" s="29" t="str">
        <x:v>水</x:v>
      </x:c>
      <x:c r="E95" s="29" t="str">
        <x:v>草、水</x:v>
      </x:c>
      <x:c r="F95" s="29" t="str">
        <x:v>白银</x:v>
      </x:c>
      <x:c r="G95" s="29" t="str">
        <x:v>中型</x:v>
      </x:c>
      <x:c r="H95" s="29" t="str">
        <x:v>治疗</x:v>
      </x:c>
      <x:c r="I95" s="31" t="n">
        <x:f>IFERROR(VLOOKUP($A95,'02_怪物模板_好读版'!$A:$S,15,FALSE),0)+IFERROR(VLOOKUP($A95,'02_怪物模板_好读版'!$A:$S,16,FALSE),0)</x:f>
        <x:v>0</x:v>
      </x:c>
      <x:c r="J95" s="31" t="n">
        <x:f>IFERROR(VLOOKUP($A95,'02_怪物模板_好读版'!$A:$Z,8,FALSE),40)</x:f>
        <x:v>40</x:v>
      </x:c>
      <x:c r="K95" s="31" t="n">
        <x:f>IFERROR(VLOOKUP($A95,'02_怪物模板_好读版'!$A:$Z,9,FALSE),27)</x:f>
        <x:v>27</x:v>
      </x:c>
      <x:c r="L95" s="31" t="n">
        <x:f>IFERROR(VLOOKUP($A95,'02_怪物模板_好读版'!$A:$Z,10,FALSE),0)</x:f>
        <x:v>0</x:v>
      </x:c>
      <x:c r="M95" s="31" t="n">
        <x:f>IFERROR(VLOOKUP($A95,'02_怪物模板_好读版'!$A:$Z,11,FALSE),0)</x:f>
        <x:v>0</x:v>
      </x:c>
      <x:c r="N95" s="31" t="n">
        <x:f>IFERROR(VLOOKUP($A95,'02_怪物模板_好读版'!$A:$Z,12,FALSE),3)</x:f>
        <x:v>3</x:v>
      </x:c>
      <x:c r="O95" s="31" t="str">
        <x:f>IFERROR(VLOOKUP($A95,'02_怪物模板_好读版'!$A:$Z,13,FALSE),"REVIEW")</x:f>
        <x:v>REVIEW</x:v>
      </x:c>
      <x:c r="P95" s="29" t="str">
        <x:v>T1 标准前置T</x:v>
      </x:c>
      <x:c r="Q95" s="29" t="str">
        <x:v>T形/4格</x:v>
      </x:c>
      <x:c r="R95" s="29" t="str">
        <x:v>场地</x:v>
      </x:c>
      <x:c r="S95" s="29" t="str">
        <x:v>healAmpBonus</x:v>
      </x:c>
      <x:c r="T95" s="29" t="str">
        <x:v>水、治疗、后排、增益</x:v>
      </x:c>
      <x:c r="U95" s="29" t="str">
        <x:v>—</x:v>
      </x:c>
      <x:c r="V95" s="29" t="str">
        <x:v>治疗补预算</x:v>
      </x:c>
    </x:row>
    <x:row r="96" ht="22" customHeight="1">
      <x:c r="A96" s="29" t="str">
        <x:v>pal_095</x:v>
      </x:c>
      <x:c r="B96" s="29" t="str">
        <x:v>No.087</x:v>
      </x:c>
      <x:c r="C96" s="29" t="str">
        <x:v>花丽娜</x:v>
      </x:c>
      <x:c r="D96" s="29" t="str">
        <x:v>风</x:v>
      </x:c>
      <x:c r="E96" s="29" t="str">
        <x:v>草</x:v>
      </x:c>
      <x:c r="F96" s="29" t="str">
        <x:v>白银</x:v>
      </x:c>
      <x:c r="G96" s="29" t="str">
        <x:v>小型</x:v>
      </x:c>
      <x:c r="H96" s="29" t="str">
        <x:v>治疗</x:v>
      </x:c>
      <x:c r="I96" s="31" t="n">
        <x:f>IFERROR(VLOOKUP($A96,'02_怪物模板_好读版'!$A:$S,15,FALSE),0)+IFERROR(VLOOKUP($A96,'02_怪物模板_好读版'!$A:$S,16,FALSE),0)</x:f>
        <x:v>0</x:v>
      </x:c>
      <x:c r="J96" s="31" t="n">
        <x:f>IFERROR(VLOOKUP($A96,'02_怪物模板_好读版'!$A:$Z,8,FALSE),25)</x:f>
        <x:v>25</x:v>
      </x:c>
      <x:c r="K96" s="31" t="n">
        <x:f>IFERROR(VLOOKUP($A96,'02_怪物模板_好读版'!$A:$Z,9,FALSE),12)</x:f>
        <x:v>12</x:v>
      </x:c>
      <x:c r="L96" s="31" t="n">
        <x:f>IFERROR(VLOOKUP($A96,'02_怪物模板_好读版'!$A:$Z,10,FALSE),0)</x:f>
        <x:v>0</x:v>
      </x:c>
      <x:c r="M96" s="31" t="n">
        <x:f>IFERROR(VLOOKUP($A96,'02_怪物模板_好读版'!$A:$Z,11,FALSE),0)</x:f>
        <x:v>0</x:v>
      </x:c>
      <x:c r="N96" s="31" t="n">
        <x:f>IFERROR(VLOOKUP($A96,'02_怪物模板_好读版'!$A:$Z,12,FALSE),3)</x:f>
        <x:v>3</x:v>
      </x:c>
      <x:c r="O96" s="31" t="str">
        <x:f>IFERROR(VLOOKUP($A96,'02_怪物模板_好读版'!$A:$Z,13,FALSE),"REVIEW")</x:f>
        <x:v>REVIEW</x:v>
      </x:c>
      <x:c r="P96" s="29" t="str">
        <x:v>T1 标准前置T</x:v>
      </x:c>
      <x:c r="Q96" s="29" t="str">
        <x:v>T形/4格</x:v>
      </x:c>
      <x:c r="R96" s="29" t="str">
        <x:v>场地</x:v>
      </x:c>
      <x:c r="S96" s="29" t="str">
        <x:v>healAmpBonus</x:v>
      </x:c>
      <x:c r="T96" s="29" t="str">
        <x:v>风、治疗、后排、增益</x:v>
      </x:c>
      <x:c r="U96" s="29" t="str">
        <x:v>—</x:v>
      </x:c>
      <x:c r="V96" s="29" t="str">
        <x:v>治疗补预算</x:v>
      </x:c>
    </x:row>
    <x:row r="97" ht="22" customHeight="1">
      <x:c r="A97" s="29" t="str">
        <x:v>pal_096</x:v>
      </x:c>
      <x:c r="B97" s="29" t="str">
        <x:v>No.088</x:v>
      </x:c>
      <x:c r="C97" s="29" t="str">
        <x:v>熔岩兽</x:v>
      </x:c>
      <x:c r="D97" s="29" t="str">
        <x:v>火</x:v>
      </x:c>
      <x:c r="E97" s="29" t="str">
        <x:v>火、地</x:v>
      </x:c>
      <x:c r="F97" s="29" t="str">
        <x:v>白银</x:v>
      </x:c>
      <x:c r="G97" s="29" t="str">
        <x:v>大型</x:v>
      </x:c>
      <x:c r="H97" s="29" t="str">
        <x:v>坦克</x:v>
      </x:c>
      <x:c r="I97" s="31" t="n">
        <x:f>IFERROR(VLOOKUP($A97,'02_怪物模板_好读版'!$A:$S,15,FALSE),0)+IFERROR(VLOOKUP($A97,'02_怪物模板_好读版'!$A:$S,16,FALSE),0)</x:f>
        <x:v>0</x:v>
      </x:c>
      <x:c r="J97" s="31" t="n">
        <x:f>IFERROR(VLOOKUP($A97,'02_怪物模板_好读版'!$A:$Z,8,FALSE),50)</x:f>
        <x:v>50</x:v>
      </x:c>
      <x:c r="K97" s="31" t="n">
        <x:f>IFERROR(VLOOKUP($A97,'02_怪物模板_好读版'!$A:$Z,9,FALSE),35)</x:f>
        <x:v>35</x:v>
      </x:c>
      <x:c r="L97" s="31" t="n">
        <x:f>IFERROR(VLOOKUP($A97,'02_怪物模板_好读版'!$A:$Z,10,FALSE),0)</x:f>
        <x:v>0</x:v>
      </x:c>
      <x:c r="M97" s="31" t="n">
        <x:f>IFERROR(VLOOKUP($A97,'02_怪物模板_好读版'!$A:$Z,11,FALSE),15)</x:f>
        <x:v>15</x:v>
      </x:c>
      <x:c r="N97" s="31" t="n">
        <x:f>IFERROR(VLOOKUP($A97,'02_怪物模板_好读版'!$A:$Z,12,FALSE),2)</x:f>
        <x:v>2</x:v>
      </x:c>
      <x:c r="O97" s="31" t="str">
        <x:f>IFERROR(VLOOKUP($A97,'02_怪物模板_好读版'!$A:$Z,13,FALSE),"REVIEW")</x:f>
        <x:v>REVIEW</x:v>
      </x:c>
      <x:c r="P97" s="29" t="str">
        <x:v>B1 横扫三格</x:v>
      </x:c>
      <x:c r="Q97" s="29" t="str">
        <x:v>扫击/3格</x:v>
      </x:c>
      <x:c r="R97" s="29" t="str">
        <x:v>阻挡</x:v>
      </x:c>
      <x:c r="S97" s="29" t="str">
        <x:v>castleReduce</x:v>
      </x:c>
      <x:c r="T97" s="29" t="str">
        <x:v>火、防御、前排、阻挡</x:v>
      </x:c>
      <x:c r="U97" s="29" t="str">
        <x:v>—</x:v>
      </x:c>
      <x:c r="V97" s="29" t="str">
        <x:v>旧定位=防御</x:v>
      </x:c>
    </x:row>
    <x:row r="98" ht="22" customHeight="1">
      <x:c r="A98" s="29" t="str">
        <x:v>pal_097</x:v>
      </x:c>
      <x:c r="B98" s="29" t="str">
        <x:v>No.088B</x:v>
      </x:c>
      <x:c r="C98" s="29" t="str">
        <x:v>寒霜兽</x:v>
      </x:c>
      <x:c r="D98" s="29" t="str">
        <x:v>水</x:v>
      </x:c>
      <x:c r="E98" s="29" t="str">
        <x:v>冰、地</x:v>
      </x:c>
      <x:c r="F98" s="29" t="str">
        <x:v>白银</x:v>
      </x:c>
      <x:c r="G98" s="29" t="str">
        <x:v>大型</x:v>
      </x:c>
      <x:c r="H98" s="29" t="str">
        <x:v>坦克</x:v>
      </x:c>
      <x:c r="I98" s="31" t="n">
        <x:f>IFERROR(VLOOKUP($A98,'02_怪物模板_好读版'!$A:$S,15,FALSE),0)+IFERROR(VLOOKUP($A98,'02_怪物模板_好读版'!$A:$S,16,FALSE),0)</x:f>
        <x:v>0</x:v>
      </x:c>
      <x:c r="J98" s="31" t="n">
        <x:f>IFERROR(VLOOKUP($A98,'02_怪物模板_好读版'!$A:$Z,8,FALSE),40)</x:f>
        <x:v>40</x:v>
      </x:c>
      <x:c r="K98" s="31" t="n">
        <x:f>IFERROR(VLOOKUP($A98,'02_怪物模板_好读版'!$A:$Z,9,FALSE),3)</x:f>
        <x:v>3</x:v>
      </x:c>
      <x:c r="L98" s="31" t="n">
        <x:f>IFERROR(VLOOKUP($A98,'02_怪物模板_好读版'!$A:$Z,10,FALSE),0)</x:f>
        <x:v>0</x:v>
      </x:c>
      <x:c r="M98" s="31" t="n">
        <x:f>IFERROR(VLOOKUP($A98,'02_怪物模板_好读版'!$A:$Z,11,FALSE),6)</x:f>
        <x:v>6</x:v>
      </x:c>
      <x:c r="N98" s="31" t="n">
        <x:f>IFERROR(VLOOKUP($A98,'02_怪物模板_好读版'!$A:$Z,12,FALSE),3)</x:f>
        <x:v>3</x:v>
      </x:c>
      <x:c r="O98" s="31" t="str">
        <x:f>IFERROR(VLOOKUP($A98,'02_怪物模板_好读版'!$A:$Z,13,FALSE),"mech_damage_cap")</x:f>
        <x:v>mech_damage_cap</x:v>
      </x:c>
      <x:c r="P98" s="29" t="str">
        <x:v>B1 横扫三格</x:v>
      </x:c>
      <x:c r="Q98" s="29" t="str">
        <x:v>扫击/3格</x:v>
      </x:c>
      <x:c r="R98" s="29" t="str">
        <x:v>阻挡</x:v>
      </x:c>
      <x:c r="S98" s="29" t="str">
        <x:v>castleReduce</x:v>
      </x:c>
      <x:c r="T98" s="29" t="str">
        <x:v>水、防御、前排、阻挡</x:v>
      </x:c>
      <x:c r="U98" s="29" t="str">
        <x:v>—</x:v>
      </x:c>
      <x:c r="V98" s="29" t="str">
        <x:v>旧定位=防御</x:v>
      </x:c>
    </x:row>
    <x:row r="99" ht="22" customHeight="1">
      <x:c r="A99" s="29" t="str">
        <x:v>pal_098</x:v>
      </x:c>
      <x:c r="B99" s="29" t="str">
        <x:v>No.089</x:v>
      </x:c>
      <x:c r="C99" s="29" t="str">
        <x:v>君王美露帕</x:v>
      </x:c>
      <x:c r="D99" s="29" t="str">
        <x:v>风</x:v>
      </x:c>
      <x:c r="E99" s="29" t="str"/>
      <x:c r="F99" s="29" t="str">
        <x:v>白银</x:v>
      </x:c>
      <x:c r="G99" s="29" t="str">
        <x:v>中型</x:v>
      </x:c>
      <x:c r="H99" s="29" t="str">
        <x:v>经济</x:v>
      </x:c>
      <x:c r="I99" s="31" t="n">
        <x:f>IFERROR(VLOOKUP($A99,'02_怪物模板_好读版'!$A:$S,15,FALSE),0)+IFERROR(VLOOKUP($A99,'02_怪物模板_好读版'!$A:$S,16,FALSE),0)</x:f>
        <x:v>0</x:v>
      </x:c>
      <x:c r="J99" s="31" t="n">
        <x:f>IFERROR(VLOOKUP($A99,'02_怪物模板_好读版'!$A:$Z,8,FALSE),35)</x:f>
        <x:v>35</x:v>
      </x:c>
      <x:c r="K99" s="31" t="n">
        <x:f>IFERROR(VLOOKUP($A99,'02_怪物模板_好读版'!$A:$Z,9,FALSE),26)</x:f>
        <x:v>26</x:v>
      </x:c>
      <x:c r="L99" s="31" t="n">
        <x:f>IFERROR(VLOOKUP($A99,'02_怪物模板_好读版'!$A:$Z,10,FALSE),0)</x:f>
        <x:v>0</x:v>
      </x:c>
      <x:c r="M99" s="31" t="n">
        <x:f>IFERROR(VLOOKUP($A99,'02_怪物模板_好读版'!$A:$Z,11,FALSE),0)</x:f>
        <x:v>0</x:v>
      </x:c>
      <x:c r="N99" s="31" t="n">
        <x:f>IFERROR(VLOOKUP($A99,'02_怪物模板_好读版'!$A:$Z,12,FALSE),3)</x:f>
        <x:v>3</x:v>
      </x:c>
      <x:c r="O99" s="31" t="str">
        <x:f>IFERROR(VLOOKUP($A99,'02_怪物模板_好读版'!$A:$Z,13,FALSE),"mech_aura")</x:f>
        <x:v>mech_aura</x:v>
      </x:c>
      <x:c r="P99" s="29" t="str">
        <x:v>A1 单点刺</x:v>
      </x:c>
      <x:c r="Q99" s="29" t="str">
        <x:v>直线/1格</x:v>
      </x:c>
      <x:c r="R99" s="29" t="str">
        <x:v>召唤</x:v>
      </x:c>
      <x:c r="S99" s="29" t="str">
        <x:v>buffAllSummons</x:v>
      </x:c>
      <x:c r="T99" s="29" t="str">
        <x:v>风、经济、召唤、发育</x:v>
      </x:c>
      <x:c r="U99" s="29" t="str">
        <x:v>是</x:v>
      </x:c>
      <x:c r="V99" s="29" t="str">
        <x:v>经济补预算</x:v>
      </x:c>
    </x:row>
    <x:row r="100" ht="22" customHeight="1">
      <x:c r="A100" s="29" t="str">
        <x:v>pal_099</x:v>
      </x:c>
      <x:c r="B100" s="29" t="str">
        <x:v>No.089B</x:v>
      </x:c>
      <x:c r="C100" s="29" t="str">
        <x:v>冰帝美露帕</x:v>
      </x:c>
      <x:c r="D100" s="29" t="str">
        <x:v>水</x:v>
      </x:c>
      <x:c r="E100" s="29" t="str">
        <x:v>冰</x:v>
      </x:c>
      <x:c r="F100" s="29" t="str">
        <x:v>白银</x:v>
      </x:c>
      <x:c r="G100" s="29" t="str">
        <x:v>小型</x:v>
      </x:c>
      <x:c r="H100" s="29" t="str">
        <x:v>坦克</x:v>
      </x:c>
      <x:c r="I100" s="31" t="n">
        <x:f>IFERROR(VLOOKUP($A100,'02_怪物模板_好读版'!$A:$S,15,FALSE),0)+IFERROR(VLOOKUP($A100,'02_怪物模板_好读版'!$A:$S,16,FALSE),0)</x:f>
        <x:v>0</x:v>
      </x:c>
      <x:c r="J100" s="31" t="n">
        <x:f>IFERROR(VLOOKUP($A100,'02_怪物模板_好读版'!$A:$Z,8,FALSE),15)</x:f>
        <x:v>15</x:v>
      </x:c>
      <x:c r="K100" s="31" t="n">
        <x:f>IFERROR(VLOOKUP($A100,'02_怪物模板_好读版'!$A:$Z,9,FALSE),8)</x:f>
        <x:v>8</x:v>
      </x:c>
      <x:c r="L100" s="31" t="n">
        <x:f>IFERROR(VLOOKUP($A100,'02_怪物模板_好读版'!$A:$Z,10,FALSE),0)</x:f>
        <x:v>0</x:v>
      </x:c>
      <x:c r="M100" s="31" t="n">
        <x:f>IFERROR(VLOOKUP($A100,'02_怪物模板_好读版'!$A:$Z,11,FALSE),6)</x:f>
        <x:v>6</x:v>
      </x:c>
      <x:c r="N100" s="31" t="n">
        <x:f>IFERROR(VLOOKUP($A100,'02_怪物模板_好读版'!$A:$Z,12,FALSE),3)</x:f>
        <x:v>3</x:v>
      </x:c>
      <x:c r="O100" s="31" t="str">
        <x:f>IFERROR(VLOOKUP($A100,'02_怪物模板_好读版'!$A:$Z,13,FALSE),"REVIEW")</x:f>
        <x:v>REVIEW</x:v>
      </x:c>
      <x:c r="P100" s="29" t="str">
        <x:v>B1 横扫三格</x:v>
      </x:c>
      <x:c r="Q100" s="29" t="str">
        <x:v>扫击/3格</x:v>
      </x:c>
      <x:c r="R100" s="29" t="str">
        <x:v>阻挡</x:v>
      </x:c>
      <x:c r="S100" s="29" t="str">
        <x:v>castleReduce</x:v>
      </x:c>
      <x:c r="T100" s="29" t="str">
        <x:v>水、防御、前排、阻挡</x:v>
      </x:c>
      <x:c r="U100" s="29" t="str">
        <x:v>—</x:v>
      </x:c>
      <x:c r="V100" s="29" t="str">
        <x:v>旧定位=防御</x:v>
      </x:c>
    </x:row>
    <x:row r="101" ht="22" customHeight="1">
      <x:c r="A101" s="29" t="str">
        <x:v>pal_100</x:v>
      </x:c>
      <x:c r="B101" s="29" t="str">
        <x:v>No.090</x:v>
      </x:c>
      <x:c r="C101" s="29" t="str">
        <x:v>森猛犸</x:v>
      </x:c>
      <x:c r="D101" s="29" t="str">
        <x:v>风</x:v>
      </x:c>
      <x:c r="E101" s="29" t="str">
        <x:v>草</x:v>
      </x:c>
      <x:c r="F101" s="29" t="str">
        <x:v>白银</x:v>
      </x:c>
      <x:c r="G101" s="29" t="str">
        <x:v>大型</x:v>
      </x:c>
      <x:c r="H101" s="29" t="str">
        <x:v>坦克</x:v>
      </x:c>
      <x:c r="I101" s="31" t="n">
        <x:f>IFERROR(VLOOKUP($A101,'02_怪物模板_好读版'!$A:$S,15,FALSE),0)+IFERROR(VLOOKUP($A101,'02_怪物模板_好读版'!$A:$S,16,FALSE),0)</x:f>
        <x:v>0</x:v>
      </x:c>
      <x:c r="J101" s="31" t="n">
        <x:f>IFERROR(VLOOKUP($A101,'02_怪物模板_好读版'!$A:$Z,8,FALSE),50)</x:f>
        <x:v>50</x:v>
      </x:c>
      <x:c r="K101" s="31" t="n">
        <x:f>IFERROR(VLOOKUP($A101,'02_怪物模板_好读版'!$A:$Z,9,FALSE),35)</x:f>
        <x:v>35</x:v>
      </x:c>
      <x:c r="L101" s="31" t="n">
        <x:f>IFERROR(VLOOKUP($A101,'02_怪物模板_好读版'!$A:$Z,10,FALSE),0)</x:f>
        <x:v>0</x:v>
      </x:c>
      <x:c r="M101" s="31" t="n">
        <x:f>IFERROR(VLOOKUP($A101,'02_怪物模板_好读版'!$A:$Z,11,FALSE),15)</x:f>
        <x:v>15</x:v>
      </x:c>
      <x:c r="N101" s="31" t="n">
        <x:f>IFERROR(VLOOKUP($A101,'02_怪物模板_好读版'!$A:$Z,12,FALSE),2)</x:f>
        <x:v>2</x:v>
      </x:c>
      <x:c r="O101" s="31" t="str">
        <x:f>IFERROR(VLOOKUP($A101,'02_怪物模板_好读版'!$A:$Z,13,FALSE),"REVIEW")</x:f>
        <x:v>REVIEW</x:v>
      </x:c>
      <x:c r="P101" s="29" t="str">
        <x:v>B1 横扫三格</x:v>
      </x:c>
      <x:c r="Q101" s="29" t="str">
        <x:v>扫击/3格</x:v>
      </x:c>
      <x:c r="R101" s="29" t="str">
        <x:v>阻挡</x:v>
      </x:c>
      <x:c r="S101" s="29" t="str">
        <x:v>castleReduce</x:v>
      </x:c>
      <x:c r="T101" s="29" t="str">
        <x:v>风、防御、前排、阻挡</x:v>
      </x:c>
      <x:c r="U101" s="29" t="str">
        <x:v>—</x:v>
      </x:c>
      <x:c r="V101" s="29" t="str">
        <x:v>旧定位=防御</x:v>
      </x:c>
    </x:row>
    <x:row r="102" ht="22" customHeight="1">
      <x:c r="A102" s="29" t="str">
        <x:v>pal_101</x:v>
      </x:c>
      <x:c r="B102" s="29" t="str">
        <x:v>No.090B</x:v>
      </x:c>
      <x:c r="C102" s="29" t="str">
        <x:v>雪猛犸</x:v>
      </x:c>
      <x:c r="D102" s="29" t="str">
        <x:v>水</x:v>
      </x:c>
      <x:c r="E102" s="29" t="str">
        <x:v>冰</x:v>
      </x:c>
      <x:c r="F102" s="29" t="str">
        <x:v>白银</x:v>
      </x:c>
      <x:c r="G102" s="29" t="str">
        <x:v>大型</x:v>
      </x:c>
      <x:c r="H102" s="29" t="str">
        <x:v>坦克</x:v>
      </x:c>
      <x:c r="I102" s="31" t="n">
        <x:f>IFERROR(VLOOKUP($A102,'02_怪物模板_好读版'!$A:$S,15,FALSE),0)+IFERROR(VLOOKUP($A102,'02_怪物模板_好读版'!$A:$S,16,FALSE),0)</x:f>
        <x:v>0</x:v>
      </x:c>
      <x:c r="J102" s="31" t="n">
        <x:f>IFERROR(VLOOKUP($A102,'02_怪物模板_好读版'!$A:$Z,8,FALSE),35)</x:f>
        <x:v>35</x:v>
      </x:c>
      <x:c r="K102" s="31" t="n">
        <x:f>IFERROR(VLOOKUP($A102,'02_怪物模板_好读版'!$A:$Z,9,FALSE),4)</x:f>
        <x:v>4</x:v>
      </x:c>
      <x:c r="L102" s="31" t="n">
        <x:f>IFERROR(VLOOKUP($A102,'02_怪物模板_好读版'!$A:$Z,10,FALSE),0)</x:f>
        <x:v>0</x:v>
      </x:c>
      <x:c r="M102" s="31" t="n">
        <x:f>IFERROR(VLOOKUP($A102,'02_怪物模板_好读版'!$A:$Z,11,FALSE),15)</x:f>
        <x:v>15</x:v>
      </x:c>
      <x:c r="N102" s="31" t="n">
        <x:f>IFERROR(VLOOKUP($A102,'02_怪物模板_好读版'!$A:$Z,12,FALSE),4)</x:f>
        <x:v>4</x:v>
      </x:c>
      <x:c r="O102" s="31" t="str">
        <x:f>IFERROR(VLOOKUP($A102,'02_怪物模板_好读版'!$A:$Z,13,FALSE),"mech_shield_regen,mech_pierce_shield")</x:f>
        <x:v>mech_shield_regen,mech_pierce_shield</x:v>
      </x:c>
      <x:c r="P102" s="29" t="str">
        <x:v>B1 横扫三格</x:v>
      </x:c>
      <x:c r="Q102" s="29" t="str">
        <x:v>扫击/3格</x:v>
      </x:c>
      <x:c r="R102" s="29" t="str">
        <x:v>阻挡</x:v>
      </x:c>
      <x:c r="S102" s="29" t="str">
        <x:v>castleReduce</x:v>
      </x:c>
      <x:c r="T102" s="29" t="str">
        <x:v>水、防御、前排、阻挡</x:v>
      </x:c>
      <x:c r="U102" s="29" t="str">
        <x:v>—</x:v>
      </x:c>
      <x:c r="V102" s="29" t="str">
        <x:v>旧定位=防御</x:v>
      </x:c>
    </x:row>
    <x:row r="103" ht="22" customHeight="1">
      <x:c r="A103" s="29" t="str">
        <x:v>pal_102</x:v>
      </x:c>
      <x:c r="B103" s="29" t="str">
        <x:v>No.091</x:v>
      </x:c>
      <x:c r="C103" s="29" t="str">
        <x:v>白绒雪怪</x:v>
      </x:c>
      <x:c r="D103" s="29" t="str">
        <x:v>水</x:v>
      </x:c>
      <x:c r="E103" s="29" t="str">
        <x:v>冰</x:v>
      </x:c>
      <x:c r="F103" s="29" t="str">
        <x:v>白银</x:v>
      </x:c>
      <x:c r="G103" s="29" t="str">
        <x:v>小型</x:v>
      </x:c>
      <x:c r="H103" s="29" t="str">
        <x:v>坦克</x:v>
      </x:c>
      <x:c r="I103" s="31" t="n">
        <x:f>IFERROR(VLOOKUP($A103,'02_怪物模板_好读版'!$A:$S,15,FALSE),0)+IFERROR(VLOOKUP($A103,'02_怪物模板_好读版'!$A:$S,16,FALSE),0)</x:f>
        <x:v>0</x:v>
      </x:c>
      <x:c r="J103" s="31" t="n">
        <x:f>IFERROR(VLOOKUP($A103,'02_怪物模板_好读版'!$A:$Z,8,FALSE),15)</x:f>
        <x:v>15</x:v>
      </x:c>
      <x:c r="K103" s="31" t="n">
        <x:f>IFERROR(VLOOKUP($A103,'02_怪物模板_好读版'!$A:$Z,9,FALSE),8)</x:f>
        <x:v>8</x:v>
      </x:c>
      <x:c r="L103" s="31" t="n">
        <x:f>IFERROR(VLOOKUP($A103,'02_怪物模板_好读版'!$A:$Z,10,FALSE),0)</x:f>
        <x:v>0</x:v>
      </x:c>
      <x:c r="M103" s="31" t="n">
        <x:f>IFERROR(VLOOKUP($A103,'02_怪物模板_好读版'!$A:$Z,11,FALSE),6)</x:f>
        <x:v>6</x:v>
      </x:c>
      <x:c r="N103" s="31" t="n">
        <x:f>IFERROR(VLOOKUP($A103,'02_怪物模板_好读版'!$A:$Z,12,FALSE),3)</x:f>
        <x:v>3</x:v>
      </x:c>
      <x:c r="O103" s="31" t="str">
        <x:f>IFERROR(VLOOKUP($A103,'02_怪物模板_好读版'!$A:$Z,13,FALSE),"REVIEW")</x:f>
        <x:v>REVIEW</x:v>
      </x:c>
      <x:c r="P103" s="29" t="str">
        <x:v>B1 横扫三格</x:v>
      </x:c>
      <x:c r="Q103" s="29" t="str">
        <x:v>扫击/3格</x:v>
      </x:c>
      <x:c r="R103" s="29" t="str">
        <x:v>阻挡</x:v>
      </x:c>
      <x:c r="S103" s="29" t="str">
        <x:v>castleReduce</x:v>
      </x:c>
      <x:c r="T103" s="29" t="str">
        <x:v>水、防御、前排、阻挡</x:v>
      </x:c>
      <x:c r="U103" s="29" t="str">
        <x:v>—</x:v>
      </x:c>
      <x:c r="V103" s="29" t="str">
        <x:v>旧定位=防御</x:v>
      </x:c>
    </x:row>
    <x:row r="104" ht="22" customHeight="1">
      <x:c r="A104" s="29" t="str">
        <x:v>pal_103</x:v>
      </x:c>
      <x:c r="B104" s="29" t="str">
        <x:v>No.091B</x:v>
      </x:c>
      <x:c r="C104" s="29" t="str">
        <x:v>绿苔绒怪</x:v>
      </x:c>
      <x:c r="D104" s="29" t="str">
        <x:v>风</x:v>
      </x:c>
      <x:c r="E104" s="29" t="str">
        <x:v>草</x:v>
      </x:c>
      <x:c r="F104" s="29" t="str">
        <x:v>白银</x:v>
      </x:c>
      <x:c r="G104" s="29" t="str">
        <x:v>小型</x:v>
      </x:c>
      <x:c r="H104" s="29" t="str">
        <x:v>坦克</x:v>
      </x:c>
      <x:c r="I104" s="31" t="n">
        <x:f>IFERROR(VLOOKUP($A104,'02_怪物模板_好读版'!$A:$S,15,FALSE),0)+IFERROR(VLOOKUP($A104,'02_怪物模板_好读版'!$A:$S,16,FALSE),0)</x:f>
        <x:v>0</x:v>
      </x:c>
      <x:c r="J104" s="31" t="n">
        <x:f>IFERROR(VLOOKUP($A104,'02_怪物模板_好读版'!$A:$Z,8,FALSE),15)</x:f>
        <x:v>15</x:v>
      </x:c>
      <x:c r="K104" s="31" t="n">
        <x:f>IFERROR(VLOOKUP($A104,'02_怪物模板_好读版'!$A:$Z,9,FALSE),8)</x:f>
        <x:v>8</x:v>
      </x:c>
      <x:c r="L104" s="31" t="n">
        <x:f>IFERROR(VLOOKUP($A104,'02_怪物模板_好读版'!$A:$Z,10,FALSE),0)</x:f>
        <x:v>0</x:v>
      </x:c>
      <x:c r="M104" s="31" t="n">
        <x:f>IFERROR(VLOOKUP($A104,'02_怪物模板_好读版'!$A:$Z,11,FALSE),6)</x:f>
        <x:v>6</x:v>
      </x:c>
      <x:c r="N104" s="31" t="n">
        <x:f>IFERROR(VLOOKUP($A104,'02_怪物模板_好读版'!$A:$Z,12,FALSE),3)</x:f>
        <x:v>3</x:v>
      </x:c>
      <x:c r="O104" s="31" t="str">
        <x:f>IFERROR(VLOOKUP($A104,'02_怪物模板_好读版'!$A:$Z,13,FALSE),"REVIEW")</x:f>
        <x:v>REVIEW</x:v>
      </x:c>
      <x:c r="P104" s="29" t="str">
        <x:v>B1 横扫三格</x:v>
      </x:c>
      <x:c r="Q104" s="29" t="str">
        <x:v>扫击/3格</x:v>
      </x:c>
      <x:c r="R104" s="29" t="str">
        <x:v>阻挡</x:v>
      </x:c>
      <x:c r="S104" s="29" t="str">
        <x:v>castleReduce</x:v>
      </x:c>
      <x:c r="T104" s="29" t="str">
        <x:v>风、防御、前排、阻挡</x:v>
      </x:c>
      <x:c r="U104" s="29" t="str">
        <x:v>—</x:v>
      </x:c>
      <x:c r="V104" s="29" t="str">
        <x:v>旧定位=防御</x:v>
      </x:c>
    </x:row>
    <x:row r="105" ht="22" customHeight="1">
      <x:c r="A105" s="29" t="str">
        <x:v>pal_104</x:v>
      </x:c>
      <x:c r="B105" s="29" t="str">
        <x:v>No.092</x:v>
      </x:c>
      <x:c r="C105" s="29" t="str">
        <x:v>铠格力斯</x:v>
      </x:c>
      <x:c r="D105" s="29" t="str">
        <x:v>土</x:v>
      </x:c>
      <x:c r="E105" s="29" t="str">
        <x:v>地、草</x:v>
      </x:c>
      <x:c r="F105" s="29" t="str">
        <x:v>白银</x:v>
      </x:c>
      <x:c r="G105" s="29" t="str">
        <x:v>小型</x:v>
      </x:c>
      <x:c r="H105" s="29" t="str">
        <x:v>坦克</x:v>
      </x:c>
      <x:c r="I105" s="31" t="n">
        <x:f>IFERROR(VLOOKUP($A105,'02_怪物模板_好读版'!$A:$S,15,FALSE),0)+IFERROR(VLOOKUP($A105,'02_怪物模板_好读版'!$A:$S,16,FALSE),0)</x:f>
        <x:v>0</x:v>
      </x:c>
      <x:c r="J105" s="31" t="n">
        <x:f>IFERROR(VLOOKUP($A105,'02_怪物模板_好读版'!$A:$Z,8,FALSE),15)</x:f>
        <x:v>15</x:v>
      </x:c>
      <x:c r="K105" s="31" t="n">
        <x:f>IFERROR(VLOOKUP($A105,'02_怪物模板_好读版'!$A:$Z,9,FALSE),8)</x:f>
        <x:v>8</x:v>
      </x:c>
      <x:c r="L105" s="31" t="n">
        <x:f>IFERROR(VLOOKUP($A105,'02_怪物模板_好读版'!$A:$Z,10,FALSE),0)</x:f>
        <x:v>0</x:v>
      </x:c>
      <x:c r="M105" s="31" t="n">
        <x:f>IFERROR(VLOOKUP($A105,'02_怪物模板_好读版'!$A:$Z,11,FALSE),6)</x:f>
        <x:v>6</x:v>
      </x:c>
      <x:c r="N105" s="31" t="n">
        <x:f>IFERROR(VLOOKUP($A105,'02_怪物模板_好读版'!$A:$Z,12,FALSE),3)</x:f>
        <x:v>3</x:v>
      </x:c>
      <x:c r="O105" s="31" t="str">
        <x:f>IFERROR(VLOOKUP($A105,'02_怪物模板_好读版'!$A:$Z,13,FALSE),"REVIEW")</x:f>
        <x:v>REVIEW</x:v>
      </x:c>
      <x:c r="P105" s="29" t="str">
        <x:v>B1 横扫三格</x:v>
      </x:c>
      <x:c r="Q105" s="29" t="str">
        <x:v>扫击/3格</x:v>
      </x:c>
      <x:c r="R105" s="29" t="str">
        <x:v>阻挡</x:v>
      </x:c>
      <x:c r="S105" s="29" t="str">
        <x:v>castleReduce</x:v>
      </x:c>
      <x:c r="T105" s="29" t="str">
        <x:v>土、防御、前排、阻挡</x:v>
      </x:c>
      <x:c r="U105" s="29" t="str">
        <x:v>—</x:v>
      </x:c>
      <x:c r="V105" s="29" t="str">
        <x:v>旧定位=防御</x:v>
      </x:c>
    </x:row>
    <x:row r="106" ht="22" customHeight="1">
      <x:c r="A106" s="29" t="str">
        <x:v>pal_105</x:v>
      </x:c>
      <x:c r="B106" s="29" t="str">
        <x:v>No.093</x:v>
      </x:c>
      <x:c r="C106" s="29" t="str">
        <x:v>云海鹿</x:v>
      </x:c>
      <x:c r="D106" s="29" t="str">
        <x:v>风</x:v>
      </x:c>
      <x:c r="E106" s="29" t="str"/>
      <x:c r="F106" s="29" t="str">
        <x:v>白银</x:v>
      </x:c>
      <x:c r="G106" s="29" t="str">
        <x:v>小型</x:v>
      </x:c>
      <x:c r="H106" s="29" t="str">
        <x:v>机动</x:v>
      </x:c>
      <x:c r="I106" s="31" t="n">
        <x:f>IFERROR(VLOOKUP($A106,'02_怪物模板_好读版'!$A:$S,15,FALSE),0)+IFERROR(VLOOKUP($A106,'02_怪物模板_好读版'!$A:$S,16,FALSE),0)</x:f>
        <x:v>0</x:v>
      </x:c>
      <x:c r="J106" s="31" t="n">
        <x:f>IFERROR(VLOOKUP($A106,'02_怪物模板_好读版'!$A:$Z,8,FALSE),10)</x:f>
        <x:v>10</x:v>
      </x:c>
      <x:c r="K106" s="31" t="n">
        <x:f>IFERROR(VLOOKUP($A106,'02_怪物模板_好读版'!$A:$Z,9,FALSE),17)</x:f>
        <x:v>17</x:v>
      </x:c>
      <x:c r="L106" s="31" t="n">
        <x:f>IFERROR(VLOOKUP($A106,'02_怪物模板_好读版'!$A:$Z,10,FALSE),0)</x:f>
        <x:v>0</x:v>
      </x:c>
      <x:c r="M106" s="31" t="n">
        <x:f>IFERROR(VLOOKUP($A106,'02_怪物模板_好读版'!$A:$Z,11,FALSE),0)</x:f>
        <x:v>0</x:v>
      </x:c>
      <x:c r="N106" s="31" t="n">
        <x:f>IFERROR(VLOOKUP($A106,'02_怪物模板_好读版'!$A:$Z,12,FALSE),3)</x:f>
        <x:v>3</x:v>
      </x:c>
      <x:c r="O106" s="31" t="str">
        <x:f>IFERROR(VLOOKUP($A106,'02_怪物模板_好读版'!$A:$Z,13,FALSE),"REVIEW")</x:f>
        <x:v>REVIEW</x:v>
      </x:c>
      <x:c r="P106" s="29" t="str">
        <x:v>T2 长柄T</x:v>
      </x:c>
      <x:c r="Q106" s="29" t="str">
        <x:v>T形/5格</x:v>
      </x:c>
      <x:c r="R106" s="29" t="str">
        <x:v>牵制</x:v>
      </x:c>
      <x:c r="S106" s="29" t="str">
        <x:v>advHitBonus</x:v>
      </x:c>
      <x:c r="T106" s="29" t="str">
        <x:v>风、机动、灵活、泛用</x:v>
      </x:c>
      <x:c r="U106" s="29" t="str">
        <x:v>—</x:v>
      </x:c>
      <x:c r="V106" s="29" t="str"/>
    </x:row>
    <x:row r="107" ht="22" customHeight="1">
      <x:c r="A107" s="29" t="str">
        <x:v>pal_106</x:v>
      </x:c>
      <x:c r="B107" s="29" t="str">
        <x:v>No.094</x:v>
      </x:c>
      <x:c r="C107" s="29" t="str">
        <x:v>夜幕魔蝠</x:v>
      </x:c>
      <x:c r="D107" s="29" t="str">
        <x:v>土</x:v>
      </x:c>
      <x:c r="E107" s="29" t="str">
        <x:v>暗</x:v>
      </x:c>
      <x:c r="F107" s="29" t="str">
        <x:v>白银</x:v>
      </x:c>
      <x:c r="G107" s="29" t="str">
        <x:v>大型</x:v>
      </x:c>
      <x:c r="H107" s="29" t="str">
        <x:v>坦克</x:v>
      </x:c>
      <x:c r="I107" s="31" t="n">
        <x:f>IFERROR(VLOOKUP($A107,'02_怪物模板_好读版'!$A:$S,15,FALSE),0)+IFERROR(VLOOKUP($A107,'02_怪物模板_好读版'!$A:$S,16,FALSE),0)</x:f>
        <x:v>0</x:v>
      </x:c>
      <x:c r="J107" s="31" t="n">
        <x:f>IFERROR(VLOOKUP($A107,'02_怪物模板_好读版'!$A:$Z,8,FALSE),35)</x:f>
        <x:v>35</x:v>
      </x:c>
      <x:c r="K107" s="31" t="n">
        <x:f>IFERROR(VLOOKUP($A107,'02_怪物模板_好读版'!$A:$Z,9,FALSE),3)</x:f>
        <x:v>3</x:v>
      </x:c>
      <x:c r="L107" s="31" t="n">
        <x:f>IFERROR(VLOOKUP($A107,'02_怪物模板_好读版'!$A:$Z,10,FALSE),0)</x:f>
        <x:v>0</x:v>
      </x:c>
      <x:c r="M107" s="31" t="n">
        <x:f>IFERROR(VLOOKUP($A107,'02_怪物模板_好读版'!$A:$Z,11,FALSE),6)</x:f>
        <x:v>6</x:v>
      </x:c>
      <x:c r="N107" s="31" t="n">
        <x:f>IFERROR(VLOOKUP($A107,'02_怪物模板_好读版'!$A:$Z,12,FALSE),3)</x:f>
        <x:v>3</x:v>
      </x:c>
      <x:c r="O107" s="31" t="str">
        <x:f>IFERROR(VLOOKUP($A107,'02_怪物模板_好读版'!$A:$Z,13,FALSE),"mech_summon,mech_revive")</x:f>
        <x:v>mech_summon,mech_revive</x:v>
      </x:c>
      <x:c r="P107" s="29" t="str">
        <x:v>B1 横扫三格</x:v>
      </x:c>
      <x:c r="Q107" s="29" t="str">
        <x:v>扫击/3格</x:v>
      </x:c>
      <x:c r="R107" s="29" t="str">
        <x:v>阻挡</x:v>
      </x:c>
      <x:c r="S107" s="29" t="str">
        <x:v>castleReduce</x:v>
      </x:c>
      <x:c r="T107" s="29" t="str">
        <x:v>土、防御、前排、阻挡</x:v>
      </x:c>
      <x:c r="U107" s="29" t="str">
        <x:v>—</x:v>
      </x:c>
      <x:c r="V107" s="29" t="str">
        <x:v>旧定位=防御</x:v>
      </x:c>
    </x:row>
    <x:row r="108" ht="22" customHeight="1">
      <x:c r="A108" s="29" t="str">
        <x:v>pal_107</x:v>
      </x:c>
      <x:c r="B108" s="29" t="str">
        <x:v>No.095</x:v>
      </x:c>
      <x:c r="C108" s="29" t="str">
        <x:v>天羽龙</x:v>
      </x:c>
      <x:c r="D108" s="29" t="str">
        <x:v>风</x:v>
      </x:c>
      <x:c r="E108" s="29" t="str">
        <x:v>龙</x:v>
      </x:c>
      <x:c r="F108" s="29" t="str">
        <x:v>白银</x:v>
      </x:c>
      <x:c r="G108" s="29" t="str">
        <x:v>大型</x:v>
      </x:c>
      <x:c r="H108" s="29" t="str">
        <x:v>机动</x:v>
      </x:c>
      <x:c r="I108" s="31" t="n">
        <x:f>IFERROR(VLOOKUP($A108,'02_怪物模板_好读版'!$A:$S,15,FALSE),0)+IFERROR(VLOOKUP($A108,'02_怪物模板_好读版'!$A:$S,16,FALSE),0)</x:f>
        <x:v>0</x:v>
      </x:c>
      <x:c r="J108" s="31" t="n">
        <x:f>IFERROR(VLOOKUP($A108,'02_怪物模板_好读版'!$A:$Z,8,FALSE),70)</x:f>
        <x:v>70</x:v>
      </x:c>
      <x:c r="K108" s="31" t="n">
        <x:f>IFERROR(VLOOKUP($A108,'02_怪物模板_好读版'!$A:$Z,9,FALSE),49)</x:f>
        <x:v>49</x:v>
      </x:c>
      <x:c r="L108" s="31" t="n">
        <x:f>IFERROR(VLOOKUP($A108,'02_怪物模板_好读版'!$A:$Z,10,FALSE),0)</x:f>
        <x:v>0</x:v>
      </x:c>
      <x:c r="M108" s="31" t="n">
        <x:f>IFERROR(VLOOKUP($A108,'02_怪物模板_好读版'!$A:$Z,11,FALSE),0)</x:f>
        <x:v>0</x:v>
      </x:c>
      <x:c r="N108" s="31" t="n">
        <x:f>IFERROR(VLOOKUP($A108,'02_怪物模板_好读版'!$A:$Z,12,FALSE),3)</x:f>
        <x:v>3</x:v>
      </x:c>
      <x:c r="O108" s="31" t="str">
        <x:f>IFERROR(VLOOKUP($A108,'02_怪物模板_好读版'!$A:$Z,13,FALSE),"REVIEW")</x:f>
        <x:v>REVIEW</x:v>
      </x:c>
      <x:c r="P108" s="29" t="str">
        <x:v>T2 长柄T</x:v>
      </x:c>
      <x:c r="Q108" s="29" t="str">
        <x:v>T形/5格</x:v>
      </x:c>
      <x:c r="R108" s="29" t="str">
        <x:v>牵制</x:v>
      </x:c>
      <x:c r="S108" s="29" t="str">
        <x:v>advHitBonus</x:v>
      </x:c>
      <x:c r="T108" s="29" t="str">
        <x:v>风、机动、灵活、泛用</x:v>
      </x:c>
      <x:c r="U108" s="29" t="str">
        <x:v>—</x:v>
      </x:c>
      <x:c r="V108" s="29" t="str"/>
    </x:row>
    <x:row r="109" ht="22" customHeight="1">
      <x:c r="A109" s="29" t="str">
        <x:v>pal_108</x:v>
      </x:c>
      <x:c r="B109" s="29" t="str">
        <x:v>No.096</x:v>
      </x:c>
      <x:c r="C109" s="29" t="str">
        <x:v>焰煌</x:v>
      </x:c>
      <x:c r="D109" s="29" t="str">
        <x:v>火</x:v>
      </x:c>
      <x:c r="E109" s="29" t="str"/>
      <x:c r="F109" s="29" t="str">
        <x:v>白银</x:v>
      </x:c>
      <x:c r="G109" s="29" t="str">
        <x:v>大型</x:v>
      </x:c>
      <x:c r="H109" s="29" t="str">
        <x:v>输出</x:v>
      </x:c>
      <x:c r="I109" s="31" t="n">
        <x:f>IFERROR(VLOOKUP($A109,'02_怪物模板_好读版'!$A:$S,15,FALSE),0)+IFERROR(VLOOKUP($A109,'02_怪物模板_好读版'!$A:$S,16,FALSE),0)</x:f>
        <x:v>0</x:v>
      </x:c>
      <x:c r="J109" s="31" t="n">
        <x:f>IFERROR(VLOOKUP($A109,'02_怪物模板_好读版'!$A:$Z,8,FALSE),60)</x:f>
        <x:v>60</x:v>
      </x:c>
      <x:c r="K109" s="31" t="n">
        <x:f>IFERROR(VLOOKUP($A109,'02_怪物模板_好读版'!$A:$Z,9,FALSE),55)</x:f>
        <x:v>55</x:v>
      </x:c>
      <x:c r="L109" s="31" t="n">
        <x:f>IFERROR(VLOOKUP($A109,'02_怪物模板_好读版'!$A:$Z,10,FALSE),0)</x:f>
        <x:v>0</x:v>
      </x:c>
      <x:c r="M109" s="31" t="n">
        <x:f>IFERROR(VLOOKUP($A109,'02_怪物模板_好读版'!$A:$Z,11,FALSE),0)</x:f>
        <x:v>0</x:v>
      </x:c>
      <x:c r="N109" s="31" t="n">
        <x:f>IFERROR(VLOOKUP($A109,'02_怪物模板_好读版'!$A:$Z,12,FALSE),3)</x:f>
        <x:v>3</x:v>
      </x:c>
      <x:c r="O109" s="31" t="str">
        <x:f>IFERROR(VLOOKUP($A109,'02_怪物模板_好读版'!$A:$Z,13,FALSE),"REVIEW")</x:f>
        <x:v>REVIEW</x:v>
      </x:c>
      <x:c r="P109" s="29" t="str">
        <x:v>B1 横扫三格</x:v>
      </x:c>
      <x:c r="Q109" s="29" t="str">
        <x:v>扫击/3格</x:v>
      </x:c>
      <x:c r="R109" s="29" t="str">
        <x:v>输出</x:v>
      </x:c>
      <x:c r="S109" s="29" t="str">
        <x:v>castleReduce</x:v>
      </x:c>
      <x:c r="T109" s="29" t="str">
        <x:v>火、输出、爆发、前排</x:v>
      </x:c>
      <x:c r="U109" s="29" t="str">
        <x:v>—</x:v>
      </x:c>
      <x:c r="V109" s="29" t="str"/>
    </x:row>
    <x:row r="110" ht="22" customHeight="1">
      <x:c r="A110" s="29" t="str">
        <x:v>pal_109</x:v>
      </x:c>
      <x:c r="B110" s="29" t="str">
        <x:v>No.097</x:v>
      </x:c>
      <x:c r="C110" s="29" t="str">
        <x:v>雷冥鸟</x:v>
      </x:c>
      <x:c r="D110" s="29" t="str">
        <x:v>土</x:v>
      </x:c>
      <x:c r="E110" s="29" t="str">
        <x:v>暗</x:v>
      </x:c>
      <x:c r="F110" s="29" t="str">
        <x:v>白银</x:v>
      </x:c>
      <x:c r="G110" s="29" t="str">
        <x:v>小型</x:v>
      </x:c>
      <x:c r="H110" s="29" t="str">
        <x:v>机动</x:v>
      </x:c>
      <x:c r="I110" s="31" t="n">
        <x:f>IFERROR(VLOOKUP($A110,'02_怪物模板_好读版'!$A:$S,15,FALSE),0)+IFERROR(VLOOKUP($A110,'02_怪物模板_好读版'!$A:$S,16,FALSE),0)</x:f>
        <x:v>0</x:v>
      </x:c>
      <x:c r="J110" s="31" t="n">
        <x:f>IFERROR(VLOOKUP($A110,'02_怪物模板_好读版'!$A:$Z,8,FALSE),10)</x:f>
        <x:v>10</x:v>
      </x:c>
      <x:c r="K110" s="31" t="n">
        <x:f>IFERROR(VLOOKUP($A110,'02_怪物模板_好读版'!$A:$Z,9,FALSE),17)</x:f>
        <x:v>17</x:v>
      </x:c>
      <x:c r="L110" s="31" t="n">
        <x:f>IFERROR(VLOOKUP($A110,'02_怪物模板_好读版'!$A:$Z,10,FALSE),0)</x:f>
        <x:v>0</x:v>
      </x:c>
      <x:c r="M110" s="31" t="n">
        <x:f>IFERROR(VLOOKUP($A110,'02_怪物模板_好读版'!$A:$Z,11,FALSE),0)</x:f>
        <x:v>0</x:v>
      </x:c>
      <x:c r="N110" s="31" t="n">
        <x:f>IFERROR(VLOOKUP($A110,'02_怪物模板_好读版'!$A:$Z,12,FALSE),3)</x:f>
        <x:v>3</x:v>
      </x:c>
      <x:c r="O110" s="31" t="str">
        <x:f>IFERROR(VLOOKUP($A110,'02_怪物模板_好读版'!$A:$Z,13,FALSE),"REVIEW")</x:f>
        <x:v>REVIEW</x:v>
      </x:c>
      <x:c r="P110" s="29" t="str">
        <x:v>T2 长柄T</x:v>
      </x:c>
      <x:c r="Q110" s="29" t="str">
        <x:v>T形/5格</x:v>
      </x:c>
      <x:c r="R110" s="29" t="str">
        <x:v>牵制</x:v>
      </x:c>
      <x:c r="S110" s="29" t="str">
        <x:v>advHitBonus</x:v>
      </x:c>
      <x:c r="T110" s="29" t="str">
        <x:v>土、机动、灵活、泛用</x:v>
      </x:c>
      <x:c r="U110" s="29" t="str">
        <x:v>—</x:v>
      </x:c>
      <x:c r="V110" s="29" t="str"/>
    </x:row>
    <x:row r="111" ht="22" customHeight="1">
      <x:c r="A111" s="29" t="str">
        <x:v>pal_110</x:v>
      </x:c>
      <x:c r="B111" s="29" t="str">
        <x:v>No.098</x:v>
      </x:c>
      <x:c r="C111" s="29" t="str">
        <x:v>魔渊龙</x:v>
      </x:c>
      <x:c r="D111" s="29" t="str">
        <x:v>土</x:v>
      </x:c>
      <x:c r="E111" s="29" t="str">
        <x:v>龙、暗</x:v>
      </x:c>
      <x:c r="F111" s="29" t="str">
        <x:v>白银</x:v>
      </x:c>
      <x:c r="G111" s="29" t="str">
        <x:v>大型</x:v>
      </x:c>
      <x:c r="H111" s="29" t="str">
        <x:v>坦克</x:v>
      </x:c>
      <x:c r="I111" s="31" t="n">
        <x:f>IFERROR(VLOOKUP($A111,'02_怪物模板_好读版'!$A:$S,15,FALSE),0)+IFERROR(VLOOKUP($A111,'02_怪物模板_好读版'!$A:$S,16,FALSE),0)</x:f>
        <x:v>0</x:v>
      </x:c>
      <x:c r="J111" s="31" t="n">
        <x:f>IFERROR(VLOOKUP($A111,'02_怪物模板_好读版'!$A:$Z,8,FALSE),50)</x:f>
        <x:v>50</x:v>
      </x:c>
      <x:c r="K111" s="31" t="n">
        <x:f>IFERROR(VLOOKUP($A111,'02_怪物模板_好读版'!$A:$Z,9,FALSE),4)</x:f>
        <x:v>4</x:v>
      </x:c>
      <x:c r="L111" s="31" t="n">
        <x:f>IFERROR(VLOOKUP($A111,'02_怪物模板_好读版'!$A:$Z,10,FALSE),6)</x:f>
        <x:v>6</x:v>
      </x:c>
      <x:c r="M111" s="31" t="n">
        <x:f>IFERROR(VLOOKUP($A111,'02_怪物模板_好读版'!$A:$Z,11,FALSE),6)</x:f>
        <x:v>6</x:v>
      </x:c>
      <x:c r="N111" s="31" t="n">
        <x:f>IFERROR(VLOOKUP($A111,'02_怪物模板_好读版'!$A:$Z,12,FALSE),4)</x:f>
        <x:v>4</x:v>
      </x:c>
      <x:c r="O111" s="31" t="str">
        <x:f>IFERROR(VLOOKUP($A111,'02_怪物模板_好读版'!$A:$Z,13,FALSE),"mech_firm_threshold,mech_curse")</x:f>
        <x:v>mech_firm_threshold,mech_curse</x:v>
      </x:c>
      <x:c r="P111" s="29" t="str">
        <x:v>B1 横扫三格</x:v>
      </x:c>
      <x:c r="Q111" s="29" t="str">
        <x:v>扫击/3格</x:v>
      </x:c>
      <x:c r="R111" s="29" t="str">
        <x:v>阻挡</x:v>
      </x:c>
      <x:c r="S111" s="29" t="str">
        <x:v>castleReduce</x:v>
      </x:c>
      <x:c r="T111" s="29" t="str">
        <x:v>土、防御、前排、阻挡</x:v>
      </x:c>
      <x:c r="U111" s="29" t="str">
        <x:v>—</x:v>
      </x:c>
      <x:c r="V111" s="29" t="str">
        <x:v>旧定位=防御</x:v>
      </x:c>
    </x:row>
    <x:row r="112" ht="22" customHeight="1">
      <x:c r="A112" s="29" t="str">
        <x:v>pal_111</x:v>
      </x:c>
      <x:c r="B112" s="29" t="str">
        <x:v>No.099</x:v>
      </x:c>
      <x:c r="C112" s="29" t="str">
        <x:v>冥铠蝎</x:v>
      </x:c>
      <x:c r="D112" s="29" t="str">
        <x:v>土</x:v>
      </x:c>
      <x:c r="E112" s="29" t="str">
        <x:v>暗、地</x:v>
      </x:c>
      <x:c r="F112" s="29" t="str">
        <x:v>黄金</x:v>
      </x:c>
      <x:c r="G112" s="29" t="str">
        <x:v>小型</x:v>
      </x:c>
      <x:c r="H112" s="29" t="str">
        <x:v>坦克</x:v>
      </x:c>
      <x:c r="I112" s="31" t="n">
        <x:f>IFERROR(VLOOKUP($A112,'02_怪物模板_好读版'!$A:$S,15,FALSE),0)+IFERROR(VLOOKUP($A112,'02_怪物模板_好读版'!$A:$S,16,FALSE),0)</x:f>
        <x:v>0</x:v>
      </x:c>
      <x:c r="J112" s="31" t="n">
        <x:f>IFERROR(VLOOKUP($A112,'02_怪物模板_好读版'!$A:$Z,8,FALSE),20)</x:f>
        <x:v>20</x:v>
      </x:c>
      <x:c r="K112" s="31" t="n">
        <x:f>IFERROR(VLOOKUP($A112,'02_怪物模板_好读版'!$A:$Z,9,FALSE),17)</x:f>
        <x:v>17</x:v>
      </x:c>
      <x:c r="L112" s="31" t="n">
        <x:f>IFERROR(VLOOKUP($A112,'02_怪物模板_好读版'!$A:$Z,10,FALSE),0)</x:f>
        <x:v>0</x:v>
      </x:c>
      <x:c r="M112" s="31" t="n">
        <x:f>IFERROR(VLOOKUP($A112,'02_怪物模板_好读版'!$A:$Z,11,FALSE),10)</x:f>
        <x:v>10</x:v>
      </x:c>
      <x:c r="N112" s="31" t="n">
        <x:f>IFERROR(VLOOKUP($A112,'02_怪物模板_好读版'!$A:$Z,12,FALSE),3)</x:f>
        <x:v>3</x:v>
      </x:c>
      <x:c r="O112" s="31" t="str">
        <x:f>IFERROR(VLOOKUP($A112,'02_怪物模板_好读版'!$A:$Z,13,FALSE),"REVIEW")</x:f>
        <x:v>REVIEW</x:v>
      </x:c>
      <x:c r="P112" s="29" t="str">
        <x:v>T1 标准前置T</x:v>
      </x:c>
      <x:c r="Q112" s="29" t="str">
        <x:v>T形/4格</x:v>
      </x:c>
      <x:c r="R112" s="29" t="str">
        <x:v>阻挡</x:v>
      </x:c>
      <x:c r="S112" s="29" t="str">
        <x:v>castleReduce</x:v>
      </x:c>
      <x:c r="T112" s="29" t="str">
        <x:v>土、防御、前排、阻挡</x:v>
      </x:c>
      <x:c r="U112" s="29" t="str">
        <x:v>—</x:v>
      </x:c>
      <x:c r="V112" s="29" t="str">
        <x:v>旧定位=防御</x:v>
      </x:c>
    </x:row>
    <x:row r="113" ht="22" customHeight="1">
      <x:c r="A113" s="29" t="str">
        <x:v>pal_112</x:v>
      </x:c>
      <x:c r="B113" s="29" t="str">
        <x:v>No.100</x:v>
      </x:c>
      <x:c r="C113" s="29" t="str">
        <x:v>阿努比斯</x:v>
      </x:c>
      <x:c r="D113" s="29" t="str">
        <x:v>土</x:v>
      </x:c>
      <x:c r="E113" s="29" t="str">
        <x:v>地</x:v>
      </x:c>
      <x:c r="F113" s="29" t="str">
        <x:v>黄金</x:v>
      </x:c>
      <x:c r="G113" s="29" t="str">
        <x:v>小型</x:v>
      </x:c>
      <x:c r="H113" s="29" t="str">
        <x:v>输出</x:v>
      </x:c>
      <x:c r="I113" s="31" t="n">
        <x:f>IFERROR(VLOOKUP($A113,'02_怪物模板_好读版'!$A:$S,15,FALSE),0)+IFERROR(VLOOKUP($A113,'02_怪物模板_好读版'!$A:$S,16,FALSE),0)</x:f>
        <x:v>0</x:v>
      </x:c>
      <x:c r="J113" s="31" t="n">
        <x:f>IFERROR(VLOOKUP($A113,'02_怪物模板_好读版'!$A:$Z,8,FALSE),50)</x:f>
        <x:v>50</x:v>
      </x:c>
      <x:c r="K113" s="31" t="n">
        <x:f>IFERROR(VLOOKUP($A113,'02_怪物模板_好读版'!$A:$Z,9,FALSE),21)</x:f>
        <x:v>21</x:v>
      </x:c>
      <x:c r="L113" s="31" t="n">
        <x:f>IFERROR(VLOOKUP($A113,'02_怪物模板_好读版'!$A:$Z,10,FALSE),0)</x:f>
        <x:v>0</x:v>
      </x:c>
      <x:c r="M113" s="31" t="n">
        <x:f>IFERROR(VLOOKUP($A113,'02_怪物模板_好读版'!$A:$Z,11,FALSE),0)</x:f>
        <x:v>0</x:v>
      </x:c>
      <x:c r="N113" s="31" t="n">
        <x:f>IFERROR(VLOOKUP($A113,'02_怪物模板_好读版'!$A:$Z,12,FALSE),3)</x:f>
        <x:v>3</x:v>
      </x:c>
      <x:c r="O113" s="31" t="str">
        <x:f>IFERROR(VLOOKUP($A113,'02_怪物模板_好读版'!$A:$Z,13,FALSE),"REVIEW")</x:f>
        <x:v>REVIEW</x:v>
      </x:c>
      <x:c r="P113" s="29" t="str">
        <x:v>B3 前二横扫</x:v>
      </x:c>
      <x:c r="Q113" s="29" t="str">
        <x:v>扫击/3格</x:v>
      </x:c>
      <x:c r="R113" s="29" t="str">
        <x:v>输出</x:v>
      </x:c>
      <x:c r="S113" s="29" t="str">
        <x:v>spaceExplosionBonus</x:v>
      </x:c>
      <x:c r="T113" s="29" t="str">
        <x:v>土、输出、爆发、前排</x:v>
      </x:c>
      <x:c r="U113" s="29" t="str">
        <x:v>—</x:v>
      </x:c>
      <x:c r="V113" s="29" t="str"/>
    </x:row>
    <x:row r="114" ht="22" customHeight="1">
      <x:c r="A114" s="29" t="str">
        <x:v>pal_113</x:v>
      </x:c>
      <x:c r="B114" s="29" t="str">
        <x:v>No.101</x:v>
      </x:c>
      <x:c r="C114" s="29" t="str">
        <x:v>覆海龙</x:v>
      </x:c>
      <x:c r="D114" s="29" t="str">
        <x:v>水</x:v>
      </x:c>
      <x:c r="E114" s="29" t="str">
        <x:v>龙、水</x:v>
      </x:c>
      <x:c r="F114" s="29" t="str">
        <x:v>黄金</x:v>
      </x:c>
      <x:c r="G114" s="29" t="str">
        <x:v>中型</x:v>
      </x:c>
      <x:c r="H114" s="29" t="str">
        <x:v>治疗</x:v>
      </x:c>
      <x:c r="I114" s="31" t="n">
        <x:f>IFERROR(VLOOKUP($A114,'02_怪物模板_好读版'!$A:$S,15,FALSE),0)+IFERROR(VLOOKUP($A114,'02_怪物模板_好读版'!$A:$S,16,FALSE),0)</x:f>
        <x:v>0</x:v>
      </x:c>
      <x:c r="J114" s="31" t="n">
        <x:f>IFERROR(VLOOKUP($A114,'02_怪物模板_好读版'!$A:$Z,8,FALSE),50)</x:f>
        <x:v>50</x:v>
      </x:c>
      <x:c r="K114" s="31" t="n">
        <x:f>IFERROR(VLOOKUP($A114,'02_怪物模板_好读版'!$A:$Z,9,FALSE),53)</x:f>
        <x:v>53</x:v>
      </x:c>
      <x:c r="L114" s="31" t="n">
        <x:f>IFERROR(VLOOKUP($A114,'02_怪物模板_好读版'!$A:$Z,10,FALSE),0)</x:f>
        <x:v>0</x:v>
      </x:c>
      <x:c r="M114" s="31" t="n">
        <x:f>IFERROR(VLOOKUP($A114,'02_怪物模板_好读版'!$A:$Z,11,FALSE),0)</x:f>
        <x:v>0</x:v>
      </x:c>
      <x:c r="N114" s="31" t="n">
        <x:f>IFERROR(VLOOKUP($A114,'02_怪物模板_好读版'!$A:$Z,12,FALSE),3)</x:f>
        <x:v>3</x:v>
      </x:c>
      <x:c r="O114" s="31" t="str">
        <x:f>IFERROR(VLOOKUP($A114,'02_怪物模板_好读版'!$A:$Z,13,FALSE),"REVIEW")</x:f>
        <x:v>REVIEW</x:v>
      </x:c>
      <x:c r="P114" s="29" t="str">
        <x:v>T1 标准前置T</x:v>
      </x:c>
      <x:c r="Q114" s="29" t="str">
        <x:v>T形/4格</x:v>
      </x:c>
      <x:c r="R114" s="29" t="str">
        <x:v>场地</x:v>
      </x:c>
      <x:c r="S114" s="29" t="str">
        <x:v>healAmpBonus</x:v>
      </x:c>
      <x:c r="T114" s="29" t="str">
        <x:v>水、治疗、后排、增益</x:v>
      </x:c>
      <x:c r="U114" s="29" t="str">
        <x:v>—</x:v>
      </x:c>
      <x:c r="V114" s="29" t="str">
        <x:v>治疗补预算</x:v>
      </x:c>
    </x:row>
    <x:row r="115" ht="22" customHeight="1">
      <x:c r="A115" s="29" t="str">
        <x:v>pal_114</x:v>
      </x:c>
      <x:c r="B115" s="29" t="str">
        <x:v>No.101B</x:v>
      </x:c>
      <x:c r="C115" s="29" t="str">
        <x:v>腾炎龙</x:v>
      </x:c>
      <x:c r="D115" s="29" t="str">
        <x:v>火</x:v>
      </x:c>
      <x:c r="E115" s="29" t="str">
        <x:v>龙、火</x:v>
      </x:c>
      <x:c r="F115" s="29" t="str">
        <x:v>黄金</x:v>
      </x:c>
      <x:c r="G115" s="29" t="str">
        <x:v>大型</x:v>
      </x:c>
      <x:c r="H115" s="29" t="str">
        <x:v>输出</x:v>
      </x:c>
      <x:c r="I115" s="31" t="n">
        <x:f>IFERROR(VLOOKUP($A115,'02_怪物模板_好读版'!$A:$S,15,FALSE),0)+IFERROR(VLOOKUP($A115,'02_怪物模板_好读版'!$A:$S,16,FALSE),0)</x:f>
        <x:v>0</x:v>
      </x:c>
      <x:c r="J115" s="31" t="n">
        <x:f>IFERROR(VLOOKUP($A115,'02_怪物模板_好读版'!$A:$Z,8,FALSE),60)</x:f>
        <x:v>60</x:v>
      </x:c>
      <x:c r="K115" s="31" t="n">
        <x:f>IFERROR(VLOOKUP($A115,'02_怪物模板_好读版'!$A:$Z,9,FALSE),101)</x:f>
        <x:v>101</x:v>
      </x:c>
      <x:c r="L115" s="31" t="n">
        <x:f>IFERROR(VLOOKUP($A115,'02_怪物模板_好读版'!$A:$Z,10,FALSE),0)</x:f>
        <x:v>0</x:v>
      </x:c>
      <x:c r="M115" s="31" t="n">
        <x:f>IFERROR(VLOOKUP($A115,'02_怪物模板_好读版'!$A:$Z,11,FALSE),0)</x:f>
        <x:v>0</x:v>
      </x:c>
      <x:c r="N115" s="31" t="n">
        <x:f>IFERROR(VLOOKUP($A115,'02_怪物模板_好读版'!$A:$Z,12,FALSE),3)</x:f>
        <x:v>3</x:v>
      </x:c>
      <x:c r="O115" s="31" t="str">
        <x:f>IFERROR(VLOOKUP($A115,'02_怪物模板_好读版'!$A:$Z,13,FALSE),"REVIEW")</x:f>
        <x:v>REVIEW</x:v>
      </x:c>
      <x:c r="P115" s="29" t="str">
        <x:v>B3 前二横扫</x:v>
      </x:c>
      <x:c r="Q115" s="29" t="str">
        <x:v>扫击/3格</x:v>
      </x:c>
      <x:c r="R115" s="29" t="str">
        <x:v>输出</x:v>
      </x:c>
      <x:c r="S115" s="29" t="str">
        <x:v>spaceExplosionBonus</x:v>
      </x:c>
      <x:c r="T115" s="29" t="str">
        <x:v>火、输出、爆发、前排</x:v>
      </x:c>
      <x:c r="U115" s="29" t="str">
        <x:v>—</x:v>
      </x:c>
      <x:c r="V115" s="29" t="str"/>
    </x:row>
    <x:row r="116" ht="22" customHeight="1">
      <x:c r="A116" s="29" t="str">
        <x:v>pal_115</x:v>
      </x:c>
      <x:c r="B116" s="29" t="str">
        <x:v>No.102</x:v>
      </x:c>
      <x:c r="C116" s="29" t="str">
        <x:v>朱雀</x:v>
      </x:c>
      <x:c r="D116" s="29" t="str">
        <x:v>火</x:v>
      </x:c>
      <x:c r="E116" s="29" t="str"/>
      <x:c r="F116" s="29" t="str">
        <x:v>黄金</x:v>
      </x:c>
      <x:c r="G116" s="29" t="str">
        <x:v>小型</x:v>
      </x:c>
      <x:c r="H116" s="29" t="str">
        <x:v>机动</x:v>
      </x:c>
      <x:c r="I116" s="31" t="n">
        <x:f>IFERROR(VLOOKUP($A116,'02_怪物模板_好读版'!$A:$S,15,FALSE),0)+IFERROR(VLOOKUP($A116,'02_怪物模板_好读版'!$A:$S,16,FALSE),0)</x:f>
        <x:v>0</x:v>
      </x:c>
      <x:c r="J116" s="31" t="n">
        <x:f>IFERROR(VLOOKUP($A116,'02_怪物模板_好读版'!$A:$Z,8,FALSE),25)</x:f>
        <x:v>25</x:v>
      </x:c>
      <x:c r="K116" s="31" t="n">
        <x:f>IFERROR(VLOOKUP($A116,'02_怪物模板_好读版'!$A:$Z,9,FALSE),26)</x:f>
        <x:v>26</x:v>
      </x:c>
      <x:c r="L116" s="31" t="n">
        <x:f>IFERROR(VLOOKUP($A116,'02_怪物模板_好读版'!$A:$Z,10,FALSE),0)</x:f>
        <x:v>0</x:v>
      </x:c>
      <x:c r="M116" s="31" t="n">
        <x:f>IFERROR(VLOOKUP($A116,'02_怪物模板_好读版'!$A:$Z,11,FALSE),0)</x:f>
        <x:v>0</x:v>
      </x:c>
      <x:c r="N116" s="31" t="n">
        <x:f>IFERROR(VLOOKUP($A116,'02_怪物模板_好读版'!$A:$Z,12,FALSE),5)</x:f>
        <x:v>5</x:v>
      </x:c>
      <x:c r="O116" s="31" t="str">
        <x:f>IFERROR(VLOOKUP($A116,'02_怪物模板_好读版'!$A:$Z,13,FALSE),"REVIEW")</x:f>
        <x:v>REVIEW</x:v>
      </x:c>
      <x:c r="P116" s="29" t="str">
        <x:v>C1 前方2×2</x:v>
      </x:c>
      <x:c r="Q116" s="29" t="str">
        <x:v>方形/4格</x:v>
      </x:c>
      <x:c r="R116" s="29" t="str">
        <x:v>牵制</x:v>
      </x:c>
      <x:c r="S116" s="29" t="str">
        <x:v>advHitBonus</x:v>
      </x:c>
      <x:c r="T116" s="29" t="str">
        <x:v>火、机动、灵活、泛用</x:v>
      </x:c>
      <x:c r="U116" s="29" t="str">
        <x:v>—</x:v>
      </x:c>
      <x:c r="V116" s="29" t="str"/>
    </x:row>
    <x:row r="117" ht="22" customHeight="1">
      <x:c r="A117" s="29" t="str">
        <x:v>pal_116</x:v>
      </x:c>
      <x:c r="B117" s="29" t="str">
        <x:v>No.102B</x:v>
      </x:c>
      <x:c r="C117" s="29" t="str">
        <x:v>清雀</x:v>
      </x:c>
      <x:c r="D117" s="29" t="str">
        <x:v>水</x:v>
      </x:c>
      <x:c r="E117" s="29" t="str"/>
      <x:c r="F117" s="29" t="str">
        <x:v>黄金</x:v>
      </x:c>
      <x:c r="G117" s="29" t="str">
        <x:v>小型</x:v>
      </x:c>
      <x:c r="H117" s="29" t="str">
        <x:v>治疗</x:v>
      </x:c>
      <x:c r="I117" s="31" t="n">
        <x:f>IFERROR(VLOOKUP($A117,'02_怪物模板_好读版'!$A:$S,15,FALSE),0)+IFERROR(VLOOKUP($A117,'02_怪物模板_好读版'!$A:$S,16,FALSE),0)</x:f>
        <x:v>0</x:v>
      </x:c>
      <x:c r="J117" s="31" t="n">
        <x:f>IFERROR(VLOOKUP($A117,'02_怪物模板_好读版'!$A:$Z,8,FALSE),50)</x:f>
        <x:v>50</x:v>
      </x:c>
      <x:c r="K117" s="31" t="n">
        <x:f>IFERROR(VLOOKUP($A117,'02_怪物模板_好读版'!$A:$Z,9,FALSE),21)</x:f>
        <x:v>21</x:v>
      </x:c>
      <x:c r="L117" s="31" t="n">
        <x:f>IFERROR(VLOOKUP($A117,'02_怪物模板_好读版'!$A:$Z,10,FALSE),0)</x:f>
        <x:v>0</x:v>
      </x:c>
      <x:c r="M117" s="31" t="n">
        <x:f>IFERROR(VLOOKUP($A117,'02_怪物模板_好读版'!$A:$Z,11,FALSE),0)</x:f>
        <x:v>0</x:v>
      </x:c>
      <x:c r="N117" s="31" t="n">
        <x:f>IFERROR(VLOOKUP($A117,'02_怪物模板_好读版'!$A:$Z,12,FALSE),3)</x:f>
        <x:v>3</x:v>
      </x:c>
      <x:c r="O117" s="31" t="str">
        <x:f>IFERROR(VLOOKUP($A117,'02_怪物模板_好读版'!$A:$Z,13,FALSE),"REVIEW")</x:f>
        <x:v>REVIEW</x:v>
      </x:c>
      <x:c r="P117" s="29" t="str">
        <x:v>T1 标准前置T</x:v>
      </x:c>
      <x:c r="Q117" s="29" t="str">
        <x:v>T形/4格</x:v>
      </x:c>
      <x:c r="R117" s="29" t="str">
        <x:v>场地</x:v>
      </x:c>
      <x:c r="S117" s="29" t="str">
        <x:v>healAmpBonus</x:v>
      </x:c>
      <x:c r="T117" s="29" t="str">
        <x:v>水、治疗、后排、增益</x:v>
      </x:c>
      <x:c r="U117" s="29" t="str">
        <x:v>—</x:v>
      </x:c>
      <x:c r="V117" s="29" t="str">
        <x:v>治疗补预算</x:v>
      </x:c>
    </x:row>
    <x:row r="118" ht="22" customHeight="1">
      <x:c r="A118" s="29" t="str">
        <x:v>pal_117</x:v>
      </x:c>
      <x:c r="B118" s="29" t="str">
        <x:v>No.103</x:v>
      </x:c>
      <x:c r="C118" s="29" t="str">
        <x:v>暴电熊</x:v>
      </x:c>
      <x:c r="D118" s="29" t="str">
        <x:v>风</x:v>
      </x:c>
      <x:c r="E118" s="29" t="str">
        <x:v>雷</x:v>
      </x:c>
      <x:c r="F118" s="29" t="str">
        <x:v>黄金</x:v>
      </x:c>
      <x:c r="G118" s="29" t="str">
        <x:v>小型</x:v>
      </x:c>
      <x:c r="H118" s="29" t="str">
        <x:v>控制</x:v>
      </x:c>
      <x:c r="I118" s="31" t="n">
        <x:f>IFERROR(VLOOKUP($A118,'02_怪物模板_好读版'!$A:$S,15,FALSE),0)+IFERROR(VLOOKUP($A118,'02_怪物模板_好读版'!$A:$S,16,FALSE),0)</x:f>
        <x:v>0</x:v>
      </x:c>
      <x:c r="J118" s="31" t="n">
        <x:f>IFERROR(VLOOKUP($A118,'02_怪物模板_好读版'!$A:$Z,8,FALSE),30)</x:f>
        <x:v>30</x:v>
      </x:c>
      <x:c r="K118" s="31" t="n">
        <x:f>IFERROR(VLOOKUP($A118,'02_怪物模板_好读版'!$A:$Z,9,FALSE),26)</x:f>
        <x:v>26</x:v>
      </x:c>
      <x:c r="L118" s="31" t="n">
        <x:f>IFERROR(VLOOKUP($A118,'02_怪物模板_好读版'!$A:$Z,10,FALSE),0)</x:f>
        <x:v>0</x:v>
      </x:c>
      <x:c r="M118" s="31" t="n">
        <x:f>IFERROR(VLOOKUP($A118,'02_怪物模板_好读版'!$A:$Z,11,FALSE),0)</x:f>
        <x:v>0</x:v>
      </x:c>
      <x:c r="N118" s="31" t="n">
        <x:f>IFERROR(VLOOKUP($A118,'02_怪物模板_好读版'!$A:$Z,12,FALSE),4)</x:f>
        <x:v>4</x:v>
      </x:c>
      <x:c r="O118" s="31" t="str">
        <x:f>IFERROR(VLOOKUP($A118,'02_怪物模板_好读版'!$A:$Z,13,FALSE),"REVIEW")</x:f>
        <x:v>REVIEW</x:v>
      </x:c>
      <x:c r="P118" s="29" t="str">
        <x:v>C1 前方2×2</x:v>
      </x:c>
      <x:c r="Q118" s="29" t="str">
        <x:v>方形/4格</x:v>
      </x:c>
      <x:c r="R118" s="29" t="str">
        <x:v>牵制</x:v>
      </x:c>
      <x:c r="S118" s="29" t="str">
        <x:v>advHitBonus</x:v>
      </x:c>
      <x:c r="T118" s="29" t="str">
        <x:v>风、牵制、范围、机动</x:v>
      </x:c>
      <x:c r="U118" s="29" t="str">
        <x:v>—</x:v>
      </x:c>
      <x:c r="V118" s="29" t="str">
        <x:v>旧定位=牵制；控制补预算</x:v>
      </x:c>
    </x:row>
    <x:row r="119" ht="22" customHeight="1">
      <x:c r="A119" s="29" t="str">
        <x:v>pal_118</x:v>
      </x:c>
      <x:c r="B119" s="29" t="str">
        <x:v>No.104</x:v>
      </x:c>
      <x:c r="C119" s="29" t="str">
        <x:v>百合女王</x:v>
      </x:c>
      <x:c r="D119" s="29" t="str">
        <x:v>风</x:v>
      </x:c>
      <x:c r="E119" s="29" t="str">
        <x:v>草</x:v>
      </x:c>
      <x:c r="F119" s="29" t="str">
        <x:v>黄金</x:v>
      </x:c>
      <x:c r="G119" s="29" t="str">
        <x:v>小型</x:v>
      </x:c>
      <x:c r="H119" s="29" t="str">
        <x:v>治疗</x:v>
      </x:c>
      <x:c r="I119" s="31" t="n">
        <x:f>IFERROR(VLOOKUP($A119,'02_怪物模板_好读版'!$A:$S,15,FALSE),0)+IFERROR(VLOOKUP($A119,'02_怪物模板_好读版'!$A:$S,16,FALSE),0)</x:f>
        <x:v>0</x:v>
      </x:c>
      <x:c r="J119" s="31" t="n">
        <x:f>IFERROR(VLOOKUP($A119,'02_怪物模板_好读版'!$A:$Z,8,FALSE),50)</x:f>
        <x:v>50</x:v>
      </x:c>
      <x:c r="K119" s="31" t="n">
        <x:f>IFERROR(VLOOKUP($A119,'02_怪物模板_好读版'!$A:$Z,9,FALSE),21)</x:f>
        <x:v>21</x:v>
      </x:c>
      <x:c r="L119" s="31" t="n">
        <x:f>IFERROR(VLOOKUP($A119,'02_怪物模板_好读版'!$A:$Z,10,FALSE),0)</x:f>
        <x:v>0</x:v>
      </x:c>
      <x:c r="M119" s="31" t="n">
        <x:f>IFERROR(VLOOKUP($A119,'02_怪物模板_好读版'!$A:$Z,11,FALSE),0)</x:f>
        <x:v>0</x:v>
      </x:c>
      <x:c r="N119" s="31" t="n">
        <x:f>IFERROR(VLOOKUP($A119,'02_怪物模板_好读版'!$A:$Z,12,FALSE),3)</x:f>
        <x:v>3</x:v>
      </x:c>
      <x:c r="O119" s="31" t="str">
        <x:f>IFERROR(VLOOKUP($A119,'02_怪物模板_好读版'!$A:$Z,13,FALSE),"REVIEW")</x:f>
        <x:v>REVIEW</x:v>
      </x:c>
      <x:c r="P119" s="29" t="str">
        <x:v>T1 标准前置T</x:v>
      </x:c>
      <x:c r="Q119" s="29" t="str">
        <x:v>T形/4格</x:v>
      </x:c>
      <x:c r="R119" s="29" t="str">
        <x:v>场地</x:v>
      </x:c>
      <x:c r="S119" s="29" t="str">
        <x:v>healAmpBonus</x:v>
      </x:c>
      <x:c r="T119" s="29" t="str">
        <x:v>风、治疗、后排、增益</x:v>
      </x:c>
      <x:c r="U119" s="29" t="str">
        <x:v>—</x:v>
      </x:c>
      <x:c r="V119" s="29" t="str">
        <x:v>治疗补预算</x:v>
      </x:c>
    </x:row>
    <x:row r="120" ht="22" customHeight="1">
      <x:c r="A120" s="29" t="str">
        <x:v>pal_119</x:v>
      </x:c>
      <x:c r="B120" s="29" t="str">
        <x:v>No.104B</x:v>
      </x:c>
      <x:c r="C120" s="29" t="str">
        <x:v>黑月女王</x:v>
      </x:c>
      <x:c r="D120" s="29" t="str">
        <x:v>土</x:v>
      </x:c>
      <x:c r="E120" s="29" t="str">
        <x:v>暗</x:v>
      </x:c>
      <x:c r="F120" s="29" t="str">
        <x:v>黄金</x:v>
      </x:c>
      <x:c r="G120" s="29" t="str">
        <x:v>小型</x:v>
      </x:c>
      <x:c r="H120" s="29" t="str">
        <x:v>治疗</x:v>
      </x:c>
      <x:c r="I120" s="31" t="n">
        <x:f>IFERROR(VLOOKUP($A120,'02_怪物模板_好读版'!$A:$S,15,FALSE),0)+IFERROR(VLOOKUP($A120,'02_怪物模板_好读版'!$A:$S,16,FALSE),0)</x:f>
        <x:v>0</x:v>
      </x:c>
      <x:c r="J120" s="31" t="n">
        <x:f>IFERROR(VLOOKUP($A120,'02_怪物模板_好读版'!$A:$Z,8,FALSE),50)</x:f>
        <x:v>50</x:v>
      </x:c>
      <x:c r="K120" s="31" t="n">
        <x:f>IFERROR(VLOOKUP($A120,'02_怪物模板_好读版'!$A:$Z,9,FALSE),21)</x:f>
        <x:v>21</x:v>
      </x:c>
      <x:c r="L120" s="31" t="n">
        <x:f>IFERROR(VLOOKUP($A120,'02_怪物模板_好读版'!$A:$Z,10,FALSE),0)</x:f>
        <x:v>0</x:v>
      </x:c>
      <x:c r="M120" s="31" t="n">
        <x:f>IFERROR(VLOOKUP($A120,'02_怪物模板_好读版'!$A:$Z,11,FALSE),0)</x:f>
        <x:v>0</x:v>
      </x:c>
      <x:c r="N120" s="31" t="n">
        <x:f>IFERROR(VLOOKUP($A120,'02_怪物模板_好读版'!$A:$Z,12,FALSE),3)</x:f>
        <x:v>3</x:v>
      </x:c>
      <x:c r="O120" s="31" t="str">
        <x:f>IFERROR(VLOOKUP($A120,'02_怪物模板_好读版'!$A:$Z,13,FALSE),"REVIEW")</x:f>
        <x:v>REVIEW</x:v>
      </x:c>
      <x:c r="P120" s="29" t="str">
        <x:v>T1 标准前置T</x:v>
      </x:c>
      <x:c r="Q120" s="29" t="str">
        <x:v>T形/4格</x:v>
      </x:c>
      <x:c r="R120" s="29" t="str">
        <x:v>场地</x:v>
      </x:c>
      <x:c r="S120" s="29" t="str">
        <x:v>healAmpBonus</x:v>
      </x:c>
      <x:c r="T120" s="29" t="str">
        <x:v>土、治疗、后排、增益</x:v>
      </x:c>
      <x:c r="U120" s="29" t="str">
        <x:v>—</x:v>
      </x:c>
      <x:c r="V120" s="29" t="str">
        <x:v>治疗补预算</x:v>
      </x:c>
    </x:row>
    <x:row r="121" ht="22" customHeight="1">
      <x:c r="A121" s="29" t="str">
        <x:v>pal_120</x:v>
      </x:c>
      <x:c r="B121" s="29" t="str">
        <x:v>No.105</x:v>
      </x:c>
      <x:c r="C121" s="29" t="str">
        <x:v>荷鲁斯</x:v>
      </x:c>
      <x:c r="D121" s="29" t="str">
        <x:v>火</x:v>
      </x:c>
      <x:c r="E121" s="29" t="str"/>
      <x:c r="F121" s="29" t="str">
        <x:v>黄金</x:v>
      </x:c>
      <x:c r="G121" s="29" t="str">
        <x:v>小型</x:v>
      </x:c>
      <x:c r="H121" s="29" t="str">
        <x:v>机动</x:v>
      </x:c>
      <x:c r="I121" s="31" t="n">
        <x:f>IFERROR(VLOOKUP($A121,'02_怪物模板_好读版'!$A:$S,15,FALSE),0)+IFERROR(VLOOKUP($A121,'02_怪物模板_好读版'!$A:$S,16,FALSE),0)</x:f>
        <x:v>0</x:v>
      </x:c>
      <x:c r="J121" s="31" t="n">
        <x:f>IFERROR(VLOOKUP($A121,'02_怪物模板_好读版'!$A:$Z,8,FALSE),25)</x:f>
        <x:v>25</x:v>
      </x:c>
      <x:c r="K121" s="31" t="n">
        <x:f>IFERROR(VLOOKUP($A121,'02_怪物模板_好读版'!$A:$Z,9,FALSE),26)</x:f>
        <x:v>26</x:v>
      </x:c>
      <x:c r="L121" s="31" t="n">
        <x:f>IFERROR(VLOOKUP($A121,'02_怪物模板_好读版'!$A:$Z,10,FALSE),0)</x:f>
        <x:v>0</x:v>
      </x:c>
      <x:c r="M121" s="31" t="n">
        <x:f>IFERROR(VLOOKUP($A121,'02_怪物模板_好读版'!$A:$Z,11,FALSE),0)</x:f>
        <x:v>0</x:v>
      </x:c>
      <x:c r="N121" s="31" t="n">
        <x:f>IFERROR(VLOOKUP($A121,'02_怪物模板_好读版'!$A:$Z,12,FALSE),5)</x:f>
        <x:v>5</x:v>
      </x:c>
      <x:c r="O121" s="31" t="str">
        <x:f>IFERROR(VLOOKUP($A121,'02_怪物模板_好读版'!$A:$Z,13,FALSE),"REVIEW")</x:f>
        <x:v>REVIEW</x:v>
      </x:c>
      <x:c r="P121" s="29" t="str">
        <x:v>C1 前方2×2</x:v>
      </x:c>
      <x:c r="Q121" s="29" t="str">
        <x:v>方形/4格</x:v>
      </x:c>
      <x:c r="R121" s="29" t="str">
        <x:v>牵制</x:v>
      </x:c>
      <x:c r="S121" s="29" t="str">
        <x:v>advHitBonus</x:v>
      </x:c>
      <x:c r="T121" s="29" t="str">
        <x:v>火、机动、灵活、泛用</x:v>
      </x:c>
      <x:c r="U121" s="29" t="str">
        <x:v>—</x:v>
      </x:c>
      <x:c r="V121" s="29" t="str"/>
    </x:row>
    <x:row r="122" ht="22" customHeight="1">
      <x:c r="A122" s="29" t="str">
        <x:v>pal_121</x:v>
      </x:c>
      <x:c r="B122" s="29" t="str">
        <x:v>No.106</x:v>
      </x:c>
      <x:c r="C122" s="29" t="str">
        <x:v>波鲁杰克斯</x:v>
      </x:c>
      <x:c r="D122" s="29" t="str">
        <x:v>风</x:v>
      </x:c>
      <x:c r="E122" s="29" t="str">
        <x:v>龙、雷</x:v>
      </x:c>
      <x:c r="F122" s="29" t="str">
        <x:v>黄金</x:v>
      </x:c>
      <x:c r="G122" s="29" t="str">
        <x:v>中型</x:v>
      </x:c>
      <x:c r="H122" s="29" t="str">
        <x:v>控制</x:v>
      </x:c>
      <x:c r="I122" s="31" t="n">
        <x:f>IFERROR(VLOOKUP($A122,'02_怪物模板_好读版'!$A:$S,15,FALSE),0)+IFERROR(VLOOKUP($A122,'02_怪物模板_好读版'!$A:$S,16,FALSE),0)</x:f>
        <x:v>0</x:v>
      </x:c>
      <x:c r="J122" s="31" t="n">
        <x:f>IFERROR(VLOOKUP($A122,'02_怪物模板_好读版'!$A:$Z,8,FALSE),60)</x:f>
        <x:v>60</x:v>
      </x:c>
      <x:c r="K122" s="31" t="n">
        <x:f>IFERROR(VLOOKUP($A122,'02_怪物模板_好读版'!$A:$Z,9,FALSE),48)</x:f>
        <x:v>48</x:v>
      </x:c>
      <x:c r="L122" s="31" t="n">
        <x:f>IFERROR(VLOOKUP($A122,'02_怪物模板_好读版'!$A:$Z,10,FALSE),0)</x:f>
        <x:v>0</x:v>
      </x:c>
      <x:c r="M122" s="31" t="n">
        <x:f>IFERROR(VLOOKUP($A122,'02_怪物模板_好读版'!$A:$Z,11,FALSE),0)</x:f>
        <x:v>0</x:v>
      </x:c>
      <x:c r="N122" s="31" t="n">
        <x:f>IFERROR(VLOOKUP($A122,'02_怪物模板_好读版'!$A:$Z,12,FALSE),4)</x:f>
        <x:v>4</x:v>
      </x:c>
      <x:c r="O122" s="31" t="str">
        <x:f>IFERROR(VLOOKUP($A122,'02_怪物模板_好读版'!$A:$Z,13,FALSE),"REVIEW")</x:f>
        <x:v>REVIEW</x:v>
      </x:c>
      <x:c r="P122" s="29" t="str">
        <x:v>C1 前方2×2</x:v>
      </x:c>
      <x:c r="Q122" s="29" t="str">
        <x:v>方形/4格</x:v>
      </x:c>
      <x:c r="R122" s="29" t="str">
        <x:v>牵制</x:v>
      </x:c>
      <x:c r="S122" s="29" t="str">
        <x:v>advHitBonus</x:v>
      </x:c>
      <x:c r="T122" s="29" t="str">
        <x:v>风、牵制、范围、机动</x:v>
      </x:c>
      <x:c r="U122" s="29" t="str">
        <x:v>—</x:v>
      </x:c>
      <x:c r="V122" s="29" t="str">
        <x:v>旧定位=牵制；控制补预算</x:v>
      </x:c>
    </x:row>
    <x:row r="123" ht="22" customHeight="1">
      <x:c r="A123" s="29" t="str">
        <x:v>pal_122</x:v>
      </x:c>
      <x:c r="B123" s="29" t="str">
        <x:v>No.107</x:v>
      </x:c>
      <x:c r="C123" s="29" t="str">
        <x:v>异构格里芬</x:v>
      </x:c>
      <x:c r="D123" s="29" t="str">
        <x:v>土</x:v>
      </x:c>
      <x:c r="E123" s="29" t="str">
        <x:v>暗</x:v>
      </x:c>
      <x:c r="F123" s="29" t="str">
        <x:v>黄金</x:v>
      </x:c>
      <x:c r="G123" s="29" t="str">
        <x:v>小型</x:v>
      </x:c>
      <x:c r="H123" s="29" t="str">
        <x:v>机动</x:v>
      </x:c>
      <x:c r="I123" s="31" t="n">
        <x:f>IFERROR(VLOOKUP($A123,'02_怪物模板_好读版'!$A:$S,15,FALSE),0)+IFERROR(VLOOKUP($A123,'02_怪物模板_好读版'!$A:$S,16,FALSE),0)</x:f>
        <x:v>0</x:v>
      </x:c>
      <x:c r="J123" s="31" t="n">
        <x:f>IFERROR(VLOOKUP($A123,'02_怪物模板_好读版'!$A:$Z,8,FALSE),25)</x:f>
        <x:v>25</x:v>
      </x:c>
      <x:c r="K123" s="31" t="n">
        <x:f>IFERROR(VLOOKUP($A123,'02_怪物模板_好读版'!$A:$Z,9,FALSE),26)</x:f>
        <x:v>26</x:v>
      </x:c>
      <x:c r="L123" s="31" t="n">
        <x:f>IFERROR(VLOOKUP($A123,'02_怪物模板_好读版'!$A:$Z,10,FALSE),0)</x:f>
        <x:v>0</x:v>
      </x:c>
      <x:c r="M123" s="31" t="n">
        <x:f>IFERROR(VLOOKUP($A123,'02_怪物模板_好读版'!$A:$Z,11,FALSE),0)</x:f>
        <x:v>0</x:v>
      </x:c>
      <x:c r="N123" s="31" t="n">
        <x:f>IFERROR(VLOOKUP($A123,'02_怪物模板_好读版'!$A:$Z,12,FALSE),5)</x:f>
        <x:v>5</x:v>
      </x:c>
      <x:c r="O123" s="31" t="str">
        <x:f>IFERROR(VLOOKUP($A123,'02_怪物模板_好读版'!$A:$Z,13,FALSE),"REVIEW")</x:f>
        <x:v>REVIEW</x:v>
      </x:c>
      <x:c r="P123" s="29" t="str">
        <x:v>C1 前方2×2</x:v>
      </x:c>
      <x:c r="Q123" s="29" t="str">
        <x:v>方形/4格</x:v>
      </x:c>
      <x:c r="R123" s="29" t="str">
        <x:v>牵制</x:v>
      </x:c>
      <x:c r="S123" s="29" t="str">
        <x:v>advHitBonus</x:v>
      </x:c>
      <x:c r="T123" s="29" t="str">
        <x:v>土、机动、灵活、泛用</x:v>
      </x:c>
      <x:c r="U123" s="29" t="str">
        <x:v>—</x:v>
      </x:c>
      <x:c r="V123" s="29" t="str"/>
    </x:row>
    <x:row r="124" ht="22" customHeight="1">
      <x:c r="A124" s="29" t="str">
        <x:v>pal_123</x:v>
      </x:c>
      <x:c r="B124" s="29" t="str">
        <x:v>No.108</x:v>
      </x:c>
      <x:c r="C124" s="29" t="str">
        <x:v>圣光骑士</x:v>
      </x:c>
      <x:c r="D124" s="29" t="str">
        <x:v>风</x:v>
      </x:c>
      <x:c r="E124" s="29" t="str"/>
      <x:c r="F124" s="29" t="str">
        <x:v>黄金</x:v>
      </x:c>
      <x:c r="G124" s="29" t="str">
        <x:v>大型</x:v>
      </x:c>
      <x:c r="H124" s="29" t="str">
        <x:v>坦克</x:v>
      </x:c>
      <x:c r="I124" s="31" t="n">
        <x:f>IFERROR(VLOOKUP($A124,'02_怪物模板_好读版'!$A:$S,15,FALSE),0)+IFERROR(VLOOKUP($A124,'02_怪物模板_好读版'!$A:$S,16,FALSE),0)</x:f>
        <x:v>0</x:v>
      </x:c>
      <x:c r="J124" s="31" t="n">
        <x:f>IFERROR(VLOOKUP($A124,'02_怪物模板_好读版'!$A:$Z,8,FALSE),70)</x:f>
        <x:v>70</x:v>
      </x:c>
      <x:c r="K124" s="31" t="n">
        <x:f>IFERROR(VLOOKUP($A124,'02_怪物模板_好读版'!$A:$Z,9,FALSE),67)</x:f>
        <x:v>67</x:v>
      </x:c>
      <x:c r="L124" s="31" t="n">
        <x:f>IFERROR(VLOOKUP($A124,'02_怪物模板_好读版'!$A:$Z,10,FALSE),0)</x:f>
        <x:v>0</x:v>
      </x:c>
      <x:c r="M124" s="31" t="n">
        <x:f>IFERROR(VLOOKUP($A124,'02_怪物模板_好读版'!$A:$Z,11,FALSE),20)</x:f>
        <x:v>20</x:v>
      </x:c>
      <x:c r="N124" s="31" t="n">
        <x:f>IFERROR(VLOOKUP($A124,'02_怪物模板_好读版'!$A:$Z,12,FALSE),3)</x:f>
        <x:v>3</x:v>
      </x:c>
      <x:c r="O124" s="31" t="str">
        <x:f>IFERROR(VLOOKUP($A124,'02_怪物模板_好读版'!$A:$Z,13,FALSE),"REVIEW")</x:f>
        <x:v>REVIEW</x:v>
      </x:c>
      <x:c r="P124" s="29" t="str">
        <x:v>T1 标准前置T</x:v>
      </x:c>
      <x:c r="Q124" s="29" t="str">
        <x:v>T形/4格</x:v>
      </x:c>
      <x:c r="R124" s="29" t="str">
        <x:v>阻挡</x:v>
      </x:c>
      <x:c r="S124" s="29" t="str">
        <x:v>castleReduce</x:v>
      </x:c>
      <x:c r="T124" s="29" t="str">
        <x:v>风、防御、前排、阻挡</x:v>
      </x:c>
      <x:c r="U124" s="29" t="str">
        <x:v>—</x:v>
      </x:c>
      <x:c r="V124" s="29" t="str">
        <x:v>旧定位=防御</x:v>
      </x:c>
    </x:row>
    <x:row r="125" ht="22" customHeight="1">
      <x:c r="A125" s="29" t="str">
        <x:v>pal_124</x:v>
      </x:c>
      <x:c r="B125" s="29" t="str">
        <x:v>No.109</x:v>
      </x:c>
      <x:c r="C125" s="29" t="str">
        <x:v>混沌骑士</x:v>
      </x:c>
      <x:c r="D125" s="29" t="str">
        <x:v>土</x:v>
      </x:c>
      <x:c r="E125" s="29" t="str">
        <x:v>暗</x:v>
      </x:c>
      <x:c r="F125" s="29" t="str">
        <x:v>黄金</x:v>
      </x:c>
      <x:c r="G125" s="29" t="str">
        <x:v>大型</x:v>
      </x:c>
      <x:c r="H125" s="29" t="str">
        <x:v>坦克</x:v>
      </x:c>
      <x:c r="I125" s="31" t="n">
        <x:f>IFERROR(VLOOKUP($A125,'02_怪物模板_好读版'!$A:$S,15,FALSE),0)+IFERROR(VLOOKUP($A125,'02_怪物模板_好读版'!$A:$S,16,FALSE),0)</x:f>
        <x:v>0</x:v>
      </x:c>
      <x:c r="J125" s="31" t="n">
        <x:f>IFERROR(VLOOKUP($A125,'02_怪物模板_好读版'!$A:$Z,8,FALSE),60)</x:f>
        <x:v>60</x:v>
      </x:c>
      <x:c r="K125" s="31" t="n">
        <x:f>IFERROR(VLOOKUP($A125,'02_怪物模板_好读版'!$A:$Z,9,FALSE),5)</x:f>
        <x:v>5</x:v>
      </x:c>
      <x:c r="L125" s="31" t="n">
        <x:f>IFERROR(VLOOKUP($A125,'02_怪物模板_好读版'!$A:$Z,10,FALSE),6)</x:f>
        <x:v>6</x:v>
      </x:c>
      <x:c r="M125" s="31" t="n">
        <x:f>IFERROR(VLOOKUP($A125,'02_怪物模板_好读版'!$A:$Z,11,FALSE),15)</x:f>
        <x:v>15</x:v>
      </x:c>
      <x:c r="N125" s="31" t="n">
        <x:f>IFERROR(VLOOKUP($A125,'02_怪物模板_好读版'!$A:$Z,12,FALSE),5)</x:f>
        <x:v>5</x:v>
      </x:c>
      <x:c r="O125" s="31" t="str">
        <x:f>IFERROR(VLOOKUP($A125,'02_怪物模板_好读版'!$A:$Z,13,FALSE),"mech_zone_pressure,mech_revive,mech_break_castle")</x:f>
        <x:v>mech_zone_pressure,mech_revive,mech_break_castle</x:v>
      </x:c>
      <x:c r="P125" s="29" t="str">
        <x:v>T1 标准前置T</x:v>
      </x:c>
      <x:c r="Q125" s="29" t="str">
        <x:v>T形/4格</x:v>
      </x:c>
      <x:c r="R125" s="29" t="str">
        <x:v>阻挡</x:v>
      </x:c>
      <x:c r="S125" s="29" t="str">
        <x:v>castleReduce</x:v>
      </x:c>
      <x:c r="T125" s="29" t="str">
        <x:v>土、防御、前排、阻挡</x:v>
      </x:c>
      <x:c r="U125" s="29" t="str">
        <x:v>—</x:v>
      </x:c>
      <x:c r="V125" s="29" t="str">
        <x:v>旧定位=防御</x:v>
      </x:c>
    </x:row>
    <x:row r="126" ht="22" customHeight="1">
      <x:c r="A126" s="29" t="str">
        <x:v>pal_125</x:v>
      </x:c>
      <x:c r="B126" s="29" t="str">
        <x:v>No.110</x:v>
      </x:c>
      <x:c r="C126" s="29" t="str">
        <x:v>唤冬兽</x:v>
      </x:c>
      <x:c r="D126" s="29" t="str">
        <x:v>水</x:v>
      </x:c>
      <x:c r="E126" s="29" t="str">
        <x:v>冰</x:v>
      </x:c>
      <x:c r="F126" s="29" t="str">
        <x:v>黄金</x:v>
      </x:c>
      <x:c r="G126" s="29" t="str">
        <x:v>中型</x:v>
      </x:c>
      <x:c r="H126" s="29" t="str">
        <x:v>控制</x:v>
      </x:c>
      <x:c r="I126" s="31" t="n">
        <x:f>IFERROR(VLOOKUP($A126,'02_怪物模板_好读版'!$A:$S,15,FALSE),0)+IFERROR(VLOOKUP($A126,'02_怪物模板_好读版'!$A:$S,16,FALSE),0)</x:f>
        <x:v>0</x:v>
      </x:c>
      <x:c r="J126" s="31" t="n">
        <x:f>IFERROR(VLOOKUP($A126,'02_怪物模板_好读版'!$A:$Z,8,FALSE),60)</x:f>
        <x:v>60</x:v>
      </x:c>
      <x:c r="K126" s="31" t="n">
        <x:f>IFERROR(VLOOKUP($A126,'02_怪物模板_好读版'!$A:$Z,9,FALSE),48)</x:f>
        <x:v>48</x:v>
      </x:c>
      <x:c r="L126" s="31" t="n">
        <x:f>IFERROR(VLOOKUP($A126,'02_怪物模板_好读版'!$A:$Z,10,FALSE),0)</x:f>
        <x:v>0</x:v>
      </x:c>
      <x:c r="M126" s="31" t="n">
        <x:f>IFERROR(VLOOKUP($A126,'02_怪物模板_好读版'!$A:$Z,11,FALSE),0)</x:f>
        <x:v>0</x:v>
      </x:c>
      <x:c r="N126" s="31" t="n">
        <x:f>IFERROR(VLOOKUP($A126,'02_怪物模板_好读版'!$A:$Z,12,FALSE),4)</x:f>
        <x:v>4</x:v>
      </x:c>
      <x:c r="O126" s="31" t="str">
        <x:f>IFERROR(VLOOKUP($A126,'02_怪物模板_好读版'!$A:$Z,13,FALSE),"REVIEW")</x:f>
        <x:v>REVIEW</x:v>
      </x:c>
      <x:c r="P126" s="29" t="str">
        <x:v>C1 前方2×2</x:v>
      </x:c>
      <x:c r="Q126" s="29" t="str">
        <x:v>方形/4格</x:v>
      </x:c>
      <x:c r="R126" s="29" t="str">
        <x:v>牵制</x:v>
      </x:c>
      <x:c r="S126" s="29" t="str">
        <x:v>advHitBonus</x:v>
      </x:c>
      <x:c r="T126" s="29" t="str">
        <x:v>水、牵制、范围、机动</x:v>
      </x:c>
      <x:c r="U126" s="29" t="str">
        <x:v>—</x:v>
      </x:c>
      <x:c r="V126" s="29" t="str">
        <x:v>旧定位=牵制；控制补预算</x:v>
      </x:c>
    </x:row>
    <x:row r="127" ht="22" customHeight="1">
      <x:c r="A127" s="29" t="str">
        <x:v>pal_126</x:v>
      </x:c>
      <x:c r="B127" s="29" t="str">
        <x:v>No.110B</x:v>
      </x:c>
      <x:c r="C127" s="29" t="str">
        <x:v>唤夜兽</x:v>
      </x:c>
      <x:c r="D127" s="29" t="str">
        <x:v>土</x:v>
      </x:c>
      <x:c r="E127" s="29" t="str">
        <x:v>暗</x:v>
      </x:c>
      <x:c r="F127" s="29" t="str">
        <x:v>黄金</x:v>
      </x:c>
      <x:c r="G127" s="29" t="str">
        <x:v>中型</x:v>
      </x:c>
      <x:c r="H127" s="29" t="str">
        <x:v>控制</x:v>
      </x:c>
      <x:c r="I127" s="31" t="n">
        <x:f>IFERROR(VLOOKUP($A127,'02_怪物模板_好读版'!$A:$S,15,FALSE),0)+IFERROR(VLOOKUP($A127,'02_怪物模板_好读版'!$A:$S,16,FALSE),0)</x:f>
        <x:v>0</x:v>
      </x:c>
      <x:c r="J127" s="31" t="n">
        <x:f>IFERROR(VLOOKUP($A127,'02_怪物模板_好读版'!$A:$Z,8,FALSE),60)</x:f>
        <x:v>60</x:v>
      </x:c>
      <x:c r="K127" s="31" t="n">
        <x:f>IFERROR(VLOOKUP($A127,'02_怪物模板_好读版'!$A:$Z,9,FALSE),48)</x:f>
        <x:v>48</x:v>
      </x:c>
      <x:c r="L127" s="31" t="n">
        <x:f>IFERROR(VLOOKUP($A127,'02_怪物模板_好读版'!$A:$Z,10,FALSE),0)</x:f>
        <x:v>0</x:v>
      </x:c>
      <x:c r="M127" s="31" t="n">
        <x:f>IFERROR(VLOOKUP($A127,'02_怪物模板_好读版'!$A:$Z,11,FALSE),0)</x:f>
        <x:v>0</x:v>
      </x:c>
      <x:c r="N127" s="31" t="n">
        <x:f>IFERROR(VLOOKUP($A127,'02_怪物模板_好读版'!$A:$Z,12,FALSE),4)</x:f>
        <x:v>4</x:v>
      </x:c>
      <x:c r="O127" s="31" t="str">
        <x:f>IFERROR(VLOOKUP($A127,'02_怪物模板_好读版'!$A:$Z,13,FALSE),"REVIEW")</x:f>
        <x:v>REVIEW</x:v>
      </x:c>
      <x:c r="P127" s="29" t="str">
        <x:v>T1 标准前置T</x:v>
      </x:c>
      <x:c r="Q127" s="29" t="str">
        <x:v>T形/4格</x:v>
      </x:c>
      <x:c r="R127" s="29" t="str">
        <x:v>牵制</x:v>
      </x:c>
      <x:c r="S127" s="29" t="str">
        <x:v>healAmpBonus</x:v>
      </x:c>
      <x:c r="T127" s="29" t="str">
        <x:v>土、牵制、范围、机动</x:v>
      </x:c>
      <x:c r="U127" s="29" t="str">
        <x:v>—</x:v>
      </x:c>
      <x:c r="V127" s="29" t="str">
        <x:v>旧定位=牵制；控制补预算</x:v>
      </x:c>
    </x:row>
    <x:row r="128" ht="22" customHeight="1">
      <x:c r="A128" s="29" t="str">
        <x:v>pal_127</x:v>
      </x:c>
      <x:c r="B128" s="29" t="str">
        <x:v>No.111</x:v>
      </x:c>
      <x:c r="C128" s="29" t="str">
        <x:v>空涡龙</x:v>
      </x:c>
      <x:c r="D128" s="29" t="str">
        <x:v>风</x:v>
      </x:c>
      <x:c r="E128" s="29" t="str">
        <x:v>龙</x:v>
      </x:c>
      <x:c r="F128" s="29" t="str">
        <x:v>黄金</x:v>
      </x:c>
      <x:c r="G128" s="29" t="str">
        <x:v>中型</x:v>
      </x:c>
      <x:c r="H128" s="29" t="str">
        <x:v>机动</x:v>
      </x:c>
      <x:c r="I128" s="31" t="n">
        <x:f>IFERROR(VLOOKUP($A128,'02_怪物模板_好读版'!$A:$S,15,FALSE),0)+IFERROR(VLOOKUP($A128,'02_怪物模板_好读版'!$A:$S,16,FALSE),0)</x:f>
        <x:v>0</x:v>
      </x:c>
      <x:c r="J128" s="31" t="n">
        <x:f>IFERROR(VLOOKUP($A128,'02_怪物模板_好读版'!$A:$Z,8,FALSE),50)</x:f>
        <x:v>50</x:v>
      </x:c>
      <x:c r="K128" s="31" t="n">
        <x:f>IFERROR(VLOOKUP($A128,'02_怪物模板_好读版'!$A:$Z,9,FALSE),53)</x:f>
        <x:v>53</x:v>
      </x:c>
      <x:c r="L128" s="31" t="n">
        <x:f>IFERROR(VLOOKUP($A128,'02_怪物模板_好读版'!$A:$Z,10,FALSE),0)</x:f>
        <x:v>0</x:v>
      </x:c>
      <x:c r="M128" s="31" t="n">
        <x:f>IFERROR(VLOOKUP($A128,'02_怪物模板_好读版'!$A:$Z,11,FALSE),0)</x:f>
        <x:v>0</x:v>
      </x:c>
      <x:c r="N128" s="31" t="n">
        <x:f>IFERROR(VLOOKUP($A128,'02_怪物模板_好读版'!$A:$Z,12,FALSE),3)</x:f>
        <x:v>3</x:v>
      </x:c>
      <x:c r="O128" s="31" t="str">
        <x:f>IFERROR(VLOOKUP($A128,'02_怪物模板_好读版'!$A:$Z,13,FALSE),"REVIEW")</x:f>
        <x:v>REVIEW</x:v>
      </x:c>
      <x:c r="P128" s="29" t="str">
        <x:v>C1 前方2×2</x:v>
      </x:c>
      <x:c r="Q128" s="29" t="str">
        <x:v>方形/4格</x:v>
      </x:c>
      <x:c r="R128" s="29" t="str">
        <x:v>牵制</x:v>
      </x:c>
      <x:c r="S128" s="29" t="str">
        <x:v>advHitBonus</x:v>
      </x:c>
      <x:c r="T128" s="29" t="str">
        <x:v>风、机动、灵活、泛用</x:v>
      </x:c>
      <x:c r="U128" s="29" t="str">
        <x:v>—</x:v>
      </x:c>
      <x:c r="V128" s="29" t="str"/>
    </x:row>
  </x:sheetData>
  <x:pageMargins left="0.7" right="0.7" top="0.75" bottom="0.75" header="0.3" footer="0.3"/>
  <x:tableParts count="1">
    <x:tablePart xmlns:r="http://schemas.openxmlformats.org/officeDocument/2006/relationships" r:id="Ref6a7431ef2944f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8" hidden="0" customWidth="1"/>
    <x:col min="5" max="5" width="10" hidden="0" customWidth="1"/>
    <x:col min="6" max="6" width="10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12" hidden="0" customWidth="1"/>
    <x:col min="13" max="13" width="12" hidden="0" customWidth="1"/>
    <x:col min="14" max="14" width="18" hidden="0" customWidth="1"/>
    <x:col min="15" max="15" width="18" hidden="0" customWidth="1"/>
    <x:col min="16" max="16" width="22" hidden="0" customWidth="1"/>
    <x:col min="17" max="17" width="14" hidden="0" customWidth="1"/>
    <x:col min="18" max="18" width="26" hidden="0" customWidth="1"/>
    <x:col min="19" max="19" width="16" hidden="0" customWidth="1"/>
  </x:cols>
  <x:sheetData>
    <x:row r="1" ht="28" customHeight="1">
      <x:c r="A1" s="6" t="str">
        <x:v>宠物ID</x:v>
      </x:c>
      <x:c r="B1" s="6" t="str">
        <x:v>名称(自动)</x:v>
      </x:c>
      <x:c r="C1" s="6" t="str">
        <x:v>元素(自动)</x:v>
      </x:c>
      <x:c r="D1" s="6" t="str">
        <x:v>体型(自动)</x:v>
      </x:c>
      <x:c r="E1" s="6" t="str">
        <x:v>宠物定位(自动)</x:v>
      </x:c>
      <x:c r="F1" s="6" t="str">
        <x:v>阶段</x:v>
      </x:c>
      <x:c r="G1" s="6" t="str">
        <x:v>敌方定位</x:v>
      </x:c>
      <x:c r="H1" s="6" t="str">
        <x:v>HP</x:v>
      </x:c>
      <x:c r="I1" s="6" t="str">
        <x:v>攻</x:v>
      </x:c>
      <x:c r="J1" s="6" t="str">
        <x:v>防</x:v>
      </x:c>
      <x:c r="K1" s="6" t="str">
        <x:v>盾</x:v>
      </x:c>
      <x:c r="L1" s="6" t="str">
        <x:v>行动</x:v>
      </x:c>
      <x:c r="M1" s="6" t="str">
        <x:v>机制ID</x:v>
      </x:c>
      <x:c r="N1" s="6" t="str">
        <x:v>机制参数</x:v>
      </x:c>
      <x:c r="O1" s="6" t="str">
        <x:v>面板分</x:v>
      </x:c>
      <x:c r="P1" s="6" t="str">
        <x:v>机制分</x:v>
      </x:c>
      <x:c r="Q1" s="6" t="str">
        <x:v>克制</x:v>
      </x:c>
      <x:c r="R1" s="6" t="str">
        <x:v>推荐日</x:v>
      </x:c>
      <x:c r="S1" s="6" t="str">
        <x:v>备注</x:v>
      </x:c>
    </x:row>
    <x:row r="2" ht="22" customHeight="1">
      <x:c r="A2" s="29" t="str">
        <x:v>pal_001</x:v>
      </x:c>
      <x:c r="B2" s="31" t="str">
        <x:f>IFERROR(VLOOKUP($A2,'01_宠物主表_好读版'!$A:$Z,3,FALSE),"")</x:f>
        <x:v>棉悠悠</x:v>
      </x:c>
      <x:c r="C2" s="31" t="str">
        <x:f>IFERROR(VLOOKUP($A2,'01_宠物主表_好读版'!$A:$Z,4,FALSE),"")</x:f>
        <x:v>风</x:v>
      </x:c>
      <x:c r="D2" s="31" t="str">
        <x:f>IFERROR(VLOOKUP($A2,'01_宠物主表_好读版'!$A:$Z,7,FALSE),"")</x:f>
        <x:v>小型</x:v>
      </x:c>
      <x:c r="E2" s="31" t="str">
        <x:f>IFERROR(VLOOKUP($A2,'01_宠物主表_好读版'!$A:$Z,8,FALSE),"")</x:f>
        <x:v>经济</x:v>
      </x:c>
      <x:c r="F2" s="29" t="str">
        <x:v>教学</x:v>
      </x:c>
      <x:c r="G2" s="29" t="str">
        <x:v>小怪</x:v>
      </x:c>
      <x:c r="H2" s="29" t="n">
        <x:v>6</x:v>
      </x:c>
      <x:c r="I2" s="29" t="n">
        <x:v>1</x:v>
      </x:c>
      <x:c r="J2" s="29" t="n">
        <x:v>0</x:v>
      </x:c>
      <x:c r="K2" s="29" t="n">
        <x:v>0</x:v>
      </x:c>
      <x:c r="L2" s="29" t="n">
        <x:v>3</x:v>
      </x:c>
      <x:c r="M2" s="29" t="str">
        <x:v>none</x:v>
      </x:c>
      <x:c r="N2" s="29" t="str"/>
      <x:c r="O2" s="29" t="n">
        <x:v>24</x:v>
      </x:c>
      <x:c r="P2" s="29" t="n">
        <x:v>0</x:v>
      </x:c>
      <x:c r="Q2" s="29" t="str"/>
      <x:c r="R2" s="29" t="str"/>
      <x:c r="S2" s="29" t="str"/>
    </x:row>
    <x:row r="3" ht="22" customHeight="1">
      <x:c r="A3" s="29" t="str">
        <x:v>pal_042</x:v>
      </x:c>
      <x:c r="B3" s="31" t="str">
        <x:f>IFERROR(VLOOKUP($A3,'01_宠物主表_好读版'!$A:$Z,3,FALSE),"")</x:f>
        <x:v>炽焰牛</x:v>
      </x:c>
      <x:c r="C3" s="31" t="str">
        <x:f>IFERROR(VLOOKUP($A3,'01_宠物主表_好读版'!$A:$Z,4,FALSE),"")</x:f>
        <x:v>火</x:v>
      </x:c>
      <x:c r="D3" s="31" t="str">
        <x:f>IFERROR(VLOOKUP($A3,'01_宠物主表_好读版'!$A:$Z,7,FALSE),"")</x:f>
        <x:v>小型</x:v>
      </x:c>
      <x:c r="E3" s="31" t="str">
        <x:f>IFERROR(VLOOKUP($A3,'01_宠物主表_好读版'!$A:$Z,8,FALSE),"")</x:f>
        <x:v>输出</x:v>
      </x:c>
      <x:c r="F3" s="29" t="str">
        <x:v>中期</x:v>
      </x:c>
      <x:c r="G3" s="29" t="str">
        <x:v>小怪</x:v>
      </x:c>
      <x:c r="H3" s="29" t="n">
        <x:v>10</x:v>
      </x:c>
      <x:c r="I3" s="29" t="n">
        <x:v>2</x:v>
      </x:c>
      <x:c r="J3" s="29" t="n">
        <x:v>0</x:v>
      </x:c>
      <x:c r="K3" s="29" t="n">
        <x:v>0</x:v>
      </x:c>
      <x:c r="L3" s="29" t="n">
        <x:v>3</x:v>
      </x:c>
      <x:c r="M3" s="29" t="str">
        <x:v>mech_self_destruct</x:v>
      </x:c>
      <x:c r="N3" s="29" t="str"/>
      <x:c r="O3" s="29" t="n">
        <x:v>31</x:v>
      </x:c>
      <x:c r="P3" s="29" t="n">
        <x:v>16</x:v>
      </x:c>
      <x:c r="Q3" s="29" t="str"/>
      <x:c r="R3" s="29" t="str"/>
      <x:c r="S3" s="29" t="str"/>
    </x:row>
    <x:row r="4" ht="22" customHeight="1">
      <x:c r="A4" s="29" t="str">
        <x:v>pal_006</x:v>
      </x:c>
      <x:c r="B4" s="31" t="str">
        <x:f>IFERROR(VLOOKUP($A4,'01_宠物主表_好读版'!$A:$Z,3,FALSE),"")</x:f>
        <x:v>冲浪鸭</x:v>
      </x:c>
      <x:c r="C4" s="31" t="str">
        <x:f>IFERROR(VLOOKUP($A4,'01_宠物主表_好读版'!$A:$Z,4,FALSE),"")</x:f>
        <x:v>水</x:v>
      </x:c>
      <x:c r="D4" s="31" t="str">
        <x:f>IFERROR(VLOOKUP($A4,'01_宠物主表_好读版'!$A:$Z,7,FALSE),"")</x:f>
        <x:v>小型</x:v>
      </x:c>
      <x:c r="E4" s="31" t="str">
        <x:f>IFERROR(VLOOKUP($A4,'01_宠物主表_好读版'!$A:$Z,8,FALSE),"")</x:f>
        <x:v>治疗</x:v>
      </x:c>
      <x:c r="F4" s="29" t="str">
        <x:v>中期</x:v>
      </x:c>
      <x:c r="G4" s="29" t="str">
        <x:v>小怪</x:v>
      </x:c>
      <x:c r="H4" s="29" t="n">
        <x:v>10</x:v>
      </x:c>
      <x:c r="I4" s="29" t="n">
        <x:v>2</x:v>
      </x:c>
      <x:c r="J4" s="29" t="n">
        <x:v>0</x:v>
      </x:c>
      <x:c r="K4" s="29" t="n">
        <x:v>0</x:v>
      </x:c>
      <x:c r="L4" s="29" t="n">
        <x:v>3</x:v>
      </x:c>
      <x:c r="M4" s="29" t="str">
        <x:v>mech_poison</x:v>
      </x:c>
      <x:c r="N4" s="29" t="str"/>
      <x:c r="O4" s="29" t="n">
        <x:v>31</x:v>
      </x:c>
      <x:c r="P4" s="29" t="n">
        <x:v>16</x:v>
      </x:c>
      <x:c r="Q4" s="29" t="str"/>
      <x:c r="R4" s="29" t="str"/>
      <x:c r="S4" s="29" t="str"/>
    </x:row>
    <x:row r="5" ht="22" customHeight="1">
      <x:c r="A5" s="29" t="str">
        <x:v>pal_003</x:v>
      </x:c>
      <x:c r="B5" s="31" t="str">
        <x:f>IFERROR(VLOOKUP($A5,'01_宠物主表_好读版'!$A:$Z,3,FALSE),"")</x:f>
        <x:v>皮皮鸡</x:v>
      </x:c>
      <x:c r="C5" s="31" t="str">
        <x:f>IFERROR(VLOOKUP($A5,'01_宠物主表_好读版'!$A:$Z,4,FALSE),"")</x:f>
        <x:v>风</x:v>
      </x:c>
      <x:c r="D5" s="31" t="str">
        <x:f>IFERROR(VLOOKUP($A5,'01_宠物主表_好读版'!$A:$Z,7,FALSE),"")</x:f>
        <x:v>小型</x:v>
      </x:c>
      <x:c r="E5" s="31" t="str">
        <x:f>IFERROR(VLOOKUP($A5,'01_宠物主表_好读版'!$A:$Z,8,FALSE),"")</x:f>
        <x:v>经济</x:v>
      </x:c>
      <x:c r="F5" s="29" t="str">
        <x:v>中期</x:v>
      </x:c>
      <x:c r="G5" s="29" t="str">
        <x:v>小怪</x:v>
      </x:c>
      <x:c r="H5" s="29" t="n">
        <x:v>10</x:v>
      </x:c>
      <x:c r="I5" s="29" t="n">
        <x:v>3</x:v>
      </x:c>
      <x:c r="J5" s="29" t="n">
        <x:v>0</x:v>
      </x:c>
      <x:c r="K5" s="29" t="n">
        <x:v>0</x:v>
      </x:c>
      <x:c r="L5" s="29" t="n">
        <x:v>3</x:v>
      </x:c>
      <x:c r="M5" s="29" t="str">
        <x:v>mech_weaken</x:v>
      </x:c>
      <x:c r="N5" s="29" t="str"/>
      <x:c r="O5" s="29" t="n">
        <x:v>34</x:v>
      </x:c>
      <x:c r="P5" s="29" t="n">
        <x:v>16</x:v>
      </x:c>
      <x:c r="Q5" s="29" t="str"/>
      <x:c r="R5" s="29" t="str"/>
      <x:c r="S5" s="29" t="str"/>
    </x:row>
    <x:row r="6" ht="22" customHeight="1">
      <x:c r="A6" s="29" t="str">
        <x:v>pal_022</x:v>
      </x:c>
      <x:c r="B6" s="31" t="str">
        <x:f>IFERROR(VLOOKUP($A6,'01_宠物主表_好读版'!$A:$Z,3,FALSE),"")</x:f>
        <x:v>遁地鼠</x:v>
      </x:c>
      <x:c r="C6" s="31" t="str">
        <x:f>IFERROR(VLOOKUP($A6,'01_宠物主表_好读版'!$A:$Z,4,FALSE),"")</x:f>
        <x:v>土</x:v>
      </x:c>
      <x:c r="D6" s="31" t="str">
        <x:f>IFERROR(VLOOKUP($A6,'01_宠物主表_好读版'!$A:$Z,7,FALSE),"")</x:f>
        <x:v>中型</x:v>
      </x:c>
      <x:c r="E6" s="31" t="str">
        <x:f>IFERROR(VLOOKUP($A6,'01_宠物主表_好读版'!$A:$Z,8,FALSE),"")</x:f>
        <x:v>坦克</x:v>
      </x:c>
      <x:c r="F6" s="29" t="str">
        <x:v>教学</x:v>
      </x:c>
      <x:c r="G6" s="29" t="str">
        <x:v>肉盾</x:v>
      </x:c>
      <x:c r="H6" s="29" t="n">
        <x:v>25</x:v>
      </x:c>
      <x:c r="I6" s="29" t="n">
        <x:v>1</x:v>
      </x:c>
      <x:c r="J6" s="29" t="n">
        <x:v>0</x:v>
      </x:c>
      <x:c r="K6" s="29" t="n">
        <x:v>0</x:v>
      </x:c>
      <x:c r="L6" s="29" t="n">
        <x:v>2</x:v>
      </x:c>
      <x:c r="M6" s="29" t="str">
        <x:v>none</x:v>
      </x:c>
      <x:c r="N6" s="29" t="str"/>
      <x:c r="O6" s="29" t="n">
        <x:v>38</x:v>
      </x:c>
      <x:c r="P6" s="29" t="n">
        <x:v>0</x:v>
      </x:c>
      <x:c r="Q6" s="29" t="str"/>
      <x:c r="R6" s="29" t="str"/>
      <x:c r="S6" s="29" t="str"/>
    </x:row>
    <x:row r="7" ht="22" customHeight="1">
      <x:c r="A7" s="29" t="str">
        <x:v>pal_017</x:v>
      </x:c>
      <x:c r="B7" s="31" t="str">
        <x:f>IFERROR(VLOOKUP($A7,'01_宠物主表_好读版'!$A:$Z,3,FALSE),"")</x:f>
        <x:v>瞅什魔</x:v>
      </x:c>
      <x:c r="C7" s="31" t="str">
        <x:f>IFERROR(VLOOKUP($A7,'01_宠物主表_好读版'!$A:$Z,4,FALSE),"")</x:f>
        <x:v>土</x:v>
      </x:c>
      <x:c r="D7" s="31" t="str">
        <x:f>IFERROR(VLOOKUP($A7,'01_宠物主表_好读版'!$A:$Z,7,FALSE),"")</x:f>
        <x:v>大型</x:v>
      </x:c>
      <x:c r="E7" s="31" t="str">
        <x:f>IFERROR(VLOOKUP($A7,'01_宠物主表_好读版'!$A:$Z,8,FALSE),"")</x:f>
        <x:v>坦克</x:v>
      </x:c>
      <x:c r="F7" s="29" t="str">
        <x:v>后期</x:v>
      </x:c>
      <x:c r="G7" s="29" t="str">
        <x:v>肉盾</x:v>
      </x:c>
      <x:c r="H7" s="29" t="n">
        <x:v>40</x:v>
      </x:c>
      <x:c r="I7" s="29" t="n">
        <x:v>3</x:v>
      </x:c>
      <x:c r="J7" s="29" t="n">
        <x:v>0</x:v>
      </x:c>
      <x:c r="K7" s="29" t="n">
        <x:v>0</x:v>
      </x:c>
      <x:c r="L7" s="29" t="n">
        <x:v>2</x:v>
      </x:c>
      <x:c r="M7" s="29" t="str">
        <x:v>mech_firm_threshold</x:v>
      </x:c>
      <x:c r="N7" s="29" t="str"/>
      <x:c r="O7" s="29" t="n">
        <x:v>59</x:v>
      </x:c>
      <x:c r="P7" s="29" t="n">
        <x:v>32</x:v>
      </x:c>
      <x:c r="Q7" s="29" t="str"/>
      <x:c r="R7" s="29" t="str"/>
      <x:c r="S7" s="29" t="str"/>
    </x:row>
    <x:row r="8" ht="22" customHeight="1">
      <x:c r="A8" s="29" t="str">
        <x:v>pal_091</x:v>
      </x:c>
      <x:c r="B8" s="31" t="str">
        <x:f>IFERROR(VLOOKUP($A8,'01_宠物主表_好读版'!$A:$Z,3,FALSE),"")</x:f>
        <x:v>佩克龙</x:v>
      </x:c>
      <x:c r="C8" s="31" t="str">
        <x:f>IFERROR(VLOOKUP($A8,'01_宠物主表_好读版'!$A:$Z,4,FALSE),"")</x:f>
        <x:v>水</x:v>
      </x:c>
      <x:c r="D8" s="31" t="str">
        <x:f>IFERROR(VLOOKUP($A8,'01_宠物主表_好读版'!$A:$Z,7,FALSE),"")</x:f>
        <x:v>大型</x:v>
      </x:c>
      <x:c r="E8" s="31" t="str">
        <x:f>IFERROR(VLOOKUP($A8,'01_宠物主表_好读版'!$A:$Z,8,FALSE),"")</x:f>
        <x:v>坦克</x:v>
      </x:c>
      <x:c r="F8" s="29" t="str">
        <x:v>后期</x:v>
      </x:c>
      <x:c r="G8" s="29" t="str">
        <x:v>肉盾</x:v>
      </x:c>
      <x:c r="H8" s="29" t="n">
        <x:v>35</x:v>
      </x:c>
      <x:c r="I8" s="29" t="n">
        <x:v>2</x:v>
      </x:c>
      <x:c r="J8" s="29" t="n">
        <x:v>0</x:v>
      </x:c>
      <x:c r="K8" s="29" t="n">
        <x:v>6</x:v>
      </x:c>
      <x:c r="L8" s="29" t="n">
        <x:v>2</x:v>
      </x:c>
      <x:c r="M8" s="29" t="str">
        <x:v>mech_revive</x:v>
      </x:c>
      <x:c r="N8" s="29" t="str"/>
      <x:c r="O8" s="29" t="n">
        <x:v>81</x:v>
      </x:c>
      <x:c r="P8" s="29" t="n">
        <x:v>40</x:v>
      </x:c>
      <x:c r="Q8" s="29" t="str"/>
      <x:c r="R8" s="29" t="str"/>
      <x:c r="S8" s="29" t="str"/>
    </x:row>
    <x:row r="9" ht="22" customHeight="1">
      <x:c r="A9" s="29" t="str">
        <x:v>pal_005</x:v>
      </x:c>
      <x:c r="B9" s="31" t="str">
        <x:f>IFERROR(VLOOKUP($A9,'01_宠物主表_好读版'!$A:$Z,3,FALSE),"")</x:f>
        <x:v>火绒狐</x:v>
      </x:c>
      <x:c r="C9" s="31" t="str">
        <x:f>IFERROR(VLOOKUP($A9,'01_宠物主表_好读版'!$A:$Z,4,FALSE),"")</x:f>
        <x:v>火</x:v>
      </x:c>
      <x:c r="D9" s="31" t="str">
        <x:f>IFERROR(VLOOKUP($A9,'01_宠物主表_好读版'!$A:$Z,7,FALSE),"")</x:f>
        <x:v>中型</x:v>
      </x:c>
      <x:c r="E9" s="31" t="str">
        <x:f>IFERROR(VLOOKUP($A9,'01_宠物主表_好读版'!$A:$Z,8,FALSE),"")</x:f>
        <x:v>输出</x:v>
      </x:c>
      <x:c r="F9" s="29" t="str">
        <x:v>前期</x:v>
      </x:c>
      <x:c r="G9" s="29" t="str">
        <x:v>护盾怪</x:v>
      </x:c>
      <x:c r="H9" s="29" t="n">
        <x:v>10</x:v>
      </x:c>
      <x:c r="I9" s="29" t="n">
        <x:v>2</x:v>
      </x:c>
      <x:c r="J9" s="29" t="n">
        <x:v>0</x:v>
      </x:c>
      <x:c r="K9" s="29" t="n">
        <x:v>6</x:v>
      </x:c>
      <x:c r="L9" s="29" t="n">
        <x:v>3</x:v>
      </x:c>
      <x:c r="M9" s="29" t="str">
        <x:v>mech_shielded_fragile</x:v>
      </x:c>
      <x:c r="N9" s="29" t="str"/>
      <x:c r="O9" s="29" t="n">
        <x:v>61</x:v>
      </x:c>
      <x:c r="P9" s="29" t="n">
        <x:v>32</x:v>
      </x:c>
      <x:c r="Q9" s="29" t="str"/>
      <x:c r="R9" s="29" t="str"/>
      <x:c r="S9" s="29" t="str"/>
    </x:row>
    <x:row r="10" ht="22" customHeight="1">
      <x:c r="A10" s="29" t="str">
        <x:v>pal_088</x:v>
      </x:c>
      <x:c r="B10" s="31" t="str">
        <x:f>IFERROR(VLOOKUP($A10,'01_宠物主表_好读版'!$A:$Z,3,FALSE),"")</x:f>
        <x:v>冰棘兽</x:v>
      </x:c>
      <x:c r="C10" s="31" t="str">
        <x:f>IFERROR(VLOOKUP($A10,'01_宠物主表_好读版'!$A:$Z,4,FALSE),"")</x:f>
        <x:v>水</x:v>
      </x:c>
      <x:c r="D10" s="31" t="str">
        <x:f>IFERROR(VLOOKUP($A10,'01_宠物主表_好读版'!$A:$Z,7,FALSE),"")</x:f>
        <x:v>中型</x:v>
      </x:c>
      <x:c r="E10" s="31" t="str">
        <x:f>IFERROR(VLOOKUP($A10,'01_宠物主表_好读版'!$A:$Z,8,FALSE),"")</x:f>
        <x:v>坦克</x:v>
      </x:c>
      <x:c r="F10" s="29" t="str">
        <x:v>前期</x:v>
      </x:c>
      <x:c r="G10" s="29" t="str">
        <x:v>护盾怪</x:v>
      </x:c>
      <x:c r="H10" s="29" t="n">
        <x:v>15</x:v>
      </x:c>
      <x:c r="I10" s="29" t="n">
        <x:v>2</x:v>
      </x:c>
      <x:c r="J10" s="29" t="n">
        <x:v>0</x:v>
      </x:c>
      <x:c r="K10" s="29" t="n">
        <x:v>6</x:v>
      </x:c>
      <x:c r="L10" s="29" t="n">
        <x:v>3</x:v>
      </x:c>
      <x:c r="M10" s="29" t="str">
        <x:v>mech_opening_shield</x:v>
      </x:c>
      <x:c r="N10" s="29" t="str"/>
      <x:c r="O10" s="29" t="n">
        <x:v>66</x:v>
      </x:c>
      <x:c r="P10" s="29" t="n">
        <x:v>16</x:v>
      </x:c>
      <x:c r="Q10" s="29" t="str"/>
      <x:c r="R10" s="29" t="str"/>
      <x:c r="S10" s="29" t="str"/>
    </x:row>
    <x:row r="11" ht="22" customHeight="1">
      <x:c r="A11" s="29" t="str">
        <x:v>pal_023</x:v>
      </x:c>
      <x:c r="B11" s="31" t="str">
        <x:f>IFERROR(VLOOKUP($A11,'01_宠物主表_好读版'!$A:$Z,3,FALSE),"")</x:f>
        <x:v>勾魂鱿</x:v>
      </x:c>
      <x:c r="C11" s="31" t="str">
        <x:f>IFERROR(VLOOKUP($A11,'01_宠物主表_好读版'!$A:$Z,4,FALSE),"")</x:f>
        <x:v>土</x:v>
      </x:c>
      <x:c r="D11" s="31" t="str">
        <x:f>IFERROR(VLOOKUP($A11,'01_宠物主表_好读版'!$A:$Z,7,FALSE),"")</x:f>
        <x:v>中型</x:v>
      </x:c>
      <x:c r="E11" s="31" t="str">
        <x:f>IFERROR(VLOOKUP($A11,'01_宠物主表_好读版'!$A:$Z,8,FALSE),"")</x:f>
        <x:v>坦克</x:v>
      </x:c>
      <x:c r="F11" s="29" t="str">
        <x:v>中期</x:v>
      </x:c>
      <x:c r="G11" s="29" t="str">
        <x:v>护盾怪</x:v>
      </x:c>
      <x:c r="H11" s="29" t="n">
        <x:v>25</x:v>
      </x:c>
      <x:c r="I11" s="29" t="n">
        <x:v>2</x:v>
      </x:c>
      <x:c r="J11" s="29" t="n">
        <x:v>0</x:v>
      </x:c>
      <x:c r="K11" s="29" t="n">
        <x:v>6</x:v>
      </x:c>
      <x:c r="L11" s="29" t="n">
        <x:v>3</x:v>
      </x:c>
      <x:c r="M11" s="29" t="str">
        <x:v>mech_shield_regen</x:v>
      </x:c>
      <x:c r="N11" s="29" t="str"/>
      <x:c r="O11" s="29" t="n">
        <x:v>76</x:v>
      </x:c>
      <x:c r="P11" s="29" t="n">
        <x:v>24</x:v>
      </x:c>
      <x:c r="Q11" s="29" t="str"/>
      <x:c r="R11" s="29" t="str"/>
      <x:c r="S11" s="29" t="str"/>
    </x:row>
    <x:row r="12" ht="22" customHeight="1">
      <x:c r="A12" s="29" t="str">
        <x:v>pal_032</x:v>
      </x:c>
      <x:c r="B12" s="31" t="str">
        <x:f>IFERROR(VLOOKUP($A12,'01_宠物主表_好读版'!$A:$Z,3,FALSE),"")</x:f>
        <x:v>吊缚灵</x:v>
      </x:c>
      <x:c r="C12" s="31" t="str">
        <x:f>IFERROR(VLOOKUP($A12,'01_宠物主表_好读版'!$A:$Z,4,FALSE),"")</x:f>
        <x:v>土</x:v>
      </x:c>
      <x:c r="D12" s="31" t="str">
        <x:f>IFERROR(VLOOKUP($A12,'01_宠物主表_好读版'!$A:$Z,7,FALSE),"")</x:f>
        <x:v>中型</x:v>
      </x:c>
      <x:c r="E12" s="31" t="str">
        <x:f>IFERROR(VLOOKUP($A12,'01_宠物主表_好读版'!$A:$Z,8,FALSE),"")</x:f>
        <x:v>坦克</x:v>
      </x:c>
      <x:c r="F12" s="29" t="str">
        <x:v>前中期</x:v>
      </x:c>
      <x:c r="G12" s="29" t="str">
        <x:v>限伤怪</x:v>
      </x:c>
      <x:c r="H12" s="29" t="n">
        <x:v>30</x:v>
      </x:c>
      <x:c r="I12" s="29" t="n">
        <x:v>3</x:v>
      </x:c>
      <x:c r="J12" s="29" t="n">
        <x:v>0</x:v>
      </x:c>
      <x:c r="K12" s="29" t="n">
        <x:v>0</x:v>
      </x:c>
      <x:c r="L12" s="29" t="n">
        <x:v>3</x:v>
      </x:c>
      <x:c r="M12" s="29" t="str">
        <x:v>mech_damage_cap</x:v>
      </x:c>
      <x:c r="N12" s="29" t="str"/>
      <x:c r="O12" s="29" t="n">
        <x:v>54</x:v>
      </x:c>
      <x:c r="P12" s="29" t="n">
        <x:v>40</x:v>
      </x:c>
      <x:c r="Q12" s="29" t="str"/>
      <x:c r="R12" s="29" t="str"/>
      <x:c r="S12" s="29" t="str"/>
    </x:row>
    <x:row r="13" ht="22" customHeight="1">
      <x:c r="A13" s="29" t="str">
        <x:v>pal_097</x:v>
      </x:c>
      <x:c r="B13" s="31" t="str">
        <x:f>IFERROR(VLOOKUP($A13,'01_宠物主表_好读版'!$A:$Z,3,FALSE),"")</x:f>
        <x:v>寒霜兽</x:v>
      </x:c>
      <x:c r="C13" s="31" t="str">
        <x:f>IFERROR(VLOOKUP($A13,'01_宠物主表_好读版'!$A:$Z,4,FALSE),"")</x:f>
        <x:v>水</x:v>
      </x:c>
      <x:c r="D13" s="31" t="str">
        <x:f>IFERROR(VLOOKUP($A13,'01_宠物主表_好读版'!$A:$Z,7,FALSE),"")</x:f>
        <x:v>大型</x:v>
      </x:c>
      <x:c r="E13" s="31" t="str">
        <x:f>IFERROR(VLOOKUP($A13,'01_宠物主表_好读版'!$A:$Z,8,FALSE),"")</x:f>
        <x:v>坦克</x:v>
      </x:c>
      <x:c r="F13" s="29" t="str">
        <x:v>后期</x:v>
      </x:c>
      <x:c r="G13" s="29" t="str">
        <x:v>限伤怪</x:v>
      </x:c>
      <x:c r="H13" s="29" t="n">
        <x:v>40</x:v>
      </x:c>
      <x:c r="I13" s="29" t="n">
        <x:v>3</x:v>
      </x:c>
      <x:c r="J13" s="29" t="n">
        <x:v>0</x:v>
      </x:c>
      <x:c r="K13" s="29" t="n">
        <x:v>6</x:v>
      </x:c>
      <x:c r="L13" s="29" t="n">
        <x:v>3</x:v>
      </x:c>
      <x:c r="M13" s="29" t="str">
        <x:v>mech_damage_cap</x:v>
      </x:c>
      <x:c r="N13" s="29" t="str"/>
      <x:c r="O13" s="29" t="n">
        <x:v>94</x:v>
      </x:c>
      <x:c r="P13" s="29" t="n">
        <x:v>40</x:v>
      </x:c>
      <x:c r="Q13" s="29" t="str"/>
      <x:c r="R13" s="29" t="str"/>
      <x:c r="S13" s="29" t="str"/>
    </x:row>
    <x:row r="14" ht="22" customHeight="1">
      <x:c r="A14" s="29" t="str">
        <x:v>pal_002</x:v>
      </x:c>
      <x:c r="B14" s="31" t="str">
        <x:f>IFERROR(VLOOKUP($A14,'01_宠物主表_好读版'!$A:$Z,3,FALSE),"")</x:f>
        <x:v>捣蛋猫</x:v>
      </x:c>
      <x:c r="C14" s="31" t="str">
        <x:f>IFERROR(VLOOKUP($A14,'01_宠物主表_好读版'!$A:$Z,4,FALSE),"")</x:f>
        <x:v>风</x:v>
      </x:c>
      <x:c r="D14" s="31" t="str">
        <x:f>IFERROR(VLOOKUP($A14,'01_宠物主表_好读版'!$A:$Z,7,FALSE),"")</x:f>
        <x:v>小型</x:v>
      </x:c>
      <x:c r="E14" s="31" t="str">
        <x:f>IFERROR(VLOOKUP($A14,'01_宠物主表_好读版'!$A:$Z,8,FALSE),"")</x:f>
        <x:v>坦克</x:v>
      </x:c>
      <x:c r="F14" s="29" t="str">
        <x:v>前中期</x:v>
      </x:c>
      <x:c r="G14" s="29" t="str">
        <x:v>首伤怪</x:v>
      </x:c>
      <x:c r="H14" s="29" t="n">
        <x:v>20</x:v>
      </x:c>
      <x:c r="I14" s="29" t="n">
        <x:v>3</x:v>
      </x:c>
      <x:c r="J14" s="29" t="n">
        <x:v>0</x:v>
      </x:c>
      <x:c r="K14" s="29" t="n">
        <x:v>0</x:v>
      </x:c>
      <x:c r="L14" s="29" t="n">
        <x:v>3</x:v>
      </x:c>
      <x:c r="M14" s="29" t="str">
        <x:v>mech_first_hit_block</x:v>
      </x:c>
      <x:c r="N14" s="29" t="str"/>
      <x:c r="O14" s="29" t="n">
        <x:v>44</x:v>
      </x:c>
      <x:c r="P14" s="29" t="n">
        <x:v>24</x:v>
      </x:c>
      <x:c r="Q14" s="29" t="str"/>
      <x:c r="R14" s="29" t="str"/>
      <x:c r="S14" s="29" t="str"/>
    </x:row>
    <x:row r="15" ht="22" customHeight="1">
      <x:c r="A15" s="29" t="str">
        <x:v>pal_009</x:v>
      </x:c>
      <x:c r="B15" s="31" t="str">
        <x:f>IFERROR(VLOOKUP($A15,'01_宠物主表_好读版'!$A:$Z,3,FALSE),"")</x:f>
        <x:v>燎火鹿</x:v>
      </x:c>
      <x:c r="C15" s="31" t="str">
        <x:f>IFERROR(VLOOKUP($A15,'01_宠物主表_好读版'!$A:$Z,4,FALSE),"")</x:f>
        <x:v>火</x:v>
      </x:c>
      <x:c r="D15" s="31" t="str">
        <x:f>IFERROR(VLOOKUP($A15,'01_宠物主表_好读版'!$A:$Z,7,FALSE),"")</x:f>
        <x:v>中型</x:v>
      </x:c>
      <x:c r="E15" s="31" t="str">
        <x:f>IFERROR(VLOOKUP($A15,'01_宠物主表_好读版'!$A:$Z,8,FALSE),"")</x:f>
        <x:v>输出</x:v>
      </x:c>
      <x:c r="F15" s="29" t="str">
        <x:v>中后期</x:v>
      </x:c>
      <x:c r="G15" s="29" t="str">
        <x:v>首伤怪</x:v>
      </x:c>
      <x:c r="H15" s="29" t="n">
        <x:v>25</x:v>
      </x:c>
      <x:c r="I15" s="29" t="n">
        <x:v>3</x:v>
      </x:c>
      <x:c r="J15" s="29" t="n">
        <x:v>0</x:v>
      </x:c>
      <x:c r="K15" s="29" t="n">
        <x:v>6</x:v>
      </x:c>
      <x:c r="L15" s="29" t="n">
        <x:v>3</x:v>
      </x:c>
      <x:c r="M15" s="29" t="str">
        <x:v>mech_first_hit_block</x:v>
      </x:c>
      <x:c r="N15" s="29" t="str"/>
      <x:c r="O15" s="29" t="n">
        <x:v>79</x:v>
      </x:c>
      <x:c r="P15" s="29" t="n">
        <x:v>24</x:v>
      </x:c>
      <x:c r="Q15" s="29" t="str"/>
      <x:c r="R15" s="29" t="str"/>
      <x:c r="S15" s="29" t="str"/>
    </x:row>
    <x:row r="16" ht="22" customHeight="1">
      <x:c r="A16" s="29" t="str">
        <x:v>pal_040</x:v>
      </x:c>
      <x:c r="B16" s="31" t="str">
        <x:f>IFERROR(VLOOKUP($A16,'01_宠物主表_好读版'!$A:$Z,3,FALSE),"")</x:f>
        <x:v>炎魔羊</x:v>
      </x:c>
      <x:c r="C16" s="31" t="str">
        <x:f>IFERROR(VLOOKUP($A16,'01_宠物主表_好读版'!$A:$Z,4,FALSE),"")</x:f>
        <x:v>火</x:v>
      </x:c>
      <x:c r="D16" s="31" t="str">
        <x:f>IFERROR(VLOOKUP($A16,'01_宠物主表_好读版'!$A:$Z,7,FALSE),"")</x:f>
        <x:v>中型</x:v>
      </x:c>
      <x:c r="E16" s="31" t="str">
        <x:f>IFERROR(VLOOKUP($A16,'01_宠物主表_好读版'!$A:$Z,8,FALSE),"")</x:f>
        <x:v>输出</x:v>
      </x:c>
      <x:c r="F16" s="29" t="str">
        <x:v>前中期</x:v>
      </x:c>
      <x:c r="G16" s="29" t="str">
        <x:v>反击怪</x:v>
      </x:c>
      <x:c r="H16" s="29" t="n">
        <x:v>25</x:v>
      </x:c>
      <x:c r="I16" s="29" t="n">
        <x:v>4</x:v>
      </x:c>
      <x:c r="J16" s="29" t="n">
        <x:v>0</x:v>
      </x:c>
      <x:c r="K16" s="29" t="n">
        <x:v>0</x:v>
      </x:c>
      <x:c r="L16" s="29" t="n">
        <x:v>3</x:v>
      </x:c>
      <x:c r="M16" s="29" t="str">
        <x:v>mech_counter</x:v>
      </x:c>
      <x:c r="N16" s="29" t="str"/>
      <x:c r="O16" s="29" t="n">
        <x:v>52</x:v>
      </x:c>
      <x:c r="P16" s="29" t="n">
        <x:v>24</x:v>
      </x:c>
      <x:c r="Q16" s="29" t="str"/>
      <x:c r="R16" s="29" t="str"/>
      <x:c r="S16" s="29" t="str"/>
    </x:row>
    <x:row r="17" ht="22" customHeight="1">
      <x:c r="A17" s="29" t="str">
        <x:v>pal_046</x:v>
      </x:c>
      <x:c r="B17" s="31" t="str">
        <x:f>IFERROR(VLOOKUP($A17,'01_宠物主表_好读版'!$A:$Z,3,FALSE),"")</x:f>
        <x:v>月镰魔</x:v>
      </x:c>
      <x:c r="C17" s="31" t="str">
        <x:f>IFERROR(VLOOKUP($A17,'01_宠物主表_好读版'!$A:$Z,4,FALSE),"")</x:f>
        <x:v>土</x:v>
      </x:c>
      <x:c r="D17" s="31" t="str">
        <x:f>IFERROR(VLOOKUP($A17,'01_宠物主表_好读版'!$A:$Z,7,FALSE),"")</x:f>
        <x:v>中型</x:v>
      </x:c>
      <x:c r="E17" s="31" t="str">
        <x:f>IFERROR(VLOOKUP($A17,'01_宠物主表_好读版'!$A:$Z,8,FALSE),"")</x:f>
        <x:v>坦克</x:v>
      </x:c>
      <x:c r="F17" s="29" t="str">
        <x:v>中后期</x:v>
      </x:c>
      <x:c r="G17" s="29" t="str">
        <x:v>反击怪</x:v>
      </x:c>
      <x:c r="H17" s="29" t="n">
        <x:v>30</x:v>
      </x:c>
      <x:c r="I17" s="29" t="n">
        <x:v>4</x:v>
      </x:c>
      <x:c r="J17" s="29" t="n">
        <x:v>0</x:v>
      </x:c>
      <x:c r="K17" s="29" t="n">
        <x:v>6</x:v>
      </x:c>
      <x:c r="L17" s="29" t="n">
        <x:v>3</x:v>
      </x:c>
      <x:c r="M17" s="29" t="str">
        <x:v>mech_counter</x:v>
      </x:c>
      <x:c r="N17" s="29" t="str"/>
      <x:c r="O17" s="29" t="n">
        <x:v>87</x:v>
      </x:c>
      <x:c r="P17" s="29" t="n">
        <x:v>24</x:v>
      </x:c>
      <x:c r="Q17" s="29" t="str"/>
      <x:c r="R17" s="29" t="str"/>
      <x:c r="S17" s="29" t="str"/>
    </x:row>
    <x:row r="18" ht="22" customHeight="1">
      <x:c r="A18" s="29" t="str">
        <x:v>pal_061</x:v>
      </x:c>
      <x:c r="B18" s="31" t="str">
        <x:f>IFERROR(VLOOKUP($A18,'01_宠物主表_好读版'!$A:$Z,3,FALSE),"")</x:f>
        <x:v>苍焰狼</x:v>
      </x:c>
      <x:c r="C18" s="31" t="str">
        <x:f>IFERROR(VLOOKUP($A18,'01_宠物主表_好读版'!$A:$Z,4,FALSE),"")</x:f>
        <x:v>火</x:v>
      </x:c>
      <x:c r="D18" s="31" t="str">
        <x:f>IFERROR(VLOOKUP($A18,'01_宠物主表_好读版'!$A:$Z,7,FALSE),"")</x:f>
        <x:v>中型</x:v>
      </x:c>
      <x:c r="E18" s="31" t="str">
        <x:f>IFERROR(VLOOKUP($A18,'01_宠物主表_好读版'!$A:$Z,8,FALSE),"")</x:f>
        <x:v>输出</x:v>
      </x:c>
      <x:c r="F18" s="29" t="str">
        <x:v>前中期</x:v>
      </x:c>
      <x:c r="G18" s="29" t="str">
        <x:v>成长怪</x:v>
      </x:c>
      <x:c r="H18" s="29" t="n">
        <x:v>25</x:v>
      </x:c>
      <x:c r="I18" s="29" t="n">
        <x:v>2</x:v>
      </x:c>
      <x:c r="J18" s="29" t="n">
        <x:v>0</x:v>
      </x:c>
      <x:c r="K18" s="29" t="n">
        <x:v>0</x:v>
      </x:c>
      <x:c r="L18" s="29" t="n">
        <x:v>3</x:v>
      </x:c>
      <x:c r="M18" s="29" t="str">
        <x:v>mech_grow_attack</x:v>
      </x:c>
      <x:c r="N18" s="29" t="str"/>
      <x:c r="O18" s="29" t="n">
        <x:v>46</x:v>
      </x:c>
      <x:c r="P18" s="29" t="n">
        <x:v>24</x:v>
      </x:c>
      <x:c r="Q18" s="29" t="str"/>
      <x:c r="R18" s="29" t="str"/>
      <x:c r="S18" s="29" t="str"/>
    </x:row>
    <x:row r="19" ht="22" customHeight="1">
      <x:c r="A19" s="29" t="str">
        <x:v>pal_079</x:v>
      </x:c>
      <x:c r="B19" s="31" t="str">
        <x:f>IFERROR(VLOOKUP($A19,'01_宠物主表_好读版'!$A:$Z,3,FALSE),"")</x:f>
        <x:v>焰巫狐</x:v>
      </x:c>
      <x:c r="C19" s="31" t="str">
        <x:f>IFERROR(VLOOKUP($A19,'01_宠物主表_好读版'!$A:$Z,4,FALSE),"")</x:f>
        <x:v>火</x:v>
      </x:c>
      <x:c r="D19" s="31" t="str">
        <x:f>IFERROR(VLOOKUP($A19,'01_宠物主表_好读版'!$A:$Z,7,FALSE),"")</x:f>
        <x:v>中型</x:v>
      </x:c>
      <x:c r="E19" s="31" t="str">
        <x:f>IFERROR(VLOOKUP($A19,'01_宠物主表_好读版'!$A:$Z,8,FALSE),"")</x:f>
        <x:v>输出</x:v>
      </x:c>
      <x:c r="F19" s="29" t="str">
        <x:v>中期</x:v>
      </x:c>
      <x:c r="G19" s="29" t="str">
        <x:v>成长怪</x:v>
      </x:c>
      <x:c r="H19" s="29" t="n">
        <x:v>35</x:v>
      </x:c>
      <x:c r="I19" s="29" t="n">
        <x:v>3</x:v>
      </x:c>
      <x:c r="J19" s="29" t="n">
        <x:v>0</x:v>
      </x:c>
      <x:c r="K19" s="29" t="n">
        <x:v>0</x:v>
      </x:c>
      <x:c r="L19" s="29" t="n">
        <x:v>3</x:v>
      </x:c>
      <x:c r="M19" s="29" t="str">
        <x:v>mech_grow_attack</x:v>
      </x:c>
      <x:c r="N19" s="29" t="str"/>
      <x:c r="O19" s="29" t="n">
        <x:v>59</x:v>
      </x:c>
      <x:c r="P19" s="29" t="n">
        <x:v>24</x:v>
      </x:c>
      <x:c r="Q19" s="29" t="str"/>
      <x:c r="R19" s="29" t="str"/>
      <x:c r="S19" s="29" t="str"/>
    </x:row>
    <x:row r="20" ht="22" customHeight="1">
      <x:c r="A20" s="29" t="str">
        <x:v>pal_031</x:v>
      </x:c>
      <x:c r="B20" s="31" t="str">
        <x:f>IFERROR(VLOOKUP($A20,'01_宠物主表_好读版'!$A:$Z,3,FALSE),"")</x:f>
        <x:v>鲨小子</x:v>
      </x:c>
      <x:c r="C20" s="31" t="str">
        <x:f>IFERROR(VLOOKUP($A20,'01_宠物主表_好读版'!$A:$Z,4,FALSE),"")</x:f>
        <x:v>水</x:v>
      </x:c>
      <x:c r="D20" s="31" t="str">
        <x:f>IFERROR(VLOOKUP($A20,'01_宠物主表_好读版'!$A:$Z,7,FALSE),"")</x:f>
        <x:v>中型</x:v>
      </x:c>
      <x:c r="E20" s="31" t="str">
        <x:f>IFERROR(VLOOKUP($A20,'01_宠物主表_好读版'!$A:$Z,8,FALSE),"")</x:f>
        <x:v>治疗</x:v>
      </x:c>
      <x:c r="F20" s="29" t="str">
        <x:v>前中期</x:v>
      </x:c>
      <x:c r="G20" s="29" t="str">
        <x:v>成长怪</x:v>
      </x:c>
      <x:c r="H20" s="29" t="n">
        <x:v>25</x:v>
      </x:c>
      <x:c r="I20" s="29" t="n">
        <x:v>2</x:v>
      </x:c>
      <x:c r="J20" s="29" t="n">
        <x:v>0</x:v>
      </x:c>
      <x:c r="K20" s="29" t="n">
        <x:v>6</x:v>
      </x:c>
      <x:c r="L20" s="29" t="n">
        <x:v>3</x:v>
      </x:c>
      <x:c r="M20" s="29" t="str">
        <x:v>mech_grow_shield</x:v>
      </x:c>
      <x:c r="N20" s="29" t="str"/>
      <x:c r="O20" s="29" t="n">
        <x:v>76</x:v>
      </x:c>
      <x:c r="P20" s="29" t="n">
        <x:v>24</x:v>
      </x:c>
      <x:c r="Q20" s="29" t="str"/>
      <x:c r="R20" s="29" t="str"/>
      <x:c r="S20" s="29" t="str"/>
    </x:row>
    <x:row r="21" ht="22" customHeight="1">
      <x:c r="A21" s="29" t="str">
        <x:v>pal_019</x:v>
      </x:c>
      <x:c r="B21" s="31" t="str">
        <x:f>IFERROR(VLOOKUP($A21,'01_宠物主表_好读版'!$A:$Z,3,FALSE),"")</x:f>
        <x:v>寐魔</x:v>
      </x:c>
      <x:c r="C21" s="31" t="str">
        <x:f>IFERROR(VLOOKUP($A21,'01_宠物主表_好读版'!$A:$Z,4,FALSE),"")</x:f>
        <x:v>土</x:v>
      </x:c>
      <x:c r="D21" s="31" t="str">
        <x:f>IFERROR(VLOOKUP($A21,'01_宠物主表_好读版'!$A:$Z,7,FALSE),"")</x:f>
        <x:v>大型</x:v>
      </x:c>
      <x:c r="E21" s="31" t="str">
        <x:f>IFERROR(VLOOKUP($A21,'01_宠物主表_好读版'!$A:$Z,8,FALSE),"")</x:f>
        <x:v>坦克</x:v>
      </x:c>
      <x:c r="F21" s="29" t="str">
        <x:v>中后期</x:v>
      </x:c>
      <x:c r="G21" s="29" t="str">
        <x:v>成长怪</x:v>
      </x:c>
      <x:c r="H21" s="29" t="n">
        <x:v>30</x:v>
      </x:c>
      <x:c r="I21" s="29" t="n">
        <x:v>3</x:v>
      </x:c>
      <x:c r="J21" s="29" t="n">
        <x:v>0</x:v>
      </x:c>
      <x:c r="K21" s="29" t="n">
        <x:v>10</x:v>
      </x:c>
      <x:c r="L21" s="29" t="n">
        <x:v>3</x:v>
      </x:c>
      <x:c r="M21" s="29" t="str">
        <x:v>mech_grow_shield</x:v>
      </x:c>
      <x:c r="N21" s="29" t="str"/>
      <x:c r="O21" s="29" t="n">
        <x:v>104</x:v>
      </x:c>
      <x:c r="P21" s="29" t="n">
        <x:v>24</x:v>
      </x:c>
      <x:c r="Q21" s="29" t="str"/>
      <x:c r="R21" s="29" t="str"/>
      <x:c r="S21" s="29" t="str"/>
    </x:row>
    <x:row r="22" ht="22" customHeight="1">
      <x:c r="A22" s="29" t="str">
        <x:v>pal_067</x:v>
      </x:c>
      <x:c r="B22" s="31" t="str">
        <x:f>IFERROR(VLOOKUP($A22,'01_宠物主表_好读版'!$A:$Z,3,FALSE),"")</x:f>
        <x:v>流沙蛇</x:v>
      </x:c>
      <x:c r="C22" s="31" t="str">
        <x:f>IFERROR(VLOOKUP($A22,'01_宠物主表_好读版'!$A:$Z,4,FALSE),"")</x:f>
        <x:v>土</x:v>
      </x:c>
      <x:c r="D22" s="31" t="str">
        <x:f>IFERROR(VLOOKUP($A22,'01_宠物主表_好读版'!$A:$Z,7,FALSE),"")</x:f>
        <x:v>中型</x:v>
      </x:c>
      <x:c r="E22" s="31" t="str">
        <x:f>IFERROR(VLOOKUP($A22,'01_宠物主表_好读版'!$A:$Z,8,FALSE),"")</x:f>
        <x:v>坦克</x:v>
      </x:c>
      <x:c r="F22" s="29" t="str">
        <x:v>前期</x:v>
      </x:c>
      <x:c r="G22" s="29" t="str">
        <x:v>召唤怪</x:v>
      </x:c>
      <x:c r="H22" s="29" t="n">
        <x:v>20</x:v>
      </x:c>
      <x:c r="I22" s="29" t="n">
        <x:v>1</x:v>
      </x:c>
      <x:c r="J22" s="29" t="n">
        <x:v>0</x:v>
      </x:c>
      <x:c r="K22" s="29" t="n">
        <x:v>0</x:v>
      </x:c>
      <x:c r="L22" s="29" t="n">
        <x:v>3</x:v>
      </x:c>
      <x:c r="M22" s="29" t="str">
        <x:v>mech_summon</x:v>
      </x:c>
      <x:c r="N22" s="29" t="str"/>
      <x:c r="O22" s="29" t="n">
        <x:v>38</x:v>
      </x:c>
      <x:c r="P22" s="29" t="n">
        <x:v>32</x:v>
      </x:c>
      <x:c r="Q22" s="29" t="str"/>
      <x:c r="R22" s="29" t="str"/>
      <x:c r="S22" s="29" t="str"/>
    </x:row>
    <x:row r="23" ht="22" customHeight="1">
      <x:c r="A23" s="29" t="str">
        <x:v>pal_055</x:v>
      </x:c>
      <x:c r="B23" s="31" t="str">
        <x:f>IFERROR(VLOOKUP($A23,'01_宠物主表_好读版'!$A:$Z,3,FALSE),"")</x:f>
        <x:v>疾旋鼬</x:v>
      </x:c>
      <x:c r="C23" s="31" t="str">
        <x:f>IFERROR(VLOOKUP($A23,'01_宠物主表_好读版'!$A:$Z,4,FALSE),"")</x:f>
        <x:v>水</x:v>
      </x:c>
      <x:c r="D23" s="31" t="str">
        <x:f>IFERROR(VLOOKUP($A23,'01_宠物主表_好读版'!$A:$Z,7,FALSE),"")</x:f>
        <x:v>中型</x:v>
      </x:c>
      <x:c r="E23" s="31" t="str">
        <x:f>IFERROR(VLOOKUP($A23,'01_宠物主表_好读版'!$A:$Z,8,FALSE),"")</x:f>
        <x:v>控制</x:v>
      </x:c>
      <x:c r="F23" s="29" t="str">
        <x:v>中期</x:v>
      </x:c>
      <x:c r="G23" s="29" t="str">
        <x:v>召唤怪</x:v>
      </x:c>
      <x:c r="H23" s="29" t="n">
        <x:v>30</x:v>
      </x:c>
      <x:c r="I23" s="29" t="n">
        <x:v>2</x:v>
      </x:c>
      <x:c r="J23" s="29" t="n">
        <x:v>0</x:v>
      </x:c>
      <x:c r="K23" s="29" t="n">
        <x:v>6</x:v>
      </x:c>
      <x:c r="L23" s="29" t="n">
        <x:v>3</x:v>
      </x:c>
      <x:c r="M23" s="29" t="str">
        <x:v>mech_summon</x:v>
      </x:c>
      <x:c r="N23" s="29" t="str"/>
      <x:c r="O23" s="29" t="n">
        <x:v>81</x:v>
      </x:c>
      <x:c r="P23" s="29" t="n">
        <x:v>32</x:v>
      </x:c>
      <x:c r="Q23" s="29" t="str"/>
      <x:c r="R23" s="29" t="str"/>
      <x:c r="S23" s="29" t="str"/>
    </x:row>
    <x:row r="24" ht="22" customHeight="1">
      <x:c r="A24" s="29" t="str">
        <x:v>pal_106</x:v>
      </x:c>
      <x:c r="B24" s="31" t="str">
        <x:f>IFERROR(VLOOKUP($A24,'01_宠物主表_好读版'!$A:$Z,3,FALSE),"")</x:f>
        <x:v>夜幕魔蝠</x:v>
      </x:c>
      <x:c r="C24" s="31" t="str">
        <x:f>IFERROR(VLOOKUP($A24,'01_宠物主表_好读版'!$A:$Z,4,FALSE),"")</x:f>
        <x:v>土</x:v>
      </x:c>
      <x:c r="D24" s="31" t="str">
        <x:f>IFERROR(VLOOKUP($A24,'01_宠物主表_好读版'!$A:$Z,7,FALSE),"")</x:f>
        <x:v>大型</x:v>
      </x:c>
      <x:c r="E24" s="31" t="str">
        <x:f>IFERROR(VLOOKUP($A24,'01_宠物主表_好读版'!$A:$Z,8,FALSE),"")</x:f>
        <x:v>坦克</x:v>
      </x:c>
      <x:c r="F24" s="29" t="str">
        <x:v>后期</x:v>
      </x:c>
      <x:c r="G24" s="29" t="str">
        <x:v>召唤怪</x:v>
      </x:c>
      <x:c r="H24" s="29" t="n">
        <x:v>35</x:v>
      </x:c>
      <x:c r="I24" s="29" t="n">
        <x:v>3</x:v>
      </x:c>
      <x:c r="J24" s="29" t="n">
        <x:v>0</x:v>
      </x:c>
      <x:c r="K24" s="29" t="n">
        <x:v>6</x:v>
      </x:c>
      <x:c r="L24" s="29" t="n">
        <x:v>3</x:v>
      </x:c>
      <x:c r="M24" s="29" t="str">
        <x:v>mech_summon,mech_revive</x:v>
      </x:c>
      <x:c r="N24" s="29" t="str"/>
      <x:c r="O24" s="29" t="n">
        <x:v>89</x:v>
      </x:c>
      <x:c r="P24" s="29" t="n">
        <x:v>72</x:v>
      </x:c>
      <x:c r="Q24" s="29" t="str"/>
      <x:c r="R24" s="29" t="str"/>
      <x:c r="S24" s="29" t="str"/>
    </x:row>
    <x:row r="25" ht="22" customHeight="1">
      <x:c r="A25" s="29" t="str">
        <x:v>pal_072</x:v>
      </x:c>
      <x:c r="B25" s="31" t="str">
        <x:f>IFERROR(VLOOKUP($A25,'01_宠物主表_好读版'!$A:$Z,3,FALSE),"")</x:f>
        <x:v>融焰娘</x:v>
      </x:c>
      <x:c r="C25" s="31" t="str">
        <x:f>IFERROR(VLOOKUP($A25,'01_宠物主表_好读版'!$A:$Z,4,FALSE),"")</x:f>
        <x:v>火</x:v>
      </x:c>
      <x:c r="D25" s="31" t="str">
        <x:f>IFERROR(VLOOKUP($A25,'01_宠物主表_好读版'!$A:$Z,7,FALSE),"")</x:f>
        <x:v>小型</x:v>
      </x:c>
      <x:c r="E25" s="31" t="str">
        <x:f>IFERROR(VLOOKUP($A25,'01_宠物主表_好读版'!$A:$Z,8,FALSE),"")</x:f>
        <x:v>召唤</x:v>
      </x:c>
      <x:c r="F25" s="29" t="str">
        <x:v>中期</x:v>
      </x:c>
      <x:c r="G25" s="29" t="str">
        <x:v>光环怪</x:v>
      </x:c>
      <x:c r="H25" s="29" t="n">
        <x:v>20</x:v>
      </x:c>
      <x:c r="I25" s="29" t="n">
        <x:v>2</x:v>
      </x:c>
      <x:c r="J25" s="29" t="n">
        <x:v>0</x:v>
      </x:c>
      <x:c r="K25" s="29" t="n">
        <x:v>0</x:v>
      </x:c>
      <x:c r="L25" s="29" t="n">
        <x:v>3</x:v>
      </x:c>
      <x:c r="M25" s="29" t="str">
        <x:v>mech_aura</x:v>
      </x:c>
      <x:c r="N25" s="29" t="str"/>
      <x:c r="O25" s="29" t="n">
        <x:v>41</x:v>
      </x:c>
      <x:c r="P25" s="29" t="n">
        <x:v>32</x:v>
      </x:c>
      <x:c r="Q25" s="29" t="str"/>
      <x:c r="R25" s="29" t="str"/>
      <x:c r="S25" s="29" t="str"/>
    </x:row>
    <x:row r="26" ht="22" customHeight="1">
      <x:c r="A26" s="29" t="str">
        <x:v>pal_029</x:v>
      </x:c>
      <x:c r="B26" s="31" t="str">
        <x:f>IFERROR(VLOOKUP($A26,'01_宠物主表_好读版'!$A:$Z,3,FALSE),"")</x:f>
        <x:v>波霸牛</x:v>
      </x:c>
      <x:c r="C26" s="31" t="str">
        <x:f>IFERROR(VLOOKUP($A26,'01_宠物主表_好读版'!$A:$Z,4,FALSE),"")</x:f>
        <x:v>风</x:v>
      </x:c>
      <x:c r="D26" s="31" t="str">
        <x:f>IFERROR(VLOOKUP($A26,'01_宠物主表_好读版'!$A:$Z,7,FALSE),"")</x:f>
        <x:v>中型</x:v>
      </x:c>
      <x:c r="E26" s="31" t="str">
        <x:f>IFERROR(VLOOKUP($A26,'01_宠物主表_好读版'!$A:$Z,8,FALSE),"")</x:f>
        <x:v>经济</x:v>
      </x:c>
      <x:c r="F26" s="29" t="str">
        <x:v>后期</x:v>
      </x:c>
      <x:c r="G26" s="29" t="str">
        <x:v>光环怪</x:v>
      </x:c>
      <x:c r="H26" s="29" t="n">
        <x:v>25</x:v>
      </x:c>
      <x:c r="I26" s="29" t="n">
        <x:v>2</x:v>
      </x:c>
      <x:c r="J26" s="29" t="n">
        <x:v>0</x:v>
      </x:c>
      <x:c r="K26" s="29" t="n">
        <x:v>6</x:v>
      </x:c>
      <x:c r="L26" s="29" t="n">
        <x:v>3</x:v>
      </x:c>
      <x:c r="M26" s="29" t="str">
        <x:v>mech_aura,mech_curse</x:v>
      </x:c>
      <x:c r="N26" s="29" t="str"/>
      <x:c r="O26" s="29" t="n">
        <x:v>76</x:v>
      </x:c>
      <x:c r="P26" s="29" t="n">
        <x:v>56</x:v>
      </x:c>
      <x:c r="Q26" s="29" t="str"/>
      <x:c r="R26" s="29" t="str"/>
      <x:c r="S26" s="29" t="str"/>
    </x:row>
    <x:row r="27" ht="22" customHeight="1">
      <x:c r="A27" s="29" t="str">
        <x:v>pal_068</x:v>
      </x:c>
      <x:c r="B27" s="31" t="str">
        <x:f>IFERROR(VLOOKUP($A27,'01_宠物主表_好读版'!$A:$Z,3,FALSE),"")</x:f>
        <x:v>噬魂兽</x:v>
      </x:c>
      <x:c r="C27" s="31" t="str">
        <x:f>IFERROR(VLOOKUP($A27,'01_宠物主表_好读版'!$A:$Z,4,FALSE),"")</x:f>
        <x:v>土</x:v>
      </x:c>
      <x:c r="D27" s="31" t="str">
        <x:f>IFERROR(VLOOKUP($A27,'01_宠物主表_好读版'!$A:$Z,7,FALSE),"")</x:f>
        <x:v>中型</x:v>
      </x:c>
      <x:c r="E27" s="31" t="str">
        <x:f>IFERROR(VLOOKUP($A27,'01_宠物主表_好读版'!$A:$Z,8,FALSE),"")</x:f>
        <x:v>坦克</x:v>
      </x:c>
      <x:c r="F27" s="29" t="str">
        <x:v>中期</x:v>
      </x:c>
      <x:c r="G27" s="29" t="str">
        <x:v>城堡怪</x:v>
      </x:c>
      <x:c r="H27" s="29" t="n">
        <x:v>25</x:v>
      </x:c>
      <x:c r="I27" s="29" t="n">
        <x:v>3</x:v>
      </x:c>
      <x:c r="J27" s="29" t="n">
        <x:v>0</x:v>
      </x:c>
      <x:c r="K27" s="29" t="n">
        <x:v>0</x:v>
      </x:c>
      <x:c r="L27" s="29" t="n">
        <x:v>2</x:v>
      </x:c>
      <x:c r="M27" s="29" t="str">
        <x:v>mech_break_castle</x:v>
      </x:c>
      <x:c r="N27" s="29" t="str"/>
      <x:c r="O27" s="29" t="n">
        <x:v>44</x:v>
      </x:c>
      <x:c r="P27" s="29" t="n">
        <x:v>32</x:v>
      </x:c>
      <x:c r="Q27" s="29" t="str"/>
      <x:c r="R27" s="29" t="str"/>
      <x:c r="S27" s="29" t="str"/>
    </x:row>
    <x:row r="28" ht="22" customHeight="1">
      <x:c r="A28" s="29" t="str">
        <x:v>pal_073</x:v>
      </x:c>
      <x:c r="B28" s="31" t="str">
        <x:f>IFERROR(VLOOKUP($A28,'01_宠物主表_好读版'!$A:$Z,3,FALSE),"")</x:f>
        <x:v>烽歌龙</x:v>
      </x:c>
      <x:c r="C28" s="31" t="str">
        <x:f>IFERROR(VLOOKUP($A28,'01_宠物主表_好读版'!$A:$Z,4,FALSE),"")</x:f>
        <x:v>火</x:v>
      </x:c>
      <x:c r="D28" s="31" t="str">
        <x:f>IFERROR(VLOOKUP($A28,'01_宠物主表_好读版'!$A:$Z,7,FALSE),"")</x:f>
        <x:v>中型</x:v>
      </x:c>
      <x:c r="E28" s="31" t="str">
        <x:f>IFERROR(VLOOKUP($A28,'01_宠物主表_好读版'!$A:$Z,8,FALSE),"")</x:f>
        <x:v>机动</x:v>
      </x:c>
      <x:c r="F28" s="29" t="str">
        <x:v>中后期</x:v>
      </x:c>
      <x:c r="G28" s="29" t="str">
        <x:v>城堡怪</x:v>
      </x:c>
      <x:c r="H28" s="29" t="n">
        <x:v>30</x:v>
      </x:c>
      <x:c r="I28" s="29" t="n">
        <x:v>4</x:v>
      </x:c>
      <x:c r="J28" s="29" t="n">
        <x:v>0</x:v>
      </x:c>
      <x:c r="K28" s="29" t="n">
        <x:v>0</x:v>
      </x:c>
      <x:c r="L28" s="29" t="n">
        <x:v>3</x:v>
      </x:c>
      <x:c r="M28" s="29" t="str">
        <x:v>mech_break_castle,mech_multi_hit</x:v>
      </x:c>
      <x:c r="N28" s="29" t="str"/>
      <x:c r="O28" s="29" t="n">
        <x:v>57</x:v>
      </x:c>
      <x:c r="P28" s="29" t="n">
        <x:v>56</x:v>
      </x:c>
      <x:c r="Q28" s="29" t="str"/>
      <x:c r="R28" s="29" t="str"/>
      <x:c r="S28" s="29" t="str"/>
    </x:row>
    <x:row r="29" ht="22" customHeight="1">
      <x:c r="A29" s="29" t="str">
        <x:v>pal_014</x:v>
      </x:c>
      <x:c r="B29" s="31" t="str">
        <x:f>IFERROR(VLOOKUP($A29,'01_宠物主表_好读版'!$A:$Z,3,FALSE),"")</x:f>
        <x:v>玉藻狐</x:v>
      </x:c>
      <x:c r="C29" s="31" t="str">
        <x:f>IFERROR(VLOOKUP($A29,'01_宠物主表_好读版'!$A:$Z,4,FALSE),"")</x:f>
        <x:v>风</x:v>
      </x:c>
      <x:c r="D29" s="31" t="str">
        <x:f>IFERROR(VLOOKUP($A29,'01_宠物主表_好读版'!$A:$Z,7,FALSE),"")</x:f>
        <x:v>小型</x:v>
      </x:c>
      <x:c r="E29" s="31" t="str">
        <x:f>IFERROR(VLOOKUP($A29,'01_宠物主表_好读版'!$A:$Z,8,FALSE),"")</x:f>
        <x:v>经济</x:v>
      </x:c>
      <x:c r="F29" s="29" t="str">
        <x:v>前中期</x:v>
      </x:c>
      <x:c r="G29" s="29" t="str">
        <x:v>偷奖励怪</x:v>
      </x:c>
      <x:c r="H29" s="29" t="n">
        <x:v>15</x:v>
      </x:c>
      <x:c r="I29" s="29" t="n">
        <x:v>2</x:v>
      </x:c>
      <x:c r="J29" s="29" t="n">
        <x:v>0</x:v>
      </x:c>
      <x:c r="K29" s="29" t="n">
        <x:v>0</x:v>
      </x:c>
      <x:c r="L29" s="29" t="n">
        <x:v>4</x:v>
      </x:c>
      <x:c r="M29" s="29" t="str">
        <x:v>mech_steal_reward</x:v>
      </x:c>
      <x:c r="N29" s="29" t="str"/>
      <x:c r="O29" s="29" t="n">
        <x:v>41</x:v>
      </x:c>
      <x:c r="P29" s="29" t="n">
        <x:v>24</x:v>
      </x:c>
      <x:c r="Q29" s="29" t="str"/>
      <x:c r="R29" s="29" t="str"/>
      <x:c r="S29" s="29" t="str"/>
    </x:row>
    <x:row r="30" ht="22" customHeight="1">
      <x:c r="A30" s="29" t="str">
        <x:v>pal_026</x:v>
      </x:c>
      <x:c r="B30" s="31" t="str">
        <x:f>IFERROR(VLOOKUP($A30,'01_宠物主表_好读版'!$A:$Z,3,FALSE),"")</x:f>
        <x:v>猎狼</x:v>
      </x:c>
      <x:c r="C30" s="31" t="str">
        <x:f>IFERROR(VLOOKUP($A30,'01_宠物主表_好读版'!$A:$Z,4,FALSE),"")</x:f>
        <x:v>风</x:v>
      </x:c>
      <x:c r="D30" s="31" t="str">
        <x:f>IFERROR(VLOOKUP($A30,'01_宠物主表_好读版'!$A:$Z,7,FALSE),"")</x:f>
        <x:v>中型</x:v>
      </x:c>
      <x:c r="E30" s="31" t="str">
        <x:f>IFERROR(VLOOKUP($A30,'01_宠物主表_好读版'!$A:$Z,8,FALSE),"")</x:f>
        <x:v>机动</x:v>
      </x:c>
      <x:c r="F30" s="29" t="str">
        <x:v>后期</x:v>
      </x:c>
      <x:c r="G30" s="29" t="str">
        <x:v>偷奖励怪</x:v>
      </x:c>
      <x:c r="H30" s="29" t="n">
        <x:v>20</x:v>
      </x:c>
      <x:c r="I30" s="29" t="n">
        <x:v>3</x:v>
      </x:c>
      <x:c r="J30" s="29" t="n">
        <x:v>0</x:v>
      </x:c>
      <x:c r="K30" s="29" t="n">
        <x:v>6</x:v>
      </x:c>
      <x:c r="L30" s="29" t="n">
        <x:v>4</x:v>
      </x:c>
      <x:c r="M30" s="29" t="str">
        <x:v>mech_steal_reward,mech_pierce_shield</x:v>
      </x:c>
      <x:c r="N30" s="29" t="str"/>
      <x:c r="O30" s="29" t="n">
        <x:v>79</x:v>
      </x:c>
      <x:c r="P30" s="29" t="n">
        <x:v>48</x:v>
      </x:c>
      <x:c r="Q30" s="29" t="str"/>
      <x:c r="R30" s="29" t="str"/>
      <x:c r="S30" s="29" t="str"/>
    </x:row>
    <x:row r="31" ht="22" customHeight="1">
      <x:c r="A31" s="29" t="str">
        <x:v>pal_089</x:v>
      </x:c>
      <x:c r="B31" s="31" t="str">
        <x:f>IFERROR(VLOOKUP($A31,'01_宠物主表_好读版'!$A:$Z,3,FALSE),"")</x:f>
        <x:v>狱焰王</x:v>
      </x:c>
      <x:c r="C31" s="31" t="str">
        <x:f>IFERROR(VLOOKUP($A31,'01_宠物主表_好读版'!$A:$Z,4,FALSE),"")</x:f>
        <x:v>火</x:v>
      </x:c>
      <x:c r="D31" s="31" t="str">
        <x:f>IFERROR(VLOOKUP($A31,'01_宠物主表_好读版'!$A:$Z,7,FALSE),"")</x:f>
        <x:v>大型</x:v>
      </x:c>
      <x:c r="E31" s="31" t="str">
        <x:f>IFERROR(VLOOKUP($A31,'01_宠物主表_好读版'!$A:$Z,8,FALSE),"")</x:f>
        <x:v>输出</x:v>
      </x:c>
      <x:c r="F31" s="29" t="str">
        <x:v>中后期</x:v>
      </x:c>
      <x:c r="G31" s="29" t="str">
        <x:v>精英怪</x:v>
      </x:c>
      <x:c r="H31" s="29" t="n">
        <x:v>40</x:v>
      </x:c>
      <x:c r="I31" s="29" t="n">
        <x:v>5</x:v>
      </x:c>
      <x:c r="J31" s="29" t="n">
        <x:v>0</x:v>
      </x:c>
      <x:c r="K31" s="29" t="n">
        <x:v>10</x:v>
      </x:c>
      <x:c r="L31" s="29" t="n">
        <x:v>4</x:v>
      </x:c>
      <x:c r="M31" s="29" t="str">
        <x:v>mech_multi_hit,mech_armor_break</x:v>
      </x:c>
      <x:c r="N31" s="29" t="str"/>
      <x:c r="O31" s="29" t="n">
        <x:v>125</x:v>
      </x:c>
      <x:c r="P31" s="29" t="n">
        <x:v>48</x:v>
      </x:c>
      <x:c r="Q31" s="29" t="str"/>
      <x:c r="R31" s="29" t="str"/>
      <x:c r="S31" s="29" t="str"/>
    </x:row>
    <x:row r="32" ht="22" customHeight="1">
      <x:c r="A32" s="29" t="str">
        <x:v>pal_101</x:v>
      </x:c>
      <x:c r="B32" s="31" t="str">
        <x:f>IFERROR(VLOOKUP($A32,'01_宠物主表_好读版'!$A:$Z,3,FALSE),"")</x:f>
        <x:v>雪猛犸</x:v>
      </x:c>
      <x:c r="C32" s="31" t="str">
        <x:f>IFERROR(VLOOKUP($A32,'01_宠物主表_好读版'!$A:$Z,4,FALSE),"")</x:f>
        <x:v>水</x:v>
      </x:c>
      <x:c r="D32" s="31" t="str">
        <x:f>IFERROR(VLOOKUP($A32,'01_宠物主表_好读版'!$A:$Z,7,FALSE),"")</x:f>
        <x:v>大型</x:v>
      </x:c>
      <x:c r="E32" s="31" t="str">
        <x:f>IFERROR(VLOOKUP($A32,'01_宠物主表_好读版'!$A:$Z,8,FALSE),"")</x:f>
        <x:v>坦克</x:v>
      </x:c>
      <x:c r="F32" s="29" t="str">
        <x:v>后期</x:v>
      </x:c>
      <x:c r="G32" s="29" t="str">
        <x:v>精英怪</x:v>
      </x:c>
      <x:c r="H32" s="29" t="n">
        <x:v>35</x:v>
      </x:c>
      <x:c r="I32" s="29" t="n">
        <x:v>4</x:v>
      </x:c>
      <x:c r="J32" s="29" t="n">
        <x:v>0</x:v>
      </x:c>
      <x:c r="K32" s="29" t="n">
        <x:v>15</x:v>
      </x:c>
      <x:c r="L32" s="29" t="n">
        <x:v>4</x:v>
      </x:c>
      <x:c r="M32" s="29" t="str">
        <x:v>mech_shield_regen,mech_pierce_shield</x:v>
      </x:c>
      <x:c r="N32" s="29" t="str"/>
      <x:c r="O32" s="29" t="n">
        <x:v>142</x:v>
      </x:c>
      <x:c r="P32" s="29" t="n">
        <x:v>48</x:v>
      </x:c>
      <x:c r="Q32" s="29" t="str"/>
      <x:c r="R32" s="29" t="str"/>
      <x:c r="S32" s="29" t="str"/>
    </x:row>
    <x:row r="33" ht="22" customHeight="1">
      <x:c r="A33" s="29" t="str">
        <x:v>pal_110</x:v>
      </x:c>
      <x:c r="B33" s="31" t="str">
        <x:f>IFERROR(VLOOKUP($A33,'01_宠物主表_好读版'!$A:$Z,3,FALSE),"")</x:f>
        <x:v>魔渊龙</x:v>
      </x:c>
      <x:c r="C33" s="31" t="str">
        <x:f>IFERROR(VLOOKUP($A33,'01_宠物主表_好读版'!$A:$Z,4,FALSE),"")</x:f>
        <x:v>土</x:v>
      </x:c>
      <x:c r="D33" s="31" t="str">
        <x:f>IFERROR(VLOOKUP($A33,'01_宠物主表_好读版'!$A:$Z,7,FALSE),"")</x:f>
        <x:v>大型</x:v>
      </x:c>
      <x:c r="E33" s="31" t="str">
        <x:f>IFERROR(VLOOKUP($A33,'01_宠物主表_好读版'!$A:$Z,8,FALSE),"")</x:f>
        <x:v>坦克</x:v>
      </x:c>
      <x:c r="F33" s="29" t="str">
        <x:v>后期</x:v>
      </x:c>
      <x:c r="G33" s="29" t="str">
        <x:v>精英怪</x:v>
      </x:c>
      <x:c r="H33" s="29" t="n">
        <x:v>50</x:v>
      </x:c>
      <x:c r="I33" s="29" t="n">
        <x:v>4</x:v>
      </x:c>
      <x:c r="J33" s="29" t="n">
        <x:v>6</x:v>
      </x:c>
      <x:c r="K33" s="29" t="n">
        <x:v>6</x:v>
      </x:c>
      <x:c r="L33" s="29" t="n">
        <x:v>4</x:v>
      </x:c>
      <x:c r="M33" s="29" t="str">
        <x:v>mech_firm_threshold,mech_curse</x:v>
      </x:c>
      <x:c r="N33" s="29" t="str"/>
      <x:c r="O33" s="29" t="n">
        <x:v>130</x:v>
      </x:c>
      <x:c r="P33" s="29" t="n">
        <x:v>56</x:v>
      </x:c>
      <x:c r="Q33" s="29" t="str"/>
      <x:c r="R33" s="29" t="str"/>
      <x:c r="S33" s="29" t="str"/>
    </x:row>
    <x:row r="34" ht="22" customHeight="1">
      <x:c r="A34" s="29" t="str">
        <x:v>pal_124</x:v>
      </x:c>
      <x:c r="B34" s="31" t="str">
        <x:f>IFERROR(VLOOKUP($A34,'01_宠物主表_好读版'!$A:$Z,3,FALSE),"")</x:f>
        <x:v>混沌骑士</x:v>
      </x:c>
      <x:c r="C34" s="31" t="str">
        <x:f>IFERROR(VLOOKUP($A34,'01_宠物主表_好读版'!$A:$Z,4,FALSE),"")</x:f>
        <x:v>土</x:v>
      </x:c>
      <x:c r="D34" s="31" t="str">
        <x:f>IFERROR(VLOOKUP($A34,'01_宠物主表_好读版'!$A:$Z,7,FALSE),"")</x:f>
        <x:v>大型</x:v>
      </x:c>
      <x:c r="E34" s="31" t="str">
        <x:f>IFERROR(VLOOKUP($A34,'01_宠物主表_好读版'!$A:$Z,8,FALSE),"")</x:f>
        <x:v>坦克</x:v>
      </x:c>
      <x:c r="F34" s="29" t="str">
        <x:v>终局</x:v>
      </x:c>
      <x:c r="G34" s="29" t="str">
        <x:v>Boss</x:v>
      </x:c>
      <x:c r="H34" s="29" t="n">
        <x:v>60</x:v>
      </x:c>
      <x:c r="I34" s="29" t="n">
        <x:v>5</x:v>
      </x:c>
      <x:c r="J34" s="29" t="n">
        <x:v>6</x:v>
      </x:c>
      <x:c r="K34" s="29" t="n">
        <x:v>15</x:v>
      </x:c>
      <x:c r="L34" s="29" t="n">
        <x:v>5</x:v>
      </x:c>
      <x:c r="M34" s="29" t="str">
        <x:v>mech_zone_pressure,mech_revive,mech_break_castle</x:v>
      </x:c>
      <x:c r="N34" s="29" t="str"/>
      <x:c r="O34" s="29" t="n">
        <x:v>193</x:v>
      </x:c>
      <x:c r="P34" s="29" t="n">
        <x:v>104</x:v>
      </x:c>
      <x:c r="Q34" s="29" t="str"/>
      <x:c r="R34" s="29" t="str"/>
      <x:c r="S34" s="29" t="str"/>
    </x:row>
    <x:row r="35" ht="22" customHeight="1">
      <x:c r="A35" s="29" t="str">
        <x:v>pal_090</x:v>
      </x:c>
      <x:c r="B35" s="31" t="str">
        <x:f>IFERROR(VLOOKUP($A35,'01_宠物主表_好读版'!$A:$Z,3,FALSE),"")</x:f>
        <x:v>狱阎王</x:v>
      </x:c>
      <x:c r="C35" s="31" t="str">
        <x:f>IFERROR(VLOOKUP($A35,'01_宠物主表_好读版'!$A:$Z,4,FALSE),"")</x:f>
        <x:v>火</x:v>
      </x:c>
      <x:c r="D35" s="31" t="str">
        <x:f>IFERROR(VLOOKUP($A35,'01_宠物主表_好读版'!$A:$Z,7,FALSE),"")</x:f>
        <x:v>大型</x:v>
      </x:c>
      <x:c r="E35" s="31" t="str">
        <x:f>IFERROR(VLOOKUP($A35,'01_宠物主表_好读版'!$A:$Z,8,FALSE),"")</x:f>
        <x:v>输出</x:v>
      </x:c>
      <x:c r="F35" s="29" t="str">
        <x:v>终局</x:v>
      </x:c>
      <x:c r="G35" s="29" t="str">
        <x:v>Boss</x:v>
      </x:c>
      <x:c r="H35" s="29" t="n">
        <x:v>70</x:v>
      </x:c>
      <x:c r="I35" s="29" t="n">
        <x:v>5</x:v>
      </x:c>
      <x:c r="J35" s="29" t="n">
        <x:v>10</x:v>
      </x:c>
      <x:c r="K35" s="29" t="n">
        <x:v>10</x:v>
      </x:c>
      <x:c r="L35" s="29" t="n">
        <x:v>5</x:v>
      </x:c>
      <x:c r="M35" s="29" t="str">
        <x:v>mech_damage_cap,mech_summon,mech_aura</x:v>
      </x:c>
      <x:c r="N35" s="29" t="str"/>
      <x:c r="O35" s="29" t="n">
        <x:v>190</x:v>
      </x:c>
      <x:c r="P35" s="29" t="n">
        <x:v>104</x:v>
      </x:c>
      <x:c r="Q35" s="29" t="str"/>
      <x:c r="R35" s="29" t="str"/>
      <x:c r="S35" s="29" t="str"/>
    </x:row>
  </x:sheetData>
  <x:pageMargins left="0.7" right="0.7" top="0.75" bottom="0.75" header="0.3" footer="0.3"/>
  <x:tableParts count="1">
    <x:tablePart xmlns:r="http://schemas.openxmlformats.org/officeDocument/2006/relationships" r:id="R8de7e4ac41294f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8" hidden="0" customWidth="1"/>
    <x:col min="4" max="4" width="8" hidden="0" customWidth="1"/>
    <x:col min="5" max="5" width="12" hidden="0" customWidth="1"/>
    <x:col min="6" max="6" width="14" hidden="0" customWidth="1"/>
    <x:col min="7" max="7" width="8" hidden="0" customWidth="1"/>
    <x:col min="8" max="8" width="10" hidden="0" customWidth="1"/>
    <x:col min="9" max="9" width="10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10" hidden="0" customWidth="1"/>
    <x:col min="16" max="16" width="18" hidden="0" customWidth="1"/>
    <x:col min="17" max="17" width="12" hidden="0" customWidth="1"/>
    <x:col min="18" max="18" width="28" hidden="0" customWidth="1"/>
    <x:col min="19" max="19" width="28" hidden="0" customWidth="1"/>
    <x:col min="20" max="20" width="24" hidden="0" customWidth="1"/>
  </x:cols>
  <x:sheetData>
    <x:row r="1" ht="28" customHeight="1">
      <x:c r="A1" s="6" t="str">
        <x:v>波次ID</x:v>
      </x:c>
      <x:c r="B1" s="6" t="str">
        <x:v>天数</x:v>
      </x:c>
      <x:c r="C1" s="6" t="str">
        <x:v>时段</x:v>
      </x:c>
      <x:c r="D1" s="6" t="str">
        <x:v>回合</x:v>
      </x:c>
      <x:c r="E1" s="6" t="str">
        <x:v>宠物ID</x:v>
      </x:c>
      <x:c r="F1" s="6" t="str">
        <x:v>名称(自动)</x:v>
      </x:c>
      <x:c r="G1" s="6" t="str">
        <x:v>元素(自动)</x:v>
      </x:c>
      <x:c r="H1" s="6" t="str">
        <x:v>怪物定位(自动)</x:v>
      </x:c>
      <x:c r="I1" s="6" t="str">
        <x:v>HP(自动)</x:v>
      </x:c>
      <x:c r="J1" s="6" t="str">
        <x:v>攻(自动)</x:v>
      </x:c>
      <x:c r="K1" s="6" t="str">
        <x:v>防(自动)</x:v>
      </x:c>
      <x:c r="L1" s="6" t="str">
        <x:v>盾(自动)</x:v>
      </x:c>
      <x:c r="M1" s="6" t="str">
        <x:v>行动(自动)</x:v>
      </x:c>
      <x:c r="N1" s="6" t="str">
        <x:v>数量</x:v>
      </x:c>
      <x:c r="O1" s="6" t="str">
        <x:v>位置</x:v>
      </x:c>
      <x:c r="P1" s="6" t="str">
        <x:v>本行威胁(自动)</x:v>
      </x:c>
      <x:c r="Q1" s="6" t="str">
        <x:v>设计目的</x:v>
      </x:c>
      <x:c r="R1" s="6" t="str">
        <x:v>失败惩罚</x:v>
      </x:c>
      <x:c r="S1" s="6" t="str">
        <x:v>奖励影响</x:v>
      </x:c>
      <x:c r="T1" s="6" t="str">
        <x:v>备注</x:v>
      </x:c>
    </x:row>
    <x:row r="2" ht="22" customHeight="1">
      <x:c r="A2" s="29" t="str">
        <x:v>wave_d01_morning</x:v>
      </x:c>
      <x:c r="B2" s="29" t="n">
        <x:v>1</x:v>
      </x:c>
      <x:c r="C2" s="29" t="str">
        <x:v>上午</x:v>
      </x:c>
      <x:c r="D2" s="29" t="n">
        <x:v>1</x:v>
      </x:c>
      <x:c r="E2" s="29" t="str">
        <x:v>pal_001</x:v>
      </x:c>
      <x:c r="F2" s="31" t="str">
        <x:f>IFERROR(VLOOKUP($E2,'02_怪物模板_好读版'!$A:$Z,2,FALSE),"")</x:f>
        <x:v>棉悠悠</x:v>
      </x:c>
      <x:c r="G2" s="31" t="str">
        <x:f>IFERROR(VLOOKUP($E2,'02_怪物模板_好读版'!$A:$Z,3,FALSE),"")</x:f>
        <x:v>风</x:v>
      </x:c>
      <x:c r="H2" s="31" t="str">
        <x:f>IFERROR(VLOOKUP($E2,'02_怪物模板_好读版'!$A:$Z,7,FALSE),"")</x:f>
        <x:v>小怪</x:v>
      </x:c>
      <x:c r="I2" s="31" t="n">
        <x:f>IFERROR(VLOOKUP($E2,'02_怪物模板_好读版'!$A:$Z,8,FALSE),0)</x:f>
        <x:v>6</x:v>
      </x:c>
      <x:c r="J2" s="31" t="n">
        <x:f>IFERROR(VLOOKUP($E2,'02_怪物模板_好读版'!$A:$Z,9,FALSE),0)</x:f>
        <x:v>1</x:v>
      </x:c>
      <x:c r="K2" s="31" t="n">
        <x:f>IFERROR(VLOOKUP($E2,'02_怪物模板_好读版'!$A:$Z,10,FALSE),0)</x:f>
        <x:v>0</x:v>
      </x:c>
      <x:c r="L2" s="31" t="n">
        <x:f>IFERROR(VLOOKUP($E2,'02_怪物模板_好读版'!$A:$Z,11,FALSE),0)</x:f>
        <x:v>0</x:v>
      </x:c>
      <x:c r="M2" s="31" t="n">
        <x:f>IFERROR(VLOOKUP($E2,'02_怪物模板_好读版'!$A:$Z,12,FALSE),0)</x:f>
        <x:v>3</x:v>
      </x:c>
      <x:c r="N2" s="29" t="n">
        <x:v>1</x:v>
      </x:c>
      <x:c r="O2" s="29" t="str">
        <x:v>front_split</x:v>
      </x:c>
      <x:c r="P2" s="31" t="n">
        <x:f>IFERROR((I2+J2*3+K2*2+L2+M2*5)*N2,0)</x:f>
        <x:v>24</x:v>
      </x:c>
      <x:c r="Q2" s="29" t="str">
        <x:v>教学清场，先认识低血小怪与基准承击。 提供低血爽杀，保证玩家每回合都有明确可清目标。</x:v>
      </x:c>
      <x:c r="R2" s="29" t="str">
        <x:v>城堡-1 / 资源-1 / 经济x0.9</x:v>
      </x:c>
      <x:c r="S2" s="29" t="str">
        <x:v>5回合内高奖；6-10回合每回合-5%；10回合失败</x:v>
      </x:c>
      <x:c r="T2" s="29" t="str"/>
    </x:row>
    <x:row r="3" ht="22" customHeight="1">
      <x:c r="A3" s="29" t="str">
        <x:v>wave_d01_morning</x:v>
      </x:c>
      <x:c r="B3" s="29" t="n">
        <x:v>1</x:v>
      </x:c>
      <x:c r="C3" s="29" t="str">
        <x:v>上午</x:v>
      </x:c>
      <x:c r="D3" s="29" t="n">
        <x:v>2</x:v>
      </x:c>
      <x:c r="E3" s="29" t="str">
        <x:v>pal_001</x:v>
      </x:c>
      <x:c r="F3" s="31" t="str">
        <x:f>IFERROR(VLOOKUP($E3,'02_怪物模板_好读版'!$A:$Z,2,FALSE),"")</x:f>
        <x:v>棉悠悠</x:v>
      </x:c>
      <x:c r="G3" s="31" t="str">
        <x:f>IFERROR(VLOOKUP($E3,'02_怪物模板_好读版'!$A:$Z,3,FALSE),"")</x:f>
        <x:v>风</x:v>
      </x:c>
      <x:c r="H3" s="31" t="str">
        <x:f>IFERROR(VLOOKUP($E3,'02_怪物模板_好读版'!$A:$Z,7,FALSE),"")</x:f>
        <x:v>小怪</x:v>
      </x:c>
      <x:c r="I3" s="31" t="n">
        <x:f>IFERROR(VLOOKUP($E3,'02_怪物模板_好读版'!$A:$Z,8,FALSE),0)</x:f>
        <x:v>6</x:v>
      </x:c>
      <x:c r="J3" s="31" t="n">
        <x:f>IFERROR(VLOOKUP($E3,'02_怪物模板_好读版'!$A:$Z,9,FALSE),0)</x:f>
        <x:v>1</x:v>
      </x:c>
      <x:c r="K3" s="31" t="n">
        <x:f>IFERROR(VLOOKUP($E3,'02_怪物模板_好读版'!$A:$Z,10,FALSE),0)</x:f>
        <x:v>0</x:v>
      </x:c>
      <x:c r="L3" s="31" t="n">
        <x:f>IFERROR(VLOOKUP($E3,'02_怪物模板_好读版'!$A:$Z,11,FALSE),0)</x:f>
        <x:v>0</x:v>
      </x:c>
      <x:c r="M3" s="31" t="n">
        <x:f>IFERROR(VLOOKUP($E3,'02_怪物模板_好读版'!$A:$Z,12,FALSE),0)</x:f>
        <x:v>3</x:v>
      </x:c>
      <x:c r="N3" s="29" t="n">
        <x:v>1</x:v>
      </x:c>
      <x:c r="O3" s="29" t="str">
        <x:v>front_split</x:v>
      </x:c>
      <x:c r="P3" s="31" t="n">
        <x:f>IFERROR((I3+J3*3+K3*2+L3+M3*5)*N3,0)</x:f>
        <x:v>24</x:v>
      </x:c>
      <x:c r="Q3" s="29" t="str">
        <x:v>教学清场，先认识低血小怪与基准承击。 提供低血爽杀，保证玩家每回合都有明确可清目标。</x:v>
      </x:c>
      <x:c r="R3" s="29" t="str">
        <x:v>城堡-1 / 资源-1 / 经济x0.9</x:v>
      </x:c>
      <x:c r="S3" s="29" t="str">
        <x:v>5回合内高奖；6-10回合每回合-5%；10回合失败</x:v>
      </x:c>
      <x:c r="T3" s="29" t="str"/>
    </x:row>
    <x:row r="4" ht="22" customHeight="1">
      <x:c r="A4" s="29" t="str">
        <x:v>wave_d01_morning</x:v>
      </x:c>
      <x:c r="B4" s="29" t="n">
        <x:v>1</x:v>
      </x:c>
      <x:c r="C4" s="29" t="str">
        <x:v>上午</x:v>
      </x:c>
      <x:c r="D4" s="29" t="n">
        <x:v>3</x:v>
      </x:c>
      <x:c r="E4" s="29" t="str">
        <x:v>pal_022</x:v>
      </x:c>
      <x:c r="F4" s="31" t="str">
        <x:f>IFERROR(VLOOKUP($E4,'02_怪物模板_好读版'!$A:$Z,2,FALSE),"")</x:f>
        <x:v>遁地鼠</x:v>
      </x:c>
      <x:c r="G4" s="31" t="str">
        <x:f>IFERROR(VLOOKUP($E4,'02_怪物模板_好读版'!$A:$Z,3,FALSE),"")</x:f>
        <x:v>土</x:v>
      </x:c>
      <x:c r="H4" s="31" t="str">
        <x:f>IFERROR(VLOOKUP($E4,'02_怪物模板_好读版'!$A:$Z,7,FALSE),"")</x:f>
        <x:v>肉盾</x:v>
      </x:c>
      <x:c r="I4" s="31" t="n">
        <x:f>IFERROR(VLOOKUP($E4,'02_怪物模板_好读版'!$A:$Z,8,FALSE),0)</x:f>
        <x:v>25</x:v>
      </x:c>
      <x:c r="J4" s="31" t="n">
        <x:f>IFERROR(VLOOKUP($E4,'02_怪物模板_好读版'!$A:$Z,9,FALSE),0)</x:f>
        <x:v>1</x:v>
      </x:c>
      <x:c r="K4" s="31" t="n">
        <x:f>IFERROR(VLOOKUP($E4,'02_怪物模板_好读版'!$A:$Z,10,FALSE),0)</x:f>
        <x:v>0</x:v>
      </x:c>
      <x:c r="L4" s="31" t="n">
        <x:f>IFERROR(VLOOKUP($E4,'02_怪物模板_好读版'!$A:$Z,11,FALSE),0)</x:f>
        <x:v>0</x:v>
      </x:c>
      <x:c r="M4" s="31" t="n">
        <x:f>IFERROR(VLOOKUP($E4,'02_怪物模板_好读版'!$A:$Z,12,FALSE),0)</x:f>
        <x:v>2</x:v>
      </x:c>
      <x:c r="N4" s="29" t="n">
        <x:v>1</x:v>
      </x:c>
      <x:c r="O4" s="29" t="str">
        <x:v>front_cluster</x:v>
      </x:c>
      <x:c r="P4" s="31" t="n">
        <x:f>IFERROR((I4+J4*3+K4*2+L4+M4*5)*N4,0)</x:f>
        <x:v>38</x:v>
      </x:c>
      <x:c r="Q4" s="29" t="str">
        <x:v>教学清场，先认识低血小怪与基准承击。 让玩家第一次感知“不是所有怪都能一回合处理”。</x:v>
      </x:c>
      <x:c r="R4" s="29" t="str">
        <x:v>城堡-1 / 资源-1 / 经济x0.9</x:v>
      </x:c>
      <x:c r="S4" s="29" t="str">
        <x:v>5回合内高奖；6-10回合每回合-5%；10回合失败</x:v>
      </x:c>
      <x:c r="T4" s="29" t="str"/>
    </x:row>
    <x:row r="5" ht="22" customHeight="1">
      <x:c r="A5" s="29" t="str">
        <x:v>wave_d01_morning</x:v>
      </x:c>
      <x:c r="B5" s="29" t="n">
        <x:v>1</x:v>
      </x:c>
      <x:c r="C5" s="29" t="str">
        <x:v>上午</x:v>
      </x:c>
      <x:c r="D5" s="29" t="n">
        <x:v>4</x:v>
      </x:c>
      <x:c r="E5" s="29" t="str">
        <x:v>pal_001</x:v>
      </x:c>
      <x:c r="F5" s="31" t="str">
        <x:f>IFERROR(VLOOKUP($E5,'02_怪物模板_好读版'!$A:$Z,2,FALSE),"")</x:f>
        <x:v>棉悠悠</x:v>
      </x:c>
      <x:c r="G5" s="31" t="str">
        <x:f>IFERROR(VLOOKUP($E5,'02_怪物模板_好读版'!$A:$Z,3,FALSE),"")</x:f>
        <x:v>风</x:v>
      </x:c>
      <x:c r="H5" s="31" t="str">
        <x:f>IFERROR(VLOOKUP($E5,'02_怪物模板_好读版'!$A:$Z,7,FALSE),"")</x:f>
        <x:v>小怪</x:v>
      </x:c>
      <x:c r="I5" s="31" t="n">
        <x:f>IFERROR(VLOOKUP($E5,'02_怪物模板_好读版'!$A:$Z,8,FALSE),0)</x:f>
        <x:v>6</x:v>
      </x:c>
      <x:c r="J5" s="31" t="n">
        <x:f>IFERROR(VLOOKUP($E5,'02_怪物模板_好读版'!$A:$Z,9,FALSE),0)</x:f>
        <x:v>1</x:v>
      </x:c>
      <x:c r="K5" s="31" t="n">
        <x:f>IFERROR(VLOOKUP($E5,'02_怪物模板_好读版'!$A:$Z,10,FALSE),0)</x:f>
        <x:v>0</x:v>
      </x:c>
      <x:c r="L5" s="31" t="n">
        <x:f>IFERROR(VLOOKUP($E5,'02_怪物模板_好读版'!$A:$Z,11,FALSE),0)</x:f>
        <x:v>0</x:v>
      </x:c>
      <x:c r="M5" s="31" t="n">
        <x:f>IFERROR(VLOOKUP($E5,'02_怪物模板_好读版'!$A:$Z,12,FALSE),0)</x:f>
        <x:v>3</x:v>
      </x:c>
      <x:c r="N5" s="29" t="n">
        <x:v>1</x:v>
      </x:c>
      <x:c r="O5" s="29" t="str">
        <x:v>mid_split</x:v>
      </x:c>
      <x:c r="P5" s="31" t="n">
        <x:f>IFERROR((I5+J5*3+K5*2+L5+M5*5)*N5,0)</x:f>
        <x:v>24</x:v>
      </x:c>
      <x:c r="Q5" s="29" t="str">
        <x:v>教学清场，先认识低血小怪与基准承击。 提供低血爽杀，保证玩家每回合都有明确可清目标。</x:v>
      </x:c>
      <x:c r="R5" s="29" t="str">
        <x:v>城堡-1 / 资源-1 / 经济x0.9</x:v>
      </x:c>
      <x:c r="S5" s="29" t="str">
        <x:v>5回合内高奖；6-10回合每回合-5%；10回合失败</x:v>
      </x:c>
      <x:c r="T5" s="29" t="str"/>
    </x:row>
    <x:row r="6" ht="22" customHeight="1">
      <x:c r="A6" s="29" t="str">
        <x:v>wave_d01_morning</x:v>
      </x:c>
      <x:c r="B6" s="29" t="n">
        <x:v>1</x:v>
      </x:c>
      <x:c r="C6" s="29" t="str">
        <x:v>上午</x:v>
      </x:c>
      <x:c r="D6" s="29" t="n">
        <x:v>5</x:v>
      </x:c>
      <x:c r="E6" s="29" t="str">
        <x:v>pal_001</x:v>
      </x:c>
      <x:c r="F6" s="31" t="str">
        <x:f>IFERROR(VLOOKUP($E6,'02_怪物模板_好读版'!$A:$Z,2,FALSE),"")</x:f>
        <x:v>棉悠悠</x:v>
      </x:c>
      <x:c r="G6" s="31" t="str">
        <x:f>IFERROR(VLOOKUP($E6,'02_怪物模板_好读版'!$A:$Z,3,FALSE),"")</x:f>
        <x:v>风</x:v>
      </x:c>
      <x:c r="H6" s="31" t="str">
        <x:f>IFERROR(VLOOKUP($E6,'02_怪物模板_好读版'!$A:$Z,7,FALSE),"")</x:f>
        <x:v>小怪</x:v>
      </x:c>
      <x:c r="I6" s="31" t="n">
        <x:f>IFERROR(VLOOKUP($E6,'02_怪物模板_好读版'!$A:$Z,8,FALSE),0)</x:f>
        <x:v>6</x:v>
      </x:c>
      <x:c r="J6" s="31" t="n">
        <x:f>IFERROR(VLOOKUP($E6,'02_怪物模板_好读版'!$A:$Z,9,FALSE),0)</x:f>
        <x:v>1</x:v>
      </x:c>
      <x:c r="K6" s="31" t="n">
        <x:f>IFERROR(VLOOKUP($E6,'02_怪物模板_好读版'!$A:$Z,10,FALSE),0)</x:f>
        <x:v>0</x:v>
      </x:c>
      <x:c r="L6" s="31" t="n">
        <x:f>IFERROR(VLOOKUP($E6,'02_怪物模板_好读版'!$A:$Z,11,FALSE),0)</x:f>
        <x:v>0</x:v>
      </x:c>
      <x:c r="M6" s="31" t="n">
        <x:f>IFERROR(VLOOKUP($E6,'02_怪物模板_好读版'!$A:$Z,12,FALSE),0)</x:f>
        <x:v>3</x:v>
      </x:c>
      <x:c r="N6" s="29" t="n">
        <x:v>1</x:v>
      </x:c>
      <x:c r="O6" s="29" t="str">
        <x:v>back_corner</x:v>
      </x:c>
      <x:c r="P6" s="31" t="n">
        <x:f>IFERROR((I6+J6*3+K6*2+L6+M6*5)*N6,0)</x:f>
        <x:v>24</x:v>
      </x:c>
      <x:c r="Q6" s="29" t="str">
        <x:v>教学清场，先认识低血小怪与基准承击。 提供低血爽杀，保证玩家每回合都有明确可清目标。</x:v>
      </x:c>
      <x:c r="R6" s="29" t="str">
        <x:v>城堡-1 / 资源-1 / 经济x0.9</x:v>
      </x:c>
      <x:c r="S6" s="29" t="str">
        <x:v>5回合内高奖；6-10回合每回合-5%；10回合失败</x:v>
      </x:c>
      <x:c r="T6" s="29" t="str"/>
    </x:row>
    <x:row r="7" ht="22" customHeight="1">
      <x:c r="A7" s="29" t="str">
        <x:v>wave_d01_afternoon</x:v>
      </x:c>
      <x:c r="B7" s="29" t="n">
        <x:v>1</x:v>
      </x:c>
      <x:c r="C7" s="29" t="str">
        <x:v>下午</x:v>
      </x:c>
      <x:c r="D7" s="29" t="n">
        <x:v>1</x:v>
      </x:c>
      <x:c r="E7" s="29" t="str">
        <x:v>pal_001</x:v>
      </x:c>
      <x:c r="F7" s="31" t="str">
        <x:f>IFERROR(VLOOKUP($E7,'02_怪物模板_好读版'!$A:$Z,2,FALSE),"")</x:f>
        <x:v>棉悠悠</x:v>
      </x:c>
      <x:c r="G7" s="31" t="str">
        <x:f>IFERROR(VLOOKUP($E7,'02_怪物模板_好读版'!$A:$Z,3,FALSE),"")</x:f>
        <x:v>风</x:v>
      </x:c>
      <x:c r="H7" s="31" t="str">
        <x:f>IFERROR(VLOOKUP($E7,'02_怪物模板_好读版'!$A:$Z,7,FALSE),"")</x:f>
        <x:v>小怪</x:v>
      </x:c>
      <x:c r="I7" s="31" t="n">
        <x:f>IFERROR(VLOOKUP($E7,'02_怪物模板_好读版'!$A:$Z,8,FALSE),0)</x:f>
        <x:v>6</x:v>
      </x:c>
      <x:c r="J7" s="31" t="n">
        <x:f>IFERROR(VLOOKUP($E7,'02_怪物模板_好读版'!$A:$Z,9,FALSE),0)</x:f>
        <x:v>1</x:v>
      </x:c>
      <x:c r="K7" s="31" t="n">
        <x:f>IFERROR(VLOOKUP($E7,'02_怪物模板_好读版'!$A:$Z,10,FALSE),0)</x:f>
        <x:v>0</x:v>
      </x:c>
      <x:c r="L7" s="31" t="n">
        <x:f>IFERROR(VLOOKUP($E7,'02_怪物模板_好读版'!$A:$Z,11,FALSE),0)</x:f>
        <x:v>0</x:v>
      </x:c>
      <x:c r="M7" s="31" t="n">
        <x:f>IFERROR(VLOOKUP($E7,'02_怪物模板_好读版'!$A:$Z,12,FALSE),0)</x:f>
        <x:v>3</x:v>
      </x:c>
      <x:c r="N7" s="29" t="n">
        <x:v>1</x:v>
      </x:c>
      <x:c r="O7" s="29" t="str">
        <x:v>front_split</x:v>
      </x:c>
      <x:c r="P7" s="31" t="n">
        <x:f>IFERROR((I7+J7*3+K7*2+L7+M7*5)*N7,0)</x:f>
        <x:v>24</x:v>
      </x:c>
      <x:c r="Q7" s="29" t="str">
        <x:v>教学破盾，开始区分普通兵与开场盾。 提供低血爽杀，保证玩家每回合都有明确可清目标。</x:v>
      </x:c>
      <x:c r="R7" s="29" t="str">
        <x:v>城堡-2 / 资源-1 / 经济x0.87</x:v>
      </x:c>
      <x:c r="S7" s="29" t="str">
        <x:v>5回合内高奖；6-10回合每回合-6%；10回合失败</x:v>
      </x:c>
      <x:c r="T7" s="29" t="str"/>
    </x:row>
    <x:row r="8" ht="22" customHeight="1">
      <x:c r="A8" s="29" t="str">
        <x:v>wave_d01_afternoon</x:v>
      </x:c>
      <x:c r="B8" s="29" t="n">
        <x:v>1</x:v>
      </x:c>
      <x:c r="C8" s="29" t="str">
        <x:v>下午</x:v>
      </x:c>
      <x:c r="D8" s="29" t="n">
        <x:v>2</x:v>
      </x:c>
      <x:c r="E8" s="29" t="str">
        <x:v>pal_022</x:v>
      </x:c>
      <x:c r="F8" s="31" t="str">
        <x:f>IFERROR(VLOOKUP($E8,'02_怪物模板_好读版'!$A:$Z,2,FALSE),"")</x:f>
        <x:v>遁地鼠</x:v>
      </x:c>
      <x:c r="G8" s="31" t="str">
        <x:f>IFERROR(VLOOKUP($E8,'02_怪物模板_好读版'!$A:$Z,3,FALSE),"")</x:f>
        <x:v>土</x:v>
      </x:c>
      <x:c r="H8" s="31" t="str">
        <x:f>IFERROR(VLOOKUP($E8,'02_怪物模板_好读版'!$A:$Z,7,FALSE),"")</x:f>
        <x:v>肉盾</x:v>
      </x:c>
      <x:c r="I8" s="31" t="n">
        <x:f>IFERROR(VLOOKUP($E8,'02_怪物模板_好读版'!$A:$Z,8,FALSE),0)</x:f>
        <x:v>25</x:v>
      </x:c>
      <x:c r="J8" s="31" t="n">
        <x:f>IFERROR(VLOOKUP($E8,'02_怪物模板_好读版'!$A:$Z,9,FALSE),0)</x:f>
        <x:v>1</x:v>
      </x:c>
      <x:c r="K8" s="31" t="n">
        <x:f>IFERROR(VLOOKUP($E8,'02_怪物模板_好读版'!$A:$Z,10,FALSE),0)</x:f>
        <x:v>0</x:v>
      </x:c>
      <x:c r="L8" s="31" t="n">
        <x:f>IFERROR(VLOOKUP($E8,'02_怪物模板_好读版'!$A:$Z,11,FALSE),0)</x:f>
        <x:v>0</x:v>
      </x:c>
      <x:c r="M8" s="31" t="n">
        <x:f>IFERROR(VLOOKUP($E8,'02_怪物模板_好读版'!$A:$Z,12,FALSE),0)</x:f>
        <x:v>2</x:v>
      </x:c>
      <x:c r="N8" s="29" t="n">
        <x:v>1</x:v>
      </x:c>
      <x:c r="O8" s="29" t="str">
        <x:v>front_cluster</x:v>
      </x:c>
      <x:c r="P8" s="31" t="n">
        <x:f>IFERROR((I8+J8*3+K8*2+L8+M8*5)*N8,0)</x:f>
        <x:v>38</x:v>
      </x:c>
      <x:c r="Q8" s="29" t="str">
        <x:v>教学破盾，开始区分普通兵与开场盾。 让玩家第一次感知“不是所有怪都能一回合处理”。</x:v>
      </x:c>
      <x:c r="R8" s="29" t="str">
        <x:v>城堡-2 / 资源-1 / 经济x0.87</x:v>
      </x:c>
      <x:c r="S8" s="29" t="str">
        <x:v>5回合内高奖；6-10回合每回合-6%；10回合失败</x:v>
      </x:c>
      <x:c r="T8" s="29" t="str"/>
    </x:row>
    <x:row r="9" ht="22" customHeight="1">
      <x:c r="A9" s="29" t="str">
        <x:v>wave_d01_afternoon</x:v>
      </x:c>
      <x:c r="B9" s="29" t="n">
        <x:v>1</x:v>
      </x:c>
      <x:c r="C9" s="29" t="str">
        <x:v>下午</x:v>
      </x:c>
      <x:c r="D9" s="29" t="n">
        <x:v>3</x:v>
      </x:c>
      <x:c r="E9" s="29" t="str">
        <x:v>pal_088</x:v>
      </x:c>
      <x:c r="F9" s="31" t="str">
        <x:f>IFERROR(VLOOKUP($E9,'02_怪物模板_好读版'!$A:$Z,2,FALSE),"")</x:f>
        <x:v>冰棘兽</x:v>
      </x:c>
      <x:c r="G9" s="31" t="str">
        <x:f>IFERROR(VLOOKUP($E9,'02_怪物模板_好读版'!$A:$Z,3,FALSE),"")</x:f>
        <x:v>水</x:v>
      </x:c>
      <x:c r="H9" s="31" t="str">
        <x:f>IFERROR(VLOOKUP($E9,'02_怪物模板_好读版'!$A:$Z,7,FALSE),"")</x:f>
        <x:v>护盾怪</x:v>
      </x:c>
      <x:c r="I9" s="31" t="n">
        <x:f>IFERROR(VLOOKUP($E9,'02_怪物模板_好读版'!$A:$Z,8,FALSE),0)</x:f>
        <x:v>15</x:v>
      </x:c>
      <x:c r="J9" s="31" t="n">
        <x:f>IFERROR(VLOOKUP($E9,'02_怪物模板_好读版'!$A:$Z,9,FALSE),0)</x:f>
        <x:v>2</x:v>
      </x:c>
      <x:c r="K9" s="31" t="n">
        <x:f>IFERROR(VLOOKUP($E9,'02_怪物模板_好读版'!$A:$Z,10,FALSE),0)</x:f>
        <x:v>0</x:v>
      </x:c>
      <x:c r="L9" s="31" t="n">
        <x:f>IFERROR(VLOOKUP($E9,'02_怪物模板_好读版'!$A:$Z,11,FALSE),0)</x:f>
        <x:v>6</x:v>
      </x:c>
      <x:c r="M9" s="31" t="n">
        <x:f>IFERROR(VLOOKUP($E9,'02_怪物模板_好读版'!$A:$Z,12,FALSE),0)</x:f>
        <x:v>3</x:v>
      </x:c>
      <x:c r="N9" s="29" t="n">
        <x:v>1</x:v>
      </x:c>
      <x:c r="O9" s="29" t="str">
        <x:v>mid_cluster</x:v>
      </x:c>
      <x:c r="P9" s="31" t="n">
        <x:f>IFERROR((I9+J9*3+K9*2+L9+M9*5)*N9,0)</x:f>
        <x:v>42</x:v>
      </x:c>
      <x:c r="Q9" s="29" t="str">
        <x:v>教学破盾，开始区分普通兵与开场盾。 把薄盾题引入战斗，不让玩家被厚盾低血直接劝退。</x:v>
      </x:c>
      <x:c r="R9" s="29" t="str">
        <x:v>城堡-2 / 资源-1 / 经济x0.87</x:v>
      </x:c>
      <x:c r="S9" s="29" t="str">
        <x:v>5回合内高奖；6-10回合每回合-6%；10回合失败</x:v>
      </x:c>
      <x:c r="T9" s="29" t="str"/>
    </x:row>
    <x:row r="10" ht="22" customHeight="1">
      <x:c r="A10" s="29" t="str">
        <x:v>wave_d01_afternoon</x:v>
      </x:c>
      <x:c r="B10" s="29" t="n">
        <x:v>1</x:v>
      </x:c>
      <x:c r="C10" s="29" t="str">
        <x:v>下午</x:v>
      </x:c>
      <x:c r="D10" s="29" t="n">
        <x:v>4</x:v>
      </x:c>
      <x:c r="E10" s="29" t="str">
        <x:v>pal_001</x:v>
      </x:c>
      <x:c r="F10" s="31" t="str">
        <x:f>IFERROR(VLOOKUP($E10,'02_怪物模板_好读版'!$A:$Z,2,FALSE),"")</x:f>
        <x:v>棉悠悠</x:v>
      </x:c>
      <x:c r="G10" s="31" t="str">
        <x:f>IFERROR(VLOOKUP($E10,'02_怪物模板_好读版'!$A:$Z,3,FALSE),"")</x:f>
        <x:v>风</x:v>
      </x:c>
      <x:c r="H10" s="31" t="str">
        <x:f>IFERROR(VLOOKUP($E10,'02_怪物模板_好读版'!$A:$Z,7,FALSE),"")</x:f>
        <x:v>小怪</x:v>
      </x:c>
      <x:c r="I10" s="31" t="n">
        <x:f>IFERROR(VLOOKUP($E10,'02_怪物模板_好读版'!$A:$Z,8,FALSE),0)</x:f>
        <x:v>6</x:v>
      </x:c>
      <x:c r="J10" s="31" t="n">
        <x:f>IFERROR(VLOOKUP($E10,'02_怪物模板_好读版'!$A:$Z,9,FALSE),0)</x:f>
        <x:v>1</x:v>
      </x:c>
      <x:c r="K10" s="31" t="n">
        <x:f>IFERROR(VLOOKUP($E10,'02_怪物模板_好读版'!$A:$Z,10,FALSE),0)</x:f>
        <x:v>0</x:v>
      </x:c>
      <x:c r="L10" s="31" t="n">
        <x:f>IFERROR(VLOOKUP($E10,'02_怪物模板_好读版'!$A:$Z,11,FALSE),0)</x:f>
        <x:v>0</x:v>
      </x:c>
      <x:c r="M10" s="31" t="n">
        <x:f>IFERROR(VLOOKUP($E10,'02_怪物模板_好读版'!$A:$Z,12,FALSE),0)</x:f>
        <x:v>3</x:v>
      </x:c>
      <x:c r="N10" s="29" t="n">
        <x:v>1</x:v>
      </x:c>
      <x:c r="O10" s="29" t="str">
        <x:v>mid_split</x:v>
      </x:c>
      <x:c r="P10" s="31" t="n">
        <x:f>IFERROR((I10+J10*3+K10*2+L10+M10*5)*N10,0)</x:f>
        <x:v>24</x:v>
      </x:c>
      <x:c r="Q10" s="29" t="str">
        <x:v>教学破盾，开始区分普通兵与开场盾。 提供低血爽杀，保证玩家每回合都有明确可清目标。</x:v>
      </x:c>
      <x:c r="R10" s="29" t="str">
        <x:v>城堡-2 / 资源-1 / 经济x0.87</x:v>
      </x:c>
      <x:c r="S10" s="29" t="str">
        <x:v>5回合内高奖；6-10回合每回合-6%；10回合失败</x:v>
      </x:c>
      <x:c r="T10" s="29" t="str"/>
    </x:row>
    <x:row r="11" ht="22" customHeight="1">
      <x:c r="A11" s="29" t="str">
        <x:v>wave_d01_afternoon</x:v>
      </x:c>
      <x:c r="B11" s="29" t="n">
        <x:v>1</x:v>
      </x:c>
      <x:c r="C11" s="29" t="str">
        <x:v>下午</x:v>
      </x:c>
      <x:c r="D11" s="29" t="n">
        <x:v>5</x:v>
      </x:c>
      <x:c r="E11" s="29" t="str">
        <x:v>pal_001</x:v>
      </x:c>
      <x:c r="F11" s="31" t="str">
        <x:f>IFERROR(VLOOKUP($E11,'02_怪物模板_好读版'!$A:$Z,2,FALSE),"")</x:f>
        <x:v>棉悠悠</x:v>
      </x:c>
      <x:c r="G11" s="31" t="str">
        <x:f>IFERROR(VLOOKUP($E11,'02_怪物模板_好读版'!$A:$Z,3,FALSE),"")</x:f>
        <x:v>风</x:v>
      </x:c>
      <x:c r="H11" s="31" t="str">
        <x:f>IFERROR(VLOOKUP($E11,'02_怪物模板_好读版'!$A:$Z,7,FALSE),"")</x:f>
        <x:v>小怪</x:v>
      </x:c>
      <x:c r="I11" s="31" t="n">
        <x:f>IFERROR(VLOOKUP($E11,'02_怪物模板_好读版'!$A:$Z,8,FALSE),0)</x:f>
        <x:v>6</x:v>
      </x:c>
      <x:c r="J11" s="31" t="n">
        <x:f>IFERROR(VLOOKUP($E11,'02_怪物模板_好读版'!$A:$Z,9,FALSE),0)</x:f>
        <x:v>1</x:v>
      </x:c>
      <x:c r="K11" s="31" t="n">
        <x:f>IFERROR(VLOOKUP($E11,'02_怪物模板_好读版'!$A:$Z,10,FALSE),0)</x:f>
        <x:v>0</x:v>
      </x:c>
      <x:c r="L11" s="31" t="n">
        <x:f>IFERROR(VLOOKUP($E11,'02_怪物模板_好读版'!$A:$Z,11,FALSE),0)</x:f>
        <x:v>0</x:v>
      </x:c>
      <x:c r="M11" s="31" t="n">
        <x:f>IFERROR(VLOOKUP($E11,'02_怪物模板_好读版'!$A:$Z,12,FALSE),0)</x:f>
        <x:v>3</x:v>
      </x:c>
      <x:c r="N11" s="29" t="n">
        <x:v>1</x:v>
      </x:c>
      <x:c r="O11" s="29" t="str">
        <x:v>back_corner</x:v>
      </x:c>
      <x:c r="P11" s="31" t="n">
        <x:f>IFERROR((I11+J11*3+K11*2+L11+M11*5)*N11,0)</x:f>
        <x:v>24</x:v>
      </x:c>
      <x:c r="Q11" s="29" t="str">
        <x:v>教学破盾，开始区分普通兵与开场盾。 提供低血爽杀，保证玩家每回合都有明确可清目标。</x:v>
      </x:c>
      <x:c r="R11" s="29" t="str">
        <x:v>城堡-2 / 资源-1 / 经济x0.87</x:v>
      </x:c>
      <x:c r="S11" s="29" t="str">
        <x:v>5回合内高奖；6-10回合每回合-6%；10回合失败</x:v>
      </x:c>
      <x:c r="T11" s="29" t="str"/>
    </x:row>
    <x:row r="12" ht="22" customHeight="1">
      <x:c r="A12" s="29" t="str">
        <x:v>wave_d02_morning</x:v>
      </x:c>
      <x:c r="B12" s="29" t="n">
        <x:v>2</x:v>
      </x:c>
      <x:c r="C12" s="29" t="str">
        <x:v>上午</x:v>
      </x:c>
      <x:c r="D12" s="29" t="n">
        <x:v>1</x:v>
      </x:c>
      <x:c r="E12" s="29" t="str">
        <x:v>pal_001</x:v>
      </x:c>
      <x:c r="F12" s="31" t="str">
        <x:f>IFERROR(VLOOKUP($E12,'02_怪物模板_好读版'!$A:$Z,2,FALSE),"")</x:f>
        <x:v>棉悠悠</x:v>
      </x:c>
      <x:c r="G12" s="31" t="str">
        <x:f>IFERROR(VLOOKUP($E12,'02_怪物模板_好读版'!$A:$Z,3,FALSE),"")</x:f>
        <x:v>风</x:v>
      </x:c>
      <x:c r="H12" s="31" t="str">
        <x:f>IFERROR(VLOOKUP($E12,'02_怪物模板_好读版'!$A:$Z,7,FALSE),"")</x:f>
        <x:v>小怪</x:v>
      </x:c>
      <x:c r="I12" s="31" t="n">
        <x:f>IFERROR(VLOOKUP($E12,'02_怪物模板_好读版'!$A:$Z,8,FALSE),0)</x:f>
        <x:v>6</x:v>
      </x:c>
      <x:c r="J12" s="31" t="n">
        <x:f>IFERROR(VLOOKUP($E12,'02_怪物模板_好读版'!$A:$Z,9,FALSE),0)</x:f>
        <x:v>1</x:v>
      </x:c>
      <x:c r="K12" s="31" t="n">
        <x:f>IFERROR(VLOOKUP($E12,'02_怪物模板_好读版'!$A:$Z,10,FALSE),0)</x:f>
        <x:v>0</x:v>
      </x:c>
      <x:c r="L12" s="31" t="n">
        <x:f>IFERROR(VLOOKUP($E12,'02_怪物模板_好读版'!$A:$Z,11,FALSE),0)</x:f>
        <x:v>0</x:v>
      </x:c>
      <x:c r="M12" s="31" t="n">
        <x:f>IFERROR(VLOOKUP($E12,'02_怪物模板_好读版'!$A:$Z,12,FALSE),0)</x:f>
        <x:v>3</x:v>
      </x:c>
      <x:c r="N12" s="29" t="n">
        <x:v>1</x:v>
      </x:c>
      <x:c r="O12" s="29" t="str">
        <x:v>front_split</x:v>
      </x:c>
      <x:c r="P12" s="31" t="n">
        <x:f>IFERROR((I12+J12*3+K12*2+L12+M12*5)*N12,0)</x:f>
        <x:v>24</x:v>
      </x:c>
      <x:c r="Q12" s="29" t="str">
        <x:v>继续清场，开始加入轻量拖场召唤。 提供低血爽杀，保证玩家每回合都有明确可清目标。</x:v>
      </x:c>
      <x:c r="R12" s="29" t="str">
        <x:v>城堡-1 / 资源-1 / 经济x0.88</x:v>
      </x:c>
      <x:c r="S12" s="29" t="str">
        <x:v>5回合内高奖；6-10回合每回合-5%；10回合失败</x:v>
      </x:c>
      <x:c r="T12" s="29" t="str"/>
    </x:row>
    <x:row r="13" ht="22" customHeight="1">
      <x:c r="A13" s="29" t="str">
        <x:v>wave_d02_morning</x:v>
      </x:c>
      <x:c r="B13" s="29" t="n">
        <x:v>2</x:v>
      </x:c>
      <x:c r="C13" s="29" t="str">
        <x:v>上午</x:v>
      </x:c>
      <x:c r="D13" s="29" t="n">
        <x:v>2</x:v>
      </x:c>
      <x:c r="E13" s="29" t="str">
        <x:v>pal_022</x:v>
      </x:c>
      <x:c r="F13" s="31" t="str">
        <x:f>IFERROR(VLOOKUP($E13,'02_怪物模板_好读版'!$A:$Z,2,FALSE),"")</x:f>
        <x:v>遁地鼠</x:v>
      </x:c>
      <x:c r="G13" s="31" t="str">
        <x:f>IFERROR(VLOOKUP($E13,'02_怪物模板_好读版'!$A:$Z,3,FALSE),"")</x:f>
        <x:v>土</x:v>
      </x:c>
      <x:c r="H13" s="31" t="str">
        <x:f>IFERROR(VLOOKUP($E13,'02_怪物模板_好读版'!$A:$Z,7,FALSE),"")</x:f>
        <x:v>肉盾</x:v>
      </x:c>
      <x:c r="I13" s="31" t="n">
        <x:f>IFERROR(VLOOKUP($E13,'02_怪物模板_好读版'!$A:$Z,8,FALSE),0)</x:f>
        <x:v>25</x:v>
      </x:c>
      <x:c r="J13" s="31" t="n">
        <x:f>IFERROR(VLOOKUP($E13,'02_怪物模板_好读版'!$A:$Z,9,FALSE),0)</x:f>
        <x:v>1</x:v>
      </x:c>
      <x:c r="K13" s="31" t="n">
        <x:f>IFERROR(VLOOKUP($E13,'02_怪物模板_好读版'!$A:$Z,10,FALSE),0)</x:f>
        <x:v>0</x:v>
      </x:c>
      <x:c r="L13" s="31" t="n">
        <x:f>IFERROR(VLOOKUP($E13,'02_怪物模板_好读版'!$A:$Z,11,FALSE),0)</x:f>
        <x:v>0</x:v>
      </x:c>
      <x:c r="M13" s="31" t="n">
        <x:f>IFERROR(VLOOKUP($E13,'02_怪物模板_好读版'!$A:$Z,12,FALSE),0)</x:f>
        <x:v>2</x:v>
      </x:c>
      <x:c r="N13" s="29" t="n">
        <x:v>1</x:v>
      </x:c>
      <x:c r="O13" s="29" t="str">
        <x:v>front_cluster</x:v>
      </x:c>
      <x:c r="P13" s="31" t="n">
        <x:f>IFERROR((I13+J13*3+K13*2+L13+M13*5)*N13,0)</x:f>
        <x:v>38</x:v>
      </x:c>
      <x:c r="Q13" s="29" t="str">
        <x:v>继续清场，开始加入轻量拖场召唤。 让玩家第一次感知“不是所有怪都能一回合处理”。</x:v>
      </x:c>
      <x:c r="R13" s="29" t="str">
        <x:v>城堡-1 / 资源-1 / 经济x0.88</x:v>
      </x:c>
      <x:c r="S13" s="29" t="str">
        <x:v>5回合内高奖；6-10回合每回合-5%；10回合失败</x:v>
      </x:c>
      <x:c r="T13" s="29" t="str"/>
    </x:row>
    <x:row r="14" ht="22" customHeight="1">
      <x:c r="A14" s="29" t="str">
        <x:v>wave_d02_morning</x:v>
      </x:c>
      <x:c r="B14" s="29" t="n">
        <x:v>2</x:v>
      </x:c>
      <x:c r="C14" s="29" t="str">
        <x:v>上午</x:v>
      </x:c>
      <x:c r="D14" s="29" t="n">
        <x:v>3</x:v>
      </x:c>
      <x:c r="E14" s="29" t="str">
        <x:v>pal_088</x:v>
      </x:c>
      <x:c r="F14" s="31" t="str">
        <x:f>IFERROR(VLOOKUP($E14,'02_怪物模板_好读版'!$A:$Z,2,FALSE),"")</x:f>
        <x:v>冰棘兽</x:v>
      </x:c>
      <x:c r="G14" s="31" t="str">
        <x:f>IFERROR(VLOOKUP($E14,'02_怪物模板_好读版'!$A:$Z,3,FALSE),"")</x:f>
        <x:v>水</x:v>
      </x:c>
      <x:c r="H14" s="31" t="str">
        <x:f>IFERROR(VLOOKUP($E14,'02_怪物模板_好读版'!$A:$Z,7,FALSE),"")</x:f>
        <x:v>护盾怪</x:v>
      </x:c>
      <x:c r="I14" s="31" t="n">
        <x:f>IFERROR(VLOOKUP($E14,'02_怪物模板_好读版'!$A:$Z,8,FALSE),0)</x:f>
        <x:v>15</x:v>
      </x:c>
      <x:c r="J14" s="31" t="n">
        <x:f>IFERROR(VLOOKUP($E14,'02_怪物模板_好读版'!$A:$Z,9,FALSE),0)</x:f>
        <x:v>2</x:v>
      </x:c>
      <x:c r="K14" s="31" t="n">
        <x:f>IFERROR(VLOOKUP($E14,'02_怪物模板_好读版'!$A:$Z,10,FALSE),0)</x:f>
        <x:v>0</x:v>
      </x:c>
      <x:c r="L14" s="31" t="n">
        <x:f>IFERROR(VLOOKUP($E14,'02_怪物模板_好读版'!$A:$Z,11,FALSE),0)</x:f>
        <x:v>6</x:v>
      </x:c>
      <x:c r="M14" s="31" t="n">
        <x:f>IFERROR(VLOOKUP($E14,'02_怪物模板_好读版'!$A:$Z,12,FALSE),0)</x:f>
        <x:v>3</x:v>
      </x:c>
      <x:c r="N14" s="29" t="n">
        <x:v>1</x:v>
      </x:c>
      <x:c r="O14" s="29" t="str">
        <x:v>mid_cluster</x:v>
      </x:c>
      <x:c r="P14" s="31" t="n">
        <x:f>IFERROR((I14+J14*3+K14*2+L14+M14*5)*N14,0)</x:f>
        <x:v>42</x:v>
      </x:c>
      <x:c r="Q14" s="29" t="str">
        <x:v>继续清场，开始加入轻量拖场召唤。 把薄盾题引入战斗，不让玩家被厚盾低血直接劝退。</x:v>
      </x:c>
      <x:c r="R14" s="29" t="str">
        <x:v>城堡-1 / 资源-1 / 经济x0.88</x:v>
      </x:c>
      <x:c r="S14" s="29" t="str">
        <x:v>5回合内高奖；6-10回合每回合-5%；10回合失败</x:v>
      </x:c>
      <x:c r="T14" s="29" t="str"/>
    </x:row>
    <x:row r="15" ht="22" customHeight="1">
      <x:c r="A15" s="29" t="str">
        <x:v>wave_d02_morning</x:v>
      </x:c>
      <x:c r="B15" s="29" t="n">
        <x:v>2</x:v>
      </x:c>
      <x:c r="C15" s="29" t="str">
        <x:v>上午</x:v>
      </x:c>
      <x:c r="D15" s="29" t="n">
        <x:v>4</x:v>
      </x:c>
      <x:c r="E15" s="29" t="str">
        <x:v>pal_001</x:v>
      </x:c>
      <x:c r="F15" s="31" t="str">
        <x:f>IFERROR(VLOOKUP($E15,'02_怪物模板_好读版'!$A:$Z,2,FALSE),"")</x:f>
        <x:v>棉悠悠</x:v>
      </x:c>
      <x:c r="G15" s="31" t="str">
        <x:f>IFERROR(VLOOKUP($E15,'02_怪物模板_好读版'!$A:$Z,3,FALSE),"")</x:f>
        <x:v>风</x:v>
      </x:c>
      <x:c r="H15" s="31" t="str">
        <x:f>IFERROR(VLOOKUP($E15,'02_怪物模板_好读版'!$A:$Z,7,FALSE),"")</x:f>
        <x:v>小怪</x:v>
      </x:c>
      <x:c r="I15" s="31" t="n">
        <x:f>IFERROR(VLOOKUP($E15,'02_怪物模板_好读版'!$A:$Z,8,FALSE),0)</x:f>
        <x:v>6</x:v>
      </x:c>
      <x:c r="J15" s="31" t="n">
        <x:f>IFERROR(VLOOKUP($E15,'02_怪物模板_好读版'!$A:$Z,9,FALSE),0)</x:f>
        <x:v>1</x:v>
      </x:c>
      <x:c r="K15" s="31" t="n">
        <x:f>IFERROR(VLOOKUP($E15,'02_怪物模板_好读版'!$A:$Z,10,FALSE),0)</x:f>
        <x:v>0</x:v>
      </x:c>
      <x:c r="L15" s="31" t="n">
        <x:f>IFERROR(VLOOKUP($E15,'02_怪物模板_好读版'!$A:$Z,11,FALSE),0)</x:f>
        <x:v>0</x:v>
      </x:c>
      <x:c r="M15" s="31" t="n">
        <x:f>IFERROR(VLOOKUP($E15,'02_怪物模板_好读版'!$A:$Z,12,FALSE),0)</x:f>
        <x:v>3</x:v>
      </x:c>
      <x:c r="N15" s="29" t="n">
        <x:v>1</x:v>
      </x:c>
      <x:c r="O15" s="29" t="str">
        <x:v>mid_split</x:v>
      </x:c>
      <x:c r="P15" s="31" t="n">
        <x:f>IFERROR((I15+J15*3+K15*2+L15+M15*5)*N15,0)</x:f>
        <x:v>24</x:v>
      </x:c>
      <x:c r="Q15" s="29" t="str">
        <x:v>继续清场，开始加入轻量拖场召唤。 提供低血爽杀，保证玩家每回合都有明确可清目标。</x:v>
      </x:c>
      <x:c r="R15" s="29" t="str">
        <x:v>城堡-1 / 资源-1 / 经济x0.88</x:v>
      </x:c>
      <x:c r="S15" s="29" t="str">
        <x:v>5回合内高奖；6-10回合每回合-5%；10回合失败</x:v>
      </x:c>
      <x:c r="T15" s="29" t="str"/>
    </x:row>
    <x:row r="16" ht="22" customHeight="1">
      <x:c r="A16" s="29" t="str">
        <x:v>wave_d02_morning</x:v>
      </x:c>
      <x:c r="B16" s="29" t="n">
        <x:v>2</x:v>
      </x:c>
      <x:c r="C16" s="29" t="str">
        <x:v>上午</x:v>
      </x:c>
      <x:c r="D16" s="29" t="n">
        <x:v>5</x:v>
      </x:c>
      <x:c r="E16" s="29" t="str">
        <x:v>pal_067</x:v>
      </x:c>
      <x:c r="F16" s="31" t="str">
        <x:f>IFERROR(VLOOKUP($E16,'02_怪物模板_好读版'!$A:$Z,2,FALSE),"")</x:f>
        <x:v>流沙蛇</x:v>
      </x:c>
      <x:c r="G16" s="31" t="str">
        <x:f>IFERROR(VLOOKUP($E16,'02_怪物模板_好读版'!$A:$Z,3,FALSE),"")</x:f>
        <x:v>土</x:v>
      </x:c>
      <x:c r="H16" s="31" t="str">
        <x:f>IFERROR(VLOOKUP($E16,'02_怪物模板_好读版'!$A:$Z,7,FALSE),"")</x:f>
        <x:v>召唤怪</x:v>
      </x:c>
      <x:c r="I16" s="31" t="n">
        <x:f>IFERROR(VLOOKUP($E16,'02_怪物模板_好读版'!$A:$Z,8,FALSE),0)</x:f>
        <x:v>20</x:v>
      </x:c>
      <x:c r="J16" s="31" t="n">
        <x:f>IFERROR(VLOOKUP($E16,'02_怪物模板_好读版'!$A:$Z,9,FALSE),0)</x:f>
        <x:v>1</x:v>
      </x:c>
      <x:c r="K16" s="31" t="n">
        <x:f>IFERROR(VLOOKUP($E16,'02_怪物模板_好读版'!$A:$Z,10,FALSE),0)</x:f>
        <x:v>0</x:v>
      </x:c>
      <x:c r="L16" s="31" t="n">
        <x:f>IFERROR(VLOOKUP($E16,'02_怪物模板_好读版'!$A:$Z,11,FALSE),0)</x:f>
        <x:v>0</x:v>
      </x:c>
      <x:c r="M16" s="31" t="n">
        <x:f>IFERROR(VLOOKUP($E16,'02_怪物模板_好读版'!$A:$Z,12,FALSE),0)</x:f>
        <x:v>3</x:v>
      </x:c>
      <x:c r="N16" s="29" t="n">
        <x:v>1</x:v>
      </x:c>
      <x:c r="O16" s="29" t="str">
        <x:v>back_protected</x:v>
      </x:c>
      <x:c r="P16" s="31" t="n">
        <x:f>IFERROR((I16+J16*3+K16*2+L16+M16*5)*N16,0)</x:f>
        <x:v>38</x:v>
      </x:c>
      <x:c r="Q16" s="29" t="str">
        <x:v>继续清场，开始加入轻量拖场召唤。 让玩家认识“母体不杀，小怪会自己变多”。</x:v>
      </x:c>
      <x:c r="R16" s="29" t="str">
        <x:v>城堡-1 / 资源-1 / 经济x0.88</x:v>
      </x:c>
      <x:c r="S16" s="29" t="str">
        <x:v>5回合内高奖；6-10回合每回合-5%；10回合失败</x:v>
      </x:c>
      <x:c r="T16" s="29" t="str"/>
    </x:row>
    <x:row r="17" ht="22" customHeight="1">
      <x:c r="A17" s="29" t="str">
        <x:v>wave_d02_afternoon</x:v>
      </x:c>
      <x:c r="B17" s="29" t="n">
        <x:v>2</x:v>
      </x:c>
      <x:c r="C17" s="29" t="str">
        <x:v>下午</x:v>
      </x:c>
      <x:c r="D17" s="29" t="n">
        <x:v>1</x:v>
      </x:c>
      <x:c r="E17" s="29" t="str">
        <x:v>pal_001</x:v>
      </x:c>
      <x:c r="F17" s="31" t="str">
        <x:f>IFERROR(VLOOKUP($E17,'02_怪物模板_好读版'!$A:$Z,2,FALSE),"")</x:f>
        <x:v>棉悠悠</x:v>
      </x:c>
      <x:c r="G17" s="31" t="str">
        <x:f>IFERROR(VLOOKUP($E17,'02_怪物模板_好读版'!$A:$Z,3,FALSE),"")</x:f>
        <x:v>风</x:v>
      </x:c>
      <x:c r="H17" s="31" t="str">
        <x:f>IFERROR(VLOOKUP($E17,'02_怪物模板_好读版'!$A:$Z,7,FALSE),"")</x:f>
        <x:v>小怪</x:v>
      </x:c>
      <x:c r="I17" s="31" t="n">
        <x:f>IFERROR(VLOOKUP($E17,'02_怪物模板_好读版'!$A:$Z,8,FALSE),0)</x:f>
        <x:v>6</x:v>
      </x:c>
      <x:c r="J17" s="31" t="n">
        <x:f>IFERROR(VLOOKUP($E17,'02_怪物模板_好读版'!$A:$Z,9,FALSE),0)</x:f>
        <x:v>1</x:v>
      </x:c>
      <x:c r="K17" s="31" t="n">
        <x:f>IFERROR(VLOOKUP($E17,'02_怪物模板_好读版'!$A:$Z,10,FALSE),0)</x:f>
        <x:v>0</x:v>
      </x:c>
      <x:c r="L17" s="31" t="n">
        <x:f>IFERROR(VLOOKUP($E17,'02_怪物模板_好读版'!$A:$Z,11,FALSE),0)</x:f>
        <x:v>0</x:v>
      </x:c>
      <x:c r="M17" s="31" t="n">
        <x:f>IFERROR(VLOOKUP($E17,'02_怪物模板_好读版'!$A:$Z,12,FALSE),0)</x:f>
        <x:v>3</x:v>
      </x:c>
      <x:c r="N17" s="29" t="n">
        <x:v>1</x:v>
      </x:c>
      <x:c r="O17" s="29" t="str">
        <x:v>front_split</x:v>
      </x:c>
      <x:c r="P17" s="31" t="n">
        <x:f>IFERROR((I17+J17*3+K17*2+L17+M17*5)*N17,0)</x:f>
        <x:v>24</x:v>
      </x:c>
      <x:c r="Q17" s="29" t="str">
        <x:v>引入厚盾低血，逼玩家做单点或穿盾选择。 提供低血爽杀，保证玩家每回合都有明确可清目标。</x:v>
      </x:c>
      <x:c r="R17" s="29" t="str">
        <x:v>城堡-2 / 资源-1 / 经济x0.85</x:v>
      </x:c>
      <x:c r="S17" s="29" t="str">
        <x:v>5回合内高奖；6-10回合每回合-6%；10回合失败</x:v>
      </x:c>
      <x:c r="T17" s="29" t="str"/>
    </x:row>
    <x:row r="18" ht="22" customHeight="1">
      <x:c r="A18" s="29" t="str">
        <x:v>wave_d02_afternoon</x:v>
      </x:c>
      <x:c r="B18" s="29" t="n">
        <x:v>2</x:v>
      </x:c>
      <x:c r="C18" s="29" t="str">
        <x:v>下午</x:v>
      </x:c>
      <x:c r="D18" s="29" t="n">
        <x:v>2</x:v>
      </x:c>
      <x:c r="E18" s="29" t="str">
        <x:v>pal_022</x:v>
      </x:c>
      <x:c r="F18" s="31" t="str">
        <x:f>IFERROR(VLOOKUP($E18,'02_怪物模板_好读版'!$A:$Z,2,FALSE),"")</x:f>
        <x:v>遁地鼠</x:v>
      </x:c>
      <x:c r="G18" s="31" t="str">
        <x:f>IFERROR(VLOOKUP($E18,'02_怪物模板_好读版'!$A:$Z,3,FALSE),"")</x:f>
        <x:v>土</x:v>
      </x:c>
      <x:c r="H18" s="31" t="str">
        <x:f>IFERROR(VLOOKUP($E18,'02_怪物模板_好读版'!$A:$Z,7,FALSE),"")</x:f>
        <x:v>肉盾</x:v>
      </x:c>
      <x:c r="I18" s="31" t="n">
        <x:f>IFERROR(VLOOKUP($E18,'02_怪物模板_好读版'!$A:$Z,8,FALSE),0)</x:f>
        <x:v>25</x:v>
      </x:c>
      <x:c r="J18" s="31" t="n">
        <x:f>IFERROR(VLOOKUP($E18,'02_怪物模板_好读版'!$A:$Z,9,FALSE),0)</x:f>
        <x:v>1</x:v>
      </x:c>
      <x:c r="K18" s="31" t="n">
        <x:f>IFERROR(VLOOKUP($E18,'02_怪物模板_好读版'!$A:$Z,10,FALSE),0)</x:f>
        <x:v>0</x:v>
      </x:c>
      <x:c r="L18" s="31" t="n">
        <x:f>IFERROR(VLOOKUP($E18,'02_怪物模板_好读版'!$A:$Z,11,FALSE),0)</x:f>
        <x:v>0</x:v>
      </x:c>
      <x:c r="M18" s="31" t="n">
        <x:f>IFERROR(VLOOKUP($E18,'02_怪物模板_好读版'!$A:$Z,12,FALSE),0)</x:f>
        <x:v>2</x:v>
      </x:c>
      <x:c r="N18" s="29" t="n">
        <x:v>1</x:v>
      </x:c>
      <x:c r="O18" s="29" t="str">
        <x:v>front_cluster</x:v>
      </x:c>
      <x:c r="P18" s="31" t="n">
        <x:f>IFERROR((I18+J18*3+K18*2+L18+M18*5)*N18,0)</x:f>
        <x:v>38</x:v>
      </x:c>
      <x:c r="Q18" s="29" t="str">
        <x:v>引入厚盾低血，逼玩家做单点或穿盾选择。 让玩家第一次感知“不是所有怪都能一回合处理”。</x:v>
      </x:c>
      <x:c r="R18" s="29" t="str">
        <x:v>城堡-2 / 资源-1 / 经济x0.85</x:v>
      </x:c>
      <x:c r="S18" s="29" t="str">
        <x:v>5回合内高奖；6-10回合每回合-6%；10回合失败</x:v>
      </x:c>
      <x:c r="T18" s="29" t="str"/>
    </x:row>
    <x:row r="19" ht="22" customHeight="1">
      <x:c r="A19" s="29" t="str">
        <x:v>wave_d02_afternoon</x:v>
      </x:c>
      <x:c r="B19" s="29" t="n">
        <x:v>2</x:v>
      </x:c>
      <x:c r="C19" s="29" t="str">
        <x:v>下午</x:v>
      </x:c>
      <x:c r="D19" s="29" t="n">
        <x:v>2</x:v>
      </x:c>
      <x:c r="E19" s="29" t="str">
        <x:v>pal_001</x:v>
      </x:c>
      <x:c r="F19" s="31" t="str">
        <x:f>IFERROR(VLOOKUP($E19,'02_怪物模板_好读版'!$A:$Z,2,FALSE),"")</x:f>
        <x:v>棉悠悠</x:v>
      </x:c>
      <x:c r="G19" s="31" t="str">
        <x:f>IFERROR(VLOOKUP($E19,'02_怪物模板_好读版'!$A:$Z,3,FALSE),"")</x:f>
        <x:v>风</x:v>
      </x:c>
      <x:c r="H19" s="31" t="str">
        <x:f>IFERROR(VLOOKUP($E19,'02_怪物模板_好读版'!$A:$Z,7,FALSE),"")</x:f>
        <x:v>小怪</x:v>
      </x:c>
      <x:c r="I19" s="31" t="n">
        <x:f>IFERROR(VLOOKUP($E19,'02_怪物模板_好读版'!$A:$Z,8,FALSE),0)</x:f>
        <x:v>6</x:v>
      </x:c>
      <x:c r="J19" s="31" t="n">
        <x:f>IFERROR(VLOOKUP($E19,'02_怪物模板_好读版'!$A:$Z,9,FALSE),0)</x:f>
        <x:v>1</x:v>
      </x:c>
      <x:c r="K19" s="31" t="n">
        <x:f>IFERROR(VLOOKUP($E19,'02_怪物模板_好读版'!$A:$Z,10,FALSE),0)</x:f>
        <x:v>0</x:v>
      </x:c>
      <x:c r="L19" s="31" t="n">
        <x:f>IFERROR(VLOOKUP($E19,'02_怪物模板_好读版'!$A:$Z,11,FALSE),0)</x:f>
        <x:v>0</x:v>
      </x:c>
      <x:c r="M19" s="31" t="n">
        <x:f>IFERROR(VLOOKUP($E19,'02_怪物模板_好读版'!$A:$Z,12,FALSE),0)</x:f>
        <x:v>3</x:v>
      </x:c>
      <x:c r="N19" s="29" t="n">
        <x:v>1</x:v>
      </x:c>
      <x:c r="O19" s="29" t="str">
        <x:v>front_split</x:v>
      </x:c>
      <x:c r="P19" s="31" t="n">
        <x:f>IFERROR((I19+J19*3+K19*2+L19+M19*5)*N19,0)</x:f>
        <x:v>24</x:v>
      </x:c>
      <x:c r="Q19" s="29" t="str">
        <x:v>引入厚盾低血，逼玩家做单点或穿盾选择。 提供低血爽杀，保证玩家每回合都有明确可清目标。</x:v>
      </x:c>
      <x:c r="R19" s="29" t="str">
        <x:v>城堡-2 / 资源-1 / 经济x0.85</x:v>
      </x:c>
      <x:c r="S19" s="29" t="str">
        <x:v>5回合内高奖；6-10回合每回合-6%；10回合失败</x:v>
      </x:c>
      <x:c r="T19" s="29" t="str"/>
    </x:row>
    <x:row r="20" ht="22" customHeight="1">
      <x:c r="A20" s="29" t="str">
        <x:v>wave_d02_afternoon</x:v>
      </x:c>
      <x:c r="B20" s="29" t="n">
        <x:v>2</x:v>
      </x:c>
      <x:c r="C20" s="29" t="str">
        <x:v>下午</x:v>
      </x:c>
      <x:c r="D20" s="29" t="n">
        <x:v>3</x:v>
      </x:c>
      <x:c r="E20" s="29" t="str">
        <x:v>pal_005</x:v>
      </x:c>
      <x:c r="F20" s="31" t="str">
        <x:f>IFERROR(VLOOKUP($E20,'02_怪物模板_好读版'!$A:$Z,2,FALSE),"")</x:f>
        <x:v>火绒狐</x:v>
      </x:c>
      <x:c r="G20" s="31" t="str">
        <x:f>IFERROR(VLOOKUP($E20,'02_怪物模板_好读版'!$A:$Z,3,FALSE),"")</x:f>
        <x:v>火</x:v>
      </x:c>
      <x:c r="H20" s="31" t="str">
        <x:f>IFERROR(VLOOKUP($E20,'02_怪物模板_好读版'!$A:$Z,7,FALSE),"")</x:f>
        <x:v>护盾怪</x:v>
      </x:c>
      <x:c r="I20" s="31" t="n">
        <x:f>IFERROR(VLOOKUP($E20,'02_怪物模板_好读版'!$A:$Z,8,FALSE),0)</x:f>
        <x:v>10</x:v>
      </x:c>
      <x:c r="J20" s="31" t="n">
        <x:f>IFERROR(VLOOKUP($E20,'02_怪物模板_好读版'!$A:$Z,9,FALSE),0)</x:f>
        <x:v>2</x:v>
      </x:c>
      <x:c r="K20" s="31" t="n">
        <x:f>IFERROR(VLOOKUP($E20,'02_怪物模板_好读版'!$A:$Z,10,FALSE),0)</x:f>
        <x:v>0</x:v>
      </x:c>
      <x:c r="L20" s="31" t="n">
        <x:f>IFERROR(VLOOKUP($E20,'02_怪物模板_好读版'!$A:$Z,11,FALSE),0)</x:f>
        <x:v>6</x:v>
      </x:c>
      <x:c r="M20" s="31" t="n">
        <x:f>IFERROR(VLOOKUP($E20,'02_怪物模板_好读版'!$A:$Z,12,FALSE),0)</x:f>
        <x:v>3</x:v>
      </x:c>
      <x:c r="N20" s="29" t="n">
        <x:v>1</x:v>
      </x:c>
      <x:c r="O20" s="29" t="str">
        <x:v>mid_cluster</x:v>
      </x:c>
      <x:c r="P20" s="31" t="n">
        <x:f>IFERROR((I20+J20*3+K20*2+L20+M20*5)*N20,0)</x:f>
        <x:v>37</x:v>
      </x:c>
      <x:c r="Q20" s="29" t="str">
        <x:v>引入厚盾低血，逼玩家做单点或穿盾选择。 让玩家第一次明确区分“能打到血”和“只能打盾”。</x:v>
      </x:c>
      <x:c r="R20" s="29" t="str">
        <x:v>城堡-2 / 资源-1 / 经济x0.85</x:v>
      </x:c>
      <x:c r="S20" s="29" t="str">
        <x:v>5回合内高奖；6-10回合每回合-6%；10回合失败</x:v>
      </x:c>
      <x:c r="T20" s="29" t="str"/>
    </x:row>
    <x:row r="21" ht="22" customHeight="1">
      <x:c r="A21" s="29" t="str">
        <x:v>wave_d02_afternoon</x:v>
      </x:c>
      <x:c r="B21" s="29" t="n">
        <x:v>2</x:v>
      </x:c>
      <x:c r="C21" s="29" t="str">
        <x:v>下午</x:v>
      </x:c>
      <x:c r="D21" s="29" t="n">
        <x:v>4</x:v>
      </x:c>
      <x:c r="E21" s="29" t="str">
        <x:v>pal_001</x:v>
      </x:c>
      <x:c r="F21" s="31" t="str">
        <x:f>IFERROR(VLOOKUP($E21,'02_怪物模板_好读版'!$A:$Z,2,FALSE),"")</x:f>
        <x:v>棉悠悠</x:v>
      </x:c>
      <x:c r="G21" s="31" t="str">
        <x:f>IFERROR(VLOOKUP($E21,'02_怪物模板_好读版'!$A:$Z,3,FALSE),"")</x:f>
        <x:v>风</x:v>
      </x:c>
      <x:c r="H21" s="31" t="str">
        <x:f>IFERROR(VLOOKUP($E21,'02_怪物模板_好读版'!$A:$Z,7,FALSE),"")</x:f>
        <x:v>小怪</x:v>
      </x:c>
      <x:c r="I21" s="31" t="n">
        <x:f>IFERROR(VLOOKUP($E21,'02_怪物模板_好读版'!$A:$Z,8,FALSE),0)</x:f>
        <x:v>6</x:v>
      </x:c>
      <x:c r="J21" s="31" t="n">
        <x:f>IFERROR(VLOOKUP($E21,'02_怪物模板_好读版'!$A:$Z,9,FALSE),0)</x:f>
        <x:v>1</x:v>
      </x:c>
      <x:c r="K21" s="31" t="n">
        <x:f>IFERROR(VLOOKUP($E21,'02_怪物模板_好读版'!$A:$Z,10,FALSE),0)</x:f>
        <x:v>0</x:v>
      </x:c>
      <x:c r="L21" s="31" t="n">
        <x:f>IFERROR(VLOOKUP($E21,'02_怪物模板_好读版'!$A:$Z,11,FALSE),0)</x:f>
        <x:v>0</x:v>
      </x:c>
      <x:c r="M21" s="31" t="n">
        <x:f>IFERROR(VLOOKUP($E21,'02_怪物模板_好读版'!$A:$Z,12,FALSE),0)</x:f>
        <x:v>3</x:v>
      </x:c>
      <x:c r="N21" s="29" t="n">
        <x:v>1</x:v>
      </x:c>
      <x:c r="O21" s="29" t="str">
        <x:v>mid_split</x:v>
      </x:c>
      <x:c r="P21" s="31" t="n">
        <x:f>IFERROR((I21+J21*3+K21*2+L21+M21*5)*N21,0)</x:f>
        <x:v>24</x:v>
      </x:c>
      <x:c r="Q21" s="29" t="str">
        <x:v>引入厚盾低血，逼玩家做单点或穿盾选择。 提供低血爽杀，保证玩家每回合都有明确可清目标。</x:v>
      </x:c>
      <x:c r="R21" s="29" t="str">
        <x:v>城堡-2 / 资源-1 / 经济x0.85</x:v>
      </x:c>
      <x:c r="S21" s="29" t="str">
        <x:v>5回合内高奖；6-10回合每回合-6%；10回合失败</x:v>
      </x:c>
      <x:c r="T21" s="29" t="str"/>
    </x:row>
    <x:row r="22" ht="22" customHeight="1">
      <x:c r="A22" s="29" t="str">
        <x:v>wave_d02_afternoon</x:v>
      </x:c>
      <x:c r="B22" s="29" t="n">
        <x:v>2</x:v>
      </x:c>
      <x:c r="C22" s="29" t="str">
        <x:v>下午</x:v>
      </x:c>
      <x:c r="D22" s="29" t="n">
        <x:v>5</x:v>
      </x:c>
      <x:c r="E22" s="29" t="str">
        <x:v>pal_067</x:v>
      </x:c>
      <x:c r="F22" s="31" t="str">
        <x:f>IFERROR(VLOOKUP($E22,'02_怪物模板_好读版'!$A:$Z,2,FALSE),"")</x:f>
        <x:v>流沙蛇</x:v>
      </x:c>
      <x:c r="G22" s="31" t="str">
        <x:f>IFERROR(VLOOKUP($E22,'02_怪物模板_好读版'!$A:$Z,3,FALSE),"")</x:f>
        <x:v>土</x:v>
      </x:c>
      <x:c r="H22" s="31" t="str">
        <x:f>IFERROR(VLOOKUP($E22,'02_怪物模板_好读版'!$A:$Z,7,FALSE),"")</x:f>
        <x:v>召唤怪</x:v>
      </x:c>
      <x:c r="I22" s="31" t="n">
        <x:f>IFERROR(VLOOKUP($E22,'02_怪物模板_好读版'!$A:$Z,8,FALSE),0)</x:f>
        <x:v>20</x:v>
      </x:c>
      <x:c r="J22" s="31" t="n">
        <x:f>IFERROR(VLOOKUP($E22,'02_怪物模板_好读版'!$A:$Z,9,FALSE),0)</x:f>
        <x:v>1</x:v>
      </x:c>
      <x:c r="K22" s="31" t="n">
        <x:f>IFERROR(VLOOKUP($E22,'02_怪物模板_好读版'!$A:$Z,10,FALSE),0)</x:f>
        <x:v>0</x:v>
      </x:c>
      <x:c r="L22" s="31" t="n">
        <x:f>IFERROR(VLOOKUP($E22,'02_怪物模板_好读版'!$A:$Z,11,FALSE),0)</x:f>
        <x:v>0</x:v>
      </x:c>
      <x:c r="M22" s="31" t="n">
        <x:f>IFERROR(VLOOKUP($E22,'02_怪物模板_好读版'!$A:$Z,12,FALSE),0)</x:f>
        <x:v>3</x:v>
      </x:c>
      <x:c r="N22" s="29" t="n">
        <x:v>1</x:v>
      </x:c>
      <x:c r="O22" s="29" t="str">
        <x:v>back_protected</x:v>
      </x:c>
      <x:c r="P22" s="31" t="n">
        <x:f>IFERROR((I22+J22*3+K22*2+L22+M22*5)*N22,0)</x:f>
        <x:v>38</x:v>
      </x:c>
      <x:c r="Q22" s="29" t="str">
        <x:v>引入厚盾低血，逼玩家做单点或穿盾选择。 让玩家认识“母体不杀，小怪会自己变多”。</x:v>
      </x:c>
      <x:c r="R22" s="29" t="str">
        <x:v>城堡-2 / 资源-1 / 经济x0.85</x:v>
      </x:c>
      <x:c r="S22" s="29" t="str">
        <x:v>5回合内高奖；6-10回合每回合-6%；10回合失败</x:v>
      </x:c>
      <x:c r="T22" s="29" t="str"/>
    </x:row>
    <x:row r="23" ht="22" customHeight="1">
      <x:c r="A23" s="29" t="str">
        <x:v>wave_d03_morning</x:v>
      </x:c>
      <x:c r="B23" s="29" t="n">
        <x:v>3</x:v>
      </x:c>
      <x:c r="C23" s="29" t="str">
        <x:v>上午</x:v>
      </x:c>
      <x:c r="D23" s="29" t="n">
        <x:v>1</x:v>
      </x:c>
      <x:c r="E23" s="29" t="str">
        <x:v>pal_014</x:v>
      </x:c>
      <x:c r="F23" s="31" t="str">
        <x:f>IFERROR(VLOOKUP($E23,'02_怪物模板_好读版'!$A:$Z,2,FALSE),"")</x:f>
        <x:v>玉藻狐</x:v>
      </x:c>
      <x:c r="G23" s="31" t="str">
        <x:f>IFERROR(VLOOKUP($E23,'02_怪物模板_好读版'!$A:$Z,3,FALSE),"")</x:f>
        <x:v>风</x:v>
      </x:c>
      <x:c r="H23" s="31" t="str">
        <x:f>IFERROR(VLOOKUP($E23,'02_怪物模板_好读版'!$A:$Z,7,FALSE),"")</x:f>
        <x:v>偷奖励怪</x:v>
      </x:c>
      <x:c r="I23" s="31" t="n">
        <x:f>IFERROR(VLOOKUP($E23,'02_怪物模板_好读版'!$A:$Z,8,FALSE),0)</x:f>
        <x:v>15</x:v>
      </x:c>
      <x:c r="J23" s="31" t="n">
        <x:f>IFERROR(VLOOKUP($E23,'02_怪物模板_好读版'!$A:$Z,9,FALSE),0)</x:f>
        <x:v>2</x:v>
      </x:c>
      <x:c r="K23" s="31" t="n">
        <x:f>IFERROR(VLOOKUP($E23,'02_怪物模板_好读版'!$A:$Z,10,FALSE),0)</x:f>
        <x:v>0</x:v>
      </x:c>
      <x:c r="L23" s="31" t="n">
        <x:f>IFERROR(VLOOKUP($E23,'02_怪物模板_好读版'!$A:$Z,11,FALSE),0)</x:f>
        <x:v>0</x:v>
      </x:c>
      <x:c r="M23" s="31" t="n">
        <x:f>IFERROR(VLOOKUP($E23,'02_怪物模板_好读版'!$A:$Z,12,FALSE),0)</x:f>
        <x:v>4</x:v>
      </x:c>
      <x:c r="N23" s="29" t="n">
        <x:v>1</x:v>
      </x:c>
      <x:c r="O23" s="29" t="str">
        <x:v>back_corner</x:v>
      </x:c>
      <x:c r="P23" s="31" t="n">
        <x:f>IFERROR((I23+J23*3+K23*2+L23+M23*5)*N23,0)</x:f>
        <x:v>41</x:v>
      </x:c>
      <x:c r="Q23" s="29" t="str">
        <x:v>第一次奖励压力与补刀题，要求优先级判断。 第一次把高奖励目标和击杀顺序绑定。</x:v>
      </x:c>
      <x:c r="R23" s="29" t="str">
        <x:v>城堡-1 / 资源-1 / 经济x0.86</x:v>
      </x:c>
      <x:c r="S23" s="29" t="str">
        <x:v>该怪存活每回合额外掉奖；5回合内高奖；6-10回合每回合-6%；10回合失败</x:v>
      </x:c>
      <x:c r="T23" s="29" t="str"/>
    </x:row>
    <x:row r="24" ht="22" customHeight="1">
      <x:c r="A24" s="29" t="str">
        <x:v>wave_d03_morning</x:v>
      </x:c>
      <x:c r="B24" s="29" t="n">
        <x:v>3</x:v>
      </x:c>
      <x:c r="C24" s="29" t="str">
        <x:v>上午</x:v>
      </x:c>
      <x:c r="D24" s="29" t="n">
        <x:v>2</x:v>
      </x:c>
      <x:c r="E24" s="29" t="str">
        <x:v>pal_001</x:v>
      </x:c>
      <x:c r="F24" s="31" t="str">
        <x:f>IFERROR(VLOOKUP($E24,'02_怪物模板_好读版'!$A:$Z,2,FALSE),"")</x:f>
        <x:v>棉悠悠</x:v>
      </x:c>
      <x:c r="G24" s="31" t="str">
        <x:f>IFERROR(VLOOKUP($E24,'02_怪物模板_好读版'!$A:$Z,3,FALSE),"")</x:f>
        <x:v>风</x:v>
      </x:c>
      <x:c r="H24" s="31" t="str">
        <x:f>IFERROR(VLOOKUP($E24,'02_怪物模板_好读版'!$A:$Z,7,FALSE),"")</x:f>
        <x:v>小怪</x:v>
      </x:c>
      <x:c r="I24" s="31" t="n">
        <x:f>IFERROR(VLOOKUP($E24,'02_怪物模板_好读版'!$A:$Z,8,FALSE),0)</x:f>
        <x:v>6</x:v>
      </x:c>
      <x:c r="J24" s="31" t="n">
        <x:f>IFERROR(VLOOKUP($E24,'02_怪物模板_好读版'!$A:$Z,9,FALSE),0)</x:f>
        <x:v>1</x:v>
      </x:c>
      <x:c r="K24" s="31" t="n">
        <x:f>IFERROR(VLOOKUP($E24,'02_怪物模板_好读版'!$A:$Z,10,FALSE),0)</x:f>
        <x:v>0</x:v>
      </x:c>
      <x:c r="L24" s="31" t="n">
        <x:f>IFERROR(VLOOKUP($E24,'02_怪物模板_好读版'!$A:$Z,11,FALSE),0)</x:f>
        <x:v>0</x:v>
      </x:c>
      <x:c r="M24" s="31" t="n">
        <x:f>IFERROR(VLOOKUP($E24,'02_怪物模板_好读版'!$A:$Z,12,FALSE),0)</x:f>
        <x:v>3</x:v>
      </x:c>
      <x:c r="N24" s="29" t="n">
        <x:v>1</x:v>
      </x:c>
      <x:c r="O24" s="29" t="str">
        <x:v>front_split</x:v>
      </x:c>
      <x:c r="P24" s="31" t="n">
        <x:f>IFERROR((I24+J24*3+K24*2+L24+M24*5)*N24,0)</x:f>
        <x:v>24</x:v>
      </x:c>
      <x:c r="Q24" s="29" t="str">
        <x:v>第一次奖励压力与补刀题，要求优先级判断。 提供低血爽杀，保证玩家每回合都有明确可清目标。</x:v>
      </x:c>
      <x:c r="R24" s="29" t="str">
        <x:v>城堡-1 / 资源-1 / 经济x0.86</x:v>
      </x:c>
      <x:c r="S24" s="29" t="str">
        <x:v>5回合内高奖；6-10回合每回合-6%；10回合失败</x:v>
      </x:c>
      <x:c r="T24" s="29" t="str"/>
    </x:row>
    <x:row r="25" ht="22" customHeight="1">
      <x:c r="A25" s="29" t="str">
        <x:v>wave_d03_morning</x:v>
      </x:c>
      <x:c r="B25" s="29" t="n">
        <x:v>3</x:v>
      </x:c>
      <x:c r="C25" s="29" t="str">
        <x:v>上午</x:v>
      </x:c>
      <x:c r="D25" s="29" t="n">
        <x:v>3</x:v>
      </x:c>
      <x:c r="E25" s="29" t="str">
        <x:v>pal_061</x:v>
      </x:c>
      <x:c r="F25" s="31" t="str">
        <x:f>IFERROR(VLOOKUP($E25,'02_怪物模板_好读版'!$A:$Z,2,FALSE),"")</x:f>
        <x:v>苍焰狼</x:v>
      </x:c>
      <x:c r="G25" s="31" t="str">
        <x:f>IFERROR(VLOOKUP($E25,'02_怪物模板_好读版'!$A:$Z,3,FALSE),"")</x:f>
        <x:v>火</x:v>
      </x:c>
      <x:c r="H25" s="31" t="str">
        <x:f>IFERROR(VLOOKUP($E25,'02_怪物模板_好读版'!$A:$Z,7,FALSE),"")</x:f>
        <x:v>成长怪</x:v>
      </x:c>
      <x:c r="I25" s="31" t="n">
        <x:f>IFERROR(VLOOKUP($E25,'02_怪物模板_好读版'!$A:$Z,8,FALSE),0)</x:f>
        <x:v>25</x:v>
      </x:c>
      <x:c r="J25" s="31" t="n">
        <x:f>IFERROR(VLOOKUP($E25,'02_怪物模板_好读版'!$A:$Z,9,FALSE),0)</x:f>
        <x:v>2</x:v>
      </x:c>
      <x:c r="K25" s="31" t="n">
        <x:f>IFERROR(VLOOKUP($E25,'02_怪物模板_好读版'!$A:$Z,10,FALSE),0)</x:f>
        <x:v>0</x:v>
      </x:c>
      <x:c r="L25" s="31" t="n">
        <x:f>IFERROR(VLOOKUP($E25,'02_怪物模板_好读版'!$A:$Z,11,FALSE),0)</x:f>
        <x:v>0</x:v>
      </x:c>
      <x:c r="M25" s="31" t="n">
        <x:f>IFERROR(VLOOKUP($E25,'02_怪物模板_好读版'!$A:$Z,12,FALSE),0)</x:f>
        <x:v>3</x:v>
      </x:c>
      <x:c r="N25" s="29" t="n">
        <x:v>1</x:v>
      </x:c>
      <x:c r="O25" s="29" t="str">
        <x:v>mid_cluster</x:v>
      </x:c>
      <x:c r="P25" s="31" t="n">
        <x:f>IFERROR((I25+J25*3+K25*2+L25+M25*5)*N25,0)</x:f>
        <x:v>46</x:v>
      </x:c>
      <x:c r="Q25" s="29" t="str">
        <x:v>第一次奖励压力与补刀题，要求优先级判断。 建立成长怪的优先级认知。</x:v>
      </x:c>
      <x:c r="R25" s="29" t="str">
        <x:v>城堡-1 / 资源-1 / 经济x0.86</x:v>
      </x:c>
      <x:c r="S25" s="29" t="str">
        <x:v>5回合内高奖；6-10回合每回合-6%；10回合失败</x:v>
      </x:c>
      <x:c r="T25" s="29" t="str"/>
    </x:row>
    <x:row r="26" ht="22" customHeight="1">
      <x:c r="A26" s="29" t="str">
        <x:v>wave_d03_morning</x:v>
      </x:c>
      <x:c r="B26" s="29" t="n">
        <x:v>3</x:v>
      </x:c>
      <x:c r="C26" s="29" t="str">
        <x:v>上午</x:v>
      </x:c>
      <x:c r="D26" s="29" t="n">
        <x:v>4</x:v>
      </x:c>
      <x:c r="E26" s="29" t="str">
        <x:v>pal_040</x:v>
      </x:c>
      <x:c r="F26" s="31" t="str">
        <x:f>IFERROR(VLOOKUP($E26,'02_怪物模板_好读版'!$A:$Z,2,FALSE),"")</x:f>
        <x:v>炎魔羊</x:v>
      </x:c>
      <x:c r="G26" s="31" t="str">
        <x:f>IFERROR(VLOOKUP($E26,'02_怪物模板_好读版'!$A:$Z,3,FALSE),"")</x:f>
        <x:v>火</x:v>
      </x:c>
      <x:c r="H26" s="31" t="str">
        <x:f>IFERROR(VLOOKUP($E26,'02_怪物模板_好读版'!$A:$Z,7,FALSE),"")</x:f>
        <x:v>反击怪</x:v>
      </x:c>
      <x:c r="I26" s="31" t="n">
        <x:f>IFERROR(VLOOKUP($E26,'02_怪物模板_好读版'!$A:$Z,8,FALSE),0)</x:f>
        <x:v>25</x:v>
      </x:c>
      <x:c r="J26" s="31" t="n">
        <x:f>IFERROR(VLOOKUP($E26,'02_怪物模板_好读版'!$A:$Z,9,FALSE),0)</x:f>
        <x:v>4</x:v>
      </x:c>
      <x:c r="K26" s="31" t="n">
        <x:f>IFERROR(VLOOKUP($E26,'02_怪物模板_好读版'!$A:$Z,10,FALSE),0)</x:f>
        <x:v>0</x:v>
      </x:c>
      <x:c r="L26" s="31" t="n">
        <x:f>IFERROR(VLOOKUP($E26,'02_怪物模板_好读版'!$A:$Z,11,FALSE),0)</x:f>
        <x:v>0</x:v>
      </x:c>
      <x:c r="M26" s="31" t="n">
        <x:f>IFERROR(VLOOKUP($E26,'02_怪物模板_好读版'!$A:$Z,12,FALSE),0)</x:f>
        <x:v>3</x:v>
      </x:c>
      <x:c r="N26" s="29" t="n">
        <x:v>1</x:v>
      </x:c>
      <x:c r="O26" s="29" t="str">
        <x:v>front_cluster</x:v>
      </x:c>
      <x:c r="P26" s="31" t="n">
        <x:f>IFERROR((I26+J26*3+K26*2+L26+M26*5)*N26,0)</x:f>
        <x:v>52</x:v>
      </x:c>
      <x:c r="Q26" s="29" t="str">
        <x:v>第一次奖励压力与补刀题，要求优先级判断。 把输出优化题变成资源损耗题。</x:v>
      </x:c>
      <x:c r="R26" s="29" t="str">
        <x:v>城堡-1 / 资源-1 / 经济x0.86</x:v>
      </x:c>
      <x:c r="S26" s="29" t="str">
        <x:v>5回合内高奖；6-10回合每回合-6%；10回合失败</x:v>
      </x:c>
      <x:c r="T26" s="29" t="str"/>
    </x:row>
    <x:row r="27" ht="22" customHeight="1">
      <x:c r="A27" s="29" t="str">
        <x:v>wave_d03_morning</x:v>
      </x:c>
      <x:c r="B27" s="29" t="n">
        <x:v>3</x:v>
      </x:c>
      <x:c r="C27" s="29" t="str">
        <x:v>上午</x:v>
      </x:c>
      <x:c r="D27" s="29" t="n">
        <x:v>5</x:v>
      </x:c>
      <x:c r="E27" s="29" t="str">
        <x:v>pal_002</x:v>
      </x:c>
      <x:c r="F27" s="31" t="str">
        <x:f>IFERROR(VLOOKUP($E27,'02_怪物模板_好读版'!$A:$Z,2,FALSE),"")</x:f>
        <x:v>捣蛋猫</x:v>
      </x:c>
      <x:c r="G27" s="31" t="str">
        <x:f>IFERROR(VLOOKUP($E27,'02_怪物模板_好读版'!$A:$Z,3,FALSE),"")</x:f>
        <x:v>风</x:v>
      </x:c>
      <x:c r="H27" s="31" t="str">
        <x:f>IFERROR(VLOOKUP($E27,'02_怪物模板_好读版'!$A:$Z,7,FALSE),"")</x:f>
        <x:v>首伤怪</x:v>
      </x:c>
      <x:c r="I27" s="31" t="n">
        <x:f>IFERROR(VLOOKUP($E27,'02_怪物模板_好读版'!$A:$Z,8,FALSE),0)</x:f>
        <x:v>20</x:v>
      </x:c>
      <x:c r="J27" s="31" t="n">
        <x:f>IFERROR(VLOOKUP($E27,'02_怪物模板_好读版'!$A:$Z,9,FALSE),0)</x:f>
        <x:v>3</x:v>
      </x:c>
      <x:c r="K27" s="31" t="n">
        <x:f>IFERROR(VLOOKUP($E27,'02_怪物模板_好读版'!$A:$Z,10,FALSE),0)</x:f>
        <x:v>0</x:v>
      </x:c>
      <x:c r="L27" s="31" t="n">
        <x:f>IFERROR(VLOOKUP($E27,'02_怪物模板_好读版'!$A:$Z,11,FALSE),0)</x:f>
        <x:v>0</x:v>
      </x:c>
      <x:c r="M27" s="31" t="n">
        <x:f>IFERROR(VLOOKUP($E27,'02_怪物模板_好读版'!$A:$Z,12,FALSE),0)</x:f>
        <x:v>3</x:v>
      </x:c>
      <x:c r="N27" s="29" t="n">
        <x:v>1</x:v>
      </x:c>
      <x:c r="O27" s="29" t="str">
        <x:v>back_protected</x:v>
      </x:c>
      <x:c r="P27" s="31" t="n">
        <x:f>IFERROR((I27+J27*3+K27*2+L27+M27*5)*N27,0)</x:f>
        <x:v>44</x:v>
      </x:c>
      <x:c r="Q27" s="29" t="str">
        <x:v>第一次奖励压力与补刀题，要求优先级判断。 要求玩家把多段与收尾工具留给正确目标。</x:v>
      </x:c>
      <x:c r="R27" s="29" t="str">
        <x:v>城堡-1 / 资源-1 / 经济x0.86</x:v>
      </x:c>
      <x:c r="S27" s="29" t="str">
        <x:v>5回合内高奖；6-10回合每回合-6%；10回合失败</x:v>
      </x:c>
      <x:c r="T27" s="29" t="str"/>
    </x:row>
    <x:row r="28" ht="22" customHeight="1">
      <x:c r="A28" s="29" t="str">
        <x:v>wave_d03_afternoon</x:v>
      </x:c>
      <x:c r="B28" s="29" t="n">
        <x:v>3</x:v>
      </x:c>
      <x:c r="C28" s="29" t="str">
        <x:v>下午</x:v>
      </x:c>
      <x:c r="D28" s="29" t="n">
        <x:v>1</x:v>
      </x:c>
      <x:c r="E28" s="29" t="str">
        <x:v>pal_001</x:v>
      </x:c>
      <x:c r="F28" s="31" t="str">
        <x:f>IFERROR(VLOOKUP($E28,'02_怪物模板_好读版'!$A:$Z,2,FALSE),"")</x:f>
        <x:v>棉悠悠</x:v>
      </x:c>
      <x:c r="G28" s="31" t="str">
        <x:f>IFERROR(VLOOKUP($E28,'02_怪物模板_好读版'!$A:$Z,3,FALSE),"")</x:f>
        <x:v>风</x:v>
      </x:c>
      <x:c r="H28" s="31" t="str">
        <x:f>IFERROR(VLOOKUP($E28,'02_怪物模板_好读版'!$A:$Z,7,FALSE),"")</x:f>
        <x:v>小怪</x:v>
      </x:c>
      <x:c r="I28" s="31" t="n">
        <x:f>IFERROR(VLOOKUP($E28,'02_怪物模板_好读版'!$A:$Z,8,FALSE),0)</x:f>
        <x:v>6</x:v>
      </x:c>
      <x:c r="J28" s="31" t="n">
        <x:f>IFERROR(VLOOKUP($E28,'02_怪物模板_好读版'!$A:$Z,9,FALSE),0)</x:f>
        <x:v>1</x:v>
      </x:c>
      <x:c r="K28" s="31" t="n">
        <x:f>IFERROR(VLOOKUP($E28,'02_怪物模板_好读版'!$A:$Z,10,FALSE),0)</x:f>
        <x:v>0</x:v>
      </x:c>
      <x:c r="L28" s="31" t="n">
        <x:f>IFERROR(VLOOKUP($E28,'02_怪物模板_好读版'!$A:$Z,11,FALSE),0)</x:f>
        <x:v>0</x:v>
      </x:c>
      <x:c r="M28" s="31" t="n">
        <x:f>IFERROR(VLOOKUP($E28,'02_怪物模板_好读版'!$A:$Z,12,FALSE),0)</x:f>
        <x:v>3</x:v>
      </x:c>
      <x:c r="N28" s="29" t="n">
        <x:v>1</x:v>
      </x:c>
      <x:c r="O28" s="29" t="str">
        <x:v>front_split</x:v>
      </x:c>
      <x:c r="P28" s="31" t="n">
        <x:f>IFERROR((I28+J28*3+K28*2+L28+M28*5)*N28,0)</x:f>
        <x:v>24</x:v>
      </x:c>
      <x:c r="Q28" s="29" t="str">
        <x:v>第一次多回合处理题，开始区分拖刀与爆发。 提供低血爽杀，保证玩家每回合都有明确可清目标。</x:v>
      </x:c>
      <x:c r="R28" s="29" t="str">
        <x:v>城堡-2 / 资源-1 / 经济x0.83</x:v>
      </x:c>
      <x:c r="S28" s="29" t="str">
        <x:v>5回合内高奖；6-10回合每回合-7%；10回合失败</x:v>
      </x:c>
      <x:c r="T28" s="29" t="str"/>
    </x:row>
    <x:row r="29" ht="22" customHeight="1">
      <x:c r="A29" s="29" t="str">
        <x:v>wave_d03_afternoon</x:v>
      </x:c>
      <x:c r="B29" s="29" t="n">
        <x:v>3</x:v>
      </x:c>
      <x:c r="C29" s="29" t="str">
        <x:v>下午</x:v>
      </x:c>
      <x:c r="D29" s="29" t="n">
        <x:v>2</x:v>
      </x:c>
      <x:c r="E29" s="29" t="str">
        <x:v>pal_014</x:v>
      </x:c>
      <x:c r="F29" s="31" t="str">
        <x:f>IFERROR(VLOOKUP($E29,'02_怪物模板_好读版'!$A:$Z,2,FALSE),"")</x:f>
        <x:v>玉藻狐</x:v>
      </x:c>
      <x:c r="G29" s="31" t="str">
        <x:f>IFERROR(VLOOKUP($E29,'02_怪物模板_好读版'!$A:$Z,3,FALSE),"")</x:f>
        <x:v>风</x:v>
      </x:c>
      <x:c r="H29" s="31" t="str">
        <x:f>IFERROR(VLOOKUP($E29,'02_怪物模板_好读版'!$A:$Z,7,FALSE),"")</x:f>
        <x:v>偷奖励怪</x:v>
      </x:c>
      <x:c r="I29" s="31" t="n">
        <x:f>IFERROR(VLOOKUP($E29,'02_怪物模板_好读版'!$A:$Z,8,FALSE),0)</x:f>
        <x:v>15</x:v>
      </x:c>
      <x:c r="J29" s="31" t="n">
        <x:f>IFERROR(VLOOKUP($E29,'02_怪物模板_好读版'!$A:$Z,9,FALSE),0)</x:f>
        <x:v>2</x:v>
      </x:c>
      <x:c r="K29" s="31" t="n">
        <x:f>IFERROR(VLOOKUP($E29,'02_怪物模板_好读版'!$A:$Z,10,FALSE),0)</x:f>
        <x:v>0</x:v>
      </x:c>
      <x:c r="L29" s="31" t="n">
        <x:f>IFERROR(VLOOKUP($E29,'02_怪物模板_好读版'!$A:$Z,11,FALSE),0)</x:f>
        <x:v>0</x:v>
      </x:c>
      <x:c r="M29" s="31" t="n">
        <x:f>IFERROR(VLOOKUP($E29,'02_怪物模板_好读版'!$A:$Z,12,FALSE),0)</x:f>
        <x:v>4</x:v>
      </x:c>
      <x:c r="N29" s="29" t="n">
        <x:v>1</x:v>
      </x:c>
      <x:c r="O29" s="29" t="str">
        <x:v>back_corner</x:v>
      </x:c>
      <x:c r="P29" s="31" t="n">
        <x:f>IFERROR((I29+J29*3+K29*2+L29+M29*5)*N29,0)</x:f>
        <x:v>41</x:v>
      </x:c>
      <x:c r="Q29" s="29" t="str">
        <x:v>第一次多回合处理题，开始区分拖刀与爆发。 第一次把高奖励目标和击杀顺序绑定。</x:v>
      </x:c>
      <x:c r="R29" s="29" t="str">
        <x:v>城堡-2 / 资源-1 / 经济x0.83</x:v>
      </x:c>
      <x:c r="S29" s="29" t="str">
        <x:v>该怪存活每回合额外掉奖；5回合内高奖；6-10回合每回合-7%；10回合失败</x:v>
      </x:c>
      <x:c r="T29" s="29" t="str"/>
    </x:row>
    <x:row r="30" ht="22" customHeight="1">
      <x:c r="A30" s="29" t="str">
        <x:v>wave_d03_afternoon</x:v>
      </x:c>
      <x:c r="B30" s="29" t="n">
        <x:v>3</x:v>
      </x:c>
      <x:c r="C30" s="29" t="str">
        <x:v>下午</x:v>
      </x:c>
      <x:c r="D30" s="29" t="n">
        <x:v>3</x:v>
      </x:c>
      <x:c r="E30" s="29" t="str">
        <x:v>pal_032</x:v>
      </x:c>
      <x:c r="F30" s="31" t="str">
        <x:f>IFERROR(VLOOKUP($E30,'02_怪物模板_好读版'!$A:$Z,2,FALSE),"")</x:f>
        <x:v>吊缚灵</x:v>
      </x:c>
      <x:c r="G30" s="31" t="str">
        <x:f>IFERROR(VLOOKUP($E30,'02_怪物模板_好读版'!$A:$Z,3,FALSE),"")</x:f>
        <x:v>土</x:v>
      </x:c>
      <x:c r="H30" s="31" t="str">
        <x:f>IFERROR(VLOOKUP($E30,'02_怪物模板_好读版'!$A:$Z,7,FALSE),"")</x:f>
        <x:v>限伤怪</x:v>
      </x:c>
      <x:c r="I30" s="31" t="n">
        <x:f>IFERROR(VLOOKUP($E30,'02_怪物模板_好读版'!$A:$Z,8,FALSE),0)</x:f>
        <x:v>30</x:v>
      </x:c>
      <x:c r="J30" s="31" t="n">
        <x:f>IFERROR(VLOOKUP($E30,'02_怪物模板_好读版'!$A:$Z,9,FALSE),0)</x:f>
        <x:v>3</x:v>
      </x:c>
      <x:c r="K30" s="31" t="n">
        <x:f>IFERROR(VLOOKUP($E30,'02_怪物模板_好读版'!$A:$Z,10,FALSE),0)</x:f>
        <x:v>0</x:v>
      </x:c>
      <x:c r="L30" s="31" t="n">
        <x:f>IFERROR(VLOOKUP($E30,'02_怪物模板_好读版'!$A:$Z,11,FALSE),0)</x:f>
        <x:v>0</x:v>
      </x:c>
      <x:c r="M30" s="31" t="n">
        <x:f>IFERROR(VLOOKUP($E30,'02_怪物模板_好读版'!$A:$Z,12,FALSE),0)</x:f>
        <x:v>3</x:v>
      </x:c>
      <x:c r="N30" s="29" t="n">
        <x:v>1</x:v>
      </x:c>
      <x:c r="O30" s="29" t="str">
        <x:v>front_cluster</x:v>
      </x:c>
      <x:c r="P30" s="31" t="n">
        <x:f>IFERROR((I30+J30*3+K30*2+L30+M30*5)*N30,0)</x:f>
        <x:v>54</x:v>
      </x:c>
      <x:c r="Q30" s="29" t="str">
        <x:v>第一次多回合处理题，开始区分拖刀与爆发。 逼玩家接受“这只怪不可能一回合秒掉”的事实。</x:v>
      </x:c>
      <x:c r="R30" s="29" t="str">
        <x:v>城堡-2 / 资源-1 / 经济x0.83</x:v>
      </x:c>
      <x:c r="S30" s="29" t="str">
        <x:v>5回合内高奖；6-10回合每回合-7%；10回合失败</x:v>
      </x:c>
      <x:c r="T30" s="29" t="str"/>
    </x:row>
    <x:row r="31" ht="22" customHeight="1">
      <x:c r="A31" s="29" t="str">
        <x:v>wave_d03_afternoon</x:v>
      </x:c>
      <x:c r="B31" s="29" t="n">
        <x:v>3</x:v>
      </x:c>
      <x:c r="C31" s="29" t="str">
        <x:v>下午</x:v>
      </x:c>
      <x:c r="D31" s="29" t="n">
        <x:v>4</x:v>
      </x:c>
      <x:c r="E31" s="29" t="str">
        <x:v>pal_031</x:v>
      </x:c>
      <x:c r="F31" s="31" t="str">
        <x:f>IFERROR(VLOOKUP($E31,'02_怪物模板_好读版'!$A:$Z,2,FALSE),"")</x:f>
        <x:v>鲨小子</x:v>
      </x:c>
      <x:c r="G31" s="31" t="str">
        <x:f>IFERROR(VLOOKUP($E31,'02_怪物模板_好读版'!$A:$Z,3,FALSE),"")</x:f>
        <x:v>水</x:v>
      </x:c>
      <x:c r="H31" s="31" t="str">
        <x:f>IFERROR(VLOOKUP($E31,'02_怪物模板_好读版'!$A:$Z,7,FALSE),"")</x:f>
        <x:v>成长怪</x:v>
      </x:c>
      <x:c r="I31" s="31" t="n">
        <x:f>IFERROR(VLOOKUP($E31,'02_怪物模板_好读版'!$A:$Z,8,FALSE),0)</x:f>
        <x:v>25</x:v>
      </x:c>
      <x:c r="J31" s="31" t="n">
        <x:f>IFERROR(VLOOKUP($E31,'02_怪物模板_好读版'!$A:$Z,9,FALSE),0)</x:f>
        <x:v>2</x:v>
      </x:c>
      <x:c r="K31" s="31" t="n">
        <x:f>IFERROR(VLOOKUP($E31,'02_怪物模板_好读版'!$A:$Z,10,FALSE),0)</x:f>
        <x:v>0</x:v>
      </x:c>
      <x:c r="L31" s="31" t="n">
        <x:f>IFERROR(VLOOKUP($E31,'02_怪物模板_好读版'!$A:$Z,11,FALSE),0)</x:f>
        <x:v>6</x:v>
      </x:c>
      <x:c r="M31" s="31" t="n">
        <x:f>IFERROR(VLOOKUP($E31,'02_怪物模板_好读版'!$A:$Z,12,FALSE),0)</x:f>
        <x:v>3</x:v>
      </x:c>
      <x:c r="N31" s="29" t="n">
        <x:v>1</x:v>
      </x:c>
      <x:c r="O31" s="29" t="str">
        <x:v>mid_cluster</x:v>
      </x:c>
      <x:c r="P31" s="31" t="n">
        <x:f>IFERROR((I31+J31*3+K31*2+L31+M31*5)*N31,0)</x:f>
        <x:v>52</x:v>
      </x:c>
      <x:c r="Q31" s="29" t="str">
        <x:v>第一次多回合处理题，开始区分拖刀与爆发。 教玩家不要把能处理的成长题留到最后。</x:v>
      </x:c>
      <x:c r="R31" s="29" t="str">
        <x:v>城堡-2 / 资源-1 / 经济x0.83</x:v>
      </x:c>
      <x:c r="S31" s="29" t="str">
        <x:v>5回合内高奖；6-10回合每回合-7%；10回合失败</x:v>
      </x:c>
      <x:c r="T31" s="29" t="str"/>
    </x:row>
    <x:row r="32" ht="22" customHeight="1">
      <x:c r="A32" s="29" t="str">
        <x:v>wave_d03_afternoon</x:v>
      </x:c>
      <x:c r="B32" s="29" t="n">
        <x:v>3</x:v>
      </x:c>
      <x:c r="C32" s="29" t="str">
        <x:v>下午</x:v>
      </x:c>
      <x:c r="D32" s="29" t="n">
        <x:v>5</x:v>
      </x:c>
      <x:c r="E32" s="29" t="str">
        <x:v>pal_009</x:v>
      </x:c>
      <x:c r="F32" s="31" t="str">
        <x:f>IFERROR(VLOOKUP($E32,'02_怪物模板_好读版'!$A:$Z,2,FALSE),"")</x:f>
        <x:v>燎火鹿</x:v>
      </x:c>
      <x:c r="G32" s="31" t="str">
        <x:f>IFERROR(VLOOKUP($E32,'02_怪物模板_好读版'!$A:$Z,3,FALSE),"")</x:f>
        <x:v>火</x:v>
      </x:c>
      <x:c r="H32" s="31" t="str">
        <x:f>IFERROR(VLOOKUP($E32,'02_怪物模板_好读版'!$A:$Z,7,FALSE),"")</x:f>
        <x:v>首伤怪</x:v>
      </x:c>
      <x:c r="I32" s="31" t="n">
        <x:f>IFERROR(VLOOKUP($E32,'02_怪物模板_好读版'!$A:$Z,8,FALSE),0)</x:f>
        <x:v>25</x:v>
      </x:c>
      <x:c r="J32" s="31" t="n">
        <x:f>IFERROR(VLOOKUP($E32,'02_怪物模板_好读版'!$A:$Z,9,FALSE),0)</x:f>
        <x:v>3</x:v>
      </x:c>
      <x:c r="K32" s="31" t="n">
        <x:f>IFERROR(VLOOKUP($E32,'02_怪物模板_好读版'!$A:$Z,10,FALSE),0)</x:f>
        <x:v>0</x:v>
      </x:c>
      <x:c r="L32" s="31" t="n">
        <x:f>IFERROR(VLOOKUP($E32,'02_怪物模板_好读版'!$A:$Z,11,FALSE),0)</x:f>
        <x:v>6</x:v>
      </x:c>
      <x:c r="M32" s="31" t="n">
        <x:f>IFERROR(VLOOKUP($E32,'02_怪物模板_好读版'!$A:$Z,12,FALSE),0)</x:f>
        <x:v>3</x:v>
      </x:c>
      <x:c r="N32" s="29" t="n">
        <x:v>1</x:v>
      </x:c>
      <x:c r="O32" s="29" t="str">
        <x:v>back_protected</x:v>
      </x:c>
      <x:c r="P32" s="31" t="n">
        <x:f>IFERROR((I32+J32*3+K32*2+L32+M32*5)*N32,0)</x:f>
        <x:v>55</x:v>
      </x:c>
      <x:c r="Q32" s="29" t="str">
        <x:v>第一次多回合处理题，开始区分拖刀与爆发。 用更高承击逼玩家提前规划补刀路径。</x:v>
      </x:c>
      <x:c r="R32" s="29" t="str">
        <x:v>城堡-2 / 资源-1 / 经济x0.83</x:v>
      </x:c>
      <x:c r="S32" s="29" t="str">
        <x:v>5回合内高奖；6-10回合每回合-7%；10回合失败</x:v>
      </x:c>
      <x:c r="T32" s="29" t="str"/>
    </x:row>
    <x:row r="33" ht="22" customHeight="1">
      <x:c r="A33" s="29" t="str">
        <x:v>wave_d04_morning</x:v>
      </x:c>
      <x:c r="B33" s="29" t="n">
        <x:v>4</x:v>
      </x:c>
      <x:c r="C33" s="29" t="str">
        <x:v>上午</x:v>
      </x:c>
      <x:c r="D33" s="29" t="n">
        <x:v>1</x:v>
      </x:c>
      <x:c r="E33" s="29" t="str">
        <x:v>pal_014</x:v>
      </x:c>
      <x:c r="F33" s="31" t="str">
        <x:f>IFERROR(VLOOKUP($E33,'02_怪物模板_好读版'!$A:$Z,2,FALSE),"")</x:f>
        <x:v>玉藻狐</x:v>
      </x:c>
      <x:c r="G33" s="31" t="str">
        <x:f>IFERROR(VLOOKUP($E33,'02_怪物模板_好读版'!$A:$Z,3,FALSE),"")</x:f>
        <x:v>风</x:v>
      </x:c>
      <x:c r="H33" s="31" t="str">
        <x:f>IFERROR(VLOOKUP($E33,'02_怪物模板_好读版'!$A:$Z,7,FALSE),"")</x:f>
        <x:v>偷奖励怪</x:v>
      </x:c>
      <x:c r="I33" s="31" t="n">
        <x:f>IFERROR(VLOOKUP($E33,'02_怪物模板_好读版'!$A:$Z,8,FALSE),0)</x:f>
        <x:v>15</x:v>
      </x:c>
      <x:c r="J33" s="31" t="n">
        <x:f>IFERROR(VLOOKUP($E33,'02_怪物模板_好读版'!$A:$Z,9,FALSE),0)</x:f>
        <x:v>2</x:v>
      </x:c>
      <x:c r="K33" s="31" t="n">
        <x:f>IFERROR(VLOOKUP($E33,'02_怪物模板_好读版'!$A:$Z,10,FALSE),0)</x:f>
        <x:v>0</x:v>
      </x:c>
      <x:c r="L33" s="31" t="n">
        <x:f>IFERROR(VLOOKUP($E33,'02_怪物模板_好读版'!$A:$Z,11,FALSE),0)</x:f>
        <x:v>0</x:v>
      </x:c>
      <x:c r="M33" s="31" t="n">
        <x:f>IFERROR(VLOOKUP($E33,'02_怪物模板_好读版'!$A:$Z,12,FALSE),0)</x:f>
        <x:v>4</x:v>
      </x:c>
      <x:c r="N33" s="29" t="n">
        <x:v>1</x:v>
      </x:c>
      <x:c r="O33" s="29" t="str">
        <x:v>back_corner</x:v>
      </x:c>
      <x:c r="P33" s="31" t="n">
        <x:f>IFERROR((I33+J33*3+K33*2+L33+M33*5)*N33,0)</x:f>
        <x:v>41</x:v>
      </x:c>
      <x:c r="Q33" s="29" t="str">
        <x:v>首伤、成长、反击开始同场出现，要求识别不同惩罚。 第一次把高奖励目标和击杀顺序绑定。</x:v>
      </x:c>
      <x:c r="R33" s="29" t="str">
        <x:v>城堡-2 / 资源-1 / 经济x0.84</x:v>
      </x:c>
      <x:c r="S33" s="29" t="str">
        <x:v>该怪存活每回合额外掉奖；5回合内高奖；6-10回合每回合-6%；10回合失败</x:v>
      </x:c>
      <x:c r="T33" s="29" t="str"/>
    </x:row>
    <x:row r="34" ht="22" customHeight="1">
      <x:c r="A34" s="29" t="str">
        <x:v>wave_d04_morning</x:v>
      </x:c>
      <x:c r="B34" s="29" t="n">
        <x:v>4</x:v>
      </x:c>
      <x:c r="C34" s="29" t="str">
        <x:v>上午</x:v>
      </x:c>
      <x:c r="D34" s="29" t="n">
        <x:v>2</x:v>
      </x:c>
      <x:c r="E34" s="29" t="str">
        <x:v>pal_067</x:v>
      </x:c>
      <x:c r="F34" s="31" t="str">
        <x:f>IFERROR(VLOOKUP($E34,'02_怪物模板_好读版'!$A:$Z,2,FALSE),"")</x:f>
        <x:v>流沙蛇</x:v>
      </x:c>
      <x:c r="G34" s="31" t="str">
        <x:f>IFERROR(VLOOKUP($E34,'02_怪物模板_好读版'!$A:$Z,3,FALSE),"")</x:f>
        <x:v>土</x:v>
      </x:c>
      <x:c r="H34" s="31" t="str">
        <x:f>IFERROR(VLOOKUP($E34,'02_怪物模板_好读版'!$A:$Z,7,FALSE),"")</x:f>
        <x:v>召唤怪</x:v>
      </x:c>
      <x:c r="I34" s="31" t="n">
        <x:f>IFERROR(VLOOKUP($E34,'02_怪物模板_好读版'!$A:$Z,8,FALSE),0)</x:f>
        <x:v>20</x:v>
      </x:c>
      <x:c r="J34" s="31" t="n">
        <x:f>IFERROR(VLOOKUP($E34,'02_怪物模板_好读版'!$A:$Z,9,FALSE),0)</x:f>
        <x:v>1</x:v>
      </x:c>
      <x:c r="K34" s="31" t="n">
        <x:f>IFERROR(VLOOKUP($E34,'02_怪物模板_好读版'!$A:$Z,10,FALSE),0)</x:f>
        <x:v>0</x:v>
      </x:c>
      <x:c r="L34" s="31" t="n">
        <x:f>IFERROR(VLOOKUP($E34,'02_怪物模板_好读版'!$A:$Z,11,FALSE),0)</x:f>
        <x:v>0</x:v>
      </x:c>
      <x:c r="M34" s="31" t="n">
        <x:f>IFERROR(VLOOKUP($E34,'02_怪物模板_好读版'!$A:$Z,12,FALSE),0)</x:f>
        <x:v>3</x:v>
      </x:c>
      <x:c r="N34" s="29" t="n">
        <x:v>1</x:v>
      </x:c>
      <x:c r="O34" s="29" t="str">
        <x:v>back_protected</x:v>
      </x:c>
      <x:c r="P34" s="31" t="n">
        <x:f>IFERROR((I34+J34*3+K34*2+L34+M34*5)*N34,0)</x:f>
        <x:v>38</x:v>
      </x:c>
      <x:c r="Q34" s="29" t="str">
        <x:v>首伤、成长、反击开始同场出现，要求识别不同惩罚。 让玩家认识“母体不杀，小怪会自己变多”。</x:v>
      </x:c>
      <x:c r="R34" s="29" t="str">
        <x:v>城堡-2 / 资源-1 / 经济x0.84</x:v>
      </x:c>
      <x:c r="S34" s="29" t="str">
        <x:v>5回合内高奖；6-10回合每回合-6%；10回合失败</x:v>
      </x:c>
      <x:c r="T34" s="29" t="str"/>
    </x:row>
    <x:row r="35" ht="22" customHeight="1">
      <x:c r="A35" s="29" t="str">
        <x:v>wave_d04_morning</x:v>
      </x:c>
      <x:c r="B35" s="29" t="n">
        <x:v>4</x:v>
      </x:c>
      <x:c r="C35" s="29" t="str">
        <x:v>上午</x:v>
      </x:c>
      <x:c r="D35" s="29" t="n">
        <x:v>3</x:v>
      </x:c>
      <x:c r="E35" s="29" t="str">
        <x:v>pal_032</x:v>
      </x:c>
      <x:c r="F35" s="31" t="str">
        <x:f>IFERROR(VLOOKUP($E35,'02_怪物模板_好读版'!$A:$Z,2,FALSE),"")</x:f>
        <x:v>吊缚灵</x:v>
      </x:c>
      <x:c r="G35" s="31" t="str">
        <x:f>IFERROR(VLOOKUP($E35,'02_怪物模板_好读版'!$A:$Z,3,FALSE),"")</x:f>
        <x:v>土</x:v>
      </x:c>
      <x:c r="H35" s="31" t="str">
        <x:f>IFERROR(VLOOKUP($E35,'02_怪物模板_好读版'!$A:$Z,7,FALSE),"")</x:f>
        <x:v>限伤怪</x:v>
      </x:c>
      <x:c r="I35" s="31" t="n">
        <x:f>IFERROR(VLOOKUP($E35,'02_怪物模板_好读版'!$A:$Z,8,FALSE),0)</x:f>
        <x:v>30</x:v>
      </x:c>
      <x:c r="J35" s="31" t="n">
        <x:f>IFERROR(VLOOKUP($E35,'02_怪物模板_好读版'!$A:$Z,9,FALSE),0)</x:f>
        <x:v>3</x:v>
      </x:c>
      <x:c r="K35" s="31" t="n">
        <x:f>IFERROR(VLOOKUP($E35,'02_怪物模板_好读版'!$A:$Z,10,FALSE),0)</x:f>
        <x:v>0</x:v>
      </x:c>
      <x:c r="L35" s="31" t="n">
        <x:f>IFERROR(VLOOKUP($E35,'02_怪物模板_好读版'!$A:$Z,11,FALSE),0)</x:f>
        <x:v>0</x:v>
      </x:c>
      <x:c r="M35" s="31" t="n">
        <x:f>IFERROR(VLOOKUP($E35,'02_怪物模板_好读版'!$A:$Z,12,FALSE),0)</x:f>
        <x:v>3</x:v>
      </x:c>
      <x:c r="N35" s="29" t="n">
        <x:v>1</x:v>
      </x:c>
      <x:c r="O35" s="29" t="str">
        <x:v>front_cluster</x:v>
      </x:c>
      <x:c r="P35" s="31" t="n">
        <x:f>IFERROR((I35+J35*3+K35*2+L35+M35*5)*N35,0)</x:f>
        <x:v>54</x:v>
      </x:c>
      <x:c r="Q35" s="29" t="str">
        <x:v>首伤、成长、反击开始同场出现，要求识别不同惩罚。 逼玩家接受“这只怪不可能一回合秒掉”的事实。</x:v>
      </x:c>
      <x:c r="R35" s="29" t="str">
        <x:v>城堡-2 / 资源-1 / 经济x0.84</x:v>
      </x:c>
      <x:c r="S35" s="29" t="str">
        <x:v>5回合内高奖；6-10回合每回合-6%；10回合失败</x:v>
      </x:c>
      <x:c r="T35" s="29" t="str"/>
    </x:row>
    <x:row r="36" ht="22" customHeight="1">
      <x:c r="A36" s="29" t="str">
        <x:v>wave_d04_morning</x:v>
      </x:c>
      <x:c r="B36" s="29" t="n">
        <x:v>4</x:v>
      </x:c>
      <x:c r="C36" s="29" t="str">
        <x:v>上午</x:v>
      </x:c>
      <x:c r="D36" s="29" t="n">
        <x:v>4</x:v>
      </x:c>
      <x:c r="E36" s="29" t="str">
        <x:v>pal_040</x:v>
      </x:c>
      <x:c r="F36" s="31" t="str">
        <x:f>IFERROR(VLOOKUP($E36,'02_怪物模板_好读版'!$A:$Z,2,FALSE),"")</x:f>
        <x:v>炎魔羊</x:v>
      </x:c>
      <x:c r="G36" s="31" t="str">
        <x:f>IFERROR(VLOOKUP($E36,'02_怪物模板_好读版'!$A:$Z,3,FALSE),"")</x:f>
        <x:v>火</x:v>
      </x:c>
      <x:c r="H36" s="31" t="str">
        <x:f>IFERROR(VLOOKUP($E36,'02_怪物模板_好读版'!$A:$Z,7,FALSE),"")</x:f>
        <x:v>反击怪</x:v>
      </x:c>
      <x:c r="I36" s="31" t="n">
        <x:f>IFERROR(VLOOKUP($E36,'02_怪物模板_好读版'!$A:$Z,8,FALSE),0)</x:f>
        <x:v>25</x:v>
      </x:c>
      <x:c r="J36" s="31" t="n">
        <x:f>IFERROR(VLOOKUP($E36,'02_怪物模板_好读版'!$A:$Z,9,FALSE),0)</x:f>
        <x:v>4</x:v>
      </x:c>
      <x:c r="K36" s="31" t="n">
        <x:f>IFERROR(VLOOKUP($E36,'02_怪物模板_好读版'!$A:$Z,10,FALSE),0)</x:f>
        <x:v>0</x:v>
      </x:c>
      <x:c r="L36" s="31" t="n">
        <x:f>IFERROR(VLOOKUP($E36,'02_怪物模板_好读版'!$A:$Z,11,FALSE),0)</x:f>
        <x:v>0</x:v>
      </x:c>
      <x:c r="M36" s="31" t="n">
        <x:f>IFERROR(VLOOKUP($E36,'02_怪物模板_好读版'!$A:$Z,12,FALSE),0)</x:f>
        <x:v>3</x:v>
      </x:c>
      <x:c r="N36" s="29" t="n">
        <x:v>1</x:v>
      </x:c>
      <x:c r="O36" s="29" t="str">
        <x:v>mid_cluster</x:v>
      </x:c>
      <x:c r="P36" s="31" t="n">
        <x:f>IFERROR((I36+J36*3+K36*2+L36+M36*5)*N36,0)</x:f>
        <x:v>52</x:v>
      </x:c>
      <x:c r="Q36" s="29" t="str">
        <x:v>首伤、成长、反击开始同场出现，要求识别不同惩罚。 把输出优化题变成资源损耗题。</x:v>
      </x:c>
      <x:c r="R36" s="29" t="str">
        <x:v>城堡-2 / 资源-1 / 经济x0.84</x:v>
      </x:c>
      <x:c r="S36" s="29" t="str">
        <x:v>5回合内高奖；6-10回合每回合-6%；10回合失败</x:v>
      </x:c>
      <x:c r="T36" s="29" t="str"/>
    </x:row>
    <x:row r="37" ht="22" customHeight="1">
      <x:c r="A37" s="29" t="str">
        <x:v>wave_d04_morning</x:v>
      </x:c>
      <x:c r="B37" s="29" t="n">
        <x:v>4</x:v>
      </x:c>
      <x:c r="C37" s="29" t="str">
        <x:v>上午</x:v>
      </x:c>
      <x:c r="D37" s="29" t="n">
        <x:v>5</x:v>
      </x:c>
      <x:c r="E37" s="29" t="str">
        <x:v>pal_002</x:v>
      </x:c>
      <x:c r="F37" s="31" t="str">
        <x:f>IFERROR(VLOOKUP($E37,'02_怪物模板_好读版'!$A:$Z,2,FALSE),"")</x:f>
        <x:v>捣蛋猫</x:v>
      </x:c>
      <x:c r="G37" s="31" t="str">
        <x:f>IFERROR(VLOOKUP($E37,'02_怪物模板_好读版'!$A:$Z,3,FALSE),"")</x:f>
        <x:v>风</x:v>
      </x:c>
      <x:c r="H37" s="31" t="str">
        <x:f>IFERROR(VLOOKUP($E37,'02_怪物模板_好读版'!$A:$Z,7,FALSE),"")</x:f>
        <x:v>首伤怪</x:v>
      </x:c>
      <x:c r="I37" s="31" t="n">
        <x:f>IFERROR(VLOOKUP($E37,'02_怪物模板_好读版'!$A:$Z,8,FALSE),0)</x:f>
        <x:v>20</x:v>
      </x:c>
      <x:c r="J37" s="31" t="n">
        <x:f>IFERROR(VLOOKUP($E37,'02_怪物模板_好读版'!$A:$Z,9,FALSE),0)</x:f>
        <x:v>3</x:v>
      </x:c>
      <x:c r="K37" s="31" t="n">
        <x:f>IFERROR(VLOOKUP($E37,'02_怪物模板_好读版'!$A:$Z,10,FALSE),0)</x:f>
        <x:v>0</x:v>
      </x:c>
      <x:c r="L37" s="31" t="n">
        <x:f>IFERROR(VLOOKUP($E37,'02_怪物模板_好读版'!$A:$Z,11,FALSE),0)</x:f>
        <x:v>0</x:v>
      </x:c>
      <x:c r="M37" s="31" t="n">
        <x:f>IFERROR(VLOOKUP($E37,'02_怪物模板_好读版'!$A:$Z,12,FALSE),0)</x:f>
        <x:v>3</x:v>
      </x:c>
      <x:c r="N37" s="29" t="n">
        <x:v>1</x:v>
      </x:c>
      <x:c r="O37" s="29" t="str">
        <x:v>back_protected</x:v>
      </x:c>
      <x:c r="P37" s="31" t="n">
        <x:f>IFERROR((I37+J37*3+K37*2+L37+M37*5)*N37,0)</x:f>
        <x:v>44</x:v>
      </x:c>
      <x:c r="Q37" s="29" t="str">
        <x:v>首伤、成长、反击开始同场出现，要求识别不同惩罚。 要求玩家把多段与收尾工具留给正确目标。</x:v>
      </x:c>
      <x:c r="R37" s="29" t="str">
        <x:v>城堡-2 / 资源-1 / 经济x0.84</x:v>
      </x:c>
      <x:c r="S37" s="29" t="str">
        <x:v>5回合内高奖；6-10回合每回合-6%；10回合失败</x:v>
      </x:c>
      <x:c r="T37" s="29" t="str"/>
    </x:row>
    <x:row r="38" ht="22" customHeight="1">
      <x:c r="A38" s="29" t="str">
        <x:v>wave_d04_afternoon</x:v>
      </x:c>
      <x:c r="B38" s="29" t="n">
        <x:v>4</x:v>
      </x:c>
      <x:c r="C38" s="29" t="str">
        <x:v>下午</x:v>
      </x:c>
      <x:c r="D38" s="29" t="n">
        <x:v>1</x:v>
      </x:c>
      <x:c r="E38" s="29" t="str">
        <x:v>pal_014</x:v>
      </x:c>
      <x:c r="F38" s="31" t="str">
        <x:f>IFERROR(VLOOKUP($E38,'02_怪物模板_好读版'!$A:$Z,2,FALSE),"")</x:f>
        <x:v>玉藻狐</x:v>
      </x:c>
      <x:c r="G38" s="31" t="str">
        <x:f>IFERROR(VLOOKUP($E38,'02_怪物模板_好读版'!$A:$Z,3,FALSE),"")</x:f>
        <x:v>风</x:v>
      </x:c>
      <x:c r="H38" s="31" t="str">
        <x:f>IFERROR(VLOOKUP($E38,'02_怪物模板_好读版'!$A:$Z,7,FALSE),"")</x:f>
        <x:v>偷奖励怪</x:v>
      </x:c>
      <x:c r="I38" s="31" t="n">
        <x:f>IFERROR(VLOOKUP($E38,'02_怪物模板_好读版'!$A:$Z,8,FALSE),0)</x:f>
        <x:v>15</x:v>
      </x:c>
      <x:c r="J38" s="31" t="n">
        <x:f>IFERROR(VLOOKUP($E38,'02_怪物模板_好读版'!$A:$Z,9,FALSE),0)</x:f>
        <x:v>2</x:v>
      </x:c>
      <x:c r="K38" s="31" t="n">
        <x:f>IFERROR(VLOOKUP($E38,'02_怪物模板_好读版'!$A:$Z,10,FALSE),0)</x:f>
        <x:v>0</x:v>
      </x:c>
      <x:c r="L38" s="31" t="n">
        <x:f>IFERROR(VLOOKUP($E38,'02_怪物模板_好读版'!$A:$Z,11,FALSE),0)</x:f>
        <x:v>0</x:v>
      </x:c>
      <x:c r="M38" s="31" t="n">
        <x:f>IFERROR(VLOOKUP($E38,'02_怪物模板_好读版'!$A:$Z,12,FALSE),0)</x:f>
        <x:v>4</x:v>
      </x:c>
      <x:c r="N38" s="29" t="n">
        <x:v>1</x:v>
      </x:c>
      <x:c r="O38" s="29" t="str">
        <x:v>back_corner</x:v>
      </x:c>
      <x:c r="P38" s="31" t="n">
        <x:f>IFERROR((I38+J38*3+K38*2+L38+M38*5)*N38,0)</x:f>
        <x:v>41</x:v>
      </x:c>
      <x:c r="Q38" s="29" t="str">
        <x:v>把多个中压题叠在一起，训练清尾顺序。 第一次把高奖励目标和击杀顺序绑定。</x:v>
      </x:c>
      <x:c r="R38" s="29" t="str">
        <x:v>城堡-3 / 资源-1 / 经济x0.81</x:v>
      </x:c>
      <x:c r="S38" s="29" t="str">
        <x:v>该怪存活每回合额外掉奖；5回合内高奖；6-10回合每回合-7%；10回合失败</x:v>
      </x:c>
      <x:c r="T38" s="29" t="str"/>
    </x:row>
    <x:row r="39" ht="22" customHeight="1">
      <x:c r="A39" s="29" t="str">
        <x:v>wave_d04_afternoon</x:v>
      </x:c>
      <x:c r="B39" s="29" t="n">
        <x:v>4</x:v>
      </x:c>
      <x:c r="C39" s="29" t="str">
        <x:v>下午</x:v>
      </x:c>
      <x:c r="D39" s="29" t="n">
        <x:v>2</x:v>
      </x:c>
      <x:c r="E39" s="29" t="str">
        <x:v>pal_079</x:v>
      </x:c>
      <x:c r="F39" s="31" t="str">
        <x:f>IFERROR(VLOOKUP($E39,'02_怪物模板_好读版'!$A:$Z,2,FALSE),"")</x:f>
        <x:v>焰巫狐</x:v>
      </x:c>
      <x:c r="G39" s="31" t="str">
        <x:f>IFERROR(VLOOKUP($E39,'02_怪物模板_好读版'!$A:$Z,3,FALSE),"")</x:f>
        <x:v>火</x:v>
      </x:c>
      <x:c r="H39" s="31" t="str">
        <x:f>IFERROR(VLOOKUP($E39,'02_怪物模板_好读版'!$A:$Z,7,FALSE),"")</x:f>
        <x:v>成长怪</x:v>
      </x:c>
      <x:c r="I39" s="31" t="n">
        <x:f>IFERROR(VLOOKUP($E39,'02_怪物模板_好读版'!$A:$Z,8,FALSE),0)</x:f>
        <x:v>35</x:v>
      </x:c>
      <x:c r="J39" s="31" t="n">
        <x:f>IFERROR(VLOOKUP($E39,'02_怪物模板_好读版'!$A:$Z,9,FALSE),0)</x:f>
        <x:v>3</x:v>
      </x:c>
      <x:c r="K39" s="31" t="n">
        <x:f>IFERROR(VLOOKUP($E39,'02_怪物模板_好读版'!$A:$Z,10,FALSE),0)</x:f>
        <x:v>0</x:v>
      </x:c>
      <x:c r="L39" s="31" t="n">
        <x:f>IFERROR(VLOOKUP($E39,'02_怪物模板_好读版'!$A:$Z,11,FALSE),0)</x:f>
        <x:v>0</x:v>
      </x:c>
      <x:c r="M39" s="31" t="n">
        <x:f>IFERROR(VLOOKUP($E39,'02_怪物模板_好读版'!$A:$Z,12,FALSE),0)</x:f>
        <x:v>3</x:v>
      </x:c>
      <x:c r="N39" s="29" t="n">
        <x:v>1</x:v>
      </x:c>
      <x:c r="O39" s="29" t="str">
        <x:v>mid_cluster</x:v>
      </x:c>
      <x:c r="P39" s="31" t="n">
        <x:f>IFERROR((I39+J39*3+K39*2+L39+M39*5)*N39,0)</x:f>
        <x:v>59</x:v>
      </x:c>
      <x:c r="Q39" s="29" t="str">
        <x:v>把多个中压题叠在一起，训练清尾顺序。 把成长题从提醒升级成硬性击杀顺序。</x:v>
      </x:c>
      <x:c r="R39" s="29" t="str">
        <x:v>城堡-3 / 资源-1 / 经济x0.81</x:v>
      </x:c>
      <x:c r="S39" s="29" t="str">
        <x:v>5回合内高奖；6-10回合每回合-7%；10回合失败</x:v>
      </x:c>
      <x:c r="T39" s="29" t="str"/>
    </x:row>
    <x:row r="40" ht="22" customHeight="1">
      <x:c r="A40" s="29" t="str">
        <x:v>wave_d04_afternoon</x:v>
      </x:c>
      <x:c r="B40" s="29" t="n">
        <x:v>4</x:v>
      </x:c>
      <x:c r="C40" s="29" t="str">
        <x:v>下午</x:v>
      </x:c>
      <x:c r="D40" s="29" t="n">
        <x:v>2</x:v>
      </x:c>
      <x:c r="E40" s="29" t="str">
        <x:v>pal_001</x:v>
      </x:c>
      <x:c r="F40" s="31" t="str">
        <x:f>IFERROR(VLOOKUP($E40,'02_怪物模板_好读版'!$A:$Z,2,FALSE),"")</x:f>
        <x:v>棉悠悠</x:v>
      </x:c>
      <x:c r="G40" s="31" t="str">
        <x:f>IFERROR(VLOOKUP($E40,'02_怪物模板_好读版'!$A:$Z,3,FALSE),"")</x:f>
        <x:v>风</x:v>
      </x:c>
      <x:c r="H40" s="31" t="str">
        <x:f>IFERROR(VLOOKUP($E40,'02_怪物模板_好读版'!$A:$Z,7,FALSE),"")</x:f>
        <x:v>小怪</x:v>
      </x:c>
      <x:c r="I40" s="31" t="n">
        <x:f>IFERROR(VLOOKUP($E40,'02_怪物模板_好读版'!$A:$Z,8,FALSE),0)</x:f>
        <x:v>6</x:v>
      </x:c>
      <x:c r="J40" s="31" t="n">
        <x:f>IFERROR(VLOOKUP($E40,'02_怪物模板_好读版'!$A:$Z,9,FALSE),0)</x:f>
        <x:v>1</x:v>
      </x:c>
      <x:c r="K40" s="31" t="n">
        <x:f>IFERROR(VLOOKUP($E40,'02_怪物模板_好读版'!$A:$Z,10,FALSE),0)</x:f>
        <x:v>0</x:v>
      </x:c>
      <x:c r="L40" s="31" t="n">
        <x:f>IFERROR(VLOOKUP($E40,'02_怪物模板_好读版'!$A:$Z,11,FALSE),0)</x:f>
        <x:v>0</x:v>
      </x:c>
      <x:c r="M40" s="31" t="n">
        <x:f>IFERROR(VLOOKUP($E40,'02_怪物模板_好读版'!$A:$Z,12,FALSE),0)</x:f>
        <x:v>3</x:v>
      </x:c>
      <x:c r="N40" s="29" t="n">
        <x:v>1</x:v>
      </x:c>
      <x:c r="O40" s="29" t="str">
        <x:v>front_split</x:v>
      </x:c>
      <x:c r="P40" s="31" t="n">
        <x:f>IFERROR((I40+J40*3+K40*2+L40+M40*5)*N40,0)</x:f>
        <x:v>24</x:v>
      </x:c>
      <x:c r="Q40" s="29" t="str">
        <x:v>把多个中压题叠在一起，训练清尾顺序。 提供低血爽杀，保证玩家每回合都有明确可清目标。</x:v>
      </x:c>
      <x:c r="R40" s="29" t="str">
        <x:v>城堡-3 / 资源-1 / 经济x0.81</x:v>
      </x:c>
      <x:c r="S40" s="29" t="str">
        <x:v>5回合内高奖；6-10回合每回合-7%；10回合失败</x:v>
      </x:c>
      <x:c r="T40" s="29" t="str"/>
    </x:row>
    <x:row r="41" ht="22" customHeight="1">
      <x:c r="A41" s="29" t="str">
        <x:v>wave_d04_afternoon</x:v>
      </x:c>
      <x:c r="B41" s="29" t="n">
        <x:v>4</x:v>
      </x:c>
      <x:c r="C41" s="29" t="str">
        <x:v>下午</x:v>
      </x:c>
      <x:c r="D41" s="29" t="n">
        <x:v>3</x:v>
      </x:c>
      <x:c r="E41" s="29" t="str">
        <x:v>pal_032</x:v>
      </x:c>
      <x:c r="F41" s="31" t="str">
        <x:f>IFERROR(VLOOKUP($E41,'02_怪物模板_好读版'!$A:$Z,2,FALSE),"")</x:f>
        <x:v>吊缚灵</x:v>
      </x:c>
      <x:c r="G41" s="31" t="str">
        <x:f>IFERROR(VLOOKUP($E41,'02_怪物模板_好读版'!$A:$Z,3,FALSE),"")</x:f>
        <x:v>土</x:v>
      </x:c>
      <x:c r="H41" s="31" t="str">
        <x:f>IFERROR(VLOOKUP($E41,'02_怪物模板_好读版'!$A:$Z,7,FALSE),"")</x:f>
        <x:v>限伤怪</x:v>
      </x:c>
      <x:c r="I41" s="31" t="n">
        <x:f>IFERROR(VLOOKUP($E41,'02_怪物模板_好读版'!$A:$Z,8,FALSE),0)</x:f>
        <x:v>30</x:v>
      </x:c>
      <x:c r="J41" s="31" t="n">
        <x:f>IFERROR(VLOOKUP($E41,'02_怪物模板_好读版'!$A:$Z,9,FALSE),0)</x:f>
        <x:v>3</x:v>
      </x:c>
      <x:c r="K41" s="31" t="n">
        <x:f>IFERROR(VLOOKUP($E41,'02_怪物模板_好读版'!$A:$Z,10,FALSE),0)</x:f>
        <x:v>0</x:v>
      </x:c>
      <x:c r="L41" s="31" t="n">
        <x:f>IFERROR(VLOOKUP($E41,'02_怪物模板_好读版'!$A:$Z,11,FALSE),0)</x:f>
        <x:v>0</x:v>
      </x:c>
      <x:c r="M41" s="31" t="n">
        <x:f>IFERROR(VLOOKUP($E41,'02_怪物模板_好读版'!$A:$Z,12,FALSE),0)</x:f>
        <x:v>3</x:v>
      </x:c>
      <x:c r="N41" s="29" t="n">
        <x:v>1</x:v>
      </x:c>
      <x:c r="O41" s="29" t="str">
        <x:v>front_cluster</x:v>
      </x:c>
      <x:c r="P41" s="31" t="n">
        <x:f>IFERROR((I41+J41*3+K41*2+L41+M41*5)*N41,0)</x:f>
        <x:v>54</x:v>
      </x:c>
      <x:c r="Q41" s="29" t="str">
        <x:v>把多个中压题叠在一起，训练清尾顺序。 逼玩家接受“这只怪不可能一回合秒掉”的事实。</x:v>
      </x:c>
      <x:c r="R41" s="29" t="str">
        <x:v>城堡-3 / 资源-1 / 经济x0.81</x:v>
      </x:c>
      <x:c r="S41" s="29" t="str">
        <x:v>5回合内高奖；6-10回合每回合-7%；10回合失败</x:v>
      </x:c>
      <x:c r="T41" s="29" t="str"/>
    </x:row>
    <x:row r="42" ht="22" customHeight="1">
      <x:c r="A42" s="29" t="str">
        <x:v>wave_d04_afternoon</x:v>
      </x:c>
      <x:c r="B42" s="29" t="n">
        <x:v>4</x:v>
      </x:c>
      <x:c r="C42" s="29" t="str">
        <x:v>下午</x:v>
      </x:c>
      <x:c r="D42" s="29" t="n">
        <x:v>4</x:v>
      </x:c>
      <x:c r="E42" s="29" t="str">
        <x:v>pal_031</x:v>
      </x:c>
      <x:c r="F42" s="31" t="str">
        <x:f>IFERROR(VLOOKUP($E42,'02_怪物模板_好读版'!$A:$Z,2,FALSE),"")</x:f>
        <x:v>鲨小子</x:v>
      </x:c>
      <x:c r="G42" s="31" t="str">
        <x:f>IFERROR(VLOOKUP($E42,'02_怪物模板_好读版'!$A:$Z,3,FALSE),"")</x:f>
        <x:v>水</x:v>
      </x:c>
      <x:c r="H42" s="31" t="str">
        <x:f>IFERROR(VLOOKUP($E42,'02_怪物模板_好读版'!$A:$Z,7,FALSE),"")</x:f>
        <x:v>成长怪</x:v>
      </x:c>
      <x:c r="I42" s="31" t="n">
        <x:f>IFERROR(VLOOKUP($E42,'02_怪物模板_好读版'!$A:$Z,8,FALSE),0)</x:f>
        <x:v>25</x:v>
      </x:c>
      <x:c r="J42" s="31" t="n">
        <x:f>IFERROR(VLOOKUP($E42,'02_怪物模板_好读版'!$A:$Z,9,FALSE),0)</x:f>
        <x:v>2</x:v>
      </x:c>
      <x:c r="K42" s="31" t="n">
        <x:f>IFERROR(VLOOKUP($E42,'02_怪物模板_好读版'!$A:$Z,10,FALSE),0)</x:f>
        <x:v>0</x:v>
      </x:c>
      <x:c r="L42" s="31" t="n">
        <x:f>IFERROR(VLOOKUP($E42,'02_怪物模板_好读版'!$A:$Z,11,FALSE),0)</x:f>
        <x:v>6</x:v>
      </x:c>
      <x:c r="M42" s="31" t="n">
        <x:f>IFERROR(VLOOKUP($E42,'02_怪物模板_好读版'!$A:$Z,12,FALSE),0)</x:f>
        <x:v>3</x:v>
      </x:c>
      <x:c r="N42" s="29" t="n">
        <x:v>1</x:v>
      </x:c>
      <x:c r="O42" s="29" t="str">
        <x:v>mid_cluster</x:v>
      </x:c>
      <x:c r="P42" s="31" t="n">
        <x:f>IFERROR((I42+J42*3+K42*2+L42+M42*5)*N42,0)</x:f>
        <x:v>52</x:v>
      </x:c>
      <x:c r="Q42" s="29" t="str">
        <x:v>把多个中压题叠在一起，训练清尾顺序。 教玩家不要把能处理的成长题留到最后。</x:v>
      </x:c>
      <x:c r="R42" s="29" t="str">
        <x:v>城堡-3 / 资源-1 / 经济x0.81</x:v>
      </x:c>
      <x:c r="S42" s="29" t="str">
        <x:v>5回合内高奖；6-10回合每回合-7%；10回合失败</x:v>
      </x:c>
      <x:c r="T42" s="29" t="str"/>
    </x:row>
    <x:row r="43" ht="22" customHeight="1">
      <x:c r="A43" s="29" t="str">
        <x:v>wave_d04_afternoon</x:v>
      </x:c>
      <x:c r="B43" s="29" t="n">
        <x:v>4</x:v>
      </x:c>
      <x:c r="C43" s="29" t="str">
        <x:v>下午</x:v>
      </x:c>
      <x:c r="D43" s="29" t="n">
        <x:v>5</x:v>
      </x:c>
      <x:c r="E43" s="29" t="str">
        <x:v>pal_046</x:v>
      </x:c>
      <x:c r="F43" s="31" t="str">
        <x:f>IFERROR(VLOOKUP($E43,'02_怪物模板_好读版'!$A:$Z,2,FALSE),"")</x:f>
        <x:v>月镰魔</x:v>
      </x:c>
      <x:c r="G43" s="31" t="str">
        <x:f>IFERROR(VLOOKUP($E43,'02_怪物模板_好读版'!$A:$Z,3,FALSE),"")</x:f>
        <x:v>土</x:v>
      </x:c>
      <x:c r="H43" s="31" t="str">
        <x:f>IFERROR(VLOOKUP($E43,'02_怪物模板_好读版'!$A:$Z,7,FALSE),"")</x:f>
        <x:v>反击怪</x:v>
      </x:c>
      <x:c r="I43" s="31" t="n">
        <x:f>IFERROR(VLOOKUP($E43,'02_怪物模板_好读版'!$A:$Z,8,FALSE),0)</x:f>
        <x:v>30</x:v>
      </x:c>
      <x:c r="J43" s="31" t="n">
        <x:f>IFERROR(VLOOKUP($E43,'02_怪物模板_好读版'!$A:$Z,9,FALSE),0)</x:f>
        <x:v>4</x:v>
      </x:c>
      <x:c r="K43" s="31" t="n">
        <x:f>IFERROR(VLOOKUP($E43,'02_怪物模板_好读版'!$A:$Z,10,FALSE),0)</x:f>
        <x:v>0</x:v>
      </x:c>
      <x:c r="L43" s="31" t="n">
        <x:f>IFERROR(VLOOKUP($E43,'02_怪物模板_好读版'!$A:$Z,11,FALSE),0)</x:f>
        <x:v>6</x:v>
      </x:c>
      <x:c r="M43" s="31" t="n">
        <x:f>IFERROR(VLOOKUP($E43,'02_怪物模板_好读版'!$A:$Z,12,FALSE),0)</x:f>
        <x:v>3</x:v>
      </x:c>
      <x:c r="N43" s="29" t="n">
        <x:v>1</x:v>
      </x:c>
      <x:c r="O43" s="29" t="str">
        <x:v>front_cluster</x:v>
      </x:c>
      <x:c r="P43" s="31" t="n">
        <x:f>IFERROR((I43+J43*3+K43*2+L43+M43*5)*N43,0)</x:f>
        <x:v>63</x:v>
      </x:c>
      <x:c r="Q43" s="29" t="str">
        <x:v>把多个中压题叠在一起，训练清尾顺序。 让玩家开始考虑站得住的单点解法。</x:v>
      </x:c>
      <x:c r="R43" s="29" t="str">
        <x:v>城堡-3 / 资源-1 / 经济x0.81</x:v>
      </x:c>
      <x:c r="S43" s="29" t="str">
        <x:v>5回合内高奖；6-10回合每回合-7%；10回合失败</x:v>
      </x:c>
      <x:c r="T43" s="29" t="str"/>
    </x:row>
    <x:row r="44" ht="22" customHeight="1">
      <x:c r="A44" s="29" t="str">
        <x:v>wave_d05_morning</x:v>
      </x:c>
      <x:c r="B44" s="29" t="n">
        <x:v>5</x:v>
      </x:c>
      <x:c r="C44" s="29" t="str">
        <x:v>上午</x:v>
      </x:c>
      <x:c r="D44" s="29" t="n">
        <x:v>1</x:v>
      </x:c>
      <x:c r="E44" s="29" t="str">
        <x:v>pal_042</x:v>
      </x:c>
      <x:c r="F44" s="31" t="str">
        <x:f>IFERROR(VLOOKUP($E44,'02_怪物模板_好读版'!$A:$Z,2,FALSE),"")</x:f>
        <x:v>炽焰牛</x:v>
      </x:c>
      <x:c r="G44" s="31" t="str">
        <x:f>IFERROR(VLOOKUP($E44,'02_怪物模板_好读版'!$A:$Z,3,FALSE),"")</x:f>
        <x:v>火</x:v>
      </x:c>
      <x:c r="H44" s="31" t="str">
        <x:f>IFERROR(VLOOKUP($E44,'02_怪物模板_好读版'!$A:$Z,7,FALSE),"")</x:f>
        <x:v>小怪</x:v>
      </x:c>
      <x:c r="I44" s="31" t="n">
        <x:f>IFERROR(VLOOKUP($E44,'02_怪物模板_好读版'!$A:$Z,8,FALSE),0)</x:f>
        <x:v>10</x:v>
      </x:c>
      <x:c r="J44" s="31" t="n">
        <x:f>IFERROR(VLOOKUP($E44,'02_怪物模板_好读版'!$A:$Z,9,FALSE),0)</x:f>
        <x:v>2</x:v>
      </x:c>
      <x:c r="K44" s="31" t="n">
        <x:f>IFERROR(VLOOKUP($E44,'02_怪物模板_好读版'!$A:$Z,10,FALSE),0)</x:f>
        <x:v>0</x:v>
      </x:c>
      <x:c r="L44" s="31" t="n">
        <x:f>IFERROR(VLOOKUP($E44,'02_怪物模板_好读版'!$A:$Z,11,FALSE),0)</x:f>
        <x:v>0</x:v>
      </x:c>
      <x:c r="M44" s="31" t="n">
        <x:f>IFERROR(VLOOKUP($E44,'02_怪物模板_好读版'!$A:$Z,12,FALSE),0)</x:f>
        <x:v>3</x:v>
      </x:c>
      <x:c r="N44" s="29" t="n">
        <x:v>1</x:v>
      </x:c>
      <x:c r="O44" s="29" t="str">
        <x:v>front_split</x:v>
      </x:c>
      <x:c r="P44" s="31" t="n">
        <x:f>IFERROR((I44+J44*3+K44*2+L44+M44*5)*N44,0)</x:f>
        <x:v>31</x:v>
      </x:c>
      <x:c r="Q44" s="29" t="str">
        <x:v>加入持续盾、光环、城堡压力，进入真正解题节奏。 把清杂题从“爽杀”升级成“必须及时清”。</x:v>
      </x:c>
      <x:c r="R44" s="29" t="str">
        <x:v>城堡-2 / 资源-2 / 经济x0.82</x:v>
      </x:c>
      <x:c r="S44" s="29" t="str">
        <x:v>5回合内高奖；6-10回合每回合-7%；10回合失败</x:v>
      </x:c>
      <x:c r="T44" s="29" t="str"/>
    </x:row>
    <x:row r="45" ht="22" customHeight="1">
      <x:c r="A45" s="29" t="str">
        <x:v>wave_d05_morning</x:v>
      </x:c>
      <x:c r="B45" s="29" t="n">
        <x:v>5</x:v>
      </x:c>
      <x:c r="C45" s="29" t="str">
        <x:v>上午</x:v>
      </x:c>
      <x:c r="D45" s="29" t="n">
        <x:v>2</x:v>
      </x:c>
      <x:c r="E45" s="29" t="str">
        <x:v>pal_072</x:v>
      </x:c>
      <x:c r="F45" s="31" t="str">
        <x:f>IFERROR(VLOOKUP($E45,'02_怪物模板_好读版'!$A:$Z,2,FALSE),"")</x:f>
        <x:v>融焰娘</x:v>
      </x:c>
      <x:c r="G45" s="31" t="str">
        <x:f>IFERROR(VLOOKUP($E45,'02_怪物模板_好读版'!$A:$Z,3,FALSE),"")</x:f>
        <x:v>火</x:v>
      </x:c>
      <x:c r="H45" s="31" t="str">
        <x:f>IFERROR(VLOOKUP($E45,'02_怪物模板_好读版'!$A:$Z,7,FALSE),"")</x:f>
        <x:v>光环怪</x:v>
      </x:c>
      <x:c r="I45" s="31" t="n">
        <x:f>IFERROR(VLOOKUP($E45,'02_怪物模板_好读版'!$A:$Z,8,FALSE),0)</x:f>
        <x:v>20</x:v>
      </x:c>
      <x:c r="J45" s="31" t="n">
        <x:f>IFERROR(VLOOKUP($E45,'02_怪物模板_好读版'!$A:$Z,9,FALSE),0)</x:f>
        <x:v>2</x:v>
      </x:c>
      <x:c r="K45" s="31" t="n">
        <x:f>IFERROR(VLOOKUP($E45,'02_怪物模板_好读版'!$A:$Z,10,FALSE),0)</x:f>
        <x:v>0</x:v>
      </x:c>
      <x:c r="L45" s="31" t="n">
        <x:f>IFERROR(VLOOKUP($E45,'02_怪物模板_好读版'!$A:$Z,11,FALSE),0)</x:f>
        <x:v>0</x:v>
      </x:c>
      <x:c r="M45" s="31" t="n">
        <x:f>IFERROR(VLOOKUP($E45,'02_怪物模板_好读版'!$A:$Z,12,FALSE),0)</x:f>
        <x:v>3</x:v>
      </x:c>
      <x:c r="N45" s="29" t="n">
        <x:v>1</x:v>
      </x:c>
      <x:c r="O45" s="29" t="str">
        <x:v>back_protected</x:v>
      </x:c>
      <x:c r="P45" s="31" t="n">
        <x:f>IFERROR((I45+J45*3+K45*2+L45+M45*5)*N45,0)</x:f>
        <x:v>41</x:v>
      </x:c>
      <x:c r="Q45" s="29" t="str">
        <x:v>加入持续盾、光环、城堡压力，进入真正解题节奏。 把优先切后排这件事讲得足够明确。</x:v>
      </x:c>
      <x:c r="R45" s="29" t="str">
        <x:v>城堡-2 / 资源-2 / 经济x0.82</x:v>
      </x:c>
      <x:c r="S45" s="29" t="str">
        <x:v>5回合内高奖；6-10回合每回合-7%；10回合失败</x:v>
      </x:c>
      <x:c r="T45" s="29" t="str"/>
    </x:row>
    <x:row r="46" ht="22" customHeight="1">
      <x:c r="A46" s="29" t="str">
        <x:v>wave_d05_morning</x:v>
      </x:c>
      <x:c r="B46" s="29" t="n">
        <x:v>5</x:v>
      </x:c>
      <x:c r="C46" s="29" t="str">
        <x:v>上午</x:v>
      </x:c>
      <x:c r="D46" s="29" t="n">
        <x:v>3</x:v>
      </x:c>
      <x:c r="E46" s="29" t="str">
        <x:v>pal_023</x:v>
      </x:c>
      <x:c r="F46" s="31" t="str">
        <x:f>IFERROR(VLOOKUP($E46,'02_怪物模板_好读版'!$A:$Z,2,FALSE),"")</x:f>
        <x:v>勾魂鱿</x:v>
      </x:c>
      <x:c r="G46" s="31" t="str">
        <x:f>IFERROR(VLOOKUP($E46,'02_怪物模板_好读版'!$A:$Z,3,FALSE),"")</x:f>
        <x:v>土</x:v>
      </x:c>
      <x:c r="H46" s="31" t="str">
        <x:f>IFERROR(VLOOKUP($E46,'02_怪物模板_好读版'!$A:$Z,7,FALSE),"")</x:f>
        <x:v>护盾怪</x:v>
      </x:c>
      <x:c r="I46" s="31" t="n">
        <x:f>IFERROR(VLOOKUP($E46,'02_怪物模板_好读版'!$A:$Z,8,FALSE),0)</x:f>
        <x:v>25</x:v>
      </x:c>
      <x:c r="J46" s="31" t="n">
        <x:f>IFERROR(VLOOKUP($E46,'02_怪物模板_好读版'!$A:$Z,9,FALSE),0)</x:f>
        <x:v>2</x:v>
      </x:c>
      <x:c r="K46" s="31" t="n">
        <x:f>IFERROR(VLOOKUP($E46,'02_怪物模板_好读版'!$A:$Z,10,FALSE),0)</x:f>
        <x:v>0</x:v>
      </x:c>
      <x:c r="L46" s="31" t="n">
        <x:f>IFERROR(VLOOKUP($E46,'02_怪物模板_好读版'!$A:$Z,11,FALSE),0)</x:f>
        <x:v>6</x:v>
      </x:c>
      <x:c r="M46" s="31" t="n">
        <x:f>IFERROR(VLOOKUP($E46,'02_怪物模板_好读版'!$A:$Z,12,FALSE),0)</x:f>
        <x:v>3</x:v>
      </x:c>
      <x:c r="N46" s="29" t="n">
        <x:v>1</x:v>
      </x:c>
      <x:c r="O46" s="29" t="str">
        <x:v>mid_cluster</x:v>
      </x:c>
      <x:c r="P46" s="31" t="n">
        <x:f>IFERROR((I46+J46*3+K46*2+L46+M46*5)*N46,0)</x:f>
        <x:v>52</x:v>
      </x:c>
      <x:c r="Q46" s="29" t="str">
        <x:v>加入持续盾、光环、城堡压力，进入真正解题节奏。 把“晚一回合处理代价变高”具体化给玩家。</x:v>
      </x:c>
      <x:c r="R46" s="29" t="str">
        <x:v>城堡-2 / 资源-2 / 经济x0.82</x:v>
      </x:c>
      <x:c r="S46" s="29" t="str">
        <x:v>5回合内高奖；6-10回合每回合-7%；10回合失败</x:v>
      </x:c>
      <x:c r="T46" s="29" t="str"/>
    </x:row>
    <x:row r="47" ht="22" customHeight="1">
      <x:c r="A47" s="29" t="str">
        <x:v>wave_d05_morning</x:v>
      </x:c>
      <x:c r="B47" s="29" t="n">
        <x:v>5</x:v>
      </x:c>
      <x:c r="C47" s="29" t="str">
        <x:v>上午</x:v>
      </x:c>
      <x:c r="D47" s="29" t="n">
        <x:v>4</x:v>
      </x:c>
      <x:c r="E47" s="29" t="str">
        <x:v>pal_019</x:v>
      </x:c>
      <x:c r="F47" s="31" t="str">
        <x:f>IFERROR(VLOOKUP($E47,'02_怪物模板_好读版'!$A:$Z,2,FALSE),"")</x:f>
        <x:v>寐魔</x:v>
      </x:c>
      <x:c r="G47" s="31" t="str">
        <x:f>IFERROR(VLOOKUP($E47,'02_怪物模板_好读版'!$A:$Z,3,FALSE),"")</x:f>
        <x:v>土</x:v>
      </x:c>
      <x:c r="H47" s="31" t="str">
        <x:f>IFERROR(VLOOKUP($E47,'02_怪物模板_好读版'!$A:$Z,7,FALSE),"")</x:f>
        <x:v>成长怪</x:v>
      </x:c>
      <x:c r="I47" s="31" t="n">
        <x:f>IFERROR(VLOOKUP($E47,'02_怪物模板_好读版'!$A:$Z,8,FALSE),0)</x:f>
        <x:v>30</x:v>
      </x:c>
      <x:c r="J47" s="31" t="n">
        <x:f>IFERROR(VLOOKUP($E47,'02_怪物模板_好读版'!$A:$Z,9,FALSE),0)</x:f>
        <x:v>3</x:v>
      </x:c>
      <x:c r="K47" s="31" t="n">
        <x:f>IFERROR(VLOOKUP($E47,'02_怪物模板_好读版'!$A:$Z,10,FALSE),0)</x:f>
        <x:v>0</x:v>
      </x:c>
      <x:c r="L47" s="31" t="n">
        <x:f>IFERROR(VLOOKUP($E47,'02_怪物模板_好读版'!$A:$Z,11,FALSE),0)</x:f>
        <x:v>10</x:v>
      </x:c>
      <x:c r="M47" s="31" t="n">
        <x:f>IFERROR(VLOOKUP($E47,'02_怪物模板_好读版'!$A:$Z,12,FALSE),0)</x:f>
        <x:v>3</x:v>
      </x:c>
      <x:c r="N47" s="29" t="n">
        <x:v>1</x:v>
      </x:c>
      <x:c r="O47" s="29" t="str">
        <x:v>front_cluster</x:v>
      </x:c>
      <x:c r="P47" s="31" t="n">
        <x:f>IFERROR((I47+J47*3+K47*2+L47+M47*5)*N47,0)</x:f>
        <x:v>64</x:v>
      </x:c>
      <x:c r="Q47" s="29" t="str">
        <x:v>加入持续盾、光环、城堡压力，进入真正解题节奏。 把破盾和控场同时压到玩家面前。</x:v>
      </x:c>
      <x:c r="R47" s="29" t="str">
        <x:v>城堡-2 / 资源-2 / 经济x0.82</x:v>
      </x:c>
      <x:c r="S47" s="29" t="str">
        <x:v>5回合内高奖；6-10回合每回合-7%；10回合失败</x:v>
      </x:c>
      <x:c r="T47" s="29" t="str"/>
    </x:row>
    <x:row r="48" ht="22" customHeight="1">
      <x:c r="A48" s="29" t="str">
        <x:v>wave_d05_morning</x:v>
      </x:c>
      <x:c r="B48" s="29" t="n">
        <x:v>5</x:v>
      </x:c>
      <x:c r="C48" s="29" t="str">
        <x:v>上午</x:v>
      </x:c>
      <x:c r="D48" s="29" t="n">
        <x:v>4</x:v>
      </x:c>
      <x:c r="E48" s="29" t="str">
        <x:v>pal_040</x:v>
      </x:c>
      <x:c r="F48" s="31" t="str">
        <x:f>IFERROR(VLOOKUP($E48,'02_怪物模板_好读版'!$A:$Z,2,FALSE),"")</x:f>
        <x:v>炎魔羊</x:v>
      </x:c>
      <x:c r="G48" s="31" t="str">
        <x:f>IFERROR(VLOOKUP($E48,'02_怪物模板_好读版'!$A:$Z,3,FALSE),"")</x:f>
        <x:v>火</x:v>
      </x:c>
      <x:c r="H48" s="31" t="str">
        <x:f>IFERROR(VLOOKUP($E48,'02_怪物模板_好读版'!$A:$Z,7,FALSE),"")</x:f>
        <x:v>反击怪</x:v>
      </x:c>
      <x:c r="I48" s="31" t="n">
        <x:f>IFERROR(VLOOKUP($E48,'02_怪物模板_好读版'!$A:$Z,8,FALSE),0)</x:f>
        <x:v>25</x:v>
      </x:c>
      <x:c r="J48" s="31" t="n">
        <x:f>IFERROR(VLOOKUP($E48,'02_怪物模板_好读版'!$A:$Z,9,FALSE),0)</x:f>
        <x:v>4</x:v>
      </x:c>
      <x:c r="K48" s="31" t="n">
        <x:f>IFERROR(VLOOKUP($E48,'02_怪物模板_好读版'!$A:$Z,10,FALSE),0)</x:f>
        <x:v>0</x:v>
      </x:c>
      <x:c r="L48" s="31" t="n">
        <x:f>IFERROR(VLOOKUP($E48,'02_怪物模板_好读版'!$A:$Z,11,FALSE),0)</x:f>
        <x:v>0</x:v>
      </x:c>
      <x:c r="M48" s="31" t="n">
        <x:f>IFERROR(VLOOKUP($E48,'02_怪物模板_好读版'!$A:$Z,12,FALSE),0)</x:f>
        <x:v>3</x:v>
      </x:c>
      <x:c r="N48" s="29" t="n">
        <x:v>1</x:v>
      </x:c>
      <x:c r="O48" s="29" t="str">
        <x:v>mid_split</x:v>
      </x:c>
      <x:c r="P48" s="31" t="n">
        <x:f>IFERROR((I48+J48*3+K48*2+L48+M48*5)*N48,0)</x:f>
        <x:v>52</x:v>
      </x:c>
      <x:c r="Q48" s="29" t="str">
        <x:v>加入持续盾、光环、城堡压力，进入真正解题节奏。 把输出优化题变成资源损耗题。</x:v>
      </x:c>
      <x:c r="R48" s="29" t="str">
        <x:v>城堡-2 / 资源-2 / 经济x0.82</x:v>
      </x:c>
      <x:c r="S48" s="29" t="str">
        <x:v>5回合内高奖；6-10回合每回合-7%；10回合失败</x:v>
      </x:c>
      <x:c r="T48" s="29" t="str"/>
    </x:row>
    <x:row r="49" ht="22" customHeight="1">
      <x:c r="A49" s="29" t="str">
        <x:v>wave_d05_morning</x:v>
      </x:c>
      <x:c r="B49" s="29" t="n">
        <x:v>5</x:v>
      </x:c>
      <x:c r="C49" s="29" t="str">
        <x:v>上午</x:v>
      </x:c>
      <x:c r="D49" s="29" t="n">
        <x:v>5</x:v>
      </x:c>
      <x:c r="E49" s="29" t="str">
        <x:v>pal_068</x:v>
      </x:c>
      <x:c r="F49" s="31" t="str">
        <x:f>IFERROR(VLOOKUP($E49,'02_怪物模板_好读版'!$A:$Z,2,FALSE),"")</x:f>
        <x:v>噬魂兽</x:v>
      </x:c>
      <x:c r="G49" s="31" t="str">
        <x:f>IFERROR(VLOOKUP($E49,'02_怪物模板_好读版'!$A:$Z,3,FALSE),"")</x:f>
        <x:v>土</x:v>
      </x:c>
      <x:c r="H49" s="31" t="str">
        <x:f>IFERROR(VLOOKUP($E49,'02_怪物模板_好读版'!$A:$Z,7,FALSE),"")</x:f>
        <x:v>城堡怪</x:v>
      </x:c>
      <x:c r="I49" s="31" t="n">
        <x:f>IFERROR(VLOOKUP($E49,'02_怪物模板_好读版'!$A:$Z,8,FALSE),0)</x:f>
        <x:v>25</x:v>
      </x:c>
      <x:c r="J49" s="31" t="n">
        <x:f>IFERROR(VLOOKUP($E49,'02_怪物模板_好读版'!$A:$Z,9,FALSE),0)</x:f>
        <x:v>3</x:v>
      </x:c>
      <x:c r="K49" s="31" t="n">
        <x:f>IFERROR(VLOOKUP($E49,'02_怪物模板_好读版'!$A:$Z,10,FALSE),0)</x:f>
        <x:v>0</x:v>
      </x:c>
      <x:c r="L49" s="31" t="n">
        <x:f>IFERROR(VLOOKUP($E49,'02_怪物模板_好读版'!$A:$Z,11,FALSE),0)</x:f>
        <x:v>0</x:v>
      </x:c>
      <x:c r="M49" s="31" t="n">
        <x:f>IFERROR(VLOOKUP($E49,'02_怪物模板_好读版'!$A:$Z,12,FALSE),0)</x:f>
        <x:v>2</x:v>
      </x:c>
      <x:c r="N49" s="29" t="n">
        <x:v>1</x:v>
      </x:c>
      <x:c r="O49" s="29" t="str">
        <x:v>front_split</x:v>
      </x:c>
      <x:c r="P49" s="31" t="n">
        <x:f>IFERROR((I49+J49*3+K49*2+L49+M49*5)*N49,0)</x:f>
        <x:v>44</x:v>
      </x:c>
      <x:c r="Q49" s="29" t="str">
        <x:v>加入持续盾、光环、城堡压力，进入真正解题节奏。 把失败惩罚提前暴露给玩家。</x:v>
      </x:c>
      <x:c r="R49" s="29" t="str">
        <x:v>城堡-2 / 资源-2 / 经济x0.82</x:v>
      </x:c>
      <x:c r="S49" s="29" t="str">
        <x:v>5回合内高奖；6-10回合每回合-7%；10回合失败</x:v>
      </x:c>
      <x:c r="T49" s="29" t="str"/>
    </x:row>
    <x:row r="50" ht="22" customHeight="1">
      <x:c r="A50" s="29" t="str">
        <x:v>wave_d05_morning</x:v>
      </x:c>
      <x:c r="B50" s="29" t="n">
        <x:v>5</x:v>
      </x:c>
      <x:c r="C50" s="29" t="str">
        <x:v>上午</x:v>
      </x:c>
      <x:c r="D50" s="29" t="n">
        <x:v>5</x:v>
      </x:c>
      <x:c r="E50" s="29" t="str">
        <x:v>pal_014</x:v>
      </x:c>
      <x:c r="F50" s="31" t="str">
        <x:f>IFERROR(VLOOKUP($E50,'02_怪物模板_好读版'!$A:$Z,2,FALSE),"")</x:f>
        <x:v>玉藻狐</x:v>
      </x:c>
      <x:c r="G50" s="31" t="str">
        <x:f>IFERROR(VLOOKUP($E50,'02_怪物模板_好读版'!$A:$Z,3,FALSE),"")</x:f>
        <x:v>风</x:v>
      </x:c>
      <x:c r="H50" s="31" t="str">
        <x:f>IFERROR(VLOOKUP($E50,'02_怪物模板_好读版'!$A:$Z,7,FALSE),"")</x:f>
        <x:v>偷奖励怪</x:v>
      </x:c>
      <x:c r="I50" s="31" t="n">
        <x:f>IFERROR(VLOOKUP($E50,'02_怪物模板_好读版'!$A:$Z,8,FALSE),0)</x:f>
        <x:v>15</x:v>
      </x:c>
      <x:c r="J50" s="31" t="n">
        <x:f>IFERROR(VLOOKUP($E50,'02_怪物模板_好读版'!$A:$Z,9,FALSE),0)</x:f>
        <x:v>2</x:v>
      </x:c>
      <x:c r="K50" s="31" t="n">
        <x:f>IFERROR(VLOOKUP($E50,'02_怪物模板_好读版'!$A:$Z,10,FALSE),0)</x:f>
        <x:v>0</x:v>
      </x:c>
      <x:c r="L50" s="31" t="n">
        <x:f>IFERROR(VLOOKUP($E50,'02_怪物模板_好读版'!$A:$Z,11,FALSE),0)</x:f>
        <x:v>0</x:v>
      </x:c>
      <x:c r="M50" s="31" t="n">
        <x:f>IFERROR(VLOOKUP($E50,'02_怪物模板_好读版'!$A:$Z,12,FALSE),0)</x:f>
        <x:v>4</x:v>
      </x:c>
      <x:c r="N50" s="29" t="n">
        <x:v>1</x:v>
      </x:c>
      <x:c r="O50" s="29" t="str">
        <x:v>back_corner</x:v>
      </x:c>
      <x:c r="P50" s="31" t="n">
        <x:f>IFERROR((I50+J50*3+K50*2+L50+M50*5)*N50,0)</x:f>
        <x:v>41</x:v>
      </x:c>
      <x:c r="Q50" s="29" t="str">
        <x:v>加入持续盾、光环、城堡压力，进入真正解题节奏。 第一次把高奖励目标和击杀顺序绑定。</x:v>
      </x:c>
      <x:c r="R50" s="29" t="str">
        <x:v>城堡-2 / 资源-2 / 经济x0.82</x:v>
      </x:c>
      <x:c r="S50" s="29" t="str">
        <x:v>该怪存活每回合额外掉奖；5回合内高奖；6-10回合每回合-7%；10回合失败</x:v>
      </x:c>
      <x:c r="T50" s="29" t="str"/>
    </x:row>
    <x:row r="51" ht="22" customHeight="1">
      <x:c r="A51" s="29" t="str">
        <x:v>wave_d05_afternoon</x:v>
      </x:c>
      <x:c r="B51" s="29" t="n">
        <x:v>5</x:v>
      </x:c>
      <x:c r="C51" s="29" t="str">
        <x:v>下午</x:v>
      </x:c>
      <x:c r="D51" s="29" t="n">
        <x:v>1</x:v>
      </x:c>
      <x:c r="E51" s="29" t="str">
        <x:v>pal_003</x:v>
      </x:c>
      <x:c r="F51" s="31" t="str">
        <x:f>IFERROR(VLOOKUP($E51,'02_怪物模板_好读版'!$A:$Z,2,FALSE),"")</x:f>
        <x:v>皮皮鸡</x:v>
      </x:c>
      <x:c r="G51" s="31" t="str">
        <x:f>IFERROR(VLOOKUP($E51,'02_怪物模板_好读版'!$A:$Z,3,FALSE),"")</x:f>
        <x:v>风</x:v>
      </x:c>
      <x:c r="H51" s="31" t="str">
        <x:f>IFERROR(VLOOKUP($E51,'02_怪物模板_好读版'!$A:$Z,7,FALSE),"")</x:f>
        <x:v>小怪</x:v>
      </x:c>
      <x:c r="I51" s="31" t="n">
        <x:f>IFERROR(VLOOKUP($E51,'02_怪物模板_好读版'!$A:$Z,8,FALSE),0)</x:f>
        <x:v>10</x:v>
      </x:c>
      <x:c r="J51" s="31" t="n">
        <x:f>IFERROR(VLOOKUP($E51,'02_怪物模板_好读版'!$A:$Z,9,FALSE),0)</x:f>
        <x:v>3</x:v>
      </x:c>
      <x:c r="K51" s="31" t="n">
        <x:f>IFERROR(VLOOKUP($E51,'02_怪物模板_好读版'!$A:$Z,10,FALSE),0)</x:f>
        <x:v>0</x:v>
      </x:c>
      <x:c r="L51" s="31" t="n">
        <x:f>IFERROR(VLOOKUP($E51,'02_怪物模板_好读版'!$A:$Z,11,FALSE),0)</x:f>
        <x:v>0</x:v>
      </x:c>
      <x:c r="M51" s="31" t="n">
        <x:f>IFERROR(VLOOKUP($E51,'02_怪物模板_好读版'!$A:$Z,12,FALSE),0)</x:f>
        <x:v>3</x:v>
      </x:c>
      <x:c r="N51" s="29" t="n">
        <x:v>1</x:v>
      </x:c>
      <x:c r="O51" s="29" t="str">
        <x:v>front_split</x:v>
      </x:c>
      <x:c r="P51" s="31" t="n">
        <x:f>IFERROR((I51+J51*3+K51*2+L51+M51*5)*N51,0)</x:f>
        <x:v>34</x:v>
      </x:c>
      <x:c r="Q51" s="29" t="str">
        <x:v>第一轮精英压轴，要求稳住 5 回合奖励线。 把本来可以拖的杂兵变成必须先收的扰动源。</x:v>
      </x:c>
      <x:c r="R51" s="29" t="str">
        <x:v>城堡-3 / 资源-2 / 经济x0.79</x:v>
      </x:c>
      <x:c r="S51" s="29" t="str">
        <x:v>5回合内高奖；6-10回合每回合-8%；10回合失败</x:v>
      </x:c>
      <x:c r="T51" s="29" t="str"/>
    </x:row>
    <x:row r="52" ht="22" customHeight="1">
      <x:c r="A52" s="29" t="str">
        <x:v>wave_d05_afternoon</x:v>
      </x:c>
      <x:c r="B52" s="29" t="n">
        <x:v>5</x:v>
      </x:c>
      <x:c r="C52" s="29" t="str">
        <x:v>下午</x:v>
      </x:c>
      <x:c r="D52" s="29" t="n">
        <x:v>2</x:v>
      </x:c>
      <x:c r="E52" s="29" t="str">
        <x:v>pal_023</x:v>
      </x:c>
      <x:c r="F52" s="31" t="str">
        <x:f>IFERROR(VLOOKUP($E52,'02_怪物模板_好读版'!$A:$Z,2,FALSE),"")</x:f>
        <x:v>勾魂鱿</x:v>
      </x:c>
      <x:c r="G52" s="31" t="str">
        <x:f>IFERROR(VLOOKUP($E52,'02_怪物模板_好读版'!$A:$Z,3,FALSE),"")</x:f>
        <x:v>土</x:v>
      </x:c>
      <x:c r="H52" s="31" t="str">
        <x:f>IFERROR(VLOOKUP($E52,'02_怪物模板_好读版'!$A:$Z,7,FALSE),"")</x:f>
        <x:v>护盾怪</x:v>
      </x:c>
      <x:c r="I52" s="31" t="n">
        <x:f>IFERROR(VLOOKUP($E52,'02_怪物模板_好读版'!$A:$Z,8,FALSE),0)</x:f>
        <x:v>25</x:v>
      </x:c>
      <x:c r="J52" s="31" t="n">
        <x:f>IFERROR(VLOOKUP($E52,'02_怪物模板_好读版'!$A:$Z,9,FALSE),0)</x:f>
        <x:v>2</x:v>
      </x:c>
      <x:c r="K52" s="31" t="n">
        <x:f>IFERROR(VLOOKUP($E52,'02_怪物模板_好读版'!$A:$Z,10,FALSE),0)</x:f>
        <x:v>0</x:v>
      </x:c>
      <x:c r="L52" s="31" t="n">
        <x:f>IFERROR(VLOOKUP($E52,'02_怪物模板_好读版'!$A:$Z,11,FALSE),0)</x:f>
        <x:v>6</x:v>
      </x:c>
      <x:c r="M52" s="31" t="n">
        <x:f>IFERROR(VLOOKUP($E52,'02_怪物模板_好读版'!$A:$Z,12,FALSE),0)</x:f>
        <x:v>3</x:v>
      </x:c>
      <x:c r="N52" s="29" t="n">
        <x:v>1</x:v>
      </x:c>
      <x:c r="O52" s="29" t="str">
        <x:v>mid_cluster</x:v>
      </x:c>
      <x:c r="P52" s="31" t="n">
        <x:f>IFERROR((I52+J52*3+K52*2+L52+M52*5)*N52,0)</x:f>
        <x:v>52</x:v>
      </x:c>
      <x:c r="Q52" s="29" t="str">
        <x:v>第一轮精英压轴，要求稳住 5 回合奖励线。 把“晚一回合处理代价变高”具体化给玩家。</x:v>
      </x:c>
      <x:c r="R52" s="29" t="str">
        <x:v>城堡-3 / 资源-2 / 经济x0.79</x:v>
      </x:c>
      <x:c r="S52" s="29" t="str">
        <x:v>5回合内高奖；6-10回合每回合-8%；10回合失败</x:v>
      </x:c>
      <x:c r="T52" s="29" t="str"/>
    </x:row>
    <x:row r="53" ht="22" customHeight="1">
      <x:c r="A53" s="29" t="str">
        <x:v>wave_d05_afternoon</x:v>
      </x:c>
      <x:c r="B53" s="29" t="n">
        <x:v>5</x:v>
      </x:c>
      <x:c r="C53" s="29" t="str">
        <x:v>下午</x:v>
      </x:c>
      <x:c r="D53" s="29" t="n">
        <x:v>3</x:v>
      </x:c>
      <x:c r="E53" s="29" t="str">
        <x:v>pal_029</x:v>
      </x:c>
      <x:c r="F53" s="31" t="str">
        <x:f>IFERROR(VLOOKUP($E53,'02_怪物模板_好读版'!$A:$Z,2,FALSE),"")</x:f>
        <x:v>波霸牛</x:v>
      </x:c>
      <x:c r="G53" s="31" t="str">
        <x:f>IFERROR(VLOOKUP($E53,'02_怪物模板_好读版'!$A:$Z,3,FALSE),"")</x:f>
        <x:v>风</x:v>
      </x:c>
      <x:c r="H53" s="31" t="str">
        <x:f>IFERROR(VLOOKUP($E53,'02_怪物模板_好读版'!$A:$Z,7,FALSE),"")</x:f>
        <x:v>光环怪</x:v>
      </x:c>
      <x:c r="I53" s="31" t="n">
        <x:f>IFERROR(VLOOKUP($E53,'02_怪物模板_好读版'!$A:$Z,8,FALSE),0)</x:f>
        <x:v>25</x:v>
      </x:c>
      <x:c r="J53" s="31" t="n">
        <x:f>IFERROR(VLOOKUP($E53,'02_怪物模板_好读版'!$A:$Z,9,FALSE),0)</x:f>
        <x:v>2</x:v>
      </x:c>
      <x:c r="K53" s="31" t="n">
        <x:f>IFERROR(VLOOKUP($E53,'02_怪物模板_好读版'!$A:$Z,10,FALSE),0)</x:f>
        <x:v>0</x:v>
      </x:c>
      <x:c r="L53" s="31" t="n">
        <x:f>IFERROR(VLOOKUP($E53,'02_怪物模板_好读版'!$A:$Z,11,FALSE),0)</x:f>
        <x:v>6</x:v>
      </x:c>
      <x:c r="M53" s="31" t="n">
        <x:f>IFERROR(VLOOKUP($E53,'02_怪物模板_好读版'!$A:$Z,12,FALSE),0)</x:f>
        <x:v>3</x:v>
      </x:c>
      <x:c r="N53" s="29" t="n">
        <x:v>1</x:v>
      </x:c>
      <x:c r="O53" s="29" t="str">
        <x:v>back_protected</x:v>
      </x:c>
      <x:c r="P53" s="31" t="n">
        <x:f>IFERROR((I53+J53*3+K53*2+L53+M53*5)*N53,0)</x:f>
        <x:v>52</x:v>
      </x:c>
      <x:c r="Q53" s="29" t="str">
        <x:v>第一轮精英压轴，要求稳住 5 回合奖励线。 把减行动和群体增益同时压给玩家。</x:v>
      </x:c>
      <x:c r="R53" s="29" t="str">
        <x:v>城堡-3 / 资源-2 / 经济x0.79</x:v>
      </x:c>
      <x:c r="S53" s="29" t="str">
        <x:v>5回合内高奖；6-10回合每回合-8%；10回合失败</x:v>
      </x:c>
      <x:c r="T53" s="29" t="str"/>
    </x:row>
    <x:row r="54" ht="22" customHeight="1">
      <x:c r="A54" s="29" t="str">
        <x:v>wave_d05_afternoon</x:v>
      </x:c>
      <x:c r="B54" s="29" t="n">
        <x:v>5</x:v>
      </x:c>
      <x:c r="C54" s="29" t="str">
        <x:v>下午</x:v>
      </x:c>
      <x:c r="D54" s="29" t="n">
        <x:v>4</x:v>
      </x:c>
      <x:c r="E54" s="29" t="str">
        <x:v>pal_089</x:v>
      </x:c>
      <x:c r="F54" s="31" t="str">
        <x:f>IFERROR(VLOOKUP($E54,'02_怪物模板_好读版'!$A:$Z,2,FALSE),"")</x:f>
        <x:v>狱焰王</x:v>
      </x:c>
      <x:c r="G54" s="31" t="str">
        <x:f>IFERROR(VLOOKUP($E54,'02_怪物模板_好读版'!$A:$Z,3,FALSE),"")</x:f>
        <x:v>火</x:v>
      </x:c>
      <x:c r="H54" s="31" t="str">
        <x:f>IFERROR(VLOOKUP($E54,'02_怪物模板_好读版'!$A:$Z,7,FALSE),"")</x:f>
        <x:v>精英怪</x:v>
      </x:c>
      <x:c r="I54" s="31" t="n">
        <x:f>IFERROR(VLOOKUP($E54,'02_怪物模板_好读版'!$A:$Z,8,FALSE),0)</x:f>
        <x:v>40</x:v>
      </x:c>
      <x:c r="J54" s="31" t="n">
        <x:f>IFERROR(VLOOKUP($E54,'02_怪物模板_好读版'!$A:$Z,9,FALSE),0)</x:f>
        <x:v>5</x:v>
      </x:c>
      <x:c r="K54" s="31" t="n">
        <x:f>IFERROR(VLOOKUP($E54,'02_怪物模板_好读版'!$A:$Z,10,FALSE),0)</x:f>
        <x:v>0</x:v>
      </x:c>
      <x:c r="L54" s="31" t="n">
        <x:f>IFERROR(VLOOKUP($E54,'02_怪物模板_好读版'!$A:$Z,11,FALSE),0)</x:f>
        <x:v>10</x:v>
      </x:c>
      <x:c r="M54" s="31" t="n">
        <x:f>IFERROR(VLOOKUP($E54,'02_怪物模板_好读版'!$A:$Z,12,FALSE),0)</x:f>
        <x:v>4</x:v>
      </x:c>
      <x:c r="N54" s="29" t="n">
        <x:v>1</x:v>
      </x:c>
      <x:c r="O54" s="29" t="str">
        <x:v>escort_backline</x:v>
      </x:c>
      <x:c r="P54" s="31" t="n">
        <x:f>IFERROR((I54+J54*3+K54*2+L54+M54*5)*N54,0)</x:f>
        <x:v>85</x:v>
      </x:c>
      <x:c r="Q54" s="29" t="str">
        <x:v>第一轮精英压轴，要求稳住 5 回合奖励线。 把中期阵容的容错空间压到真实战斗水平。</x:v>
      </x:c>
      <x:c r="R54" s="29" t="str">
        <x:v>城堡-3 / 资源-2 / 经济x0.79</x:v>
      </x:c>
      <x:c r="S54" s="29" t="str">
        <x:v>5回合内高奖；6-10回合每回合-8%；10回合失败</x:v>
      </x:c>
      <x:c r="T54" s="29" t="str"/>
    </x:row>
    <x:row r="55" ht="22" customHeight="1">
      <x:c r="A55" s="29" t="str">
        <x:v>wave_d05_afternoon</x:v>
      </x:c>
      <x:c r="B55" s="29" t="n">
        <x:v>5</x:v>
      </x:c>
      <x:c r="C55" s="29" t="str">
        <x:v>下午</x:v>
      </x:c>
      <x:c r="D55" s="29" t="n">
        <x:v>5</x:v>
      </x:c>
      <x:c r="E55" s="29" t="str">
        <x:v>pal_073</x:v>
      </x:c>
      <x:c r="F55" s="31" t="str">
        <x:f>IFERROR(VLOOKUP($E55,'02_怪物模板_好读版'!$A:$Z,2,FALSE),"")</x:f>
        <x:v>烽歌龙</x:v>
      </x:c>
      <x:c r="G55" s="31" t="str">
        <x:f>IFERROR(VLOOKUP($E55,'02_怪物模板_好读版'!$A:$Z,3,FALSE),"")</x:f>
        <x:v>火</x:v>
      </x:c>
      <x:c r="H55" s="31" t="str">
        <x:f>IFERROR(VLOOKUP($E55,'02_怪物模板_好读版'!$A:$Z,7,FALSE),"")</x:f>
        <x:v>城堡怪</x:v>
      </x:c>
      <x:c r="I55" s="31" t="n">
        <x:f>IFERROR(VLOOKUP($E55,'02_怪物模板_好读版'!$A:$Z,8,FALSE),0)</x:f>
        <x:v>30</x:v>
      </x:c>
      <x:c r="J55" s="31" t="n">
        <x:f>IFERROR(VLOOKUP($E55,'02_怪物模板_好读版'!$A:$Z,9,FALSE),0)</x:f>
        <x:v>4</x:v>
      </x:c>
      <x:c r="K55" s="31" t="n">
        <x:f>IFERROR(VLOOKUP($E55,'02_怪物模板_好读版'!$A:$Z,10,FALSE),0)</x:f>
        <x:v>0</x:v>
      </x:c>
      <x:c r="L55" s="31" t="n">
        <x:f>IFERROR(VLOOKUP($E55,'02_怪物模板_好读版'!$A:$Z,11,FALSE),0)</x:f>
        <x:v>0</x:v>
      </x:c>
      <x:c r="M55" s="31" t="n">
        <x:f>IFERROR(VLOOKUP($E55,'02_怪物模板_好读版'!$A:$Z,12,FALSE),0)</x:f>
        <x:v>3</x:v>
      </x:c>
      <x:c r="N55" s="29" t="n">
        <x:v>1</x:v>
      </x:c>
      <x:c r="O55" s="29" t="str">
        <x:v>front_cluster</x:v>
      </x:c>
      <x:c r="P55" s="31" t="n">
        <x:f>IFERROR((I55+J55*3+K55*2+L55+M55*5)*N55,0)</x:f>
        <x:v>57</x:v>
      </x:c>
      <x:c r="Q55" s="29" t="str">
        <x:v>第一轮精英压轴，要求稳住 5 回合奖励线。 把“拖着清”的代价抬高到不可忽视。</x:v>
      </x:c>
      <x:c r="R55" s="29" t="str">
        <x:v>城堡-3 / 资源-2 / 经济x0.79</x:v>
      </x:c>
      <x:c r="S55" s="29" t="str">
        <x:v>5回合内高奖；6-10回合每回合-8%；10回合失败</x:v>
      </x:c>
      <x:c r="T55" s="29" t="str"/>
    </x:row>
    <x:row r="56" ht="22" customHeight="1">
      <x:c r="A56" s="29" t="str">
        <x:v>wave_d05_afternoon</x:v>
      </x:c>
      <x:c r="B56" s="29" t="n">
        <x:v>5</x:v>
      </x:c>
      <x:c r="C56" s="29" t="str">
        <x:v>下午</x:v>
      </x:c>
      <x:c r="D56" s="29" t="n">
        <x:v>5</x:v>
      </x:c>
      <x:c r="E56" s="29" t="str">
        <x:v>pal_014</x:v>
      </x:c>
      <x:c r="F56" s="31" t="str">
        <x:f>IFERROR(VLOOKUP($E56,'02_怪物模板_好读版'!$A:$Z,2,FALSE),"")</x:f>
        <x:v>玉藻狐</x:v>
      </x:c>
      <x:c r="G56" s="31" t="str">
        <x:f>IFERROR(VLOOKUP($E56,'02_怪物模板_好读版'!$A:$Z,3,FALSE),"")</x:f>
        <x:v>风</x:v>
      </x:c>
      <x:c r="H56" s="31" t="str">
        <x:f>IFERROR(VLOOKUP($E56,'02_怪物模板_好读版'!$A:$Z,7,FALSE),"")</x:f>
        <x:v>偷奖励怪</x:v>
      </x:c>
      <x:c r="I56" s="31" t="n">
        <x:f>IFERROR(VLOOKUP($E56,'02_怪物模板_好读版'!$A:$Z,8,FALSE),0)</x:f>
        <x:v>15</x:v>
      </x:c>
      <x:c r="J56" s="31" t="n">
        <x:f>IFERROR(VLOOKUP($E56,'02_怪物模板_好读版'!$A:$Z,9,FALSE),0)</x:f>
        <x:v>2</x:v>
      </x:c>
      <x:c r="K56" s="31" t="n">
        <x:f>IFERROR(VLOOKUP($E56,'02_怪物模板_好读版'!$A:$Z,10,FALSE),0)</x:f>
        <x:v>0</x:v>
      </x:c>
      <x:c r="L56" s="31" t="n">
        <x:f>IFERROR(VLOOKUP($E56,'02_怪物模板_好读版'!$A:$Z,11,FALSE),0)</x:f>
        <x:v>0</x:v>
      </x:c>
      <x:c r="M56" s="31" t="n">
        <x:f>IFERROR(VLOOKUP($E56,'02_怪物模板_好读版'!$A:$Z,12,FALSE),0)</x:f>
        <x:v>4</x:v>
      </x:c>
      <x:c r="N56" s="29" t="n">
        <x:v>1</x:v>
      </x:c>
      <x:c r="O56" s="29" t="str">
        <x:v>back_corner</x:v>
      </x:c>
      <x:c r="P56" s="31" t="n">
        <x:f>IFERROR((I56+J56*3+K56*2+L56+M56*5)*N56,0)</x:f>
        <x:v>41</x:v>
      </x:c>
      <x:c r="Q56" s="29" t="str">
        <x:v>第一轮精英压轴，要求稳住 5 回合奖励线。 第一次把高奖励目标和击杀顺序绑定。</x:v>
      </x:c>
      <x:c r="R56" s="29" t="str">
        <x:v>城堡-3 / 资源-2 / 经济x0.79</x:v>
      </x:c>
      <x:c r="S56" s="29" t="str">
        <x:v>该怪存活每回合额外掉奖；5回合内高奖；6-10回合每回合-8%；10回合失败</x:v>
      </x:c>
      <x:c r="T56" s="29" t="str"/>
    </x:row>
    <x:row r="57" ht="22" customHeight="1">
      <x:c r="A57" s="29" t="str">
        <x:v>wave_d06_morning</x:v>
      </x:c>
      <x:c r="B57" s="29" t="n">
        <x:v>6</x:v>
      </x:c>
      <x:c r="C57" s="29" t="str">
        <x:v>上午</x:v>
      </x:c>
      <x:c r="D57" s="29" t="n">
        <x:v>1</x:v>
      </x:c>
      <x:c r="E57" s="29" t="str">
        <x:v>pal_006</x:v>
      </x:c>
      <x:c r="F57" s="31" t="str">
        <x:f>IFERROR(VLOOKUP($E57,'02_怪物模板_好读版'!$A:$Z,2,FALSE),"")</x:f>
        <x:v>冲浪鸭</x:v>
      </x:c>
      <x:c r="G57" s="31" t="str">
        <x:f>IFERROR(VLOOKUP($E57,'02_怪物模板_好读版'!$A:$Z,3,FALSE),"")</x:f>
        <x:v>水</x:v>
      </x:c>
      <x:c r="H57" s="31" t="str">
        <x:f>IFERROR(VLOOKUP($E57,'02_怪物模板_好读版'!$A:$Z,7,FALSE),"")</x:f>
        <x:v>小怪</x:v>
      </x:c>
      <x:c r="I57" s="31" t="n">
        <x:f>IFERROR(VLOOKUP($E57,'02_怪物模板_好读版'!$A:$Z,8,FALSE),0)</x:f>
        <x:v>10</x:v>
      </x:c>
      <x:c r="J57" s="31" t="n">
        <x:f>IFERROR(VLOOKUP($E57,'02_怪物模板_好读版'!$A:$Z,9,FALSE),0)</x:f>
        <x:v>2</x:v>
      </x:c>
      <x:c r="K57" s="31" t="n">
        <x:f>IFERROR(VLOOKUP($E57,'02_怪物模板_好读版'!$A:$Z,10,FALSE),0)</x:f>
        <x:v>0</x:v>
      </x:c>
      <x:c r="L57" s="31" t="n">
        <x:f>IFERROR(VLOOKUP($E57,'02_怪物模板_好读版'!$A:$Z,11,FALSE),0)</x:f>
        <x:v>0</x:v>
      </x:c>
      <x:c r="M57" s="31" t="n">
        <x:f>IFERROR(VLOOKUP($E57,'02_怪物模板_好读版'!$A:$Z,12,FALSE),0)</x:f>
        <x:v>3</x:v>
      </x:c>
      <x:c r="N57" s="29" t="n">
        <x:v>1</x:v>
      </x:c>
      <x:c r="O57" s="29" t="str">
        <x:v>front_split</x:v>
      </x:c>
      <x:c r="P57" s="31" t="n">
        <x:f>IFERROR((I57+J57*3+K57*2+L57+M57*5)*N57,0)</x:f>
        <x:v>31</x:v>
      </x:c>
      <x:c r="Q57" s="29" t="str">
        <x:v>中期组合题成形，要同时兼顾偷奖、回盾和精英伤害。 让玩家重视持续性惩罚，而不是只看当前伤害。</x:v>
      </x:c>
      <x:c r="R57" s="29" t="str">
        <x:v>城堡-2 / 资源-2 / 经济x0.8</x:v>
      </x:c>
      <x:c r="S57" s="29" t="str">
        <x:v>5回合内高奖；6-10回合每回合-7%；10回合失败</x:v>
      </x:c>
      <x:c r="T57" s="29" t="str"/>
    </x:row>
    <x:row r="58" ht="22" customHeight="1">
      <x:c r="A58" s="29" t="str">
        <x:v>wave_d06_morning</x:v>
      </x:c>
      <x:c r="B58" s="29" t="n">
        <x:v>6</x:v>
      </x:c>
      <x:c r="C58" s="29" t="str">
        <x:v>上午</x:v>
      </x:c>
      <x:c r="D58" s="29" t="n">
        <x:v>1</x:v>
      </x:c>
      <x:c r="E58" s="29" t="str">
        <x:v>pal_001</x:v>
      </x:c>
      <x:c r="F58" s="31" t="str">
        <x:f>IFERROR(VLOOKUP($E58,'02_怪物模板_好读版'!$A:$Z,2,FALSE),"")</x:f>
        <x:v>棉悠悠</x:v>
      </x:c>
      <x:c r="G58" s="31" t="str">
        <x:f>IFERROR(VLOOKUP($E58,'02_怪物模板_好读版'!$A:$Z,3,FALSE),"")</x:f>
        <x:v>风</x:v>
      </x:c>
      <x:c r="H58" s="31" t="str">
        <x:f>IFERROR(VLOOKUP($E58,'02_怪物模板_好读版'!$A:$Z,7,FALSE),"")</x:f>
        <x:v>小怪</x:v>
      </x:c>
      <x:c r="I58" s="31" t="n">
        <x:f>IFERROR(VLOOKUP($E58,'02_怪物模板_好读版'!$A:$Z,8,FALSE),0)</x:f>
        <x:v>6</x:v>
      </x:c>
      <x:c r="J58" s="31" t="n">
        <x:f>IFERROR(VLOOKUP($E58,'02_怪物模板_好读版'!$A:$Z,9,FALSE),0)</x:f>
        <x:v>1</x:v>
      </x:c>
      <x:c r="K58" s="31" t="n">
        <x:f>IFERROR(VLOOKUP($E58,'02_怪物模板_好读版'!$A:$Z,10,FALSE),0)</x:f>
        <x:v>0</x:v>
      </x:c>
      <x:c r="L58" s="31" t="n">
        <x:f>IFERROR(VLOOKUP($E58,'02_怪物模板_好读版'!$A:$Z,11,FALSE),0)</x:f>
        <x:v>0</x:v>
      </x:c>
      <x:c r="M58" s="31" t="n">
        <x:f>IFERROR(VLOOKUP($E58,'02_怪物模板_好读版'!$A:$Z,12,FALSE),0)</x:f>
        <x:v>3</x:v>
      </x:c>
      <x:c r="N58" s="29" t="n">
        <x:v>1</x:v>
      </x:c>
      <x:c r="O58" s="29" t="str">
        <x:v>front_split</x:v>
      </x:c>
      <x:c r="P58" s="31" t="n">
        <x:f>IFERROR((I58+J58*3+K58*2+L58+M58*5)*N58,0)</x:f>
        <x:v>24</x:v>
      </x:c>
      <x:c r="Q58" s="29" t="str">
        <x:v>中期组合题成形，要同时兼顾偷奖、回盾和精英伤害。 提供低血爽杀，保证玩家每回合都有明确可清目标。</x:v>
      </x:c>
      <x:c r="R58" s="29" t="str">
        <x:v>城堡-2 / 资源-2 / 经济x0.8</x:v>
      </x:c>
      <x:c r="S58" s="29" t="str">
        <x:v>5回合内高奖；6-10回合每回合-7%；10回合失败</x:v>
      </x:c>
      <x:c r="T58" s="29" t="str"/>
    </x:row>
    <x:row r="59" ht="22" customHeight="1">
      <x:c r="A59" s="29" t="str">
        <x:v>wave_d06_morning</x:v>
      </x:c>
      <x:c r="B59" s="29" t="n">
        <x:v>6</x:v>
      </x:c>
      <x:c r="C59" s="29" t="str">
        <x:v>上午</x:v>
      </x:c>
      <x:c r="D59" s="29" t="n">
        <x:v>2</x:v>
      </x:c>
      <x:c r="E59" s="29" t="str">
        <x:v>pal_023</x:v>
      </x:c>
      <x:c r="F59" s="31" t="str">
        <x:f>IFERROR(VLOOKUP($E59,'02_怪物模板_好读版'!$A:$Z,2,FALSE),"")</x:f>
        <x:v>勾魂鱿</x:v>
      </x:c>
      <x:c r="G59" s="31" t="str">
        <x:f>IFERROR(VLOOKUP($E59,'02_怪物模板_好读版'!$A:$Z,3,FALSE),"")</x:f>
        <x:v>土</x:v>
      </x:c>
      <x:c r="H59" s="31" t="str">
        <x:f>IFERROR(VLOOKUP($E59,'02_怪物模板_好读版'!$A:$Z,7,FALSE),"")</x:f>
        <x:v>护盾怪</x:v>
      </x:c>
      <x:c r="I59" s="31" t="n">
        <x:f>IFERROR(VLOOKUP($E59,'02_怪物模板_好读版'!$A:$Z,8,FALSE),0)</x:f>
        <x:v>25</x:v>
      </x:c>
      <x:c r="J59" s="31" t="n">
        <x:f>IFERROR(VLOOKUP($E59,'02_怪物模板_好读版'!$A:$Z,9,FALSE),0)</x:f>
        <x:v>2</x:v>
      </x:c>
      <x:c r="K59" s="31" t="n">
        <x:f>IFERROR(VLOOKUP($E59,'02_怪物模板_好读版'!$A:$Z,10,FALSE),0)</x:f>
        <x:v>0</x:v>
      </x:c>
      <x:c r="L59" s="31" t="n">
        <x:f>IFERROR(VLOOKUP($E59,'02_怪物模板_好读版'!$A:$Z,11,FALSE),0)</x:f>
        <x:v>6</x:v>
      </x:c>
      <x:c r="M59" s="31" t="n">
        <x:f>IFERROR(VLOOKUP($E59,'02_怪物模板_好读版'!$A:$Z,12,FALSE),0)</x:f>
        <x:v>3</x:v>
      </x:c>
      <x:c r="N59" s="29" t="n">
        <x:v>1</x:v>
      </x:c>
      <x:c r="O59" s="29" t="str">
        <x:v>mid_cluster</x:v>
      </x:c>
      <x:c r="P59" s="31" t="n">
        <x:f>IFERROR((I59+J59*3+K59*2+L59+M59*5)*N59,0)</x:f>
        <x:v>52</x:v>
      </x:c>
      <x:c r="Q59" s="29" t="str">
        <x:v>中期组合题成形，要同时兼顾偷奖、回盾和精英伤害。 把“晚一回合处理代价变高”具体化给玩家。</x:v>
      </x:c>
      <x:c r="R59" s="29" t="str">
        <x:v>城堡-2 / 资源-2 / 经济x0.8</x:v>
      </x:c>
      <x:c r="S59" s="29" t="str">
        <x:v>5回合内高奖；6-10回合每回合-7%；10回合失败</x:v>
      </x:c>
      <x:c r="T59" s="29" t="str"/>
    </x:row>
    <x:row r="60" ht="22" customHeight="1">
      <x:c r="A60" s="29" t="str">
        <x:v>wave_d06_morning</x:v>
      </x:c>
      <x:c r="B60" s="29" t="n">
        <x:v>6</x:v>
      </x:c>
      <x:c r="C60" s="29" t="str">
        <x:v>上午</x:v>
      </x:c>
      <x:c r="D60" s="29" t="n">
        <x:v>3</x:v>
      </x:c>
      <x:c r="E60" s="29" t="str">
        <x:v>pal_029</x:v>
      </x:c>
      <x:c r="F60" s="31" t="str">
        <x:f>IFERROR(VLOOKUP($E60,'02_怪物模板_好读版'!$A:$Z,2,FALSE),"")</x:f>
        <x:v>波霸牛</x:v>
      </x:c>
      <x:c r="G60" s="31" t="str">
        <x:f>IFERROR(VLOOKUP($E60,'02_怪物模板_好读版'!$A:$Z,3,FALSE),"")</x:f>
        <x:v>风</x:v>
      </x:c>
      <x:c r="H60" s="31" t="str">
        <x:f>IFERROR(VLOOKUP($E60,'02_怪物模板_好读版'!$A:$Z,7,FALSE),"")</x:f>
        <x:v>光环怪</x:v>
      </x:c>
      <x:c r="I60" s="31" t="n">
        <x:f>IFERROR(VLOOKUP($E60,'02_怪物模板_好读版'!$A:$Z,8,FALSE),0)</x:f>
        <x:v>25</x:v>
      </x:c>
      <x:c r="J60" s="31" t="n">
        <x:f>IFERROR(VLOOKUP($E60,'02_怪物模板_好读版'!$A:$Z,9,FALSE),0)</x:f>
        <x:v>2</x:v>
      </x:c>
      <x:c r="K60" s="31" t="n">
        <x:f>IFERROR(VLOOKUP($E60,'02_怪物模板_好读版'!$A:$Z,10,FALSE),0)</x:f>
        <x:v>0</x:v>
      </x:c>
      <x:c r="L60" s="31" t="n">
        <x:f>IFERROR(VLOOKUP($E60,'02_怪物模板_好读版'!$A:$Z,11,FALSE),0)</x:f>
        <x:v>6</x:v>
      </x:c>
      <x:c r="M60" s="31" t="n">
        <x:f>IFERROR(VLOOKUP($E60,'02_怪物模板_好读版'!$A:$Z,12,FALSE),0)</x:f>
        <x:v>3</x:v>
      </x:c>
      <x:c r="N60" s="29" t="n">
        <x:v>1</x:v>
      </x:c>
      <x:c r="O60" s="29" t="str">
        <x:v>back_protected</x:v>
      </x:c>
      <x:c r="P60" s="31" t="n">
        <x:f>IFERROR((I60+J60*3+K60*2+L60+M60*5)*N60,0)</x:f>
        <x:v>52</x:v>
      </x:c>
      <x:c r="Q60" s="29" t="str">
        <x:v>中期组合题成形，要同时兼顾偷奖、回盾和精英伤害。 把减行动和群体增益同时压给玩家。</x:v>
      </x:c>
      <x:c r="R60" s="29" t="str">
        <x:v>城堡-2 / 资源-2 / 经济x0.8</x:v>
      </x:c>
      <x:c r="S60" s="29" t="str">
        <x:v>5回合内高奖；6-10回合每回合-7%；10回合失败</x:v>
      </x:c>
      <x:c r="T60" s="29" t="str"/>
    </x:row>
    <x:row r="61" ht="22" customHeight="1">
      <x:c r="A61" s="29" t="str">
        <x:v>wave_d06_morning</x:v>
      </x:c>
      <x:c r="B61" s="29" t="n">
        <x:v>6</x:v>
      </x:c>
      <x:c r="C61" s="29" t="str">
        <x:v>上午</x:v>
      </x:c>
      <x:c r="D61" s="29" t="n">
        <x:v>4</x:v>
      </x:c>
      <x:c r="E61" s="29" t="str">
        <x:v>pal_089</x:v>
      </x:c>
      <x:c r="F61" s="31" t="str">
        <x:f>IFERROR(VLOOKUP($E61,'02_怪物模板_好读版'!$A:$Z,2,FALSE),"")</x:f>
        <x:v>狱焰王</x:v>
      </x:c>
      <x:c r="G61" s="31" t="str">
        <x:f>IFERROR(VLOOKUP($E61,'02_怪物模板_好读版'!$A:$Z,3,FALSE),"")</x:f>
        <x:v>火</x:v>
      </x:c>
      <x:c r="H61" s="31" t="str">
        <x:f>IFERROR(VLOOKUP($E61,'02_怪物模板_好读版'!$A:$Z,7,FALSE),"")</x:f>
        <x:v>精英怪</x:v>
      </x:c>
      <x:c r="I61" s="31" t="n">
        <x:f>IFERROR(VLOOKUP($E61,'02_怪物模板_好读版'!$A:$Z,8,FALSE),0)</x:f>
        <x:v>40</x:v>
      </x:c>
      <x:c r="J61" s="31" t="n">
        <x:f>IFERROR(VLOOKUP($E61,'02_怪物模板_好读版'!$A:$Z,9,FALSE),0)</x:f>
        <x:v>5</x:v>
      </x:c>
      <x:c r="K61" s="31" t="n">
        <x:f>IFERROR(VLOOKUP($E61,'02_怪物模板_好读版'!$A:$Z,10,FALSE),0)</x:f>
        <x:v>0</x:v>
      </x:c>
      <x:c r="L61" s="31" t="n">
        <x:f>IFERROR(VLOOKUP($E61,'02_怪物模板_好读版'!$A:$Z,11,FALSE),0)</x:f>
        <x:v>10</x:v>
      </x:c>
      <x:c r="M61" s="31" t="n">
        <x:f>IFERROR(VLOOKUP($E61,'02_怪物模板_好读版'!$A:$Z,12,FALSE),0)</x:f>
        <x:v>4</x:v>
      </x:c>
      <x:c r="N61" s="29" t="n">
        <x:v>1</x:v>
      </x:c>
      <x:c r="O61" s="29" t="str">
        <x:v>escort_backline</x:v>
      </x:c>
      <x:c r="P61" s="31" t="n">
        <x:f>IFERROR((I61+J61*3+K61*2+L61+M61*5)*N61,0)</x:f>
        <x:v>85</x:v>
      </x:c>
      <x:c r="Q61" s="29" t="str">
        <x:v>中期组合题成形，要同时兼顾偷奖、回盾和精英伤害。 把中期阵容的容错空间压到真实战斗水平。</x:v>
      </x:c>
      <x:c r="R61" s="29" t="str">
        <x:v>城堡-2 / 资源-2 / 经济x0.8</x:v>
      </x:c>
      <x:c r="S61" s="29" t="str">
        <x:v>5回合内高奖；6-10回合每回合-7%；10回合失败</x:v>
      </x:c>
      <x:c r="T61" s="29" t="str"/>
    </x:row>
    <x:row r="62" ht="22" customHeight="1">
      <x:c r="A62" s="29" t="str">
        <x:v>wave_d06_morning</x:v>
      </x:c>
      <x:c r="B62" s="29" t="n">
        <x:v>6</x:v>
      </x:c>
      <x:c r="C62" s="29" t="str">
        <x:v>上午</x:v>
      </x:c>
      <x:c r="D62" s="29" t="n">
        <x:v>4</x:v>
      </x:c>
      <x:c r="E62" s="29" t="str">
        <x:v>pal_068</x:v>
      </x:c>
      <x:c r="F62" s="31" t="str">
        <x:f>IFERROR(VLOOKUP($E62,'02_怪物模板_好读版'!$A:$Z,2,FALSE),"")</x:f>
        <x:v>噬魂兽</x:v>
      </x:c>
      <x:c r="G62" s="31" t="str">
        <x:f>IFERROR(VLOOKUP($E62,'02_怪物模板_好读版'!$A:$Z,3,FALSE),"")</x:f>
        <x:v>土</x:v>
      </x:c>
      <x:c r="H62" s="31" t="str">
        <x:f>IFERROR(VLOOKUP($E62,'02_怪物模板_好读版'!$A:$Z,7,FALSE),"")</x:f>
        <x:v>城堡怪</x:v>
      </x:c>
      <x:c r="I62" s="31" t="n">
        <x:f>IFERROR(VLOOKUP($E62,'02_怪物模板_好读版'!$A:$Z,8,FALSE),0)</x:f>
        <x:v>25</x:v>
      </x:c>
      <x:c r="J62" s="31" t="n">
        <x:f>IFERROR(VLOOKUP($E62,'02_怪物模板_好读版'!$A:$Z,9,FALSE),0)</x:f>
        <x:v>3</x:v>
      </x:c>
      <x:c r="K62" s="31" t="n">
        <x:f>IFERROR(VLOOKUP($E62,'02_怪物模板_好读版'!$A:$Z,10,FALSE),0)</x:f>
        <x:v>0</x:v>
      </x:c>
      <x:c r="L62" s="31" t="n">
        <x:f>IFERROR(VLOOKUP($E62,'02_怪物模板_好读版'!$A:$Z,11,FALSE),0)</x:f>
        <x:v>0</x:v>
      </x:c>
      <x:c r="M62" s="31" t="n">
        <x:f>IFERROR(VLOOKUP($E62,'02_怪物模板_好读版'!$A:$Z,12,FALSE),0)</x:f>
        <x:v>2</x:v>
      </x:c>
      <x:c r="N62" s="29" t="n">
        <x:v>1</x:v>
      </x:c>
      <x:c r="O62" s="29" t="str">
        <x:v>front_cluster</x:v>
      </x:c>
      <x:c r="P62" s="31" t="n">
        <x:f>IFERROR((I62+J62*3+K62*2+L62+M62*5)*N62,0)</x:f>
        <x:v>44</x:v>
      </x:c>
      <x:c r="Q62" s="29" t="str">
        <x:v>中期组合题成形，要同时兼顾偷奖、回盾和精英伤害。 把失败惩罚提前暴露给玩家。</x:v>
      </x:c>
      <x:c r="R62" s="29" t="str">
        <x:v>城堡-2 / 资源-2 / 经济x0.8</x:v>
      </x:c>
      <x:c r="S62" s="29" t="str">
        <x:v>5回合内高奖；6-10回合每回合-7%；10回合失败</x:v>
      </x:c>
      <x:c r="T62" s="29" t="str"/>
    </x:row>
    <x:row r="63" ht="22" customHeight="1">
      <x:c r="A63" s="29" t="str">
        <x:v>wave_d06_morning</x:v>
      </x:c>
      <x:c r="B63" s="29" t="n">
        <x:v>6</x:v>
      </x:c>
      <x:c r="C63" s="29" t="str">
        <x:v>上午</x:v>
      </x:c>
      <x:c r="D63" s="29" t="n">
        <x:v>5</x:v>
      </x:c>
      <x:c r="E63" s="29" t="str">
        <x:v>pal_026</x:v>
      </x:c>
      <x:c r="F63" s="31" t="str">
        <x:f>IFERROR(VLOOKUP($E63,'02_怪物模板_好读版'!$A:$Z,2,FALSE),"")</x:f>
        <x:v>猎狼</x:v>
      </x:c>
      <x:c r="G63" s="31" t="str">
        <x:f>IFERROR(VLOOKUP($E63,'02_怪物模板_好读版'!$A:$Z,3,FALSE),"")</x:f>
        <x:v>风</x:v>
      </x:c>
      <x:c r="H63" s="31" t="str">
        <x:f>IFERROR(VLOOKUP($E63,'02_怪物模板_好读版'!$A:$Z,7,FALSE),"")</x:f>
        <x:v>偷奖励怪</x:v>
      </x:c>
      <x:c r="I63" s="31" t="n">
        <x:f>IFERROR(VLOOKUP($E63,'02_怪物模板_好读版'!$A:$Z,8,FALSE),0)</x:f>
        <x:v>20</x:v>
      </x:c>
      <x:c r="J63" s="31" t="n">
        <x:f>IFERROR(VLOOKUP($E63,'02_怪物模板_好读版'!$A:$Z,9,FALSE),0)</x:f>
        <x:v>3</x:v>
      </x:c>
      <x:c r="K63" s="31" t="n">
        <x:f>IFERROR(VLOOKUP($E63,'02_怪物模板_好读版'!$A:$Z,10,FALSE),0)</x:f>
        <x:v>0</x:v>
      </x:c>
      <x:c r="L63" s="31" t="n">
        <x:f>IFERROR(VLOOKUP($E63,'02_怪物模板_好读版'!$A:$Z,11,FALSE),0)</x:f>
        <x:v>6</x:v>
      </x:c>
      <x:c r="M63" s="31" t="n">
        <x:f>IFERROR(VLOOKUP($E63,'02_怪物模板_好读版'!$A:$Z,12,FALSE),0)</x:f>
        <x:v>4</x:v>
      </x:c>
      <x:c r="N63" s="29" t="n">
        <x:v>1</x:v>
      </x:c>
      <x:c r="O63" s="29" t="str">
        <x:v>back_corner</x:v>
      </x:c>
      <x:c r="P63" s="31" t="n">
        <x:f>IFERROR((I63+J63*3+K63*2+L63+M63*5)*N63,0)</x:f>
        <x:v>55</x:v>
      </x:c>
      <x:c r="Q63" s="29" t="str">
        <x:v>中期组合题成形，要同时兼顾偷奖、回盾和精英伤害。 把奖励题升级成真正的阵容完整性检查。</x:v>
      </x:c>
      <x:c r="R63" s="29" t="str">
        <x:v>城堡-2 / 资源-2 / 经济x0.8</x:v>
      </x:c>
      <x:c r="S63" s="29" t="str">
        <x:v>该怪存活每回合额外掉奖；5回合内高奖；6-10回合每回合-7%；10回合失败</x:v>
      </x:c>
      <x:c r="T63" s="29" t="str"/>
    </x:row>
    <x:row r="64" ht="22" customHeight="1">
      <x:c r="A64" s="29" t="str">
        <x:v>wave_d06_afternoon</x:v>
      </x:c>
      <x:c r="B64" s="29" t="n">
        <x:v>6</x:v>
      </x:c>
      <x:c r="C64" s="29" t="str">
        <x:v>下午</x:v>
      </x:c>
      <x:c r="D64" s="29" t="n">
        <x:v>1</x:v>
      </x:c>
      <x:c r="E64" s="29" t="str">
        <x:v>pal_003</x:v>
      </x:c>
      <x:c r="F64" s="31" t="str">
        <x:f>IFERROR(VLOOKUP($E64,'02_怪物模板_好读版'!$A:$Z,2,FALSE),"")</x:f>
        <x:v>皮皮鸡</x:v>
      </x:c>
      <x:c r="G64" s="31" t="str">
        <x:f>IFERROR(VLOOKUP($E64,'02_怪物模板_好读版'!$A:$Z,3,FALSE),"")</x:f>
        <x:v>风</x:v>
      </x:c>
      <x:c r="H64" s="31" t="str">
        <x:f>IFERROR(VLOOKUP($E64,'02_怪物模板_好读版'!$A:$Z,7,FALSE),"")</x:f>
        <x:v>小怪</x:v>
      </x:c>
      <x:c r="I64" s="31" t="n">
        <x:f>IFERROR(VLOOKUP($E64,'02_怪物模板_好读版'!$A:$Z,8,FALSE),0)</x:f>
        <x:v>10</x:v>
      </x:c>
      <x:c r="J64" s="31" t="n">
        <x:f>IFERROR(VLOOKUP($E64,'02_怪物模板_好读版'!$A:$Z,9,FALSE),0)</x:f>
        <x:v>3</x:v>
      </x:c>
      <x:c r="K64" s="31" t="n">
        <x:f>IFERROR(VLOOKUP($E64,'02_怪物模板_好读版'!$A:$Z,10,FALSE),0)</x:f>
        <x:v>0</x:v>
      </x:c>
      <x:c r="L64" s="31" t="n">
        <x:f>IFERROR(VLOOKUP($E64,'02_怪物模板_好读版'!$A:$Z,11,FALSE),0)</x:f>
        <x:v>0</x:v>
      </x:c>
      <x:c r="M64" s="31" t="n">
        <x:f>IFERROR(VLOOKUP($E64,'02_怪物模板_好读版'!$A:$Z,12,FALSE),0)</x:f>
        <x:v>3</x:v>
      </x:c>
      <x:c r="N64" s="29" t="n">
        <x:v>1</x:v>
      </x:c>
      <x:c r="O64" s="29" t="str">
        <x:v>front_split</x:v>
      </x:c>
      <x:c r="P64" s="31" t="n">
        <x:f>IFERROR((I64+J64*3+K64*2+L64+M64*5)*N64,0)</x:f>
        <x:v>34</x:v>
      </x:c>
      <x:c r="Q64" s="29" t="str">
        <x:v>开始出现多机制同波压场，测试整体阵容厚度。 把本来可以拖的杂兵变成必须先收的扰动源。</x:v>
      </x:c>
      <x:c r="R64" s="29" t="str">
        <x:v>城堡-3 / 资源-2 / 经济x0.77</x:v>
      </x:c>
      <x:c r="S64" s="29" t="str">
        <x:v>5回合内高奖；6-10回合每回合-8%；10回合失败</x:v>
      </x:c>
      <x:c r="T64" s="29" t="str"/>
    </x:row>
    <x:row r="65" ht="22" customHeight="1">
      <x:c r="A65" s="29" t="str">
        <x:v>wave_d06_afternoon</x:v>
      </x:c>
      <x:c r="B65" s="29" t="n">
        <x:v>6</x:v>
      </x:c>
      <x:c r="C65" s="29" t="str">
        <x:v>下午</x:v>
      </x:c>
      <x:c r="D65" s="29" t="n">
        <x:v>2</x:v>
      </x:c>
      <x:c r="E65" s="29" t="str">
        <x:v>pal_029</x:v>
      </x:c>
      <x:c r="F65" s="31" t="str">
        <x:f>IFERROR(VLOOKUP($E65,'02_怪物模板_好读版'!$A:$Z,2,FALSE),"")</x:f>
        <x:v>波霸牛</x:v>
      </x:c>
      <x:c r="G65" s="31" t="str">
        <x:f>IFERROR(VLOOKUP($E65,'02_怪物模板_好读版'!$A:$Z,3,FALSE),"")</x:f>
        <x:v>风</x:v>
      </x:c>
      <x:c r="H65" s="31" t="str">
        <x:f>IFERROR(VLOOKUP($E65,'02_怪物模板_好读版'!$A:$Z,7,FALSE),"")</x:f>
        <x:v>光环怪</x:v>
      </x:c>
      <x:c r="I65" s="31" t="n">
        <x:f>IFERROR(VLOOKUP($E65,'02_怪物模板_好读版'!$A:$Z,8,FALSE),0)</x:f>
        <x:v>25</x:v>
      </x:c>
      <x:c r="J65" s="31" t="n">
        <x:f>IFERROR(VLOOKUP($E65,'02_怪物模板_好读版'!$A:$Z,9,FALSE),0)</x:f>
        <x:v>2</x:v>
      </x:c>
      <x:c r="K65" s="31" t="n">
        <x:f>IFERROR(VLOOKUP($E65,'02_怪物模板_好读版'!$A:$Z,10,FALSE),0)</x:f>
        <x:v>0</x:v>
      </x:c>
      <x:c r="L65" s="31" t="n">
        <x:f>IFERROR(VLOOKUP($E65,'02_怪物模板_好读版'!$A:$Z,11,FALSE),0)</x:f>
        <x:v>6</x:v>
      </x:c>
      <x:c r="M65" s="31" t="n">
        <x:f>IFERROR(VLOOKUP($E65,'02_怪物模板_好读版'!$A:$Z,12,FALSE),0)</x:f>
        <x:v>3</x:v>
      </x:c>
      <x:c r="N65" s="29" t="n">
        <x:v>1</x:v>
      </x:c>
      <x:c r="O65" s="29" t="str">
        <x:v>back_protected</x:v>
      </x:c>
      <x:c r="P65" s="31" t="n">
        <x:f>IFERROR((I65+J65*3+K65*2+L65+M65*5)*N65,0)</x:f>
        <x:v>52</x:v>
      </x:c>
      <x:c r="Q65" s="29" t="str">
        <x:v>开始出现多机制同波压场，测试整体阵容厚度。 把减行动和群体增益同时压给玩家。</x:v>
      </x:c>
      <x:c r="R65" s="29" t="str">
        <x:v>城堡-3 / 资源-2 / 经济x0.77</x:v>
      </x:c>
      <x:c r="S65" s="29" t="str">
        <x:v>5回合内高奖；6-10回合每回合-8%；10回合失败</x:v>
      </x:c>
      <x:c r="T65" s="29" t="str"/>
    </x:row>
    <x:row r="66" ht="22" customHeight="1">
      <x:c r="A66" s="29" t="str">
        <x:v>wave_d06_afternoon</x:v>
      </x:c>
      <x:c r="B66" s="29" t="n">
        <x:v>6</x:v>
      </x:c>
      <x:c r="C66" s="29" t="str">
        <x:v>下午</x:v>
      </x:c>
      <x:c r="D66" s="29" t="n">
        <x:v>3</x:v>
      </x:c>
      <x:c r="E66" s="29" t="str">
        <x:v>pal_055</x:v>
      </x:c>
      <x:c r="F66" s="31" t="str">
        <x:f>IFERROR(VLOOKUP($E66,'02_怪物模板_好读版'!$A:$Z,2,FALSE),"")</x:f>
        <x:v>疾旋鼬</x:v>
      </x:c>
      <x:c r="G66" s="31" t="str">
        <x:f>IFERROR(VLOOKUP($E66,'02_怪物模板_好读版'!$A:$Z,3,FALSE),"")</x:f>
        <x:v>水</x:v>
      </x:c>
      <x:c r="H66" s="31" t="str">
        <x:f>IFERROR(VLOOKUP($E66,'02_怪物模板_好读版'!$A:$Z,7,FALSE),"")</x:f>
        <x:v>召唤怪</x:v>
      </x:c>
      <x:c r="I66" s="31" t="n">
        <x:f>IFERROR(VLOOKUP($E66,'02_怪物模板_好读版'!$A:$Z,8,FALSE),0)</x:f>
        <x:v>30</x:v>
      </x:c>
      <x:c r="J66" s="31" t="n">
        <x:f>IFERROR(VLOOKUP($E66,'02_怪物模板_好读版'!$A:$Z,9,FALSE),0)</x:f>
        <x:v>2</x:v>
      </x:c>
      <x:c r="K66" s="31" t="n">
        <x:f>IFERROR(VLOOKUP($E66,'02_怪物模板_好读版'!$A:$Z,10,FALSE),0)</x:f>
        <x:v>0</x:v>
      </x:c>
      <x:c r="L66" s="31" t="n">
        <x:f>IFERROR(VLOOKUP($E66,'02_怪物模板_好读版'!$A:$Z,11,FALSE),0)</x:f>
        <x:v>6</x:v>
      </x:c>
      <x:c r="M66" s="31" t="n">
        <x:f>IFERROR(VLOOKUP($E66,'02_怪物模板_好读版'!$A:$Z,12,FALSE),0)</x:f>
        <x:v>3</x:v>
      </x:c>
      <x:c r="N66" s="29" t="n">
        <x:v>1</x:v>
      </x:c>
      <x:c r="O66" s="29" t="str">
        <x:v>mid_cluster</x:v>
      </x:c>
      <x:c r="P66" s="31" t="n">
        <x:f>IFERROR((I66+J66*3+K66*2+L66+M66*5)*N66,0)</x:f>
        <x:v>57</x:v>
      </x:c>
      <x:c r="Q66" s="29" t="str">
        <x:v>开始出现多机制同波压场，测试整体阵容厚度。 把召唤题和轻盾题捆在一起。</x:v>
      </x:c>
      <x:c r="R66" s="29" t="str">
        <x:v>城堡-3 / 资源-2 / 经济x0.77</x:v>
      </x:c>
      <x:c r="S66" s="29" t="str">
        <x:v>5回合内高奖；6-10回合每回合-8%；10回合失败</x:v>
      </x:c>
      <x:c r="T66" s="29" t="str"/>
    </x:row>
    <x:row r="67" ht="22" customHeight="1">
      <x:c r="A67" s="29" t="str">
        <x:v>wave_d06_afternoon</x:v>
      </x:c>
      <x:c r="B67" s="29" t="n">
        <x:v>6</x:v>
      </x:c>
      <x:c r="C67" s="29" t="str">
        <x:v>下午</x:v>
      </x:c>
      <x:c r="D67" s="29" t="n">
        <x:v>3</x:v>
      </x:c>
      <x:c r="E67" s="29" t="str">
        <x:v>pal_097</x:v>
      </x:c>
      <x:c r="F67" s="31" t="str">
        <x:f>IFERROR(VLOOKUP($E67,'02_怪物模板_好读版'!$A:$Z,2,FALSE),"")</x:f>
        <x:v>寒霜兽</x:v>
      </x:c>
      <x:c r="G67" s="31" t="str">
        <x:f>IFERROR(VLOOKUP($E67,'02_怪物模板_好读版'!$A:$Z,3,FALSE),"")</x:f>
        <x:v>水</x:v>
      </x:c>
      <x:c r="H67" s="31" t="str">
        <x:f>IFERROR(VLOOKUP($E67,'02_怪物模板_好读版'!$A:$Z,7,FALSE),"")</x:f>
        <x:v>限伤怪</x:v>
      </x:c>
      <x:c r="I67" s="31" t="n">
        <x:f>IFERROR(VLOOKUP($E67,'02_怪物模板_好读版'!$A:$Z,8,FALSE),0)</x:f>
        <x:v>40</x:v>
      </x:c>
      <x:c r="J67" s="31" t="n">
        <x:f>IFERROR(VLOOKUP($E67,'02_怪物模板_好读版'!$A:$Z,9,FALSE),0)</x:f>
        <x:v>3</x:v>
      </x:c>
      <x:c r="K67" s="31" t="n">
        <x:f>IFERROR(VLOOKUP($E67,'02_怪物模板_好读版'!$A:$Z,10,FALSE),0)</x:f>
        <x:v>0</x:v>
      </x:c>
      <x:c r="L67" s="31" t="n">
        <x:f>IFERROR(VLOOKUP($E67,'02_怪物模板_好读版'!$A:$Z,11,FALSE),0)</x:f>
        <x:v>6</x:v>
      </x:c>
      <x:c r="M67" s="31" t="n">
        <x:f>IFERROR(VLOOKUP($E67,'02_怪物模板_好读版'!$A:$Z,12,FALSE),0)</x:f>
        <x:v>3</x:v>
      </x:c>
      <x:c r="N67" s="29" t="n">
        <x:v>1</x:v>
      </x:c>
      <x:c r="O67" s="29" t="str">
        <x:v>front_cluster</x:v>
      </x:c>
      <x:c r="P67" s="31" t="n">
        <x:f>IFERROR((I67+J67*3+K67*2+L67+M67*5)*N67,0)</x:f>
        <x:v>70</x:v>
      </x:c>
      <x:c r="Q67" s="29" t="str">
        <x:v>开始出现多机制同波压场，测试整体阵容厚度。 把战斗从爆发检查扩展到持续处理能力检查。</x:v>
      </x:c>
      <x:c r="R67" s="29" t="str">
        <x:v>城堡-3 / 资源-2 / 经济x0.77</x:v>
      </x:c>
      <x:c r="S67" s="29" t="str">
        <x:v>5回合内高奖；6-10回合每回合-8%；10回合失败</x:v>
      </x:c>
      <x:c r="T67" s="29" t="str"/>
    </x:row>
    <x:row r="68" ht="22" customHeight="1">
      <x:c r="A68" s="29" t="str">
        <x:v>wave_d06_afternoon</x:v>
      </x:c>
      <x:c r="B68" s="29" t="n">
        <x:v>6</x:v>
      </x:c>
      <x:c r="C68" s="29" t="str">
        <x:v>下午</x:v>
      </x:c>
      <x:c r="D68" s="29" t="n">
        <x:v>4</x:v>
      </x:c>
      <x:c r="E68" s="29" t="str">
        <x:v>pal_101</x:v>
      </x:c>
      <x:c r="F68" s="31" t="str">
        <x:f>IFERROR(VLOOKUP($E68,'02_怪物模板_好读版'!$A:$Z,2,FALSE),"")</x:f>
        <x:v>雪猛犸</x:v>
      </x:c>
      <x:c r="G68" s="31" t="str">
        <x:f>IFERROR(VLOOKUP($E68,'02_怪物模板_好读版'!$A:$Z,3,FALSE),"")</x:f>
        <x:v>水</x:v>
      </x:c>
      <x:c r="H68" s="31" t="str">
        <x:f>IFERROR(VLOOKUP($E68,'02_怪物模板_好读版'!$A:$Z,7,FALSE),"")</x:f>
        <x:v>精英怪</x:v>
      </x:c>
      <x:c r="I68" s="31" t="n">
        <x:f>IFERROR(VLOOKUP($E68,'02_怪物模板_好读版'!$A:$Z,8,FALSE),0)</x:f>
        <x:v>35</x:v>
      </x:c>
      <x:c r="J68" s="31" t="n">
        <x:f>IFERROR(VLOOKUP($E68,'02_怪物模板_好读版'!$A:$Z,9,FALSE),0)</x:f>
        <x:v>4</x:v>
      </x:c>
      <x:c r="K68" s="31" t="n">
        <x:f>IFERROR(VLOOKUP($E68,'02_怪物模板_好读版'!$A:$Z,10,FALSE),0)</x:f>
        <x:v>0</x:v>
      </x:c>
      <x:c r="L68" s="31" t="n">
        <x:f>IFERROR(VLOOKUP($E68,'02_怪物模板_好读版'!$A:$Z,11,FALSE),0)</x:f>
        <x:v>15</x:v>
      </x:c>
      <x:c r="M68" s="31" t="n">
        <x:f>IFERROR(VLOOKUP($E68,'02_怪物模板_好读版'!$A:$Z,12,FALSE),0)</x:f>
        <x:v>4</x:v>
      </x:c>
      <x:c r="N68" s="29" t="n">
        <x:v>1</x:v>
      </x:c>
      <x:c r="O68" s="29" t="str">
        <x:v>escort_backline</x:v>
      </x:c>
      <x:c r="P68" s="31" t="n">
        <x:f>IFERROR((I68+J68*3+K68*2+L68+M68*5)*N68,0)</x:f>
        <x:v>82</x:v>
      </x:c>
      <x:c r="Q68" s="29" t="str">
        <x:v>开始出现多机制同波压场，测试整体阵容厚度。 逼玩家拿出真正意义上的强杀方案。</x:v>
      </x:c>
      <x:c r="R68" s="29" t="str">
        <x:v>城堡-3 / 资源-2 / 经济x0.77</x:v>
      </x:c>
      <x:c r="S68" s="29" t="str">
        <x:v>5回合内高奖；6-10回合每回合-8%；10回合失败</x:v>
      </x:c>
      <x:c r="T68" s="29" t="str"/>
    </x:row>
    <x:row r="69" ht="22" customHeight="1">
      <x:c r="A69" s="29" t="str">
        <x:v>wave_d06_afternoon</x:v>
      </x:c>
      <x:c r="B69" s="29" t="n">
        <x:v>6</x:v>
      </x:c>
      <x:c r="C69" s="29" t="str">
        <x:v>下午</x:v>
      </x:c>
      <x:c r="D69" s="29" t="n">
        <x:v>4</x:v>
      </x:c>
      <x:c r="E69" s="29" t="str">
        <x:v>pal_026</x:v>
      </x:c>
      <x:c r="F69" s="31" t="str">
        <x:f>IFERROR(VLOOKUP($E69,'02_怪物模板_好读版'!$A:$Z,2,FALSE),"")</x:f>
        <x:v>猎狼</x:v>
      </x:c>
      <x:c r="G69" s="31" t="str">
        <x:f>IFERROR(VLOOKUP($E69,'02_怪物模板_好读版'!$A:$Z,3,FALSE),"")</x:f>
        <x:v>风</x:v>
      </x:c>
      <x:c r="H69" s="31" t="str">
        <x:f>IFERROR(VLOOKUP($E69,'02_怪物模板_好读版'!$A:$Z,7,FALSE),"")</x:f>
        <x:v>偷奖励怪</x:v>
      </x:c>
      <x:c r="I69" s="31" t="n">
        <x:f>IFERROR(VLOOKUP($E69,'02_怪物模板_好读版'!$A:$Z,8,FALSE),0)</x:f>
        <x:v>20</x:v>
      </x:c>
      <x:c r="J69" s="31" t="n">
        <x:f>IFERROR(VLOOKUP($E69,'02_怪物模板_好读版'!$A:$Z,9,FALSE),0)</x:f>
        <x:v>3</x:v>
      </x:c>
      <x:c r="K69" s="31" t="n">
        <x:f>IFERROR(VLOOKUP($E69,'02_怪物模板_好读版'!$A:$Z,10,FALSE),0)</x:f>
        <x:v>0</x:v>
      </x:c>
      <x:c r="L69" s="31" t="n">
        <x:f>IFERROR(VLOOKUP($E69,'02_怪物模板_好读版'!$A:$Z,11,FALSE),0)</x:f>
        <x:v>6</x:v>
      </x:c>
      <x:c r="M69" s="31" t="n">
        <x:f>IFERROR(VLOOKUP($E69,'02_怪物模板_好读版'!$A:$Z,12,FALSE),0)</x:f>
        <x:v>4</x:v>
      </x:c>
      <x:c r="N69" s="29" t="n">
        <x:v>1</x:v>
      </x:c>
      <x:c r="O69" s="29" t="str">
        <x:v>back_corner</x:v>
      </x:c>
      <x:c r="P69" s="31" t="n">
        <x:f>IFERROR((I69+J69*3+K69*2+L69+M69*5)*N69,0)</x:f>
        <x:v>55</x:v>
      </x:c>
      <x:c r="Q69" s="29" t="str">
        <x:v>开始出现多机制同波压场，测试整体阵容厚度。 把奖励题升级成真正的阵容完整性检查。</x:v>
      </x:c>
      <x:c r="R69" s="29" t="str">
        <x:v>城堡-3 / 资源-2 / 经济x0.77</x:v>
      </x:c>
      <x:c r="S69" s="29" t="str">
        <x:v>该怪存活每回合额外掉奖；5回合内高奖；6-10回合每回合-8%；10回合失败</x:v>
      </x:c>
      <x:c r="T69" s="29" t="str"/>
    </x:row>
    <x:row r="70" ht="22" customHeight="1">
      <x:c r="A70" s="29" t="str">
        <x:v>wave_d06_afternoon</x:v>
      </x:c>
      <x:c r="B70" s="29" t="n">
        <x:v>6</x:v>
      </x:c>
      <x:c r="C70" s="29" t="str">
        <x:v>下午</x:v>
      </x:c>
      <x:c r="D70" s="29" t="n">
        <x:v>5</x:v>
      </x:c>
      <x:c r="E70" s="29" t="str">
        <x:v>pal_073</x:v>
      </x:c>
      <x:c r="F70" s="31" t="str">
        <x:f>IFERROR(VLOOKUP($E70,'02_怪物模板_好读版'!$A:$Z,2,FALSE),"")</x:f>
        <x:v>烽歌龙</x:v>
      </x:c>
      <x:c r="G70" s="31" t="str">
        <x:f>IFERROR(VLOOKUP($E70,'02_怪物模板_好读版'!$A:$Z,3,FALSE),"")</x:f>
        <x:v>火</x:v>
      </x:c>
      <x:c r="H70" s="31" t="str">
        <x:f>IFERROR(VLOOKUP($E70,'02_怪物模板_好读版'!$A:$Z,7,FALSE),"")</x:f>
        <x:v>城堡怪</x:v>
      </x:c>
      <x:c r="I70" s="31" t="n">
        <x:f>IFERROR(VLOOKUP($E70,'02_怪物模板_好读版'!$A:$Z,8,FALSE),0)</x:f>
        <x:v>30</x:v>
      </x:c>
      <x:c r="J70" s="31" t="n">
        <x:f>IFERROR(VLOOKUP($E70,'02_怪物模板_好读版'!$A:$Z,9,FALSE),0)</x:f>
        <x:v>4</x:v>
      </x:c>
      <x:c r="K70" s="31" t="n">
        <x:f>IFERROR(VLOOKUP($E70,'02_怪物模板_好读版'!$A:$Z,10,FALSE),0)</x:f>
        <x:v>0</x:v>
      </x:c>
      <x:c r="L70" s="31" t="n">
        <x:f>IFERROR(VLOOKUP($E70,'02_怪物模板_好读版'!$A:$Z,11,FALSE),0)</x:f>
        <x:v>0</x:v>
      </x:c>
      <x:c r="M70" s="31" t="n">
        <x:f>IFERROR(VLOOKUP($E70,'02_怪物模板_好读版'!$A:$Z,12,FALSE),0)</x:f>
        <x:v>3</x:v>
      </x:c>
      <x:c r="N70" s="29" t="n">
        <x:v>1</x:v>
      </x:c>
      <x:c r="O70" s="29" t="str">
        <x:v>front_cluster</x:v>
      </x:c>
      <x:c r="P70" s="31" t="n">
        <x:f>IFERROR((I70+J70*3+K70*2+L70+M70*5)*N70,0)</x:f>
        <x:v>57</x:v>
      </x:c>
      <x:c r="Q70" s="29" t="str">
        <x:v>开始出现多机制同波压场，测试整体阵容厚度。 把“拖着清”的代价抬高到不可忽视。</x:v>
      </x:c>
      <x:c r="R70" s="29" t="str">
        <x:v>城堡-3 / 资源-2 / 经济x0.77</x:v>
      </x:c>
      <x:c r="S70" s="29" t="str">
        <x:v>5回合内高奖；6-10回合每回合-8%；10回合失败</x:v>
      </x:c>
      <x:c r="T70" s="29" t="str"/>
    </x:row>
    <x:row r="71" ht="22" customHeight="1">
      <x:c r="A71" s="29" t="str">
        <x:v>wave_d07_morning</x:v>
      </x:c>
      <x:c r="B71" s="29" t="n">
        <x:v>7</x:v>
      </x:c>
      <x:c r="C71" s="29" t="str">
        <x:v>上午</x:v>
      </x:c>
      <x:c r="D71" s="29" t="n">
        <x:v>1</x:v>
      </x:c>
      <x:c r="E71" s="29" t="str">
        <x:v>pal_026</x:v>
      </x:c>
      <x:c r="F71" s="31" t="str">
        <x:f>IFERROR(VLOOKUP($E71,'02_怪物模板_好读版'!$A:$Z,2,FALSE),"")</x:f>
        <x:v>猎狼</x:v>
      </x:c>
      <x:c r="G71" s="31" t="str">
        <x:f>IFERROR(VLOOKUP($E71,'02_怪物模板_好读版'!$A:$Z,3,FALSE),"")</x:f>
        <x:v>风</x:v>
      </x:c>
      <x:c r="H71" s="31" t="str">
        <x:f>IFERROR(VLOOKUP($E71,'02_怪物模板_好读版'!$A:$Z,7,FALSE),"")</x:f>
        <x:v>偷奖励怪</x:v>
      </x:c>
      <x:c r="I71" s="31" t="n">
        <x:f>IFERROR(VLOOKUP($E71,'02_怪物模板_好读版'!$A:$Z,8,FALSE),0)</x:f>
        <x:v>20</x:v>
      </x:c>
      <x:c r="J71" s="31" t="n">
        <x:f>IFERROR(VLOOKUP($E71,'02_怪物模板_好读版'!$A:$Z,9,FALSE),0)</x:f>
        <x:v>3</x:v>
      </x:c>
      <x:c r="K71" s="31" t="n">
        <x:f>IFERROR(VLOOKUP($E71,'02_怪物模板_好读版'!$A:$Z,10,FALSE),0)</x:f>
        <x:v>0</x:v>
      </x:c>
      <x:c r="L71" s="31" t="n">
        <x:f>IFERROR(VLOOKUP($E71,'02_怪物模板_好读版'!$A:$Z,11,FALSE),0)</x:f>
        <x:v>6</x:v>
      </x:c>
      <x:c r="M71" s="31" t="n">
        <x:f>IFERROR(VLOOKUP($E71,'02_怪物模板_好读版'!$A:$Z,12,FALSE),0)</x:f>
        <x:v>4</x:v>
      </x:c>
      <x:c r="N71" s="29" t="n">
        <x:v>1</x:v>
      </x:c>
      <x:c r="O71" s="29" t="str">
        <x:v>back_corner</x:v>
      </x:c>
      <x:c r="P71" s="31" t="n">
        <x:f>IFERROR((I71+J71*3+K71*2+L71+M71*5)*N71,0)</x:f>
        <x:v>55</x:v>
      </x:c>
      <x:c r="Q71" s="29" t="str">
        <x:v>后期第一档门槛题上线，坚固与重生开始进场。 把奖励题升级成真正的阵容完整性检查。</x:v>
      </x:c>
      <x:c r="R71" s="29" t="str">
        <x:v>城堡-3 / 资源-2 / 经济x0.78</x:v>
      </x:c>
      <x:c r="S71" s="29" t="str">
        <x:v>该怪存活每回合额外掉奖；5回合内高奖；6-10回合每回合-8%；10回合失败</x:v>
      </x:c>
      <x:c r="T71" s="29" t="str"/>
    </x:row>
    <x:row r="72" ht="22" customHeight="1">
      <x:c r="A72" s="29" t="str">
        <x:v>wave_d07_morning</x:v>
      </x:c>
      <x:c r="B72" s="29" t="n">
        <x:v>7</x:v>
      </x:c>
      <x:c r="C72" s="29" t="str">
        <x:v>上午</x:v>
      </x:c>
      <x:c r="D72" s="29" t="n">
        <x:v>2</x:v>
      </x:c>
      <x:c r="E72" s="29" t="str">
        <x:v>pal_029</x:v>
      </x:c>
      <x:c r="F72" s="31" t="str">
        <x:f>IFERROR(VLOOKUP($E72,'02_怪物模板_好读版'!$A:$Z,2,FALSE),"")</x:f>
        <x:v>波霸牛</x:v>
      </x:c>
      <x:c r="G72" s="31" t="str">
        <x:f>IFERROR(VLOOKUP($E72,'02_怪物模板_好读版'!$A:$Z,3,FALSE),"")</x:f>
        <x:v>风</x:v>
      </x:c>
      <x:c r="H72" s="31" t="str">
        <x:f>IFERROR(VLOOKUP($E72,'02_怪物模板_好读版'!$A:$Z,7,FALSE),"")</x:f>
        <x:v>光环怪</x:v>
      </x:c>
      <x:c r="I72" s="31" t="n">
        <x:f>IFERROR(VLOOKUP($E72,'02_怪物模板_好读版'!$A:$Z,8,FALSE),0)</x:f>
        <x:v>25</x:v>
      </x:c>
      <x:c r="J72" s="31" t="n">
        <x:f>IFERROR(VLOOKUP($E72,'02_怪物模板_好读版'!$A:$Z,9,FALSE),0)</x:f>
        <x:v>2</x:v>
      </x:c>
      <x:c r="K72" s="31" t="n">
        <x:f>IFERROR(VLOOKUP($E72,'02_怪物模板_好读版'!$A:$Z,10,FALSE),0)</x:f>
        <x:v>0</x:v>
      </x:c>
      <x:c r="L72" s="31" t="n">
        <x:f>IFERROR(VLOOKUP($E72,'02_怪物模板_好读版'!$A:$Z,11,FALSE),0)</x:f>
        <x:v>6</x:v>
      </x:c>
      <x:c r="M72" s="31" t="n">
        <x:f>IFERROR(VLOOKUP($E72,'02_怪物模板_好读版'!$A:$Z,12,FALSE),0)</x:f>
        <x:v>3</x:v>
      </x:c>
      <x:c r="N72" s="29" t="n">
        <x:v>1</x:v>
      </x:c>
      <x:c r="O72" s="29" t="str">
        <x:v>back_protected</x:v>
      </x:c>
      <x:c r="P72" s="31" t="n">
        <x:f>IFERROR((I72+J72*3+K72*2+L72+M72*5)*N72,0)</x:f>
        <x:v>52</x:v>
      </x:c>
      <x:c r="Q72" s="29" t="str">
        <x:v>后期第一档门槛题上线，坚固与重生开始进场。 把减行动和群体增益同时压给玩家。</x:v>
      </x:c>
      <x:c r="R72" s="29" t="str">
        <x:v>城堡-3 / 资源-2 / 经济x0.78</x:v>
      </x:c>
      <x:c r="S72" s="29" t="str">
        <x:v>5回合内高奖；6-10回合每回合-8%；10回合失败</x:v>
      </x:c>
      <x:c r="T72" s="29" t="str"/>
    </x:row>
    <x:row r="73" ht="22" customHeight="1">
      <x:c r="A73" s="29" t="str">
        <x:v>wave_d07_morning</x:v>
      </x:c>
      <x:c r="B73" s="29" t="n">
        <x:v>7</x:v>
      </x:c>
      <x:c r="C73" s="29" t="str">
        <x:v>上午</x:v>
      </x:c>
      <x:c r="D73" s="29" t="n">
        <x:v>3</x:v>
      </x:c>
      <x:c r="E73" s="29" t="str">
        <x:v>pal_097</x:v>
      </x:c>
      <x:c r="F73" s="31" t="str">
        <x:f>IFERROR(VLOOKUP($E73,'02_怪物模板_好读版'!$A:$Z,2,FALSE),"")</x:f>
        <x:v>寒霜兽</x:v>
      </x:c>
      <x:c r="G73" s="31" t="str">
        <x:f>IFERROR(VLOOKUP($E73,'02_怪物模板_好读版'!$A:$Z,3,FALSE),"")</x:f>
        <x:v>水</x:v>
      </x:c>
      <x:c r="H73" s="31" t="str">
        <x:f>IFERROR(VLOOKUP($E73,'02_怪物模板_好读版'!$A:$Z,7,FALSE),"")</x:f>
        <x:v>限伤怪</x:v>
      </x:c>
      <x:c r="I73" s="31" t="n">
        <x:f>IFERROR(VLOOKUP($E73,'02_怪物模板_好读版'!$A:$Z,8,FALSE),0)</x:f>
        <x:v>40</x:v>
      </x:c>
      <x:c r="J73" s="31" t="n">
        <x:f>IFERROR(VLOOKUP($E73,'02_怪物模板_好读版'!$A:$Z,9,FALSE),0)</x:f>
        <x:v>3</x:v>
      </x:c>
      <x:c r="K73" s="31" t="n">
        <x:f>IFERROR(VLOOKUP($E73,'02_怪物模板_好读版'!$A:$Z,10,FALSE),0)</x:f>
        <x:v>0</x:v>
      </x:c>
      <x:c r="L73" s="31" t="n">
        <x:f>IFERROR(VLOOKUP($E73,'02_怪物模板_好读版'!$A:$Z,11,FALSE),0)</x:f>
        <x:v>6</x:v>
      </x:c>
      <x:c r="M73" s="31" t="n">
        <x:f>IFERROR(VLOOKUP($E73,'02_怪物模板_好读版'!$A:$Z,12,FALSE),0)</x:f>
        <x:v>3</x:v>
      </x:c>
      <x:c r="N73" s="29" t="n">
        <x:v>1</x:v>
      </x:c>
      <x:c r="O73" s="29" t="str">
        <x:v>front_cluster</x:v>
      </x:c>
      <x:c r="P73" s="31" t="n">
        <x:f>IFERROR((I73+J73*3+K73*2+L73+M73*5)*N73,0)</x:f>
        <x:v>70</x:v>
      </x:c>
      <x:c r="Q73" s="29" t="str">
        <x:v>后期第一档门槛题上线，坚固与重生开始进场。 把战斗从爆发检查扩展到持续处理能力检查。</x:v>
      </x:c>
      <x:c r="R73" s="29" t="str">
        <x:v>城堡-3 / 资源-2 / 经济x0.78</x:v>
      </x:c>
      <x:c r="S73" s="29" t="str">
        <x:v>5回合内高奖；6-10回合每回合-8%；10回合失败</x:v>
      </x:c>
      <x:c r="T73" s="29" t="str"/>
    </x:row>
    <x:row r="74" ht="22" customHeight="1">
      <x:c r="A74" s="29" t="str">
        <x:v>wave_d07_morning</x:v>
      </x:c>
      <x:c r="B74" s="29" t="n">
        <x:v>7</x:v>
      </x:c>
      <x:c r="C74" s="29" t="str">
        <x:v>上午</x:v>
      </x:c>
      <x:c r="D74" s="29" t="n">
        <x:v>4</x:v>
      </x:c>
      <x:c r="E74" s="29" t="str">
        <x:v>pal_110</x:v>
      </x:c>
      <x:c r="F74" s="31" t="str">
        <x:f>IFERROR(VLOOKUP($E74,'02_怪物模板_好读版'!$A:$Z,2,FALSE),"")</x:f>
        <x:v>魔渊龙</x:v>
      </x:c>
      <x:c r="G74" s="31" t="str">
        <x:f>IFERROR(VLOOKUP($E74,'02_怪物模板_好读版'!$A:$Z,3,FALSE),"")</x:f>
        <x:v>土</x:v>
      </x:c>
      <x:c r="H74" s="31" t="str">
        <x:f>IFERROR(VLOOKUP($E74,'02_怪物模板_好读版'!$A:$Z,7,FALSE),"")</x:f>
        <x:v>精英怪</x:v>
      </x:c>
      <x:c r="I74" s="31" t="n">
        <x:f>IFERROR(VLOOKUP($E74,'02_怪物模板_好读版'!$A:$Z,8,FALSE),0)</x:f>
        <x:v>50</x:v>
      </x:c>
      <x:c r="J74" s="31" t="n">
        <x:f>IFERROR(VLOOKUP($E74,'02_怪物模板_好读版'!$A:$Z,9,FALSE),0)</x:f>
        <x:v>4</x:v>
      </x:c>
      <x:c r="K74" s="31" t="n">
        <x:f>IFERROR(VLOOKUP($E74,'02_怪物模板_好读版'!$A:$Z,10,FALSE),0)</x:f>
        <x:v>6</x:v>
      </x:c>
      <x:c r="L74" s="31" t="n">
        <x:f>IFERROR(VLOOKUP($E74,'02_怪物模板_好读版'!$A:$Z,11,FALSE),0)</x:f>
        <x:v>6</x:v>
      </x:c>
      <x:c r="M74" s="31" t="n">
        <x:f>IFERROR(VLOOKUP($E74,'02_怪物模板_好读版'!$A:$Z,12,FALSE),0)</x:f>
        <x:v>4</x:v>
      </x:c>
      <x:c r="N74" s="29" t="n">
        <x:v>1</x:v>
      </x:c>
      <x:c r="O74" s="29" t="str">
        <x:v>escort_backline</x:v>
      </x:c>
      <x:c r="P74" s="31" t="n">
        <x:f>IFERROR((I74+J74*3+K74*2+L74+M74*5)*N74,0)</x:f>
        <x:v>100</x:v>
      </x:c>
      <x:c r="Q74" s="29" t="str">
        <x:v>后期第一档门槛题上线，坚固与重生开始进场。 让玩家感知真正的后期门槛题。</x:v>
      </x:c>
      <x:c r="R74" s="29" t="str">
        <x:v>城堡-3 / 资源-2 / 经济x0.78</x:v>
      </x:c>
      <x:c r="S74" s="29" t="str">
        <x:v>5回合内高奖；6-10回合每回合-8%；10回合失败</x:v>
      </x:c>
      <x:c r="T74" s="29" t="str"/>
    </x:row>
    <x:row r="75" ht="22" customHeight="1">
      <x:c r="A75" s="29" t="str">
        <x:v>wave_d07_morning</x:v>
      </x:c>
      <x:c r="B75" s="29" t="n">
        <x:v>7</x:v>
      </x:c>
      <x:c r="C75" s="29" t="str">
        <x:v>上午</x:v>
      </x:c>
      <x:c r="D75" s="29" t="n">
        <x:v>4</x:v>
      </x:c>
      <x:c r="E75" s="29" t="str">
        <x:v>pal_106</x:v>
      </x:c>
      <x:c r="F75" s="31" t="str">
        <x:f>IFERROR(VLOOKUP($E75,'02_怪物模板_好读版'!$A:$Z,2,FALSE),"")</x:f>
        <x:v>夜幕魔蝠</x:v>
      </x:c>
      <x:c r="G75" s="31" t="str">
        <x:f>IFERROR(VLOOKUP($E75,'02_怪物模板_好读版'!$A:$Z,3,FALSE),"")</x:f>
        <x:v>土</x:v>
      </x:c>
      <x:c r="H75" s="31" t="str">
        <x:f>IFERROR(VLOOKUP($E75,'02_怪物模板_好读版'!$A:$Z,7,FALSE),"")</x:f>
        <x:v>召唤怪</x:v>
      </x:c>
      <x:c r="I75" s="31" t="n">
        <x:f>IFERROR(VLOOKUP($E75,'02_怪物模板_好读版'!$A:$Z,8,FALSE),0)</x:f>
        <x:v>35</x:v>
      </x:c>
      <x:c r="J75" s="31" t="n">
        <x:f>IFERROR(VLOOKUP($E75,'02_怪物模板_好读版'!$A:$Z,9,FALSE),0)</x:f>
        <x:v>3</x:v>
      </x:c>
      <x:c r="K75" s="31" t="n">
        <x:f>IFERROR(VLOOKUP($E75,'02_怪物模板_好读版'!$A:$Z,10,FALSE),0)</x:f>
        <x:v>0</x:v>
      </x:c>
      <x:c r="L75" s="31" t="n">
        <x:f>IFERROR(VLOOKUP($E75,'02_怪物模板_好读版'!$A:$Z,11,FALSE),0)</x:f>
        <x:v>6</x:v>
      </x:c>
      <x:c r="M75" s="31" t="n">
        <x:f>IFERROR(VLOOKUP($E75,'02_怪物模板_好读版'!$A:$Z,12,FALSE),0)</x:f>
        <x:v>3</x:v>
      </x:c>
      <x:c r="N75" s="29" t="n">
        <x:v>1</x:v>
      </x:c>
      <x:c r="O75" s="29" t="str">
        <x:v>mid_cluster</x:v>
      </x:c>
      <x:c r="P75" s="31" t="n">
        <x:f>IFERROR((I75+J75*3+K75*2+L75+M75*5)*N75,0)</x:f>
        <x:v>65</x:v>
      </x:c>
      <x:c r="Q75" s="29" t="str">
        <x:v>后期第一档门槛题上线，坚固与重生开始进场。 把召唤题抬到后期门槛难度。</x:v>
      </x:c>
      <x:c r="R75" s="29" t="str">
        <x:v>城堡-3 / 资源-2 / 经济x0.78</x:v>
      </x:c>
      <x:c r="S75" s="29" t="str">
        <x:v>5回合内高奖；6-10回合每回合-8%；10回合失败</x:v>
      </x:c>
      <x:c r="T75" s="29" t="str"/>
    </x:row>
    <x:row r="76" ht="22" customHeight="1">
      <x:c r="A76" s="29" t="str">
        <x:v>wave_d07_morning</x:v>
      </x:c>
      <x:c r="B76" s="29" t="n">
        <x:v>7</x:v>
      </x:c>
      <x:c r="C76" s="29" t="str">
        <x:v>上午</x:v>
      </x:c>
      <x:c r="D76" s="29" t="n">
        <x:v>5</x:v>
      </x:c>
      <x:c r="E76" s="29" t="str">
        <x:v>pal_017</x:v>
      </x:c>
      <x:c r="F76" s="31" t="str">
        <x:f>IFERROR(VLOOKUP($E76,'02_怪物模板_好读版'!$A:$Z,2,FALSE),"")</x:f>
        <x:v>瞅什魔</x:v>
      </x:c>
      <x:c r="G76" s="31" t="str">
        <x:f>IFERROR(VLOOKUP($E76,'02_怪物模板_好读版'!$A:$Z,3,FALSE),"")</x:f>
        <x:v>土</x:v>
      </x:c>
      <x:c r="H76" s="31" t="str">
        <x:f>IFERROR(VLOOKUP($E76,'02_怪物模板_好读版'!$A:$Z,7,FALSE),"")</x:f>
        <x:v>肉盾</x:v>
      </x:c>
      <x:c r="I76" s="31" t="n">
        <x:f>IFERROR(VLOOKUP($E76,'02_怪物模板_好读版'!$A:$Z,8,FALSE),0)</x:f>
        <x:v>40</x:v>
      </x:c>
      <x:c r="J76" s="31" t="n">
        <x:f>IFERROR(VLOOKUP($E76,'02_怪物模板_好读版'!$A:$Z,9,FALSE),0)</x:f>
        <x:v>3</x:v>
      </x:c>
      <x:c r="K76" s="31" t="n">
        <x:f>IFERROR(VLOOKUP($E76,'02_怪物模板_好读版'!$A:$Z,10,FALSE),0)</x:f>
        <x:v>0</x:v>
      </x:c>
      <x:c r="L76" s="31" t="n">
        <x:f>IFERROR(VLOOKUP($E76,'02_怪物模板_好读版'!$A:$Z,11,FALSE),0)</x:f>
        <x:v>0</x:v>
      </x:c>
      <x:c r="M76" s="31" t="n">
        <x:f>IFERROR(VLOOKUP($E76,'02_怪物模板_好读版'!$A:$Z,12,FALSE),0)</x:f>
        <x:v>2</x:v>
      </x:c>
      <x:c r="N76" s="29" t="n">
        <x:v>1</x:v>
      </x:c>
      <x:c r="O76" s="29" t="str">
        <x:v>front_cluster</x:v>
      </x:c>
      <x:c r="P76" s="31" t="n">
        <x:f>IFERROR((I76+J76*3+K76*2+L76+M76*5)*N76,0)</x:f>
        <x:v>59</x:v>
      </x:c>
      <x:c r="Q76" s="29" t="str">
        <x:v>后期第一档门槛题上线，坚固与重生开始进场。 逼玩家拿出真正高攻或增伤组合，不再靠低攻磨掉。</x:v>
      </x:c>
      <x:c r="R76" s="29" t="str">
        <x:v>城堡-3 / 资源-2 / 经济x0.78</x:v>
      </x:c>
      <x:c r="S76" s="29" t="str">
        <x:v>5回合内高奖；6-10回合每回合-8%；10回合失败</x:v>
      </x:c>
      <x:c r="T76" s="29" t="str"/>
    </x:row>
    <x:row r="77" ht="22" customHeight="1">
      <x:c r="A77" s="29" t="str">
        <x:v>wave_d07_afternoon</x:v>
      </x:c>
      <x:c r="B77" s="29" t="n">
        <x:v>7</x:v>
      </x:c>
      <x:c r="C77" s="29" t="str">
        <x:v>下午</x:v>
      </x:c>
      <x:c r="D77" s="29" t="n">
        <x:v>1</x:v>
      </x:c>
      <x:c r="E77" s="29" t="str">
        <x:v>pal_026</x:v>
      </x:c>
      <x:c r="F77" s="31" t="str">
        <x:f>IFERROR(VLOOKUP($E77,'02_怪物模板_好读版'!$A:$Z,2,FALSE),"")</x:f>
        <x:v>猎狼</x:v>
      </x:c>
      <x:c r="G77" s="31" t="str">
        <x:f>IFERROR(VLOOKUP($E77,'02_怪物模板_好读版'!$A:$Z,3,FALSE),"")</x:f>
        <x:v>风</x:v>
      </x:c>
      <x:c r="H77" s="31" t="str">
        <x:f>IFERROR(VLOOKUP($E77,'02_怪物模板_好读版'!$A:$Z,7,FALSE),"")</x:f>
        <x:v>偷奖励怪</x:v>
      </x:c>
      <x:c r="I77" s="31" t="n">
        <x:f>IFERROR(VLOOKUP($E77,'02_怪物模板_好读版'!$A:$Z,8,FALSE),0)</x:f>
        <x:v>20</x:v>
      </x:c>
      <x:c r="J77" s="31" t="n">
        <x:f>IFERROR(VLOOKUP($E77,'02_怪物模板_好读版'!$A:$Z,9,FALSE),0)</x:f>
        <x:v>3</x:v>
      </x:c>
      <x:c r="K77" s="31" t="n">
        <x:f>IFERROR(VLOOKUP($E77,'02_怪物模板_好读版'!$A:$Z,10,FALSE),0)</x:f>
        <x:v>0</x:v>
      </x:c>
      <x:c r="L77" s="31" t="n">
        <x:f>IFERROR(VLOOKUP($E77,'02_怪物模板_好读版'!$A:$Z,11,FALSE),0)</x:f>
        <x:v>6</x:v>
      </x:c>
      <x:c r="M77" s="31" t="n">
        <x:f>IFERROR(VLOOKUP($E77,'02_怪物模板_好读版'!$A:$Z,12,FALSE),0)</x:f>
        <x:v>4</x:v>
      </x:c>
      <x:c r="N77" s="29" t="n">
        <x:v>1</x:v>
      </x:c>
      <x:c r="O77" s="29" t="str">
        <x:v>back_corner</x:v>
      </x:c>
      <x:c r="P77" s="31" t="n">
        <x:f>IFERROR((I77+J77*3+K77*2+L77+M77*5)*N77,0)</x:f>
        <x:v>55</x:v>
      </x:c>
      <x:c r="Q77" s="29" t="str">
        <x:v>双机制精英与偷奖/咒压同场，要求更成熟的解题顺序。 把奖励题升级成真正的阵容完整性检查。</x:v>
      </x:c>
      <x:c r="R77" s="29" t="str">
        <x:v>城堡-4 / 资源-2 / 经济x0.75</x:v>
      </x:c>
      <x:c r="S77" s="29" t="str">
        <x:v>该怪存活每回合额外掉奖；5回合内高奖；6-10回合每回合-9%；10回合失败</x:v>
      </x:c>
      <x:c r="T77" s="29" t="str"/>
    </x:row>
    <x:row r="78" ht="22" customHeight="1">
      <x:c r="A78" s="29" t="str">
        <x:v>wave_d07_afternoon</x:v>
      </x:c>
      <x:c r="B78" s="29" t="n">
        <x:v>7</x:v>
      </x:c>
      <x:c r="C78" s="29" t="str">
        <x:v>下午</x:v>
      </x:c>
      <x:c r="D78" s="29" t="n">
        <x:v>2</x:v>
      </x:c>
      <x:c r="E78" s="29" t="str">
        <x:v>pal_017</x:v>
      </x:c>
      <x:c r="F78" s="31" t="str">
        <x:f>IFERROR(VLOOKUP($E78,'02_怪物模板_好读版'!$A:$Z,2,FALSE),"")</x:f>
        <x:v>瞅什魔</x:v>
      </x:c>
      <x:c r="G78" s="31" t="str">
        <x:f>IFERROR(VLOOKUP($E78,'02_怪物模板_好读版'!$A:$Z,3,FALSE),"")</x:f>
        <x:v>土</x:v>
      </x:c>
      <x:c r="H78" s="31" t="str">
        <x:f>IFERROR(VLOOKUP($E78,'02_怪物模板_好读版'!$A:$Z,7,FALSE),"")</x:f>
        <x:v>肉盾</x:v>
      </x:c>
      <x:c r="I78" s="31" t="n">
        <x:f>IFERROR(VLOOKUP($E78,'02_怪物模板_好读版'!$A:$Z,8,FALSE),0)</x:f>
        <x:v>40</x:v>
      </x:c>
      <x:c r="J78" s="31" t="n">
        <x:f>IFERROR(VLOOKUP($E78,'02_怪物模板_好读版'!$A:$Z,9,FALSE),0)</x:f>
        <x:v>3</x:v>
      </x:c>
      <x:c r="K78" s="31" t="n">
        <x:f>IFERROR(VLOOKUP($E78,'02_怪物模板_好读版'!$A:$Z,10,FALSE),0)</x:f>
        <x:v>0</x:v>
      </x:c>
      <x:c r="L78" s="31" t="n">
        <x:f>IFERROR(VLOOKUP($E78,'02_怪物模板_好读版'!$A:$Z,11,FALSE),0)</x:f>
        <x:v>0</x:v>
      </x:c>
      <x:c r="M78" s="31" t="n">
        <x:f>IFERROR(VLOOKUP($E78,'02_怪物模板_好读版'!$A:$Z,12,FALSE),0)</x:f>
        <x:v>2</x:v>
      </x:c>
      <x:c r="N78" s="29" t="n">
        <x:v>1</x:v>
      </x:c>
      <x:c r="O78" s="29" t="str">
        <x:v>front_cluster</x:v>
      </x:c>
      <x:c r="P78" s="31" t="n">
        <x:f>IFERROR((I78+J78*3+K78*2+L78+M78*5)*N78,0)</x:f>
        <x:v>59</x:v>
      </x:c>
      <x:c r="Q78" s="29" t="str">
        <x:v>双机制精英与偷奖/咒压同场，要求更成熟的解题顺序。 逼玩家拿出真正高攻或增伤组合，不再靠低攻磨掉。</x:v>
      </x:c>
      <x:c r="R78" s="29" t="str">
        <x:v>城堡-4 / 资源-2 / 经济x0.75</x:v>
      </x:c>
      <x:c r="S78" s="29" t="str">
        <x:v>5回合内高奖；6-10回合每回合-9%；10回合失败</x:v>
      </x:c>
      <x:c r="T78" s="29" t="str"/>
    </x:row>
    <x:row r="79" ht="22" customHeight="1">
      <x:c r="A79" s="29" t="str">
        <x:v>wave_d07_afternoon</x:v>
      </x:c>
      <x:c r="B79" s="29" t="n">
        <x:v>7</x:v>
      </x:c>
      <x:c r="C79" s="29" t="str">
        <x:v>下午</x:v>
      </x:c>
      <x:c r="D79" s="29" t="n">
        <x:v>2</x:v>
      </x:c>
      <x:c r="E79" s="29" t="str">
        <x:v>pal_003</x:v>
      </x:c>
      <x:c r="F79" s="31" t="str">
        <x:f>IFERROR(VLOOKUP($E79,'02_怪物模板_好读版'!$A:$Z,2,FALSE),"")</x:f>
        <x:v>皮皮鸡</x:v>
      </x:c>
      <x:c r="G79" s="31" t="str">
        <x:f>IFERROR(VLOOKUP($E79,'02_怪物模板_好读版'!$A:$Z,3,FALSE),"")</x:f>
        <x:v>风</x:v>
      </x:c>
      <x:c r="H79" s="31" t="str">
        <x:f>IFERROR(VLOOKUP($E79,'02_怪物模板_好读版'!$A:$Z,7,FALSE),"")</x:f>
        <x:v>小怪</x:v>
      </x:c>
      <x:c r="I79" s="31" t="n">
        <x:f>IFERROR(VLOOKUP($E79,'02_怪物模板_好读版'!$A:$Z,8,FALSE),0)</x:f>
        <x:v>10</x:v>
      </x:c>
      <x:c r="J79" s="31" t="n">
        <x:f>IFERROR(VLOOKUP($E79,'02_怪物模板_好读版'!$A:$Z,9,FALSE),0)</x:f>
        <x:v>3</x:v>
      </x:c>
      <x:c r="K79" s="31" t="n">
        <x:f>IFERROR(VLOOKUP($E79,'02_怪物模板_好读版'!$A:$Z,10,FALSE),0)</x:f>
        <x:v>0</x:v>
      </x:c>
      <x:c r="L79" s="31" t="n">
        <x:f>IFERROR(VLOOKUP($E79,'02_怪物模板_好读版'!$A:$Z,11,FALSE),0)</x:f>
        <x:v>0</x:v>
      </x:c>
      <x:c r="M79" s="31" t="n">
        <x:f>IFERROR(VLOOKUP($E79,'02_怪物模板_好读版'!$A:$Z,12,FALSE),0)</x:f>
        <x:v>3</x:v>
      </x:c>
      <x:c r="N79" s="29" t="n">
        <x:v>1</x:v>
      </x:c>
      <x:c r="O79" s="29" t="str">
        <x:v>front_split</x:v>
      </x:c>
      <x:c r="P79" s="31" t="n">
        <x:f>IFERROR((I79+J79*3+K79*2+L79+M79*5)*N79,0)</x:f>
        <x:v>34</x:v>
      </x:c>
      <x:c r="Q79" s="29" t="str">
        <x:v>双机制精英与偷奖/咒压同场，要求更成熟的解题顺序。 把本来可以拖的杂兵变成必须先收的扰动源。</x:v>
      </x:c>
      <x:c r="R79" s="29" t="str">
        <x:v>城堡-4 / 资源-2 / 经济x0.75</x:v>
      </x:c>
      <x:c r="S79" s="29" t="str">
        <x:v>5回合内高奖；6-10回合每回合-9%；10回合失败</x:v>
      </x:c>
      <x:c r="T79" s="29" t="str"/>
    </x:row>
    <x:row r="80" ht="22" customHeight="1">
      <x:c r="A80" s="29" t="str">
        <x:v>wave_d07_afternoon</x:v>
      </x:c>
      <x:c r="B80" s="29" t="n">
        <x:v>7</x:v>
      </x:c>
      <x:c r="C80" s="29" t="str">
        <x:v>下午</x:v>
      </x:c>
      <x:c r="D80" s="29" t="n">
        <x:v>3</x:v>
      </x:c>
      <x:c r="E80" s="29" t="str">
        <x:v>pal_101</x:v>
      </x:c>
      <x:c r="F80" s="31" t="str">
        <x:f>IFERROR(VLOOKUP($E80,'02_怪物模板_好读版'!$A:$Z,2,FALSE),"")</x:f>
        <x:v>雪猛犸</x:v>
      </x:c>
      <x:c r="G80" s="31" t="str">
        <x:f>IFERROR(VLOOKUP($E80,'02_怪物模板_好读版'!$A:$Z,3,FALSE),"")</x:f>
        <x:v>水</x:v>
      </x:c>
      <x:c r="H80" s="31" t="str">
        <x:f>IFERROR(VLOOKUP($E80,'02_怪物模板_好读版'!$A:$Z,7,FALSE),"")</x:f>
        <x:v>精英怪</x:v>
      </x:c>
      <x:c r="I80" s="31" t="n">
        <x:f>IFERROR(VLOOKUP($E80,'02_怪物模板_好读版'!$A:$Z,8,FALSE),0)</x:f>
        <x:v>35</x:v>
      </x:c>
      <x:c r="J80" s="31" t="n">
        <x:f>IFERROR(VLOOKUP($E80,'02_怪物模板_好读版'!$A:$Z,9,FALSE),0)</x:f>
        <x:v>4</x:v>
      </x:c>
      <x:c r="K80" s="31" t="n">
        <x:f>IFERROR(VLOOKUP($E80,'02_怪物模板_好读版'!$A:$Z,10,FALSE),0)</x:f>
        <x:v>0</x:v>
      </x:c>
      <x:c r="L80" s="31" t="n">
        <x:f>IFERROR(VLOOKUP($E80,'02_怪物模板_好读版'!$A:$Z,11,FALSE),0)</x:f>
        <x:v>15</x:v>
      </x:c>
      <x:c r="M80" s="31" t="n">
        <x:f>IFERROR(VLOOKUP($E80,'02_怪物模板_好读版'!$A:$Z,12,FALSE),0)</x:f>
        <x:v>4</x:v>
      </x:c>
      <x:c r="N80" s="29" t="n">
        <x:v>1</x:v>
      </x:c>
      <x:c r="O80" s="29" t="str">
        <x:v>escort_backline</x:v>
      </x:c>
      <x:c r="P80" s="31" t="n">
        <x:f>IFERROR((I80+J80*3+K80*2+L80+M80*5)*N80,0)</x:f>
        <x:v>82</x:v>
      </x:c>
      <x:c r="Q80" s="29" t="str">
        <x:v>双机制精英与偷奖/咒压同场，要求更成熟的解题顺序。 逼玩家拿出真正意义上的强杀方案。</x:v>
      </x:c>
      <x:c r="R80" s="29" t="str">
        <x:v>城堡-4 / 资源-2 / 经济x0.75</x:v>
      </x:c>
      <x:c r="S80" s="29" t="str">
        <x:v>5回合内高奖；6-10回合每回合-9%；10回合失败</x:v>
      </x:c>
      <x:c r="T80" s="29" t="str"/>
    </x:row>
    <x:row r="81" ht="22" customHeight="1">
      <x:c r="A81" s="29" t="str">
        <x:v>wave_d07_afternoon</x:v>
      </x:c>
      <x:c r="B81" s="29" t="n">
        <x:v>7</x:v>
      </x:c>
      <x:c r="C81" s="29" t="str">
        <x:v>下午</x:v>
      </x:c>
      <x:c r="D81" s="29" t="n">
        <x:v>3</x:v>
      </x:c>
      <x:c r="E81" s="29" t="str">
        <x:v>pal_097</x:v>
      </x:c>
      <x:c r="F81" s="31" t="str">
        <x:f>IFERROR(VLOOKUP($E81,'02_怪物模板_好读版'!$A:$Z,2,FALSE),"")</x:f>
        <x:v>寒霜兽</x:v>
      </x:c>
      <x:c r="G81" s="31" t="str">
        <x:f>IFERROR(VLOOKUP($E81,'02_怪物模板_好读版'!$A:$Z,3,FALSE),"")</x:f>
        <x:v>水</x:v>
      </x:c>
      <x:c r="H81" s="31" t="str">
        <x:f>IFERROR(VLOOKUP($E81,'02_怪物模板_好读版'!$A:$Z,7,FALSE),"")</x:f>
        <x:v>限伤怪</x:v>
      </x:c>
      <x:c r="I81" s="31" t="n">
        <x:f>IFERROR(VLOOKUP($E81,'02_怪物模板_好读版'!$A:$Z,8,FALSE),0)</x:f>
        <x:v>40</x:v>
      </x:c>
      <x:c r="J81" s="31" t="n">
        <x:f>IFERROR(VLOOKUP($E81,'02_怪物模板_好读版'!$A:$Z,9,FALSE),0)</x:f>
        <x:v>3</x:v>
      </x:c>
      <x:c r="K81" s="31" t="n">
        <x:f>IFERROR(VLOOKUP($E81,'02_怪物模板_好读版'!$A:$Z,10,FALSE),0)</x:f>
        <x:v>0</x:v>
      </x:c>
      <x:c r="L81" s="31" t="n">
        <x:f>IFERROR(VLOOKUP($E81,'02_怪物模板_好读版'!$A:$Z,11,FALSE),0)</x:f>
        <x:v>6</x:v>
      </x:c>
      <x:c r="M81" s="31" t="n">
        <x:f>IFERROR(VLOOKUP($E81,'02_怪物模板_好读版'!$A:$Z,12,FALSE),0)</x:f>
        <x:v>3</x:v>
      </x:c>
      <x:c r="N81" s="29" t="n">
        <x:v>1</x:v>
      </x:c>
      <x:c r="O81" s="29" t="str">
        <x:v>mid_cluster</x:v>
      </x:c>
      <x:c r="P81" s="31" t="n">
        <x:f>IFERROR((I81+J81*3+K81*2+L81+M81*5)*N81,0)</x:f>
        <x:v>70</x:v>
      </x:c>
      <x:c r="Q81" s="29" t="str">
        <x:v>双机制精英与偷奖/咒压同场，要求更成熟的解题顺序。 把战斗从爆发检查扩展到持续处理能力检查。</x:v>
      </x:c>
      <x:c r="R81" s="29" t="str">
        <x:v>城堡-4 / 资源-2 / 经济x0.75</x:v>
      </x:c>
      <x:c r="S81" s="29" t="str">
        <x:v>5回合内高奖；6-10回合每回合-9%；10回合失败</x:v>
      </x:c>
      <x:c r="T81" s="29" t="str"/>
    </x:row>
    <x:row r="82" ht="22" customHeight="1">
      <x:c r="A82" s="29" t="str">
        <x:v>wave_d07_afternoon</x:v>
      </x:c>
      <x:c r="B82" s="29" t="n">
        <x:v>7</x:v>
      </x:c>
      <x:c r="C82" s="29" t="str">
        <x:v>下午</x:v>
      </x:c>
      <x:c r="D82" s="29" t="n">
        <x:v>4</x:v>
      </x:c>
      <x:c r="E82" s="29" t="str">
        <x:v>pal_106</x:v>
      </x:c>
      <x:c r="F82" s="31" t="str">
        <x:f>IFERROR(VLOOKUP($E82,'02_怪物模板_好读版'!$A:$Z,2,FALSE),"")</x:f>
        <x:v>夜幕魔蝠</x:v>
      </x:c>
      <x:c r="G82" s="31" t="str">
        <x:f>IFERROR(VLOOKUP($E82,'02_怪物模板_好读版'!$A:$Z,3,FALSE),"")</x:f>
        <x:v>土</x:v>
      </x:c>
      <x:c r="H82" s="31" t="str">
        <x:f>IFERROR(VLOOKUP($E82,'02_怪物模板_好读版'!$A:$Z,7,FALSE),"")</x:f>
        <x:v>召唤怪</x:v>
      </x:c>
      <x:c r="I82" s="31" t="n">
        <x:f>IFERROR(VLOOKUP($E82,'02_怪物模板_好读版'!$A:$Z,8,FALSE),0)</x:f>
        <x:v>35</x:v>
      </x:c>
      <x:c r="J82" s="31" t="n">
        <x:f>IFERROR(VLOOKUP($E82,'02_怪物模板_好读版'!$A:$Z,9,FALSE),0)</x:f>
        <x:v>3</x:v>
      </x:c>
      <x:c r="K82" s="31" t="n">
        <x:f>IFERROR(VLOOKUP($E82,'02_怪物模板_好读版'!$A:$Z,10,FALSE),0)</x:f>
        <x:v>0</x:v>
      </x:c>
      <x:c r="L82" s="31" t="n">
        <x:f>IFERROR(VLOOKUP($E82,'02_怪物模板_好读版'!$A:$Z,11,FALSE),0)</x:f>
        <x:v>6</x:v>
      </x:c>
      <x:c r="M82" s="31" t="n">
        <x:f>IFERROR(VLOOKUP($E82,'02_怪物模板_好读版'!$A:$Z,12,FALSE),0)</x:f>
        <x:v>3</x:v>
      </x:c>
      <x:c r="N82" s="29" t="n">
        <x:v>1</x:v>
      </x:c>
      <x:c r="O82" s="29" t="str">
        <x:v>mid_cluster</x:v>
      </x:c>
      <x:c r="P82" s="31" t="n">
        <x:f>IFERROR((I82+J82*3+K82*2+L82+M82*5)*N82,0)</x:f>
        <x:v>65</x:v>
      </x:c>
      <x:c r="Q82" s="29" t="str">
        <x:v>双机制精英与偷奖/咒压同场，要求更成熟的解题顺序。 把召唤题抬到后期门槛难度。</x:v>
      </x:c>
      <x:c r="R82" s="29" t="str">
        <x:v>城堡-4 / 资源-2 / 经济x0.75</x:v>
      </x:c>
      <x:c r="S82" s="29" t="str">
        <x:v>5回合内高奖；6-10回合每回合-9%；10回合失败</x:v>
      </x:c>
      <x:c r="T82" s="29" t="str"/>
    </x:row>
    <x:row r="83" ht="22" customHeight="1">
      <x:c r="A83" s="29" t="str">
        <x:v>wave_d07_afternoon</x:v>
      </x:c>
      <x:c r="B83" s="29" t="n">
        <x:v>7</x:v>
      </x:c>
      <x:c r="C83" s="29" t="str">
        <x:v>下午</x:v>
      </x:c>
      <x:c r="D83" s="29" t="n">
        <x:v>4</x:v>
      </x:c>
      <x:c r="E83" s="29" t="str">
        <x:v>pal_029</x:v>
      </x:c>
      <x:c r="F83" s="31" t="str">
        <x:f>IFERROR(VLOOKUP($E83,'02_怪物模板_好读版'!$A:$Z,2,FALSE),"")</x:f>
        <x:v>波霸牛</x:v>
      </x:c>
      <x:c r="G83" s="31" t="str">
        <x:f>IFERROR(VLOOKUP($E83,'02_怪物模板_好读版'!$A:$Z,3,FALSE),"")</x:f>
        <x:v>风</x:v>
      </x:c>
      <x:c r="H83" s="31" t="str">
        <x:f>IFERROR(VLOOKUP($E83,'02_怪物模板_好读版'!$A:$Z,7,FALSE),"")</x:f>
        <x:v>光环怪</x:v>
      </x:c>
      <x:c r="I83" s="31" t="n">
        <x:f>IFERROR(VLOOKUP($E83,'02_怪物模板_好读版'!$A:$Z,8,FALSE),0)</x:f>
        <x:v>25</x:v>
      </x:c>
      <x:c r="J83" s="31" t="n">
        <x:f>IFERROR(VLOOKUP($E83,'02_怪物模板_好读版'!$A:$Z,9,FALSE),0)</x:f>
        <x:v>2</x:v>
      </x:c>
      <x:c r="K83" s="31" t="n">
        <x:f>IFERROR(VLOOKUP($E83,'02_怪物模板_好读版'!$A:$Z,10,FALSE),0)</x:f>
        <x:v>0</x:v>
      </x:c>
      <x:c r="L83" s="31" t="n">
        <x:f>IFERROR(VLOOKUP($E83,'02_怪物模板_好读版'!$A:$Z,11,FALSE),0)</x:f>
        <x:v>6</x:v>
      </x:c>
      <x:c r="M83" s="31" t="n">
        <x:f>IFERROR(VLOOKUP($E83,'02_怪物模板_好读版'!$A:$Z,12,FALSE),0)</x:f>
        <x:v>3</x:v>
      </x:c>
      <x:c r="N83" s="29" t="n">
        <x:v>1</x:v>
      </x:c>
      <x:c r="O83" s="29" t="str">
        <x:v>back_protected</x:v>
      </x:c>
      <x:c r="P83" s="31" t="n">
        <x:f>IFERROR((I83+J83*3+K83*2+L83+M83*5)*N83,0)</x:f>
        <x:v>52</x:v>
      </x:c>
      <x:c r="Q83" s="29" t="str">
        <x:v>双机制精英与偷奖/咒压同场，要求更成熟的解题顺序。 把减行动和群体增益同时压给玩家。</x:v>
      </x:c>
      <x:c r="R83" s="29" t="str">
        <x:v>城堡-4 / 资源-2 / 经济x0.75</x:v>
      </x:c>
      <x:c r="S83" s="29" t="str">
        <x:v>5回合内高奖；6-10回合每回合-9%；10回合失败</x:v>
      </x:c>
      <x:c r="T83" s="29" t="str"/>
    </x:row>
    <x:row r="84" ht="22" customHeight="1">
      <x:c r="A84" s="29" t="str">
        <x:v>wave_d07_afternoon</x:v>
      </x:c>
      <x:c r="B84" s="29" t="n">
        <x:v>7</x:v>
      </x:c>
      <x:c r="C84" s="29" t="str">
        <x:v>下午</x:v>
      </x:c>
      <x:c r="D84" s="29" t="n">
        <x:v>5</x:v>
      </x:c>
      <x:c r="E84" s="29" t="str">
        <x:v>pal_073</x:v>
      </x:c>
      <x:c r="F84" s="31" t="str">
        <x:f>IFERROR(VLOOKUP($E84,'02_怪物模板_好读版'!$A:$Z,2,FALSE),"")</x:f>
        <x:v>烽歌龙</x:v>
      </x:c>
      <x:c r="G84" s="31" t="str">
        <x:f>IFERROR(VLOOKUP($E84,'02_怪物模板_好读版'!$A:$Z,3,FALSE),"")</x:f>
        <x:v>火</x:v>
      </x:c>
      <x:c r="H84" s="31" t="str">
        <x:f>IFERROR(VLOOKUP($E84,'02_怪物模板_好读版'!$A:$Z,7,FALSE),"")</x:f>
        <x:v>城堡怪</x:v>
      </x:c>
      <x:c r="I84" s="31" t="n">
        <x:f>IFERROR(VLOOKUP($E84,'02_怪物模板_好读版'!$A:$Z,8,FALSE),0)</x:f>
        <x:v>30</x:v>
      </x:c>
      <x:c r="J84" s="31" t="n">
        <x:f>IFERROR(VLOOKUP($E84,'02_怪物模板_好读版'!$A:$Z,9,FALSE),0)</x:f>
        <x:v>4</x:v>
      </x:c>
      <x:c r="K84" s="31" t="n">
        <x:f>IFERROR(VLOOKUP($E84,'02_怪物模板_好读版'!$A:$Z,10,FALSE),0)</x:f>
        <x:v>0</x:v>
      </x:c>
      <x:c r="L84" s="31" t="n">
        <x:f>IFERROR(VLOOKUP($E84,'02_怪物模板_好读版'!$A:$Z,11,FALSE),0)</x:f>
        <x:v>0</x:v>
      </x:c>
      <x:c r="M84" s="31" t="n">
        <x:f>IFERROR(VLOOKUP($E84,'02_怪物模板_好读版'!$A:$Z,12,FALSE),0)</x:f>
        <x:v>3</x:v>
      </x:c>
      <x:c r="N84" s="29" t="n">
        <x:v>1</x:v>
      </x:c>
      <x:c r="O84" s="29" t="str">
        <x:v>front_cluster</x:v>
      </x:c>
      <x:c r="P84" s="31" t="n">
        <x:f>IFERROR((I84+J84*3+K84*2+L84+M84*5)*N84,0)</x:f>
        <x:v>57</x:v>
      </x:c>
      <x:c r="Q84" s="29" t="str">
        <x:v>双机制精英与偷奖/咒压同场，要求更成熟的解题顺序。 把“拖着清”的代价抬高到不可忽视。</x:v>
      </x:c>
      <x:c r="R84" s="29" t="str">
        <x:v>城堡-4 / 资源-2 / 经济x0.75</x:v>
      </x:c>
      <x:c r="S84" s="29" t="str">
        <x:v>5回合内高奖；6-10回合每回合-9%；10回合失败</x:v>
      </x:c>
      <x:c r="T84" s="29" t="str"/>
    </x:row>
    <x:row r="85" ht="22" customHeight="1">
      <x:c r="A85" s="29" t="str">
        <x:v>wave_d08_morning</x:v>
      </x:c>
      <x:c r="B85" s="29" t="n">
        <x:v>8</x:v>
      </x:c>
      <x:c r="C85" s="29" t="str">
        <x:v>上午</x:v>
      </x:c>
      <x:c r="D85" s="29" t="n">
        <x:v>1</x:v>
      </x:c>
      <x:c r="E85" s="29" t="str">
        <x:v>pal_026</x:v>
      </x:c>
      <x:c r="F85" s="31" t="str">
        <x:f>IFERROR(VLOOKUP($E85,'02_怪物模板_好读版'!$A:$Z,2,FALSE),"")</x:f>
        <x:v>猎狼</x:v>
      </x:c>
      <x:c r="G85" s="31" t="str">
        <x:f>IFERROR(VLOOKUP($E85,'02_怪物模板_好读版'!$A:$Z,3,FALSE),"")</x:f>
        <x:v>风</x:v>
      </x:c>
      <x:c r="H85" s="31" t="str">
        <x:f>IFERROR(VLOOKUP($E85,'02_怪物模板_好读版'!$A:$Z,7,FALSE),"")</x:f>
        <x:v>偷奖励怪</x:v>
      </x:c>
      <x:c r="I85" s="31" t="n">
        <x:f>IFERROR(VLOOKUP($E85,'02_怪物模板_好读版'!$A:$Z,8,FALSE),0)</x:f>
        <x:v>20</x:v>
      </x:c>
      <x:c r="J85" s="31" t="n">
        <x:f>IFERROR(VLOOKUP($E85,'02_怪物模板_好读版'!$A:$Z,9,FALSE),0)</x:f>
        <x:v>3</x:v>
      </x:c>
      <x:c r="K85" s="31" t="n">
        <x:f>IFERROR(VLOOKUP($E85,'02_怪物模板_好读版'!$A:$Z,10,FALSE),0)</x:f>
        <x:v>0</x:v>
      </x:c>
      <x:c r="L85" s="31" t="n">
        <x:f>IFERROR(VLOOKUP($E85,'02_怪物模板_好读版'!$A:$Z,11,FALSE),0)</x:f>
        <x:v>6</x:v>
      </x:c>
      <x:c r="M85" s="31" t="n">
        <x:f>IFERROR(VLOOKUP($E85,'02_怪物模板_好读版'!$A:$Z,12,FALSE),0)</x:f>
        <x:v>4</x:v>
      </x:c>
      <x:c r="N85" s="29" t="n">
        <x:v>1</x:v>
      </x:c>
      <x:c r="O85" s="29" t="str">
        <x:v>back_corner</x:v>
      </x:c>
      <x:c r="P85" s="31" t="n">
        <x:f>IFERROR((I85+J85*3+K85*2+L85+M85*5)*N85,0)</x:f>
        <x:v>55</x:v>
      </x:c>
      <x:c r="Q85" s="29" t="str">
        <x:v>后期主线压力提高，残留怪惩罚显著放大。 把奖励题升级成真正的阵容完整性检查。</x:v>
      </x:c>
      <x:c r="R85" s="29" t="str">
        <x:v>城堡-3 / 资源-2 / 经济x0.76</x:v>
      </x:c>
      <x:c r="S85" s="29" t="str">
        <x:v>该怪存活每回合额外掉奖；5回合内高奖；6-10回合每回合-8%；10回合失败</x:v>
      </x:c>
      <x:c r="T85" s="29" t="str"/>
    </x:row>
    <x:row r="86" ht="22" customHeight="1">
      <x:c r="A86" s="29" t="str">
        <x:v>wave_d08_morning</x:v>
      </x:c>
      <x:c r="B86" s="29" t="n">
        <x:v>8</x:v>
      </x:c>
      <x:c r="C86" s="29" t="str">
        <x:v>上午</x:v>
      </x:c>
      <x:c r="D86" s="29" t="n">
        <x:v>2</x:v>
      </x:c>
      <x:c r="E86" s="29" t="str">
        <x:v>pal_089</x:v>
      </x:c>
      <x:c r="F86" s="31" t="str">
        <x:f>IFERROR(VLOOKUP($E86,'02_怪物模板_好读版'!$A:$Z,2,FALSE),"")</x:f>
        <x:v>狱焰王</x:v>
      </x:c>
      <x:c r="G86" s="31" t="str">
        <x:f>IFERROR(VLOOKUP($E86,'02_怪物模板_好读版'!$A:$Z,3,FALSE),"")</x:f>
        <x:v>火</x:v>
      </x:c>
      <x:c r="H86" s="31" t="str">
        <x:f>IFERROR(VLOOKUP($E86,'02_怪物模板_好读版'!$A:$Z,7,FALSE),"")</x:f>
        <x:v>精英怪</x:v>
      </x:c>
      <x:c r="I86" s="31" t="n">
        <x:f>IFERROR(VLOOKUP($E86,'02_怪物模板_好读版'!$A:$Z,8,FALSE),0)</x:f>
        <x:v>40</x:v>
      </x:c>
      <x:c r="J86" s="31" t="n">
        <x:f>IFERROR(VLOOKUP($E86,'02_怪物模板_好读版'!$A:$Z,9,FALSE),0)</x:f>
        <x:v>5</x:v>
      </x:c>
      <x:c r="K86" s="31" t="n">
        <x:f>IFERROR(VLOOKUP($E86,'02_怪物模板_好读版'!$A:$Z,10,FALSE),0)</x:f>
        <x:v>0</x:v>
      </x:c>
      <x:c r="L86" s="31" t="n">
        <x:f>IFERROR(VLOOKUP($E86,'02_怪物模板_好读版'!$A:$Z,11,FALSE),0)</x:f>
        <x:v>10</x:v>
      </x:c>
      <x:c r="M86" s="31" t="n">
        <x:f>IFERROR(VLOOKUP($E86,'02_怪物模板_好读版'!$A:$Z,12,FALSE),0)</x:f>
        <x:v>4</x:v>
      </x:c>
      <x:c r="N86" s="29" t="n">
        <x:v>1</x:v>
      </x:c>
      <x:c r="O86" s="29" t="str">
        <x:v>escort_backline</x:v>
      </x:c>
      <x:c r="P86" s="31" t="n">
        <x:f>IFERROR((I86+J86*3+K86*2+L86+M86*5)*N86,0)</x:f>
        <x:v>85</x:v>
      </x:c>
      <x:c r="Q86" s="29" t="str">
        <x:v>后期主线压力提高，残留怪惩罚显著放大。 把中期阵容的容错空间压到真实战斗水平。</x:v>
      </x:c>
      <x:c r="R86" s="29" t="str">
        <x:v>城堡-3 / 资源-2 / 经济x0.76</x:v>
      </x:c>
      <x:c r="S86" s="29" t="str">
        <x:v>5回合内高奖；6-10回合每回合-8%；10回合失败</x:v>
      </x:c>
      <x:c r="T86" s="29" t="str"/>
    </x:row>
    <x:row r="87" ht="22" customHeight="1">
      <x:c r="A87" s="29" t="str">
        <x:v>wave_d08_morning</x:v>
      </x:c>
      <x:c r="B87" s="29" t="n">
        <x:v>8</x:v>
      </x:c>
      <x:c r="C87" s="29" t="str">
        <x:v>上午</x:v>
      </x:c>
      <x:c r="D87" s="29" t="n">
        <x:v>2</x:v>
      </x:c>
      <x:c r="E87" s="29" t="str">
        <x:v>pal_006</x:v>
      </x:c>
      <x:c r="F87" s="31" t="str">
        <x:f>IFERROR(VLOOKUP($E87,'02_怪物模板_好读版'!$A:$Z,2,FALSE),"")</x:f>
        <x:v>冲浪鸭</x:v>
      </x:c>
      <x:c r="G87" s="31" t="str">
        <x:f>IFERROR(VLOOKUP($E87,'02_怪物模板_好读版'!$A:$Z,3,FALSE),"")</x:f>
        <x:v>水</x:v>
      </x:c>
      <x:c r="H87" s="31" t="str">
        <x:f>IFERROR(VLOOKUP($E87,'02_怪物模板_好读版'!$A:$Z,7,FALSE),"")</x:f>
        <x:v>小怪</x:v>
      </x:c>
      <x:c r="I87" s="31" t="n">
        <x:f>IFERROR(VLOOKUP($E87,'02_怪物模板_好读版'!$A:$Z,8,FALSE),0)</x:f>
        <x:v>10</x:v>
      </x:c>
      <x:c r="J87" s="31" t="n">
        <x:f>IFERROR(VLOOKUP($E87,'02_怪物模板_好读版'!$A:$Z,9,FALSE),0)</x:f>
        <x:v>2</x:v>
      </x:c>
      <x:c r="K87" s="31" t="n">
        <x:f>IFERROR(VLOOKUP($E87,'02_怪物模板_好读版'!$A:$Z,10,FALSE),0)</x:f>
        <x:v>0</x:v>
      </x:c>
      <x:c r="L87" s="31" t="n">
        <x:f>IFERROR(VLOOKUP($E87,'02_怪物模板_好读版'!$A:$Z,11,FALSE),0)</x:f>
        <x:v>0</x:v>
      </x:c>
      <x:c r="M87" s="31" t="n">
        <x:f>IFERROR(VLOOKUP($E87,'02_怪物模板_好读版'!$A:$Z,12,FALSE),0)</x:f>
        <x:v>3</x:v>
      </x:c>
      <x:c r="N87" s="29" t="n">
        <x:v>1</x:v>
      </x:c>
      <x:c r="O87" s="29" t="str">
        <x:v>front_split</x:v>
      </x:c>
      <x:c r="P87" s="31" t="n">
        <x:f>IFERROR((I87+J87*3+K87*2+L87+M87*5)*N87,0)</x:f>
        <x:v>31</x:v>
      </x:c>
      <x:c r="Q87" s="29" t="str">
        <x:v>后期主线压力提高，残留怪惩罚显著放大。 让玩家重视持续性惩罚，而不是只看当前伤害。</x:v>
      </x:c>
      <x:c r="R87" s="29" t="str">
        <x:v>城堡-3 / 资源-2 / 经济x0.76</x:v>
      </x:c>
      <x:c r="S87" s="29" t="str">
        <x:v>5回合内高奖；6-10回合每回合-8%；10回合失败</x:v>
      </x:c>
      <x:c r="T87" s="29" t="str"/>
    </x:row>
    <x:row r="88" ht="22" customHeight="1">
      <x:c r="A88" s="29" t="str">
        <x:v>wave_d08_morning</x:v>
      </x:c>
      <x:c r="B88" s="29" t="n">
        <x:v>8</x:v>
      </x:c>
      <x:c r="C88" s="29" t="str">
        <x:v>上午</x:v>
      </x:c>
      <x:c r="D88" s="29" t="n">
        <x:v>3</x:v>
      </x:c>
      <x:c r="E88" s="29" t="str">
        <x:v>pal_110</x:v>
      </x:c>
      <x:c r="F88" s="31" t="str">
        <x:f>IFERROR(VLOOKUP($E88,'02_怪物模板_好读版'!$A:$Z,2,FALSE),"")</x:f>
        <x:v>魔渊龙</x:v>
      </x:c>
      <x:c r="G88" s="31" t="str">
        <x:f>IFERROR(VLOOKUP($E88,'02_怪物模板_好读版'!$A:$Z,3,FALSE),"")</x:f>
        <x:v>土</x:v>
      </x:c>
      <x:c r="H88" s="31" t="str">
        <x:f>IFERROR(VLOOKUP($E88,'02_怪物模板_好读版'!$A:$Z,7,FALSE),"")</x:f>
        <x:v>精英怪</x:v>
      </x:c>
      <x:c r="I88" s="31" t="n">
        <x:f>IFERROR(VLOOKUP($E88,'02_怪物模板_好读版'!$A:$Z,8,FALSE),0)</x:f>
        <x:v>50</x:v>
      </x:c>
      <x:c r="J88" s="31" t="n">
        <x:f>IFERROR(VLOOKUP($E88,'02_怪物模板_好读版'!$A:$Z,9,FALSE),0)</x:f>
        <x:v>4</x:v>
      </x:c>
      <x:c r="K88" s="31" t="n">
        <x:f>IFERROR(VLOOKUP($E88,'02_怪物模板_好读版'!$A:$Z,10,FALSE),0)</x:f>
        <x:v>6</x:v>
      </x:c>
      <x:c r="L88" s="31" t="n">
        <x:f>IFERROR(VLOOKUP($E88,'02_怪物模板_好读版'!$A:$Z,11,FALSE),0)</x:f>
        <x:v>6</x:v>
      </x:c>
      <x:c r="M88" s="31" t="n">
        <x:f>IFERROR(VLOOKUP($E88,'02_怪物模板_好读版'!$A:$Z,12,FALSE),0)</x:f>
        <x:v>4</x:v>
      </x:c>
      <x:c r="N88" s="29" t="n">
        <x:v>1</x:v>
      </x:c>
      <x:c r="O88" s="29" t="str">
        <x:v>front_cluster</x:v>
      </x:c>
      <x:c r="P88" s="31" t="n">
        <x:f>IFERROR((I88+J88*3+K88*2+L88+M88*5)*N88,0)</x:f>
        <x:v>100</x:v>
      </x:c>
      <x:c r="Q88" s="29" t="str">
        <x:v>后期主线压力提高，残留怪惩罚显著放大。 让玩家感知真正的后期门槛题。</x:v>
      </x:c>
      <x:c r="R88" s="29" t="str">
        <x:v>城堡-3 / 资源-2 / 经济x0.76</x:v>
      </x:c>
      <x:c r="S88" s="29" t="str">
        <x:v>5回合内高奖；6-10回合每回合-8%；10回合失败</x:v>
      </x:c>
      <x:c r="T88" s="29" t="str"/>
    </x:row>
    <x:row r="89" ht="22" customHeight="1">
      <x:c r="A89" s="29" t="str">
        <x:v>wave_d08_morning</x:v>
      </x:c>
      <x:c r="B89" s="29" t="n">
        <x:v>8</x:v>
      </x:c>
      <x:c r="C89" s="29" t="str">
        <x:v>上午</x:v>
      </x:c>
      <x:c r="D89" s="29" t="n">
        <x:v>3</x:v>
      </x:c>
      <x:c r="E89" s="29" t="str">
        <x:v>pal_097</x:v>
      </x:c>
      <x:c r="F89" s="31" t="str">
        <x:f>IFERROR(VLOOKUP($E89,'02_怪物模板_好读版'!$A:$Z,2,FALSE),"")</x:f>
        <x:v>寒霜兽</x:v>
      </x:c>
      <x:c r="G89" s="31" t="str">
        <x:f>IFERROR(VLOOKUP($E89,'02_怪物模板_好读版'!$A:$Z,3,FALSE),"")</x:f>
        <x:v>水</x:v>
      </x:c>
      <x:c r="H89" s="31" t="str">
        <x:f>IFERROR(VLOOKUP($E89,'02_怪物模板_好读版'!$A:$Z,7,FALSE),"")</x:f>
        <x:v>限伤怪</x:v>
      </x:c>
      <x:c r="I89" s="31" t="n">
        <x:f>IFERROR(VLOOKUP($E89,'02_怪物模板_好读版'!$A:$Z,8,FALSE),0)</x:f>
        <x:v>40</x:v>
      </x:c>
      <x:c r="J89" s="31" t="n">
        <x:f>IFERROR(VLOOKUP($E89,'02_怪物模板_好读版'!$A:$Z,9,FALSE),0)</x:f>
        <x:v>3</x:v>
      </x:c>
      <x:c r="K89" s="31" t="n">
        <x:f>IFERROR(VLOOKUP($E89,'02_怪物模板_好读版'!$A:$Z,10,FALSE),0)</x:f>
        <x:v>0</x:v>
      </x:c>
      <x:c r="L89" s="31" t="n">
        <x:f>IFERROR(VLOOKUP($E89,'02_怪物模板_好读版'!$A:$Z,11,FALSE),0)</x:f>
        <x:v>6</x:v>
      </x:c>
      <x:c r="M89" s="31" t="n">
        <x:f>IFERROR(VLOOKUP($E89,'02_怪物模板_好读版'!$A:$Z,12,FALSE),0)</x:f>
        <x:v>3</x:v>
      </x:c>
      <x:c r="N89" s="29" t="n">
        <x:v>1</x:v>
      </x:c>
      <x:c r="O89" s="29" t="str">
        <x:v>mid_cluster</x:v>
      </x:c>
      <x:c r="P89" s="31" t="n">
        <x:f>IFERROR((I89+J89*3+K89*2+L89+M89*5)*N89,0)</x:f>
        <x:v>70</x:v>
      </x:c>
      <x:c r="Q89" s="29" t="str">
        <x:v>后期主线压力提高，残留怪惩罚显著放大。 把战斗从爆发检查扩展到持续处理能力检查。</x:v>
      </x:c>
      <x:c r="R89" s="29" t="str">
        <x:v>城堡-3 / 资源-2 / 经济x0.76</x:v>
      </x:c>
      <x:c r="S89" s="29" t="str">
        <x:v>5回合内高奖；6-10回合每回合-8%；10回合失败</x:v>
      </x:c>
      <x:c r="T89" s="29" t="str"/>
    </x:row>
    <x:row r="90" ht="22" customHeight="1">
      <x:c r="A90" s="29" t="str">
        <x:v>wave_d08_morning</x:v>
      </x:c>
      <x:c r="B90" s="29" t="n">
        <x:v>8</x:v>
      </x:c>
      <x:c r="C90" s="29" t="str">
        <x:v>上午</x:v>
      </x:c>
      <x:c r="D90" s="29" t="n">
        <x:v>4</x:v>
      </x:c>
      <x:c r="E90" s="29" t="str">
        <x:v>pal_106</x:v>
      </x:c>
      <x:c r="F90" s="31" t="str">
        <x:f>IFERROR(VLOOKUP($E90,'02_怪物模板_好读版'!$A:$Z,2,FALSE),"")</x:f>
        <x:v>夜幕魔蝠</x:v>
      </x:c>
      <x:c r="G90" s="31" t="str">
        <x:f>IFERROR(VLOOKUP($E90,'02_怪物模板_好读版'!$A:$Z,3,FALSE),"")</x:f>
        <x:v>土</x:v>
      </x:c>
      <x:c r="H90" s="31" t="str">
        <x:f>IFERROR(VLOOKUP($E90,'02_怪物模板_好读版'!$A:$Z,7,FALSE),"")</x:f>
        <x:v>召唤怪</x:v>
      </x:c>
      <x:c r="I90" s="31" t="n">
        <x:f>IFERROR(VLOOKUP($E90,'02_怪物模板_好读版'!$A:$Z,8,FALSE),0)</x:f>
        <x:v>35</x:v>
      </x:c>
      <x:c r="J90" s="31" t="n">
        <x:f>IFERROR(VLOOKUP($E90,'02_怪物模板_好读版'!$A:$Z,9,FALSE),0)</x:f>
        <x:v>3</x:v>
      </x:c>
      <x:c r="K90" s="31" t="n">
        <x:f>IFERROR(VLOOKUP($E90,'02_怪物模板_好读版'!$A:$Z,10,FALSE),0)</x:f>
        <x:v>0</x:v>
      </x:c>
      <x:c r="L90" s="31" t="n">
        <x:f>IFERROR(VLOOKUP($E90,'02_怪物模板_好读版'!$A:$Z,11,FALSE),0)</x:f>
        <x:v>6</x:v>
      </x:c>
      <x:c r="M90" s="31" t="n">
        <x:f>IFERROR(VLOOKUP($E90,'02_怪物模板_好读版'!$A:$Z,12,FALSE),0)</x:f>
        <x:v>3</x:v>
      </x:c>
      <x:c r="N90" s="29" t="n">
        <x:v>1</x:v>
      </x:c>
      <x:c r="O90" s="29" t="str">
        <x:v>mid_cluster</x:v>
      </x:c>
      <x:c r="P90" s="31" t="n">
        <x:f>IFERROR((I90+J90*3+K90*2+L90+M90*5)*N90,0)</x:f>
        <x:v>65</x:v>
      </x:c>
      <x:c r="Q90" s="29" t="str">
        <x:v>后期主线压力提高，残留怪惩罚显著放大。 把召唤题抬到后期门槛难度。</x:v>
      </x:c>
      <x:c r="R90" s="29" t="str">
        <x:v>城堡-3 / 资源-2 / 经济x0.76</x:v>
      </x:c>
      <x:c r="S90" s="29" t="str">
        <x:v>5回合内高奖；6-10回合每回合-8%；10回合失败</x:v>
      </x:c>
      <x:c r="T90" s="29" t="str"/>
    </x:row>
    <x:row r="91" ht="22" customHeight="1">
      <x:c r="A91" s="29" t="str">
        <x:v>wave_d08_morning</x:v>
      </x:c>
      <x:c r="B91" s="29" t="n">
        <x:v>8</x:v>
      </x:c>
      <x:c r="C91" s="29" t="str">
        <x:v>上午</x:v>
      </x:c>
      <x:c r="D91" s="29" t="n">
        <x:v>4</x:v>
      </x:c>
      <x:c r="E91" s="29" t="str">
        <x:v>pal_073</x:v>
      </x:c>
      <x:c r="F91" s="31" t="str">
        <x:f>IFERROR(VLOOKUP($E91,'02_怪物模板_好读版'!$A:$Z,2,FALSE),"")</x:f>
        <x:v>烽歌龙</x:v>
      </x:c>
      <x:c r="G91" s="31" t="str">
        <x:f>IFERROR(VLOOKUP($E91,'02_怪物模板_好读版'!$A:$Z,3,FALSE),"")</x:f>
        <x:v>火</x:v>
      </x:c>
      <x:c r="H91" s="31" t="str">
        <x:f>IFERROR(VLOOKUP($E91,'02_怪物模板_好读版'!$A:$Z,7,FALSE),"")</x:f>
        <x:v>城堡怪</x:v>
      </x:c>
      <x:c r="I91" s="31" t="n">
        <x:f>IFERROR(VLOOKUP($E91,'02_怪物模板_好读版'!$A:$Z,8,FALSE),0)</x:f>
        <x:v>30</x:v>
      </x:c>
      <x:c r="J91" s="31" t="n">
        <x:f>IFERROR(VLOOKUP($E91,'02_怪物模板_好读版'!$A:$Z,9,FALSE),0)</x:f>
        <x:v>4</x:v>
      </x:c>
      <x:c r="K91" s="31" t="n">
        <x:f>IFERROR(VLOOKUP($E91,'02_怪物模板_好读版'!$A:$Z,10,FALSE),0)</x:f>
        <x:v>0</x:v>
      </x:c>
      <x:c r="L91" s="31" t="n">
        <x:f>IFERROR(VLOOKUP($E91,'02_怪物模板_好读版'!$A:$Z,11,FALSE),0)</x:f>
        <x:v>0</x:v>
      </x:c>
      <x:c r="M91" s="31" t="n">
        <x:f>IFERROR(VLOOKUP($E91,'02_怪物模板_好读版'!$A:$Z,12,FALSE),0)</x:f>
        <x:v>3</x:v>
      </x:c>
      <x:c r="N91" s="29" t="n">
        <x:v>1</x:v>
      </x:c>
      <x:c r="O91" s="29" t="str">
        <x:v>front_cluster</x:v>
      </x:c>
      <x:c r="P91" s="31" t="n">
        <x:f>IFERROR((I91+J91*3+K91*2+L91+M91*5)*N91,0)</x:f>
        <x:v>57</x:v>
      </x:c>
      <x:c r="Q91" s="29" t="str">
        <x:v>后期主线压力提高，残留怪惩罚显著放大。 把“拖着清”的代价抬高到不可忽视。</x:v>
      </x:c>
      <x:c r="R91" s="29" t="str">
        <x:v>城堡-3 / 资源-2 / 经济x0.76</x:v>
      </x:c>
      <x:c r="S91" s="29" t="str">
        <x:v>5回合内高奖；6-10回合每回合-8%；10回合失败</x:v>
      </x:c>
      <x:c r="T91" s="29" t="str"/>
    </x:row>
    <x:row r="92" ht="22" customHeight="1">
      <x:c r="A92" s="29" t="str">
        <x:v>wave_d08_morning</x:v>
      </x:c>
      <x:c r="B92" s="29" t="n">
        <x:v>8</x:v>
      </x:c>
      <x:c r="C92" s="29" t="str">
        <x:v>上午</x:v>
      </x:c>
      <x:c r="D92" s="29" t="n">
        <x:v>5</x:v>
      </x:c>
      <x:c r="E92" s="29" t="str">
        <x:v>pal_091</x:v>
      </x:c>
      <x:c r="F92" s="31" t="str">
        <x:f>IFERROR(VLOOKUP($E92,'02_怪物模板_好读版'!$A:$Z,2,FALSE),"")</x:f>
        <x:v>佩克龙</x:v>
      </x:c>
      <x:c r="G92" s="31" t="str">
        <x:f>IFERROR(VLOOKUP($E92,'02_怪物模板_好读版'!$A:$Z,3,FALSE),"")</x:f>
        <x:v>水</x:v>
      </x:c>
      <x:c r="H92" s="31" t="str">
        <x:f>IFERROR(VLOOKUP($E92,'02_怪物模板_好读版'!$A:$Z,7,FALSE),"")</x:f>
        <x:v>肉盾</x:v>
      </x:c>
      <x:c r="I92" s="31" t="n">
        <x:f>IFERROR(VLOOKUP($E92,'02_怪物模板_好读版'!$A:$Z,8,FALSE),0)</x:f>
        <x:v>35</x:v>
      </x:c>
      <x:c r="J92" s="31" t="n">
        <x:f>IFERROR(VLOOKUP($E92,'02_怪物模板_好读版'!$A:$Z,9,FALSE),0)</x:f>
        <x:v>2</x:v>
      </x:c>
      <x:c r="K92" s="31" t="n">
        <x:f>IFERROR(VLOOKUP($E92,'02_怪物模板_好读版'!$A:$Z,10,FALSE),0)</x:f>
        <x:v>0</x:v>
      </x:c>
      <x:c r="L92" s="31" t="n">
        <x:f>IFERROR(VLOOKUP($E92,'02_怪物模板_好读版'!$A:$Z,11,FALSE),0)</x:f>
        <x:v>6</x:v>
      </x:c>
      <x:c r="M92" s="31" t="n">
        <x:f>IFERROR(VLOOKUP($E92,'02_怪物模板_好读版'!$A:$Z,12,FALSE),0)</x:f>
        <x:v>2</x:v>
      </x:c>
      <x:c r="N92" s="29" t="n">
        <x:v>1</x:v>
      </x:c>
      <x:c r="O92" s="29" t="str">
        <x:v>boss_anchor</x:v>
      </x:c>
      <x:c r="P92" s="31" t="n">
        <x:f>IFERROR((I92+J92*3+K92*2+L92+M92*5)*N92,0)</x:f>
        <x:v>57</x:v>
      </x:c>
      <x:c r="Q92" s="29" t="str">
        <x:v>后期主线压力提高，残留怪惩罚显著放大。 要求玩家把击杀节奏算清楚，避免重生后重新卡线。</x:v>
      </x:c>
      <x:c r="R92" s="29" t="str">
        <x:v>城堡-3 / 资源-2 / 经济x0.76</x:v>
      </x:c>
      <x:c r="S92" s="29" t="str">
        <x:v>5回合内高奖；6-10回合每回合-8%；10回合失败</x:v>
      </x:c>
      <x:c r="T92" s="29" t="str"/>
    </x:row>
    <x:row r="93" ht="22" customHeight="1">
      <x:c r="A93" s="29" t="str">
        <x:v>wave_d08_afternoon</x:v>
      </x:c>
      <x:c r="B93" s="29" t="n">
        <x:v>8</x:v>
      </x:c>
      <x:c r="C93" s="29" t="str">
        <x:v>下午</x:v>
      </x:c>
      <x:c r="D93" s="29" t="n">
        <x:v>1</x:v>
      </x:c>
      <x:c r="E93" s="29" t="str">
        <x:v>pal_026</x:v>
      </x:c>
      <x:c r="F93" s="31" t="str">
        <x:f>IFERROR(VLOOKUP($E93,'02_怪物模板_好读版'!$A:$Z,2,FALSE),"")</x:f>
        <x:v>猎狼</x:v>
      </x:c>
      <x:c r="G93" s="31" t="str">
        <x:f>IFERROR(VLOOKUP($E93,'02_怪物模板_好读版'!$A:$Z,3,FALSE),"")</x:f>
        <x:v>风</x:v>
      </x:c>
      <x:c r="H93" s="31" t="str">
        <x:f>IFERROR(VLOOKUP($E93,'02_怪物模板_好读版'!$A:$Z,7,FALSE),"")</x:f>
        <x:v>偷奖励怪</x:v>
      </x:c>
      <x:c r="I93" s="31" t="n">
        <x:f>IFERROR(VLOOKUP($E93,'02_怪物模板_好读版'!$A:$Z,8,FALSE),0)</x:f>
        <x:v>20</x:v>
      </x:c>
      <x:c r="J93" s="31" t="n">
        <x:f>IFERROR(VLOOKUP($E93,'02_怪物模板_好读版'!$A:$Z,9,FALSE),0)</x:f>
        <x:v>3</x:v>
      </x:c>
      <x:c r="K93" s="31" t="n">
        <x:f>IFERROR(VLOOKUP($E93,'02_怪物模板_好读版'!$A:$Z,10,FALSE),0)</x:f>
        <x:v>0</x:v>
      </x:c>
      <x:c r="L93" s="31" t="n">
        <x:f>IFERROR(VLOOKUP($E93,'02_怪物模板_好读版'!$A:$Z,11,FALSE),0)</x:f>
        <x:v>6</x:v>
      </x:c>
      <x:c r="M93" s="31" t="n">
        <x:f>IFERROR(VLOOKUP($E93,'02_怪物模板_好读版'!$A:$Z,12,FALSE),0)</x:f>
        <x:v>4</x:v>
      </x:c>
      <x:c r="N93" s="29" t="n">
        <x:v>1</x:v>
      </x:c>
      <x:c r="O93" s="29" t="str">
        <x:v>back_corner</x:v>
      </x:c>
      <x:c r="P93" s="31" t="n">
        <x:f>IFERROR((I93+J93*3+K93*2+L93+M93*5)*N93,0)</x:f>
        <x:v>55</x:v>
      </x:c>
      <x:c r="Q93" s="29" t="str">
        <x:v>半首领级别守门战，第一次大范围高压机制进场。 把奖励题升级成真正的阵容完整性检查。</x:v>
      </x:c>
      <x:c r="R93" s="29" t="str">
        <x:v>城堡-4 / 资源-2 / 经济x0.73</x:v>
      </x:c>
      <x:c r="S93" s="29" t="str">
        <x:v>该怪存活每回合额外掉奖；5回合内高奖；6-10回合每回合-9%；10回合失败</x:v>
      </x:c>
      <x:c r="T93" s="29" t="str"/>
    </x:row>
    <x:row r="94" ht="22" customHeight="1">
      <x:c r="A94" s="29" t="str">
        <x:v>wave_d08_afternoon</x:v>
      </x:c>
      <x:c r="B94" s="29" t="n">
        <x:v>8</x:v>
      </x:c>
      <x:c r="C94" s="29" t="str">
        <x:v>下午</x:v>
      </x:c>
      <x:c r="D94" s="29" t="n">
        <x:v>2</x:v>
      </x:c>
      <x:c r="E94" s="29" t="str">
        <x:v>pal_101</x:v>
      </x:c>
      <x:c r="F94" s="31" t="str">
        <x:f>IFERROR(VLOOKUP($E94,'02_怪物模板_好读版'!$A:$Z,2,FALSE),"")</x:f>
        <x:v>雪猛犸</x:v>
      </x:c>
      <x:c r="G94" s="31" t="str">
        <x:f>IFERROR(VLOOKUP($E94,'02_怪物模板_好读版'!$A:$Z,3,FALSE),"")</x:f>
        <x:v>水</x:v>
      </x:c>
      <x:c r="H94" s="31" t="str">
        <x:f>IFERROR(VLOOKUP($E94,'02_怪物模板_好读版'!$A:$Z,7,FALSE),"")</x:f>
        <x:v>精英怪</x:v>
      </x:c>
      <x:c r="I94" s="31" t="n">
        <x:f>IFERROR(VLOOKUP($E94,'02_怪物模板_好读版'!$A:$Z,8,FALSE),0)</x:f>
        <x:v>35</x:v>
      </x:c>
      <x:c r="J94" s="31" t="n">
        <x:f>IFERROR(VLOOKUP($E94,'02_怪物模板_好读版'!$A:$Z,9,FALSE),0)</x:f>
        <x:v>4</x:v>
      </x:c>
      <x:c r="K94" s="31" t="n">
        <x:f>IFERROR(VLOOKUP($E94,'02_怪物模板_好读版'!$A:$Z,10,FALSE),0)</x:f>
        <x:v>0</x:v>
      </x:c>
      <x:c r="L94" s="31" t="n">
        <x:f>IFERROR(VLOOKUP($E94,'02_怪物模板_好读版'!$A:$Z,11,FALSE),0)</x:f>
        <x:v>15</x:v>
      </x:c>
      <x:c r="M94" s="31" t="n">
        <x:f>IFERROR(VLOOKUP($E94,'02_怪物模板_好读版'!$A:$Z,12,FALSE),0)</x:f>
        <x:v>4</x:v>
      </x:c>
      <x:c r="N94" s="29" t="n">
        <x:v>1</x:v>
      </x:c>
      <x:c r="O94" s="29" t="str">
        <x:v>escort_backline</x:v>
      </x:c>
      <x:c r="P94" s="31" t="n">
        <x:f>IFERROR((I94+J94*3+K94*2+L94+M94*5)*N94,0)</x:f>
        <x:v>82</x:v>
      </x:c>
      <x:c r="Q94" s="29" t="str">
        <x:v>半首领级别守门战，第一次大范围高压机制进场。 逼玩家拿出真正意义上的强杀方案。</x:v>
      </x:c>
      <x:c r="R94" s="29" t="str">
        <x:v>城堡-4 / 资源-2 / 经济x0.73</x:v>
      </x:c>
      <x:c r="S94" s="29" t="str">
        <x:v>5回合内高奖；6-10回合每回合-9%；10回合失败</x:v>
      </x:c>
      <x:c r="T94" s="29" t="str"/>
    </x:row>
    <x:row r="95" ht="22" customHeight="1">
      <x:c r="A95" s="29" t="str">
        <x:v>wave_d08_afternoon</x:v>
      </x:c>
      <x:c r="B95" s="29" t="n">
        <x:v>8</x:v>
      </x:c>
      <x:c r="C95" s="29" t="str">
        <x:v>下午</x:v>
      </x:c>
      <x:c r="D95" s="29" t="n">
        <x:v>2</x:v>
      </x:c>
      <x:c r="E95" s="29" t="str">
        <x:v>pal_003</x:v>
      </x:c>
      <x:c r="F95" s="31" t="str">
        <x:f>IFERROR(VLOOKUP($E95,'02_怪物模板_好读版'!$A:$Z,2,FALSE),"")</x:f>
        <x:v>皮皮鸡</x:v>
      </x:c>
      <x:c r="G95" s="31" t="str">
        <x:f>IFERROR(VLOOKUP($E95,'02_怪物模板_好读版'!$A:$Z,3,FALSE),"")</x:f>
        <x:v>风</x:v>
      </x:c>
      <x:c r="H95" s="31" t="str">
        <x:f>IFERROR(VLOOKUP($E95,'02_怪物模板_好读版'!$A:$Z,7,FALSE),"")</x:f>
        <x:v>小怪</x:v>
      </x:c>
      <x:c r="I95" s="31" t="n">
        <x:f>IFERROR(VLOOKUP($E95,'02_怪物模板_好读版'!$A:$Z,8,FALSE),0)</x:f>
        <x:v>10</x:v>
      </x:c>
      <x:c r="J95" s="31" t="n">
        <x:f>IFERROR(VLOOKUP($E95,'02_怪物模板_好读版'!$A:$Z,9,FALSE),0)</x:f>
        <x:v>3</x:v>
      </x:c>
      <x:c r="K95" s="31" t="n">
        <x:f>IFERROR(VLOOKUP($E95,'02_怪物模板_好读版'!$A:$Z,10,FALSE),0)</x:f>
        <x:v>0</x:v>
      </x:c>
      <x:c r="L95" s="31" t="n">
        <x:f>IFERROR(VLOOKUP($E95,'02_怪物模板_好读版'!$A:$Z,11,FALSE),0)</x:f>
        <x:v>0</x:v>
      </x:c>
      <x:c r="M95" s="31" t="n">
        <x:f>IFERROR(VLOOKUP($E95,'02_怪物模板_好读版'!$A:$Z,12,FALSE),0)</x:f>
        <x:v>3</x:v>
      </x:c>
      <x:c r="N95" s="29" t="n">
        <x:v>1</x:v>
      </x:c>
      <x:c r="O95" s="29" t="str">
        <x:v>front_split</x:v>
      </x:c>
      <x:c r="P95" s="31" t="n">
        <x:f>IFERROR((I95+J95*3+K95*2+L95+M95*5)*N95,0)</x:f>
        <x:v>34</x:v>
      </x:c>
      <x:c r="Q95" s="29" t="str">
        <x:v>半首领级别守门战，第一次大范围高压机制进场。 把本来可以拖的杂兵变成必须先收的扰动源。</x:v>
      </x:c>
      <x:c r="R95" s="29" t="str">
        <x:v>城堡-4 / 资源-2 / 经济x0.73</x:v>
      </x:c>
      <x:c r="S95" s="29" t="str">
        <x:v>5回合内高奖；6-10回合每回合-9%；10回合失败</x:v>
      </x:c>
      <x:c r="T95" s="29" t="str"/>
    </x:row>
    <x:row r="96" ht="22" customHeight="1">
      <x:c r="A96" s="29" t="str">
        <x:v>wave_d08_afternoon</x:v>
      </x:c>
      <x:c r="B96" s="29" t="n">
        <x:v>8</x:v>
      </x:c>
      <x:c r="C96" s="29" t="str">
        <x:v>下午</x:v>
      </x:c>
      <x:c r="D96" s="29" t="n">
        <x:v>3</x:v>
      </x:c>
      <x:c r="E96" s="29" t="str">
        <x:v>pal_110</x:v>
      </x:c>
      <x:c r="F96" s="31" t="str">
        <x:f>IFERROR(VLOOKUP($E96,'02_怪物模板_好读版'!$A:$Z,2,FALSE),"")</x:f>
        <x:v>魔渊龙</x:v>
      </x:c>
      <x:c r="G96" s="31" t="str">
        <x:f>IFERROR(VLOOKUP($E96,'02_怪物模板_好读版'!$A:$Z,3,FALSE),"")</x:f>
        <x:v>土</x:v>
      </x:c>
      <x:c r="H96" s="31" t="str">
        <x:f>IFERROR(VLOOKUP($E96,'02_怪物模板_好读版'!$A:$Z,7,FALSE),"")</x:f>
        <x:v>精英怪</x:v>
      </x:c>
      <x:c r="I96" s="31" t="n">
        <x:f>IFERROR(VLOOKUP($E96,'02_怪物模板_好读版'!$A:$Z,8,FALSE),0)</x:f>
        <x:v>50</x:v>
      </x:c>
      <x:c r="J96" s="31" t="n">
        <x:f>IFERROR(VLOOKUP($E96,'02_怪物模板_好读版'!$A:$Z,9,FALSE),0)</x:f>
        <x:v>4</x:v>
      </x:c>
      <x:c r="K96" s="31" t="n">
        <x:f>IFERROR(VLOOKUP($E96,'02_怪物模板_好读版'!$A:$Z,10,FALSE),0)</x:f>
        <x:v>6</x:v>
      </x:c>
      <x:c r="L96" s="31" t="n">
        <x:f>IFERROR(VLOOKUP($E96,'02_怪物模板_好读版'!$A:$Z,11,FALSE),0)</x:f>
        <x:v>6</x:v>
      </x:c>
      <x:c r="M96" s="31" t="n">
        <x:f>IFERROR(VLOOKUP($E96,'02_怪物模板_好读版'!$A:$Z,12,FALSE),0)</x:f>
        <x:v>4</x:v>
      </x:c>
      <x:c r="N96" s="29" t="n">
        <x:v>1</x:v>
      </x:c>
      <x:c r="O96" s="29" t="str">
        <x:v>front_cluster</x:v>
      </x:c>
      <x:c r="P96" s="31" t="n">
        <x:f>IFERROR((I96+J96*3+K96*2+L96+M96*5)*N96,0)</x:f>
        <x:v>100</x:v>
      </x:c>
      <x:c r="Q96" s="29" t="str">
        <x:v>半首领级别守门战，第一次大范围高压机制进场。 让玩家感知真正的后期门槛题。</x:v>
      </x:c>
      <x:c r="R96" s="29" t="str">
        <x:v>城堡-4 / 资源-2 / 经济x0.73</x:v>
      </x:c>
      <x:c r="S96" s="29" t="str">
        <x:v>5回合内高奖；6-10回合每回合-9%；10回合失败</x:v>
      </x:c>
      <x:c r="T96" s="29" t="str"/>
    </x:row>
    <x:row r="97" ht="22" customHeight="1">
      <x:c r="A97" s="29" t="str">
        <x:v>wave_d08_afternoon</x:v>
      </x:c>
      <x:c r="B97" s="29" t="n">
        <x:v>8</x:v>
      </x:c>
      <x:c r="C97" s="29" t="str">
        <x:v>下午</x:v>
      </x:c>
      <x:c r="D97" s="29" t="n">
        <x:v>3</x:v>
      </x:c>
      <x:c r="E97" s="29" t="str">
        <x:v>pal_017</x:v>
      </x:c>
      <x:c r="F97" s="31" t="str">
        <x:f>IFERROR(VLOOKUP($E97,'02_怪物模板_好读版'!$A:$Z,2,FALSE),"")</x:f>
        <x:v>瞅什魔</x:v>
      </x:c>
      <x:c r="G97" s="31" t="str">
        <x:f>IFERROR(VLOOKUP($E97,'02_怪物模板_好读版'!$A:$Z,3,FALSE),"")</x:f>
        <x:v>土</x:v>
      </x:c>
      <x:c r="H97" s="31" t="str">
        <x:f>IFERROR(VLOOKUP($E97,'02_怪物模板_好读版'!$A:$Z,7,FALSE),"")</x:f>
        <x:v>肉盾</x:v>
      </x:c>
      <x:c r="I97" s="31" t="n">
        <x:f>IFERROR(VLOOKUP($E97,'02_怪物模板_好读版'!$A:$Z,8,FALSE),0)</x:f>
        <x:v>40</x:v>
      </x:c>
      <x:c r="J97" s="31" t="n">
        <x:f>IFERROR(VLOOKUP($E97,'02_怪物模板_好读版'!$A:$Z,9,FALSE),0)</x:f>
        <x:v>3</x:v>
      </x:c>
      <x:c r="K97" s="31" t="n">
        <x:f>IFERROR(VLOOKUP($E97,'02_怪物模板_好读版'!$A:$Z,10,FALSE),0)</x:f>
        <x:v>0</x:v>
      </x:c>
      <x:c r="L97" s="31" t="n">
        <x:f>IFERROR(VLOOKUP($E97,'02_怪物模板_好读版'!$A:$Z,11,FALSE),0)</x:f>
        <x:v>0</x:v>
      </x:c>
      <x:c r="M97" s="31" t="n">
        <x:f>IFERROR(VLOOKUP($E97,'02_怪物模板_好读版'!$A:$Z,12,FALSE),0)</x:f>
        <x:v>2</x:v>
      </x:c>
      <x:c r="N97" s="29" t="n">
        <x:v>1</x:v>
      </x:c>
      <x:c r="O97" s="29" t="str">
        <x:v>mid_cluster</x:v>
      </x:c>
      <x:c r="P97" s="31" t="n">
        <x:f>IFERROR((I97+J97*3+K97*2+L97+M97*5)*N97,0)</x:f>
        <x:v>59</x:v>
      </x:c>
      <x:c r="Q97" s="29" t="str">
        <x:v>半首领级别守门战，第一次大范围高压机制进场。 逼玩家拿出真正高攻或增伤组合，不再靠低攻磨掉。</x:v>
      </x:c>
      <x:c r="R97" s="29" t="str">
        <x:v>城堡-4 / 资源-2 / 经济x0.73</x:v>
      </x:c>
      <x:c r="S97" s="29" t="str">
        <x:v>5回合内高奖；6-10回合每回合-9%；10回合失败</x:v>
      </x:c>
      <x:c r="T97" s="29" t="str"/>
    </x:row>
    <x:row r="98" ht="22" customHeight="1">
      <x:c r="A98" s="29" t="str">
        <x:v>wave_d08_afternoon</x:v>
      </x:c>
      <x:c r="B98" s="29" t="n">
        <x:v>8</x:v>
      </x:c>
      <x:c r="C98" s="29" t="str">
        <x:v>下午</x:v>
      </x:c>
      <x:c r="D98" s="29" t="n">
        <x:v>4</x:v>
      </x:c>
      <x:c r="E98" s="29" t="str">
        <x:v>pal_124</x:v>
      </x:c>
      <x:c r="F98" s="31" t="str">
        <x:f>IFERROR(VLOOKUP($E98,'02_怪物模板_好读版'!$A:$Z,2,FALSE),"")</x:f>
        <x:v>混沌骑士</x:v>
      </x:c>
      <x:c r="G98" s="31" t="str">
        <x:f>IFERROR(VLOOKUP($E98,'02_怪物模板_好读版'!$A:$Z,3,FALSE),"")</x:f>
        <x:v>土</x:v>
      </x:c>
      <x:c r="H98" s="31" t="str">
        <x:f>IFERROR(VLOOKUP($E98,'02_怪物模板_好读版'!$A:$Z,7,FALSE),"")</x:f>
        <x:v>Boss</x:v>
      </x:c>
      <x:c r="I98" s="31" t="n">
        <x:f>IFERROR(VLOOKUP($E98,'02_怪物模板_好读版'!$A:$Z,8,FALSE),0)</x:f>
        <x:v>60</x:v>
      </x:c>
      <x:c r="J98" s="31" t="n">
        <x:f>IFERROR(VLOOKUP($E98,'02_怪物模板_好读版'!$A:$Z,9,FALSE),0)</x:f>
        <x:v>5</x:v>
      </x:c>
      <x:c r="K98" s="31" t="n">
        <x:f>IFERROR(VLOOKUP($E98,'02_怪物模板_好读版'!$A:$Z,10,FALSE),0)</x:f>
        <x:v>6</x:v>
      </x:c>
      <x:c r="L98" s="31" t="n">
        <x:f>IFERROR(VLOOKUP($E98,'02_怪物模板_好读版'!$A:$Z,11,FALSE),0)</x:f>
        <x:v>15</x:v>
      </x:c>
      <x:c r="M98" s="31" t="n">
        <x:f>IFERROR(VLOOKUP($E98,'02_怪物模板_好读版'!$A:$Z,12,FALSE),0)</x:f>
        <x:v>5</x:v>
      </x:c>
      <x:c r="N98" s="29" t="n">
        <x:v>1</x:v>
      </x:c>
      <x:c r="O98" s="29" t="str">
        <x:v>boss_anchor</x:v>
      </x:c>
      <x:c r="P98" s="31" t="n">
        <x:f>IFERROR((I98+J98*3+K98*2+L98+M98*5)*N98,0)</x:f>
        <x:v>127</x:v>
      </x:c>
      <x:c r="Q98" s="29" t="str">
        <x:v>半首领级别守门战，第一次大范围高压机制进场。 在后期把玩家全部解题工具都拉出来检查一遍。</x:v>
      </x:c>
      <x:c r="R98" s="29" t="str">
        <x:v>城堡-4 / 资源-2 / 经济x0.73</x:v>
      </x:c>
      <x:c r="S98" s="29" t="str">
        <x:v>5回合内高奖；6-10回合每回合-9%；10回合失败</x:v>
      </x:c>
      <x:c r="T98" s="29" t="str"/>
    </x:row>
    <x:row r="99" ht="22" customHeight="1">
      <x:c r="A99" s="29" t="str">
        <x:v>wave_d08_afternoon</x:v>
      </x:c>
      <x:c r="B99" s="29" t="n">
        <x:v>8</x:v>
      </x:c>
      <x:c r="C99" s="29" t="str">
        <x:v>下午</x:v>
      </x:c>
      <x:c r="D99" s="29" t="n">
        <x:v>4</x:v>
      </x:c>
      <x:c r="E99" s="29" t="str">
        <x:v>pal_106</x:v>
      </x:c>
      <x:c r="F99" s="31" t="str">
        <x:f>IFERROR(VLOOKUP($E99,'02_怪物模板_好读版'!$A:$Z,2,FALSE),"")</x:f>
        <x:v>夜幕魔蝠</x:v>
      </x:c>
      <x:c r="G99" s="31" t="str">
        <x:f>IFERROR(VLOOKUP($E99,'02_怪物模板_好读版'!$A:$Z,3,FALSE),"")</x:f>
        <x:v>土</x:v>
      </x:c>
      <x:c r="H99" s="31" t="str">
        <x:f>IFERROR(VLOOKUP($E99,'02_怪物模板_好读版'!$A:$Z,7,FALSE),"")</x:f>
        <x:v>召唤怪</x:v>
      </x:c>
      <x:c r="I99" s="31" t="n">
        <x:f>IFERROR(VLOOKUP($E99,'02_怪物模板_好读版'!$A:$Z,8,FALSE),0)</x:f>
        <x:v>35</x:v>
      </x:c>
      <x:c r="J99" s="31" t="n">
        <x:f>IFERROR(VLOOKUP($E99,'02_怪物模板_好读版'!$A:$Z,9,FALSE),0)</x:f>
        <x:v>3</x:v>
      </x:c>
      <x:c r="K99" s="31" t="n">
        <x:f>IFERROR(VLOOKUP($E99,'02_怪物模板_好读版'!$A:$Z,10,FALSE),0)</x:f>
        <x:v>0</x:v>
      </x:c>
      <x:c r="L99" s="31" t="n">
        <x:f>IFERROR(VLOOKUP($E99,'02_怪物模板_好读版'!$A:$Z,11,FALSE),0)</x:f>
        <x:v>6</x:v>
      </x:c>
      <x:c r="M99" s="31" t="n">
        <x:f>IFERROR(VLOOKUP($E99,'02_怪物模板_好读版'!$A:$Z,12,FALSE),0)</x:f>
        <x:v>3</x:v>
      </x:c>
      <x:c r="N99" s="29" t="n">
        <x:v>1</x:v>
      </x:c>
      <x:c r="O99" s="29" t="str">
        <x:v>escort_backline</x:v>
      </x:c>
      <x:c r="P99" s="31" t="n">
        <x:f>IFERROR((I99+J99*3+K99*2+L99+M99*5)*N99,0)</x:f>
        <x:v>65</x:v>
      </x:c>
      <x:c r="Q99" s="29" t="str">
        <x:v>半首领级别守门战，第一次大范围高压机制进场。 把召唤题抬到后期门槛难度。</x:v>
      </x:c>
      <x:c r="R99" s="29" t="str">
        <x:v>城堡-4 / 资源-2 / 经济x0.73</x:v>
      </x:c>
      <x:c r="S99" s="29" t="str">
        <x:v>5回合内高奖；6-10回合每回合-9%；10回合失败</x:v>
      </x:c>
      <x:c r="T99" s="29" t="str"/>
    </x:row>
    <x:row r="100" ht="22" customHeight="1">
      <x:c r="A100" s="29" t="str">
        <x:v>wave_d08_afternoon</x:v>
      </x:c>
      <x:c r="B100" s="29" t="n">
        <x:v>8</x:v>
      </x:c>
      <x:c r="C100" s="29" t="str">
        <x:v>下午</x:v>
      </x:c>
      <x:c r="D100" s="29" t="n">
        <x:v>5</x:v>
      </x:c>
      <x:c r="E100" s="29" t="str">
        <x:v>pal_073</x:v>
      </x:c>
      <x:c r="F100" s="31" t="str">
        <x:f>IFERROR(VLOOKUP($E100,'02_怪物模板_好读版'!$A:$Z,2,FALSE),"")</x:f>
        <x:v>烽歌龙</x:v>
      </x:c>
      <x:c r="G100" s="31" t="str">
        <x:f>IFERROR(VLOOKUP($E100,'02_怪物模板_好读版'!$A:$Z,3,FALSE),"")</x:f>
        <x:v>火</x:v>
      </x:c>
      <x:c r="H100" s="31" t="str">
        <x:f>IFERROR(VLOOKUP($E100,'02_怪物模板_好读版'!$A:$Z,7,FALSE),"")</x:f>
        <x:v>城堡怪</x:v>
      </x:c>
      <x:c r="I100" s="31" t="n">
        <x:f>IFERROR(VLOOKUP($E100,'02_怪物模板_好读版'!$A:$Z,8,FALSE),0)</x:f>
        <x:v>30</x:v>
      </x:c>
      <x:c r="J100" s="31" t="n">
        <x:f>IFERROR(VLOOKUP($E100,'02_怪物模板_好读版'!$A:$Z,9,FALSE),0)</x:f>
        <x:v>4</x:v>
      </x:c>
      <x:c r="K100" s="31" t="n">
        <x:f>IFERROR(VLOOKUP($E100,'02_怪物模板_好读版'!$A:$Z,10,FALSE),0)</x:f>
        <x:v>0</x:v>
      </x:c>
      <x:c r="L100" s="31" t="n">
        <x:f>IFERROR(VLOOKUP($E100,'02_怪物模板_好读版'!$A:$Z,11,FALSE),0)</x:f>
        <x:v>0</x:v>
      </x:c>
      <x:c r="M100" s="31" t="n">
        <x:f>IFERROR(VLOOKUP($E100,'02_怪物模板_好读版'!$A:$Z,12,FALSE),0)</x:f>
        <x:v>3</x:v>
      </x:c>
      <x:c r="N100" s="29" t="n">
        <x:v>1</x:v>
      </x:c>
      <x:c r="O100" s="29" t="str">
        <x:v>front_cluster</x:v>
      </x:c>
      <x:c r="P100" s="31" t="n">
        <x:f>IFERROR((I100+J100*3+K100*2+L100+M100*5)*N100,0)</x:f>
        <x:v>57</x:v>
      </x:c>
      <x:c r="Q100" s="29" t="str">
        <x:v>半首领级别守门战，第一次大范围高压机制进场。 把“拖着清”的代价抬高到不可忽视。</x:v>
      </x:c>
      <x:c r="R100" s="29" t="str">
        <x:v>城堡-4 / 资源-2 / 经济x0.73</x:v>
      </x:c>
      <x:c r="S100" s="29" t="str">
        <x:v>5回合内高奖；6-10回合每回合-9%；10回合失败</x:v>
      </x:c>
      <x:c r="T100" s="29" t="str"/>
    </x:row>
    <x:row r="101" ht="22" customHeight="1">
      <x:c r="A101" s="29" t="str">
        <x:v>wave_d09_morning</x:v>
      </x:c>
      <x:c r="B101" s="29" t="n">
        <x:v>9</x:v>
      </x:c>
      <x:c r="C101" s="29" t="str">
        <x:v>上午</x:v>
      </x:c>
      <x:c r="D101" s="29" t="n">
        <x:v>1</x:v>
      </x:c>
      <x:c r="E101" s="29" t="str">
        <x:v>pal_026</x:v>
      </x:c>
      <x:c r="F101" s="31" t="str">
        <x:f>IFERROR(VLOOKUP($E101,'02_怪物模板_好读版'!$A:$Z,2,FALSE),"")</x:f>
        <x:v>猎狼</x:v>
      </x:c>
      <x:c r="G101" s="31" t="str">
        <x:f>IFERROR(VLOOKUP($E101,'02_怪物模板_好读版'!$A:$Z,3,FALSE),"")</x:f>
        <x:v>风</x:v>
      </x:c>
      <x:c r="H101" s="31" t="str">
        <x:f>IFERROR(VLOOKUP($E101,'02_怪物模板_好读版'!$A:$Z,7,FALSE),"")</x:f>
        <x:v>偷奖励怪</x:v>
      </x:c>
      <x:c r="I101" s="31" t="n">
        <x:f>IFERROR(VLOOKUP($E101,'02_怪物模板_好读版'!$A:$Z,8,FALSE),0)</x:f>
        <x:v>20</x:v>
      </x:c>
      <x:c r="J101" s="31" t="n">
        <x:f>IFERROR(VLOOKUP($E101,'02_怪物模板_好读版'!$A:$Z,9,FALSE),0)</x:f>
        <x:v>3</x:v>
      </x:c>
      <x:c r="K101" s="31" t="n">
        <x:f>IFERROR(VLOOKUP($E101,'02_怪物模板_好读版'!$A:$Z,10,FALSE),0)</x:f>
        <x:v>0</x:v>
      </x:c>
      <x:c r="L101" s="31" t="n">
        <x:f>IFERROR(VLOOKUP($E101,'02_怪物模板_好读版'!$A:$Z,11,FALSE),0)</x:f>
        <x:v>6</x:v>
      </x:c>
      <x:c r="M101" s="31" t="n">
        <x:f>IFERROR(VLOOKUP($E101,'02_怪物模板_好读版'!$A:$Z,12,FALSE),0)</x:f>
        <x:v>4</x:v>
      </x:c>
      <x:c r="N101" s="29" t="n">
        <x:v>1</x:v>
      </x:c>
      <x:c r="O101" s="29" t="str">
        <x:v>back_corner</x:v>
      </x:c>
      <x:c r="P101" s="31" t="n">
        <x:f>IFERROR((I101+J101*3+K101*2+L101+M101*5)*N101,0)</x:f>
        <x:v>55</x:v>
      </x:c>
      <x:c r="Q101" s="29" t="str">
        <x:v>终局前压迫日，要求阵容能稳定处理长战题。 把奖励题升级成真正的阵容完整性检查。</x:v>
      </x:c>
      <x:c r="R101" s="29" t="str">
        <x:v>城堡-3 / 资源-3 / 经济x0.74</x:v>
      </x:c>
      <x:c r="S101" s="29" t="str">
        <x:v>该怪存活每回合额外掉奖；5回合内高奖；6-10回合每回合-9%；10回合失败</x:v>
      </x:c>
      <x:c r="T101" s="29" t="str"/>
    </x:row>
    <x:row r="102" ht="22" customHeight="1">
      <x:c r="A102" s="29" t="str">
        <x:v>wave_d09_morning</x:v>
      </x:c>
      <x:c r="B102" s="29" t="n">
        <x:v>9</x:v>
      </x:c>
      <x:c r="C102" s="29" t="str">
        <x:v>上午</x:v>
      </x:c>
      <x:c r="D102" s="29" t="n">
        <x:v>2</x:v>
      </x:c>
      <x:c r="E102" s="29" t="str">
        <x:v>pal_089</x:v>
      </x:c>
      <x:c r="F102" s="31" t="str">
        <x:f>IFERROR(VLOOKUP($E102,'02_怪物模板_好读版'!$A:$Z,2,FALSE),"")</x:f>
        <x:v>狱焰王</x:v>
      </x:c>
      <x:c r="G102" s="31" t="str">
        <x:f>IFERROR(VLOOKUP($E102,'02_怪物模板_好读版'!$A:$Z,3,FALSE),"")</x:f>
        <x:v>火</x:v>
      </x:c>
      <x:c r="H102" s="31" t="str">
        <x:f>IFERROR(VLOOKUP($E102,'02_怪物模板_好读版'!$A:$Z,7,FALSE),"")</x:f>
        <x:v>精英怪</x:v>
      </x:c>
      <x:c r="I102" s="31" t="n">
        <x:f>IFERROR(VLOOKUP($E102,'02_怪物模板_好读版'!$A:$Z,8,FALSE),0)</x:f>
        <x:v>40</x:v>
      </x:c>
      <x:c r="J102" s="31" t="n">
        <x:f>IFERROR(VLOOKUP($E102,'02_怪物模板_好读版'!$A:$Z,9,FALSE),0)</x:f>
        <x:v>5</x:v>
      </x:c>
      <x:c r="K102" s="31" t="n">
        <x:f>IFERROR(VLOOKUP($E102,'02_怪物模板_好读版'!$A:$Z,10,FALSE),0)</x:f>
        <x:v>0</x:v>
      </x:c>
      <x:c r="L102" s="31" t="n">
        <x:f>IFERROR(VLOOKUP($E102,'02_怪物模板_好读版'!$A:$Z,11,FALSE),0)</x:f>
        <x:v>10</x:v>
      </x:c>
      <x:c r="M102" s="31" t="n">
        <x:f>IFERROR(VLOOKUP($E102,'02_怪物模板_好读版'!$A:$Z,12,FALSE),0)</x:f>
        <x:v>4</x:v>
      </x:c>
      <x:c r="N102" s="29" t="n">
        <x:v>1</x:v>
      </x:c>
      <x:c r="O102" s="29" t="str">
        <x:v>escort_backline</x:v>
      </x:c>
      <x:c r="P102" s="31" t="n">
        <x:f>IFERROR((I102+J102*3+K102*2+L102+M102*5)*N102,0)</x:f>
        <x:v>85</x:v>
      </x:c>
      <x:c r="Q102" s="29" t="str">
        <x:v>终局前压迫日，要求阵容能稳定处理长战题。 把中期阵容的容错空间压到真实战斗水平。</x:v>
      </x:c>
      <x:c r="R102" s="29" t="str">
        <x:v>城堡-3 / 资源-3 / 经济x0.74</x:v>
      </x:c>
      <x:c r="S102" s="29" t="str">
        <x:v>5回合内高奖；6-10回合每回合-9%；10回合失败</x:v>
      </x:c>
      <x:c r="T102" s="29" t="str"/>
    </x:row>
    <x:row r="103" ht="22" customHeight="1">
      <x:c r="A103" s="29" t="str">
        <x:v>wave_d09_morning</x:v>
      </x:c>
      <x:c r="B103" s="29" t="n">
        <x:v>9</x:v>
      </x:c>
      <x:c r="C103" s="29" t="str">
        <x:v>上午</x:v>
      </x:c>
      <x:c r="D103" s="29" t="n">
        <x:v>2</x:v>
      </x:c>
      <x:c r="E103" s="29" t="str">
        <x:v>pal_006</x:v>
      </x:c>
      <x:c r="F103" s="31" t="str">
        <x:f>IFERROR(VLOOKUP($E103,'02_怪物模板_好读版'!$A:$Z,2,FALSE),"")</x:f>
        <x:v>冲浪鸭</x:v>
      </x:c>
      <x:c r="G103" s="31" t="str">
        <x:f>IFERROR(VLOOKUP($E103,'02_怪物模板_好读版'!$A:$Z,3,FALSE),"")</x:f>
        <x:v>水</x:v>
      </x:c>
      <x:c r="H103" s="31" t="str">
        <x:f>IFERROR(VLOOKUP($E103,'02_怪物模板_好读版'!$A:$Z,7,FALSE),"")</x:f>
        <x:v>小怪</x:v>
      </x:c>
      <x:c r="I103" s="31" t="n">
        <x:f>IFERROR(VLOOKUP($E103,'02_怪物模板_好读版'!$A:$Z,8,FALSE),0)</x:f>
        <x:v>10</x:v>
      </x:c>
      <x:c r="J103" s="31" t="n">
        <x:f>IFERROR(VLOOKUP($E103,'02_怪物模板_好读版'!$A:$Z,9,FALSE),0)</x:f>
        <x:v>2</x:v>
      </x:c>
      <x:c r="K103" s="31" t="n">
        <x:f>IFERROR(VLOOKUP($E103,'02_怪物模板_好读版'!$A:$Z,10,FALSE),0)</x:f>
        <x:v>0</x:v>
      </x:c>
      <x:c r="L103" s="31" t="n">
        <x:f>IFERROR(VLOOKUP($E103,'02_怪物模板_好读版'!$A:$Z,11,FALSE),0)</x:f>
        <x:v>0</x:v>
      </x:c>
      <x:c r="M103" s="31" t="n">
        <x:f>IFERROR(VLOOKUP($E103,'02_怪物模板_好读版'!$A:$Z,12,FALSE),0)</x:f>
        <x:v>3</x:v>
      </x:c>
      <x:c r="N103" s="29" t="n">
        <x:v>1</x:v>
      </x:c>
      <x:c r="O103" s="29" t="str">
        <x:v>front_split</x:v>
      </x:c>
      <x:c r="P103" s="31" t="n">
        <x:f>IFERROR((I103+J103*3+K103*2+L103+M103*5)*N103,0)</x:f>
        <x:v>31</x:v>
      </x:c>
      <x:c r="Q103" s="29" t="str">
        <x:v>终局前压迫日，要求阵容能稳定处理长战题。 让玩家重视持续性惩罚，而不是只看当前伤害。</x:v>
      </x:c>
      <x:c r="R103" s="29" t="str">
        <x:v>城堡-3 / 资源-3 / 经济x0.74</x:v>
      </x:c>
      <x:c r="S103" s="29" t="str">
        <x:v>5回合内高奖；6-10回合每回合-9%；10回合失败</x:v>
      </x:c>
      <x:c r="T103" s="29" t="str"/>
    </x:row>
    <x:row r="104" ht="22" customHeight="1">
      <x:c r="A104" s="29" t="str">
        <x:v>wave_d09_morning</x:v>
      </x:c>
      <x:c r="B104" s="29" t="n">
        <x:v>9</x:v>
      </x:c>
      <x:c r="C104" s="29" t="str">
        <x:v>上午</x:v>
      </x:c>
      <x:c r="D104" s="29" t="n">
        <x:v>3</x:v>
      </x:c>
      <x:c r="E104" s="29" t="str">
        <x:v>pal_101</x:v>
      </x:c>
      <x:c r="F104" s="31" t="str">
        <x:f>IFERROR(VLOOKUP($E104,'02_怪物模板_好读版'!$A:$Z,2,FALSE),"")</x:f>
        <x:v>雪猛犸</x:v>
      </x:c>
      <x:c r="G104" s="31" t="str">
        <x:f>IFERROR(VLOOKUP($E104,'02_怪物模板_好读版'!$A:$Z,3,FALSE),"")</x:f>
        <x:v>水</x:v>
      </x:c>
      <x:c r="H104" s="31" t="str">
        <x:f>IFERROR(VLOOKUP($E104,'02_怪物模板_好读版'!$A:$Z,7,FALSE),"")</x:f>
        <x:v>精英怪</x:v>
      </x:c>
      <x:c r="I104" s="31" t="n">
        <x:f>IFERROR(VLOOKUP($E104,'02_怪物模板_好读版'!$A:$Z,8,FALSE),0)</x:f>
        <x:v>35</x:v>
      </x:c>
      <x:c r="J104" s="31" t="n">
        <x:f>IFERROR(VLOOKUP($E104,'02_怪物模板_好读版'!$A:$Z,9,FALSE),0)</x:f>
        <x:v>4</x:v>
      </x:c>
      <x:c r="K104" s="31" t="n">
        <x:f>IFERROR(VLOOKUP($E104,'02_怪物模板_好读版'!$A:$Z,10,FALSE),0)</x:f>
        <x:v>0</x:v>
      </x:c>
      <x:c r="L104" s="31" t="n">
        <x:f>IFERROR(VLOOKUP($E104,'02_怪物模板_好读版'!$A:$Z,11,FALSE),0)</x:f>
        <x:v>15</x:v>
      </x:c>
      <x:c r="M104" s="31" t="n">
        <x:f>IFERROR(VLOOKUP($E104,'02_怪物模板_好读版'!$A:$Z,12,FALSE),0)</x:f>
        <x:v>4</x:v>
      </x:c>
      <x:c r="N104" s="29" t="n">
        <x:v>1</x:v>
      </x:c>
      <x:c r="O104" s="29" t="str">
        <x:v>front_cluster</x:v>
      </x:c>
      <x:c r="P104" s="31" t="n">
        <x:f>IFERROR((I104+J104*3+K104*2+L104+M104*5)*N104,0)</x:f>
        <x:v>82</x:v>
      </x:c>
      <x:c r="Q104" s="29" t="str">
        <x:v>终局前压迫日，要求阵容能稳定处理长战题。 逼玩家拿出真正意义上的强杀方案。</x:v>
      </x:c>
      <x:c r="R104" s="29" t="str">
        <x:v>城堡-3 / 资源-3 / 经济x0.74</x:v>
      </x:c>
      <x:c r="S104" s="29" t="str">
        <x:v>5回合内高奖；6-10回合每回合-9%；10回合失败</x:v>
      </x:c>
      <x:c r="T104" s="29" t="str"/>
    </x:row>
    <x:row r="105" ht="22" customHeight="1">
      <x:c r="A105" s="29" t="str">
        <x:v>wave_d09_morning</x:v>
      </x:c>
      <x:c r="B105" s="29" t="n">
        <x:v>9</x:v>
      </x:c>
      <x:c r="C105" s="29" t="str">
        <x:v>上午</x:v>
      </x:c>
      <x:c r="D105" s="29" t="n">
        <x:v>3</x:v>
      </x:c>
      <x:c r="E105" s="29" t="str">
        <x:v>pal_106</x:v>
      </x:c>
      <x:c r="F105" s="31" t="str">
        <x:f>IFERROR(VLOOKUP($E105,'02_怪物模板_好读版'!$A:$Z,2,FALSE),"")</x:f>
        <x:v>夜幕魔蝠</x:v>
      </x:c>
      <x:c r="G105" s="31" t="str">
        <x:f>IFERROR(VLOOKUP($E105,'02_怪物模板_好读版'!$A:$Z,3,FALSE),"")</x:f>
        <x:v>土</x:v>
      </x:c>
      <x:c r="H105" s="31" t="str">
        <x:f>IFERROR(VLOOKUP($E105,'02_怪物模板_好读版'!$A:$Z,7,FALSE),"")</x:f>
        <x:v>召唤怪</x:v>
      </x:c>
      <x:c r="I105" s="31" t="n">
        <x:f>IFERROR(VLOOKUP($E105,'02_怪物模板_好读版'!$A:$Z,8,FALSE),0)</x:f>
        <x:v>35</x:v>
      </x:c>
      <x:c r="J105" s="31" t="n">
        <x:f>IFERROR(VLOOKUP($E105,'02_怪物模板_好读版'!$A:$Z,9,FALSE),0)</x:f>
        <x:v>3</x:v>
      </x:c>
      <x:c r="K105" s="31" t="n">
        <x:f>IFERROR(VLOOKUP($E105,'02_怪物模板_好读版'!$A:$Z,10,FALSE),0)</x:f>
        <x:v>0</x:v>
      </x:c>
      <x:c r="L105" s="31" t="n">
        <x:f>IFERROR(VLOOKUP($E105,'02_怪物模板_好读版'!$A:$Z,11,FALSE),0)</x:f>
        <x:v>6</x:v>
      </x:c>
      <x:c r="M105" s="31" t="n">
        <x:f>IFERROR(VLOOKUP($E105,'02_怪物模板_好读版'!$A:$Z,12,FALSE),0)</x:f>
        <x:v>3</x:v>
      </x:c>
      <x:c r="N105" s="29" t="n">
        <x:v>1</x:v>
      </x:c>
      <x:c r="O105" s="29" t="str">
        <x:v>mid_cluster</x:v>
      </x:c>
      <x:c r="P105" s="31" t="n">
        <x:f>IFERROR((I105+J105*3+K105*2+L105+M105*5)*N105,0)</x:f>
        <x:v>65</x:v>
      </x:c>
      <x:c r="Q105" s="29" t="str">
        <x:v>终局前压迫日，要求阵容能稳定处理长战题。 把召唤题抬到后期门槛难度。</x:v>
      </x:c>
      <x:c r="R105" s="29" t="str">
        <x:v>城堡-3 / 资源-3 / 经济x0.74</x:v>
      </x:c>
      <x:c r="S105" s="29" t="str">
        <x:v>5回合内高奖；6-10回合每回合-9%；10回合失败</x:v>
      </x:c>
      <x:c r="T105" s="29" t="str"/>
    </x:row>
    <x:row r="106" ht="22" customHeight="1">
      <x:c r="A106" s="29" t="str">
        <x:v>wave_d09_morning</x:v>
      </x:c>
      <x:c r="B106" s="29" t="n">
        <x:v>9</x:v>
      </x:c>
      <x:c r="C106" s="29" t="str">
        <x:v>上午</x:v>
      </x:c>
      <x:c r="D106" s="29" t="n">
        <x:v>4</x:v>
      </x:c>
      <x:c r="E106" s="29" t="str">
        <x:v>pal_124</x:v>
      </x:c>
      <x:c r="F106" s="31" t="str">
        <x:f>IFERROR(VLOOKUP($E106,'02_怪物模板_好读版'!$A:$Z,2,FALSE),"")</x:f>
        <x:v>混沌骑士</x:v>
      </x:c>
      <x:c r="G106" s="31" t="str">
        <x:f>IFERROR(VLOOKUP($E106,'02_怪物模板_好读版'!$A:$Z,3,FALSE),"")</x:f>
        <x:v>土</x:v>
      </x:c>
      <x:c r="H106" s="31" t="str">
        <x:f>IFERROR(VLOOKUP($E106,'02_怪物模板_好读版'!$A:$Z,7,FALSE),"")</x:f>
        <x:v>Boss</x:v>
      </x:c>
      <x:c r="I106" s="31" t="n">
        <x:f>IFERROR(VLOOKUP($E106,'02_怪物模板_好读版'!$A:$Z,8,FALSE),0)</x:f>
        <x:v>60</x:v>
      </x:c>
      <x:c r="J106" s="31" t="n">
        <x:f>IFERROR(VLOOKUP($E106,'02_怪物模板_好读版'!$A:$Z,9,FALSE),0)</x:f>
        <x:v>5</x:v>
      </x:c>
      <x:c r="K106" s="31" t="n">
        <x:f>IFERROR(VLOOKUP($E106,'02_怪物模板_好读版'!$A:$Z,10,FALSE),0)</x:f>
        <x:v>6</x:v>
      </x:c>
      <x:c r="L106" s="31" t="n">
        <x:f>IFERROR(VLOOKUP($E106,'02_怪物模板_好读版'!$A:$Z,11,FALSE),0)</x:f>
        <x:v>15</x:v>
      </x:c>
      <x:c r="M106" s="31" t="n">
        <x:f>IFERROR(VLOOKUP($E106,'02_怪物模板_好读版'!$A:$Z,12,FALSE),0)</x:f>
        <x:v>5</x:v>
      </x:c>
      <x:c r="N106" s="29" t="n">
        <x:v>1</x:v>
      </x:c>
      <x:c r="O106" s="29" t="str">
        <x:v>boss_anchor</x:v>
      </x:c>
      <x:c r="P106" s="31" t="n">
        <x:f>IFERROR((I106+J106*3+K106*2+L106+M106*5)*N106,0)</x:f>
        <x:v>127</x:v>
      </x:c>
      <x:c r="Q106" s="29" t="str">
        <x:v>终局前压迫日，要求阵容能稳定处理长战题。 在后期把玩家全部解题工具都拉出来检查一遍。</x:v>
      </x:c>
      <x:c r="R106" s="29" t="str">
        <x:v>城堡-3 / 资源-3 / 经济x0.74</x:v>
      </x:c>
      <x:c r="S106" s="29" t="str">
        <x:v>5回合内高奖；6-10回合每回合-9%；10回合失败</x:v>
      </x:c>
      <x:c r="T106" s="29" t="str"/>
    </x:row>
    <x:row r="107" ht="22" customHeight="1">
      <x:c r="A107" s="29" t="str">
        <x:v>wave_d09_morning</x:v>
      </x:c>
      <x:c r="B107" s="29" t="n">
        <x:v>9</x:v>
      </x:c>
      <x:c r="C107" s="29" t="str">
        <x:v>上午</x:v>
      </x:c>
      <x:c r="D107" s="29" t="n">
        <x:v>4</x:v>
      </x:c>
      <x:c r="E107" s="29" t="str">
        <x:v>pal_073</x:v>
      </x:c>
      <x:c r="F107" s="31" t="str">
        <x:f>IFERROR(VLOOKUP($E107,'02_怪物模板_好读版'!$A:$Z,2,FALSE),"")</x:f>
        <x:v>烽歌龙</x:v>
      </x:c>
      <x:c r="G107" s="31" t="str">
        <x:f>IFERROR(VLOOKUP($E107,'02_怪物模板_好读版'!$A:$Z,3,FALSE),"")</x:f>
        <x:v>火</x:v>
      </x:c>
      <x:c r="H107" s="31" t="str">
        <x:f>IFERROR(VLOOKUP($E107,'02_怪物模板_好读版'!$A:$Z,7,FALSE),"")</x:f>
        <x:v>城堡怪</x:v>
      </x:c>
      <x:c r="I107" s="31" t="n">
        <x:f>IFERROR(VLOOKUP($E107,'02_怪物模板_好读版'!$A:$Z,8,FALSE),0)</x:f>
        <x:v>30</x:v>
      </x:c>
      <x:c r="J107" s="31" t="n">
        <x:f>IFERROR(VLOOKUP($E107,'02_怪物模板_好读版'!$A:$Z,9,FALSE),0)</x:f>
        <x:v>4</x:v>
      </x:c>
      <x:c r="K107" s="31" t="n">
        <x:f>IFERROR(VLOOKUP($E107,'02_怪物模板_好读版'!$A:$Z,10,FALSE),0)</x:f>
        <x:v>0</x:v>
      </x:c>
      <x:c r="L107" s="31" t="n">
        <x:f>IFERROR(VLOOKUP($E107,'02_怪物模板_好读版'!$A:$Z,11,FALSE),0)</x:f>
        <x:v>0</x:v>
      </x:c>
      <x:c r="M107" s="31" t="n">
        <x:f>IFERROR(VLOOKUP($E107,'02_怪物模板_好读版'!$A:$Z,12,FALSE),0)</x:f>
        <x:v>3</x:v>
      </x:c>
      <x:c r="N107" s="29" t="n">
        <x:v>1</x:v>
      </x:c>
      <x:c r="O107" s="29" t="str">
        <x:v>front_cluster</x:v>
      </x:c>
      <x:c r="P107" s="31" t="n">
        <x:f>IFERROR((I107+J107*3+K107*2+L107+M107*5)*N107,0)</x:f>
        <x:v>57</x:v>
      </x:c>
      <x:c r="Q107" s="29" t="str">
        <x:v>终局前压迫日，要求阵容能稳定处理长战题。 把“拖着清”的代价抬高到不可忽视。</x:v>
      </x:c>
      <x:c r="R107" s="29" t="str">
        <x:v>城堡-3 / 资源-3 / 经济x0.74</x:v>
      </x:c>
      <x:c r="S107" s="29" t="str">
        <x:v>5回合内高奖；6-10回合每回合-9%；10回合失败</x:v>
      </x:c>
      <x:c r="T107" s="29" t="str"/>
    </x:row>
    <x:row r="108" ht="22" customHeight="1">
      <x:c r="A108" s="29" t="str">
        <x:v>wave_d09_morning</x:v>
      </x:c>
      <x:c r="B108" s="29" t="n">
        <x:v>9</x:v>
      </x:c>
      <x:c r="C108" s="29" t="str">
        <x:v>上午</x:v>
      </x:c>
      <x:c r="D108" s="29" t="n">
        <x:v>5</x:v>
      </x:c>
      <x:c r="E108" s="29" t="str">
        <x:v>pal_017</x:v>
      </x:c>
      <x:c r="F108" s="31" t="str">
        <x:f>IFERROR(VLOOKUP($E108,'02_怪物模板_好读版'!$A:$Z,2,FALSE),"")</x:f>
        <x:v>瞅什魔</x:v>
      </x:c>
      <x:c r="G108" s="31" t="str">
        <x:f>IFERROR(VLOOKUP($E108,'02_怪物模板_好读版'!$A:$Z,3,FALSE),"")</x:f>
        <x:v>土</x:v>
      </x:c>
      <x:c r="H108" s="31" t="str">
        <x:f>IFERROR(VLOOKUP($E108,'02_怪物模板_好读版'!$A:$Z,7,FALSE),"")</x:f>
        <x:v>肉盾</x:v>
      </x:c>
      <x:c r="I108" s="31" t="n">
        <x:f>IFERROR(VLOOKUP($E108,'02_怪物模板_好读版'!$A:$Z,8,FALSE),0)</x:f>
        <x:v>40</x:v>
      </x:c>
      <x:c r="J108" s="31" t="n">
        <x:f>IFERROR(VLOOKUP($E108,'02_怪物模板_好读版'!$A:$Z,9,FALSE),0)</x:f>
        <x:v>3</x:v>
      </x:c>
      <x:c r="K108" s="31" t="n">
        <x:f>IFERROR(VLOOKUP($E108,'02_怪物模板_好读版'!$A:$Z,10,FALSE),0)</x:f>
        <x:v>0</x:v>
      </x:c>
      <x:c r="L108" s="31" t="n">
        <x:f>IFERROR(VLOOKUP($E108,'02_怪物模板_好读版'!$A:$Z,11,FALSE),0)</x:f>
        <x:v>0</x:v>
      </x:c>
      <x:c r="M108" s="31" t="n">
        <x:f>IFERROR(VLOOKUP($E108,'02_怪物模板_好读版'!$A:$Z,12,FALSE),0)</x:f>
        <x:v>2</x:v>
      </x:c>
      <x:c r="N108" s="29" t="n">
        <x:v>1</x:v>
      </x:c>
      <x:c r="O108" s="29" t="str">
        <x:v>mid_cluster</x:v>
      </x:c>
      <x:c r="P108" s="31" t="n">
        <x:f>IFERROR((I108+J108*3+K108*2+L108+M108*5)*N108,0)</x:f>
        <x:v>59</x:v>
      </x:c>
      <x:c r="Q108" s="29" t="str">
        <x:v>终局前压迫日，要求阵容能稳定处理长战题。 逼玩家拿出真正高攻或增伤组合，不再靠低攻磨掉。</x:v>
      </x:c>
      <x:c r="R108" s="29" t="str">
        <x:v>城堡-3 / 资源-3 / 经济x0.74</x:v>
      </x:c>
      <x:c r="S108" s="29" t="str">
        <x:v>5回合内高奖；6-10回合每回合-9%；10回合失败</x:v>
      </x:c>
      <x:c r="T108" s="29" t="str"/>
    </x:row>
    <x:row r="109" ht="22" customHeight="1">
      <x:c r="A109" s="29" t="str">
        <x:v>wave_d09_afternoon</x:v>
      </x:c>
      <x:c r="B109" s="29" t="n">
        <x:v>9</x:v>
      </x:c>
      <x:c r="C109" s="29" t="str">
        <x:v>下午</x:v>
      </x:c>
      <x:c r="D109" s="29" t="n">
        <x:v>1</x:v>
      </x:c>
      <x:c r="E109" s="29" t="str">
        <x:v>pal_026</x:v>
      </x:c>
      <x:c r="F109" s="31" t="str">
        <x:f>IFERROR(VLOOKUP($E109,'02_怪物模板_好读版'!$A:$Z,2,FALSE),"")</x:f>
        <x:v>猎狼</x:v>
      </x:c>
      <x:c r="G109" s="31" t="str">
        <x:f>IFERROR(VLOOKUP($E109,'02_怪物模板_好读版'!$A:$Z,3,FALSE),"")</x:f>
        <x:v>风</x:v>
      </x:c>
      <x:c r="H109" s="31" t="str">
        <x:f>IFERROR(VLOOKUP($E109,'02_怪物模板_好读版'!$A:$Z,7,FALSE),"")</x:f>
        <x:v>偷奖励怪</x:v>
      </x:c>
      <x:c r="I109" s="31" t="n">
        <x:f>IFERROR(VLOOKUP($E109,'02_怪物模板_好读版'!$A:$Z,8,FALSE),0)</x:f>
        <x:v>20</x:v>
      </x:c>
      <x:c r="J109" s="31" t="n">
        <x:f>IFERROR(VLOOKUP($E109,'02_怪物模板_好读版'!$A:$Z,9,FALSE),0)</x:f>
        <x:v>3</x:v>
      </x:c>
      <x:c r="K109" s="31" t="n">
        <x:f>IFERROR(VLOOKUP($E109,'02_怪物模板_好读版'!$A:$Z,10,FALSE),0)</x:f>
        <x:v>0</x:v>
      </x:c>
      <x:c r="L109" s="31" t="n">
        <x:f>IFERROR(VLOOKUP($E109,'02_怪物模板_好读版'!$A:$Z,11,FALSE),0)</x:f>
        <x:v>6</x:v>
      </x:c>
      <x:c r="M109" s="31" t="n">
        <x:f>IFERROR(VLOOKUP($E109,'02_怪物模板_好读版'!$A:$Z,12,FALSE),0)</x:f>
        <x:v>4</x:v>
      </x:c>
      <x:c r="N109" s="29" t="n">
        <x:v>1</x:v>
      </x:c>
      <x:c r="O109" s="29" t="str">
        <x:v>back_corner</x:v>
      </x:c>
      <x:c r="P109" s="31" t="n">
        <x:f>IFERROR((I109+J109*3+K109*2+L109+M109*5)*N109,0)</x:f>
        <x:v>55</x:v>
      </x:c>
      <x:c r="Q109" s="29" t="str">
        <x:v>双 Boss 压场演练，测试 10 回合失败线前的清场速度。 把奖励题升级成真正的阵容完整性检查。</x:v>
      </x:c>
      <x:c r="R109" s="29" t="str">
        <x:v>城堡-4 / 资源-3 / 经济x0.71</x:v>
      </x:c>
      <x:c r="S109" s="29" t="str">
        <x:v>该怪存活每回合额外掉奖；5回合内高奖；6-10回合每回合-10%；10回合失败</x:v>
      </x:c>
      <x:c r="T109" s="29" t="str"/>
    </x:row>
    <x:row r="110" ht="22" customHeight="1">
      <x:c r="A110" s="29" t="str">
        <x:v>wave_d09_afternoon</x:v>
      </x:c>
      <x:c r="B110" s="29" t="n">
        <x:v>9</x:v>
      </x:c>
      <x:c r="C110" s="29" t="str">
        <x:v>下午</x:v>
      </x:c>
      <x:c r="D110" s="29" t="n">
        <x:v>2</x:v>
      </x:c>
      <x:c r="E110" s="29" t="str">
        <x:v>pal_101</x:v>
      </x:c>
      <x:c r="F110" s="31" t="str">
        <x:f>IFERROR(VLOOKUP($E110,'02_怪物模板_好读版'!$A:$Z,2,FALSE),"")</x:f>
        <x:v>雪猛犸</x:v>
      </x:c>
      <x:c r="G110" s="31" t="str">
        <x:f>IFERROR(VLOOKUP($E110,'02_怪物模板_好读版'!$A:$Z,3,FALSE),"")</x:f>
        <x:v>水</x:v>
      </x:c>
      <x:c r="H110" s="31" t="str">
        <x:f>IFERROR(VLOOKUP($E110,'02_怪物模板_好读版'!$A:$Z,7,FALSE),"")</x:f>
        <x:v>精英怪</x:v>
      </x:c>
      <x:c r="I110" s="31" t="n">
        <x:f>IFERROR(VLOOKUP($E110,'02_怪物模板_好读版'!$A:$Z,8,FALSE),0)</x:f>
        <x:v>35</x:v>
      </x:c>
      <x:c r="J110" s="31" t="n">
        <x:f>IFERROR(VLOOKUP($E110,'02_怪物模板_好读版'!$A:$Z,9,FALSE),0)</x:f>
        <x:v>4</x:v>
      </x:c>
      <x:c r="K110" s="31" t="n">
        <x:f>IFERROR(VLOOKUP($E110,'02_怪物模板_好读版'!$A:$Z,10,FALSE),0)</x:f>
        <x:v>0</x:v>
      </x:c>
      <x:c r="L110" s="31" t="n">
        <x:f>IFERROR(VLOOKUP($E110,'02_怪物模板_好读版'!$A:$Z,11,FALSE),0)</x:f>
        <x:v>15</x:v>
      </x:c>
      <x:c r="M110" s="31" t="n">
        <x:f>IFERROR(VLOOKUP($E110,'02_怪物模板_好读版'!$A:$Z,12,FALSE),0)</x:f>
        <x:v>4</x:v>
      </x:c>
      <x:c r="N110" s="29" t="n">
        <x:v>1</x:v>
      </x:c>
      <x:c r="O110" s="29" t="str">
        <x:v>escort_backline</x:v>
      </x:c>
      <x:c r="P110" s="31" t="n">
        <x:f>IFERROR((I110+J110*3+K110*2+L110+M110*5)*N110,0)</x:f>
        <x:v>82</x:v>
      </x:c>
      <x:c r="Q110" s="29" t="str">
        <x:v>双 Boss 压场演练，测试 10 回合失败线前的清场速度。 逼玩家拿出真正意义上的强杀方案。</x:v>
      </x:c>
      <x:c r="R110" s="29" t="str">
        <x:v>城堡-4 / 资源-3 / 经济x0.71</x:v>
      </x:c>
      <x:c r="S110" s="29" t="str">
        <x:v>5回合内高奖；6-10回合每回合-10%；10回合失败</x:v>
      </x:c>
      <x:c r="T110" s="29" t="str"/>
    </x:row>
    <x:row r="111" ht="22" customHeight="1">
      <x:c r="A111" s="29" t="str">
        <x:v>wave_d09_afternoon</x:v>
      </x:c>
      <x:c r="B111" s="29" t="n">
        <x:v>9</x:v>
      </x:c>
      <x:c r="C111" s="29" t="str">
        <x:v>下午</x:v>
      </x:c>
      <x:c r="D111" s="29" t="n">
        <x:v>2</x:v>
      </x:c>
      <x:c r="E111" s="29" t="str">
        <x:v>pal_017</x:v>
      </x:c>
      <x:c r="F111" s="31" t="str">
        <x:f>IFERROR(VLOOKUP($E111,'02_怪物模板_好读版'!$A:$Z,2,FALSE),"")</x:f>
        <x:v>瞅什魔</x:v>
      </x:c>
      <x:c r="G111" s="31" t="str">
        <x:f>IFERROR(VLOOKUP($E111,'02_怪物模板_好读版'!$A:$Z,3,FALSE),"")</x:f>
        <x:v>土</x:v>
      </x:c>
      <x:c r="H111" s="31" t="str">
        <x:f>IFERROR(VLOOKUP($E111,'02_怪物模板_好读版'!$A:$Z,7,FALSE),"")</x:f>
        <x:v>肉盾</x:v>
      </x:c>
      <x:c r="I111" s="31" t="n">
        <x:f>IFERROR(VLOOKUP($E111,'02_怪物模板_好读版'!$A:$Z,8,FALSE),0)</x:f>
        <x:v>40</x:v>
      </x:c>
      <x:c r="J111" s="31" t="n">
        <x:f>IFERROR(VLOOKUP($E111,'02_怪物模板_好读版'!$A:$Z,9,FALSE),0)</x:f>
        <x:v>3</x:v>
      </x:c>
      <x:c r="K111" s="31" t="n">
        <x:f>IFERROR(VLOOKUP($E111,'02_怪物模板_好读版'!$A:$Z,10,FALSE),0)</x:f>
        <x:v>0</x:v>
      </x:c>
      <x:c r="L111" s="31" t="n">
        <x:f>IFERROR(VLOOKUP($E111,'02_怪物模板_好读版'!$A:$Z,11,FALSE),0)</x:f>
        <x:v>0</x:v>
      </x:c>
      <x:c r="M111" s="31" t="n">
        <x:f>IFERROR(VLOOKUP($E111,'02_怪物模板_好读版'!$A:$Z,12,FALSE),0)</x:f>
        <x:v>2</x:v>
      </x:c>
      <x:c r="N111" s="29" t="n">
        <x:v>1</x:v>
      </x:c>
      <x:c r="O111" s="29" t="str">
        <x:v>front_cluster</x:v>
      </x:c>
      <x:c r="P111" s="31" t="n">
        <x:f>IFERROR((I111+J111*3+K111*2+L111+M111*5)*N111,0)</x:f>
        <x:v>59</x:v>
      </x:c>
      <x:c r="Q111" s="29" t="str">
        <x:v>双 Boss 压场演练，测试 10 回合失败线前的清场速度。 逼玩家拿出真正高攻或增伤组合，不再靠低攻磨掉。</x:v>
      </x:c>
      <x:c r="R111" s="29" t="str">
        <x:v>城堡-4 / 资源-3 / 经济x0.71</x:v>
      </x:c>
      <x:c r="S111" s="29" t="str">
        <x:v>5回合内高奖；6-10回合每回合-10%；10回合失败</x:v>
      </x:c>
      <x:c r="T111" s="29" t="str"/>
    </x:row>
    <x:row r="112" ht="22" customHeight="1">
      <x:c r="A112" s="29" t="str">
        <x:v>wave_d09_afternoon</x:v>
      </x:c>
      <x:c r="B112" s="29" t="n">
        <x:v>9</x:v>
      </x:c>
      <x:c r="C112" s="29" t="str">
        <x:v>下午</x:v>
      </x:c>
      <x:c r="D112" s="29" t="n">
        <x:v>3</x:v>
      </x:c>
      <x:c r="E112" s="29" t="str">
        <x:v>pal_110</x:v>
      </x:c>
      <x:c r="F112" s="31" t="str">
        <x:f>IFERROR(VLOOKUP($E112,'02_怪物模板_好读版'!$A:$Z,2,FALSE),"")</x:f>
        <x:v>魔渊龙</x:v>
      </x:c>
      <x:c r="G112" s="31" t="str">
        <x:f>IFERROR(VLOOKUP($E112,'02_怪物模板_好读版'!$A:$Z,3,FALSE),"")</x:f>
        <x:v>土</x:v>
      </x:c>
      <x:c r="H112" s="31" t="str">
        <x:f>IFERROR(VLOOKUP($E112,'02_怪物模板_好读版'!$A:$Z,7,FALSE),"")</x:f>
        <x:v>精英怪</x:v>
      </x:c>
      <x:c r="I112" s="31" t="n">
        <x:f>IFERROR(VLOOKUP($E112,'02_怪物模板_好读版'!$A:$Z,8,FALSE),0)</x:f>
        <x:v>50</x:v>
      </x:c>
      <x:c r="J112" s="31" t="n">
        <x:f>IFERROR(VLOOKUP($E112,'02_怪物模板_好读版'!$A:$Z,9,FALSE),0)</x:f>
        <x:v>4</x:v>
      </x:c>
      <x:c r="K112" s="31" t="n">
        <x:f>IFERROR(VLOOKUP($E112,'02_怪物模板_好读版'!$A:$Z,10,FALSE),0)</x:f>
        <x:v>6</x:v>
      </x:c>
      <x:c r="L112" s="31" t="n">
        <x:f>IFERROR(VLOOKUP($E112,'02_怪物模板_好读版'!$A:$Z,11,FALSE),0)</x:f>
        <x:v>6</x:v>
      </x:c>
      <x:c r="M112" s="31" t="n">
        <x:f>IFERROR(VLOOKUP($E112,'02_怪物模板_好读版'!$A:$Z,12,FALSE),0)</x:f>
        <x:v>4</x:v>
      </x:c>
      <x:c r="N112" s="29" t="n">
        <x:v>1</x:v>
      </x:c>
      <x:c r="O112" s="29" t="str">
        <x:v>front_cluster</x:v>
      </x:c>
      <x:c r="P112" s="31" t="n">
        <x:f>IFERROR((I112+J112*3+K112*2+L112+M112*5)*N112,0)</x:f>
        <x:v>100</x:v>
      </x:c>
      <x:c r="Q112" s="29" t="str">
        <x:v>双 Boss 压场演练，测试 10 回合失败线前的清场速度。 让玩家感知真正的后期门槛题。</x:v>
      </x:c>
      <x:c r="R112" s="29" t="str">
        <x:v>城堡-4 / 资源-3 / 经济x0.71</x:v>
      </x:c>
      <x:c r="S112" s="29" t="str">
        <x:v>5回合内高奖；6-10回合每回合-10%；10回合失败</x:v>
      </x:c>
      <x:c r="T112" s="29" t="str"/>
    </x:row>
    <x:row r="113" ht="22" customHeight="1">
      <x:c r="A113" s="29" t="str">
        <x:v>wave_d09_afternoon</x:v>
      </x:c>
      <x:c r="B113" s="29" t="n">
        <x:v>9</x:v>
      </x:c>
      <x:c r="C113" s="29" t="str">
        <x:v>下午</x:v>
      </x:c>
      <x:c r="D113" s="29" t="n">
        <x:v>4</x:v>
      </x:c>
      <x:c r="E113" s="29" t="str">
        <x:v>pal_124</x:v>
      </x:c>
      <x:c r="F113" s="31" t="str">
        <x:f>IFERROR(VLOOKUP($E113,'02_怪物模板_好读版'!$A:$Z,2,FALSE),"")</x:f>
        <x:v>混沌骑士</x:v>
      </x:c>
      <x:c r="G113" s="31" t="str">
        <x:f>IFERROR(VLOOKUP($E113,'02_怪物模板_好读版'!$A:$Z,3,FALSE),"")</x:f>
        <x:v>土</x:v>
      </x:c>
      <x:c r="H113" s="31" t="str">
        <x:f>IFERROR(VLOOKUP($E113,'02_怪物模板_好读版'!$A:$Z,7,FALSE),"")</x:f>
        <x:v>Boss</x:v>
      </x:c>
      <x:c r="I113" s="31" t="n">
        <x:f>IFERROR(VLOOKUP($E113,'02_怪物模板_好读版'!$A:$Z,8,FALSE),0)</x:f>
        <x:v>60</x:v>
      </x:c>
      <x:c r="J113" s="31" t="n">
        <x:f>IFERROR(VLOOKUP($E113,'02_怪物模板_好读版'!$A:$Z,9,FALSE),0)</x:f>
        <x:v>5</x:v>
      </x:c>
      <x:c r="K113" s="31" t="n">
        <x:f>IFERROR(VLOOKUP($E113,'02_怪物模板_好读版'!$A:$Z,10,FALSE),0)</x:f>
        <x:v>6</x:v>
      </x:c>
      <x:c r="L113" s="31" t="n">
        <x:f>IFERROR(VLOOKUP($E113,'02_怪物模板_好读版'!$A:$Z,11,FALSE),0)</x:f>
        <x:v>15</x:v>
      </x:c>
      <x:c r="M113" s="31" t="n">
        <x:f>IFERROR(VLOOKUP($E113,'02_怪物模板_好读版'!$A:$Z,12,FALSE),0)</x:f>
        <x:v>5</x:v>
      </x:c>
      <x:c r="N113" s="29" t="n">
        <x:v>1</x:v>
      </x:c>
      <x:c r="O113" s="29" t="str">
        <x:v>boss_anchor</x:v>
      </x:c>
      <x:c r="P113" s="31" t="n">
        <x:f>IFERROR((I113+J113*3+K113*2+L113+M113*5)*N113,0)</x:f>
        <x:v>127</x:v>
      </x:c>
      <x:c r="Q113" s="29" t="str">
        <x:v>双 Boss 压场演练，测试 10 回合失败线前的清场速度。 在后期把玩家全部解题工具都拉出来检查一遍。</x:v>
      </x:c>
      <x:c r="R113" s="29" t="str">
        <x:v>城堡-4 / 资源-3 / 经济x0.71</x:v>
      </x:c>
      <x:c r="S113" s="29" t="str">
        <x:v>5回合内高奖；6-10回合每回合-10%；10回合失败</x:v>
      </x:c>
      <x:c r="T113" s="29" t="str"/>
    </x:row>
    <x:row r="114" ht="22" customHeight="1">
      <x:c r="A114" s="29" t="str">
        <x:v>wave_d09_afternoon</x:v>
      </x:c>
      <x:c r="B114" s="29" t="n">
        <x:v>9</x:v>
      </x:c>
      <x:c r="C114" s="29" t="str">
        <x:v>下午</x:v>
      </x:c>
      <x:c r="D114" s="29" t="n">
        <x:v>4</x:v>
      </x:c>
      <x:c r="E114" s="29" t="str">
        <x:v>pal_106</x:v>
      </x:c>
      <x:c r="F114" s="31" t="str">
        <x:f>IFERROR(VLOOKUP($E114,'02_怪物模板_好读版'!$A:$Z,2,FALSE),"")</x:f>
        <x:v>夜幕魔蝠</x:v>
      </x:c>
      <x:c r="G114" s="31" t="str">
        <x:f>IFERROR(VLOOKUP($E114,'02_怪物模板_好读版'!$A:$Z,3,FALSE),"")</x:f>
        <x:v>土</x:v>
      </x:c>
      <x:c r="H114" s="31" t="str">
        <x:f>IFERROR(VLOOKUP($E114,'02_怪物模板_好读版'!$A:$Z,7,FALSE),"")</x:f>
        <x:v>召唤怪</x:v>
      </x:c>
      <x:c r="I114" s="31" t="n">
        <x:f>IFERROR(VLOOKUP($E114,'02_怪物模板_好读版'!$A:$Z,8,FALSE),0)</x:f>
        <x:v>35</x:v>
      </x:c>
      <x:c r="J114" s="31" t="n">
        <x:f>IFERROR(VLOOKUP($E114,'02_怪物模板_好读版'!$A:$Z,9,FALSE),0)</x:f>
        <x:v>3</x:v>
      </x:c>
      <x:c r="K114" s="31" t="n">
        <x:f>IFERROR(VLOOKUP($E114,'02_怪物模板_好读版'!$A:$Z,10,FALSE),0)</x:f>
        <x:v>0</x:v>
      </x:c>
      <x:c r="L114" s="31" t="n">
        <x:f>IFERROR(VLOOKUP($E114,'02_怪物模板_好读版'!$A:$Z,11,FALSE),0)</x:f>
        <x:v>6</x:v>
      </x:c>
      <x:c r="M114" s="31" t="n">
        <x:f>IFERROR(VLOOKUP($E114,'02_怪物模板_好读版'!$A:$Z,12,FALSE),0)</x:f>
        <x:v>3</x:v>
      </x:c>
      <x:c r="N114" s="29" t="n">
        <x:v>1</x:v>
      </x:c>
      <x:c r="O114" s="29" t="str">
        <x:v>escort_backline</x:v>
      </x:c>
      <x:c r="P114" s="31" t="n">
        <x:f>IFERROR((I114+J114*3+K114*2+L114+M114*5)*N114,0)</x:f>
        <x:v>65</x:v>
      </x:c>
      <x:c r="Q114" s="29" t="str">
        <x:v>双 Boss 压场演练，测试 10 回合失败线前的清场速度。 把召唤题抬到后期门槛难度。</x:v>
      </x:c>
      <x:c r="R114" s="29" t="str">
        <x:v>城堡-4 / 资源-3 / 经济x0.71</x:v>
      </x:c>
      <x:c r="S114" s="29" t="str">
        <x:v>5回合内高奖；6-10回合每回合-10%；10回合失败</x:v>
      </x:c>
      <x:c r="T114" s="29" t="str"/>
    </x:row>
    <x:row r="115" ht="22" customHeight="1">
      <x:c r="A115" s="29" t="str">
        <x:v>wave_d09_afternoon</x:v>
      </x:c>
      <x:c r="B115" s="29" t="n">
        <x:v>9</x:v>
      </x:c>
      <x:c r="C115" s="29" t="str">
        <x:v>下午</x:v>
      </x:c>
      <x:c r="D115" s="29" t="n">
        <x:v>5</x:v>
      </x:c>
      <x:c r="E115" s="29" t="str">
        <x:v>pal_090</x:v>
      </x:c>
      <x:c r="F115" s="31" t="str">
        <x:f>IFERROR(VLOOKUP($E115,'02_怪物模板_好读版'!$A:$Z,2,FALSE),"")</x:f>
        <x:v>狱阎王</x:v>
      </x:c>
      <x:c r="G115" s="31" t="str">
        <x:f>IFERROR(VLOOKUP($E115,'02_怪物模板_好读版'!$A:$Z,3,FALSE),"")</x:f>
        <x:v>火</x:v>
      </x:c>
      <x:c r="H115" s="31" t="str">
        <x:f>IFERROR(VLOOKUP($E115,'02_怪物模板_好读版'!$A:$Z,7,FALSE),"")</x:f>
        <x:v>Boss</x:v>
      </x:c>
      <x:c r="I115" s="31" t="n">
        <x:f>IFERROR(VLOOKUP($E115,'02_怪物模板_好读版'!$A:$Z,8,FALSE),0)</x:f>
        <x:v>70</x:v>
      </x:c>
      <x:c r="J115" s="31" t="n">
        <x:f>IFERROR(VLOOKUP($E115,'02_怪物模板_好读版'!$A:$Z,9,FALSE),0)</x:f>
        <x:v>5</x:v>
      </x:c>
      <x:c r="K115" s="31" t="n">
        <x:f>IFERROR(VLOOKUP($E115,'02_怪物模板_好读版'!$A:$Z,10,FALSE),0)</x:f>
        <x:v>10</x:v>
      </x:c>
      <x:c r="L115" s="31" t="n">
        <x:f>IFERROR(VLOOKUP($E115,'02_怪物模板_好读版'!$A:$Z,11,FALSE),0)</x:f>
        <x:v>10</x:v>
      </x:c>
      <x:c r="M115" s="31" t="n">
        <x:f>IFERROR(VLOOKUP($E115,'02_怪物模板_好读版'!$A:$Z,12,FALSE),0)</x:f>
        <x:v>5</x:v>
      </x:c>
      <x:c r="N115" s="29" t="n">
        <x:v>1</x:v>
      </x:c>
      <x:c r="O115" s="29" t="str">
        <x:v>boss_anchor</x:v>
      </x:c>
      <x:c r="P115" s="31" t="n">
        <x:f>IFERROR((I115+J115*3+K115*2+L115+M115*5)*N115,0)</x:f>
        <x:v>140</x:v>
      </x:c>
      <x:c r="Q115" s="29" t="str">
        <x:v>双 Boss 压场演练，测试 10 回合失败线前的清场速度。 完整测试 10 回合失败前的残局处理能力。</x:v>
      </x:c>
      <x:c r="R115" s="29" t="str">
        <x:v>城堡-4 / 资源-3 / 经济x0.71</x:v>
      </x:c>
      <x:c r="S115" s="29" t="str">
        <x:v>5回合内高奖；6-10回合每回合-10%；10回合失败</x:v>
      </x:c>
      <x:c r="T115" s="29" t="str"/>
    </x:row>
    <x:row r="116" ht="22" customHeight="1">
      <x:c r="A116" s="29" t="str">
        <x:v>wave_d09_afternoon</x:v>
      </x:c>
      <x:c r="B116" s="29" t="n">
        <x:v>9</x:v>
      </x:c>
      <x:c r="C116" s="29" t="str">
        <x:v>下午</x:v>
      </x:c>
      <x:c r="D116" s="29" t="n">
        <x:v>5</x:v>
      </x:c>
      <x:c r="E116" s="29" t="str">
        <x:v>pal_014</x:v>
      </x:c>
      <x:c r="F116" s="31" t="str">
        <x:f>IFERROR(VLOOKUP($E116,'02_怪物模板_好读版'!$A:$Z,2,FALSE),"")</x:f>
        <x:v>玉藻狐</x:v>
      </x:c>
      <x:c r="G116" s="31" t="str">
        <x:f>IFERROR(VLOOKUP($E116,'02_怪物模板_好读版'!$A:$Z,3,FALSE),"")</x:f>
        <x:v>风</x:v>
      </x:c>
      <x:c r="H116" s="31" t="str">
        <x:f>IFERROR(VLOOKUP($E116,'02_怪物模板_好读版'!$A:$Z,7,FALSE),"")</x:f>
        <x:v>偷奖励怪</x:v>
      </x:c>
      <x:c r="I116" s="31" t="n">
        <x:f>IFERROR(VLOOKUP($E116,'02_怪物模板_好读版'!$A:$Z,8,FALSE),0)</x:f>
        <x:v>15</x:v>
      </x:c>
      <x:c r="J116" s="31" t="n">
        <x:f>IFERROR(VLOOKUP($E116,'02_怪物模板_好读版'!$A:$Z,9,FALSE),0)</x:f>
        <x:v>2</x:v>
      </x:c>
      <x:c r="K116" s="31" t="n">
        <x:f>IFERROR(VLOOKUP($E116,'02_怪物模板_好读版'!$A:$Z,10,FALSE),0)</x:f>
        <x:v>0</x:v>
      </x:c>
      <x:c r="L116" s="31" t="n">
        <x:f>IFERROR(VLOOKUP($E116,'02_怪物模板_好读版'!$A:$Z,11,FALSE),0)</x:f>
        <x:v>0</x:v>
      </x:c>
      <x:c r="M116" s="31" t="n">
        <x:f>IFERROR(VLOOKUP($E116,'02_怪物模板_好读版'!$A:$Z,12,FALSE),0)</x:f>
        <x:v>4</x:v>
      </x:c>
      <x:c r="N116" s="29" t="n">
        <x:v>1</x:v>
      </x:c>
      <x:c r="O116" s="29" t="str">
        <x:v>back_corner</x:v>
      </x:c>
      <x:c r="P116" s="31" t="n">
        <x:f>IFERROR((I116+J116*3+K116*2+L116+M116*5)*N116,0)</x:f>
        <x:v>41</x:v>
      </x:c>
      <x:c r="Q116" s="29" t="str">
        <x:v>双 Boss 压场演练，测试 10 回合失败线前的清场速度。 第一次把高奖励目标和击杀顺序绑定。</x:v>
      </x:c>
      <x:c r="R116" s="29" t="str">
        <x:v>城堡-4 / 资源-3 / 经济x0.71</x:v>
      </x:c>
      <x:c r="S116" s="29" t="str">
        <x:v>该怪存活每回合额外掉奖；5回合内高奖；6-10回合每回合-10%；10回合失败</x:v>
      </x:c>
      <x:c r="T116" s="29" t="str"/>
    </x:row>
    <x:row r="117" ht="22" customHeight="1">
      <x:c r="A117" s="29" t="str">
        <x:v>wave_d10_morning</x:v>
      </x:c>
      <x:c r="B117" s="29" t="n">
        <x:v>10</x:v>
      </x:c>
      <x:c r="C117" s="29" t="str">
        <x:v>上午</x:v>
      </x:c>
      <x:c r="D117" s="29" t="n">
        <x:v>1</x:v>
      </x:c>
      <x:c r="E117" s="29" t="str">
        <x:v>pal_026</x:v>
      </x:c>
      <x:c r="F117" s="31" t="str">
        <x:f>IFERROR(VLOOKUP($E117,'02_怪物模板_好读版'!$A:$Z,2,FALSE),"")</x:f>
        <x:v>猎狼</x:v>
      </x:c>
      <x:c r="G117" s="31" t="str">
        <x:f>IFERROR(VLOOKUP($E117,'02_怪物模板_好读版'!$A:$Z,3,FALSE),"")</x:f>
        <x:v>风</x:v>
      </x:c>
      <x:c r="H117" s="31" t="str">
        <x:f>IFERROR(VLOOKUP($E117,'02_怪物模板_好读版'!$A:$Z,7,FALSE),"")</x:f>
        <x:v>偷奖励怪</x:v>
      </x:c>
      <x:c r="I117" s="31" t="n">
        <x:f>IFERROR(VLOOKUP($E117,'02_怪物模板_好读版'!$A:$Z,8,FALSE),0)</x:f>
        <x:v>20</x:v>
      </x:c>
      <x:c r="J117" s="31" t="n">
        <x:f>IFERROR(VLOOKUP($E117,'02_怪物模板_好读版'!$A:$Z,9,FALSE),0)</x:f>
        <x:v>3</x:v>
      </x:c>
      <x:c r="K117" s="31" t="n">
        <x:f>IFERROR(VLOOKUP($E117,'02_怪物模板_好读版'!$A:$Z,10,FALSE),0)</x:f>
        <x:v>0</x:v>
      </x:c>
      <x:c r="L117" s="31" t="n">
        <x:f>IFERROR(VLOOKUP($E117,'02_怪物模板_好读版'!$A:$Z,11,FALSE),0)</x:f>
        <x:v>6</x:v>
      </x:c>
      <x:c r="M117" s="31" t="n">
        <x:f>IFERROR(VLOOKUP($E117,'02_怪物模板_好读版'!$A:$Z,12,FALSE),0)</x:f>
        <x:v>4</x:v>
      </x:c>
      <x:c r="N117" s="29" t="n">
        <x:v>1</x:v>
      </x:c>
      <x:c r="O117" s="29" t="str">
        <x:v>back_corner</x:v>
      </x:c>
      <x:c r="P117" s="31" t="n">
        <x:f>IFERROR((I117+J117*3+K117*2+L117+M117*5)*N117,0)</x:f>
        <x:v>55</x:v>
      </x:c>
      <x:c r="Q117" s="29" t="str">
        <x:v>最终日预热，要求玩家边控边收尾。 把奖励题升级成真正的阵容完整性检查。</x:v>
      </x:c>
      <x:c r="R117" s="29" t="str">
        <x:v>城堡-4 / 资源-3 / 经济x0.72</x:v>
      </x:c>
      <x:c r="S117" s="29" t="str">
        <x:v>该怪存活每回合额外掉奖；5回合内高奖；6-10回合每回合-9%；10回合失败</x:v>
      </x:c>
      <x:c r="T117" s="29" t="str"/>
    </x:row>
    <x:row r="118" ht="22" customHeight="1">
      <x:c r="A118" s="29" t="str">
        <x:v>wave_d10_morning</x:v>
      </x:c>
      <x:c r="B118" s="29" t="n">
        <x:v>10</x:v>
      </x:c>
      <x:c r="C118" s="29" t="str">
        <x:v>上午</x:v>
      </x:c>
      <x:c r="D118" s="29" t="n">
        <x:v>2</x:v>
      </x:c>
      <x:c r="E118" s="29" t="str">
        <x:v>pal_089</x:v>
      </x:c>
      <x:c r="F118" s="31" t="str">
        <x:f>IFERROR(VLOOKUP($E118,'02_怪物模板_好读版'!$A:$Z,2,FALSE),"")</x:f>
        <x:v>狱焰王</x:v>
      </x:c>
      <x:c r="G118" s="31" t="str">
        <x:f>IFERROR(VLOOKUP($E118,'02_怪物模板_好读版'!$A:$Z,3,FALSE),"")</x:f>
        <x:v>火</x:v>
      </x:c>
      <x:c r="H118" s="31" t="str">
        <x:f>IFERROR(VLOOKUP($E118,'02_怪物模板_好读版'!$A:$Z,7,FALSE),"")</x:f>
        <x:v>精英怪</x:v>
      </x:c>
      <x:c r="I118" s="31" t="n">
        <x:f>IFERROR(VLOOKUP($E118,'02_怪物模板_好读版'!$A:$Z,8,FALSE),0)</x:f>
        <x:v>40</x:v>
      </x:c>
      <x:c r="J118" s="31" t="n">
        <x:f>IFERROR(VLOOKUP($E118,'02_怪物模板_好读版'!$A:$Z,9,FALSE),0)</x:f>
        <x:v>5</x:v>
      </x:c>
      <x:c r="K118" s="31" t="n">
        <x:f>IFERROR(VLOOKUP($E118,'02_怪物模板_好读版'!$A:$Z,10,FALSE),0)</x:f>
        <x:v>0</x:v>
      </x:c>
      <x:c r="L118" s="31" t="n">
        <x:f>IFERROR(VLOOKUP($E118,'02_怪物模板_好读版'!$A:$Z,11,FALSE),0)</x:f>
        <x:v>10</x:v>
      </x:c>
      <x:c r="M118" s="31" t="n">
        <x:f>IFERROR(VLOOKUP($E118,'02_怪物模板_好读版'!$A:$Z,12,FALSE),0)</x:f>
        <x:v>4</x:v>
      </x:c>
      <x:c r="N118" s="29" t="n">
        <x:v>1</x:v>
      </x:c>
      <x:c r="O118" s="29" t="str">
        <x:v>escort_backline</x:v>
      </x:c>
      <x:c r="P118" s="31" t="n">
        <x:f>IFERROR((I118+J118*3+K118*2+L118+M118*5)*N118,0)</x:f>
        <x:v>85</x:v>
      </x:c>
      <x:c r="Q118" s="29" t="str">
        <x:v>最终日预热，要求玩家边控边收尾。 把中期阵容的容错空间压到真实战斗水平。</x:v>
      </x:c>
      <x:c r="R118" s="29" t="str">
        <x:v>城堡-4 / 资源-3 / 经济x0.72</x:v>
      </x:c>
      <x:c r="S118" s="29" t="str">
        <x:v>5回合内高奖；6-10回合每回合-9%；10回合失败</x:v>
      </x:c>
      <x:c r="T118" s="29" t="str"/>
    </x:row>
    <x:row r="119" ht="22" customHeight="1">
      <x:c r="A119" s="29" t="str">
        <x:v>wave_d10_morning</x:v>
      </x:c>
      <x:c r="B119" s="29" t="n">
        <x:v>10</x:v>
      </x:c>
      <x:c r="C119" s="29" t="str">
        <x:v>上午</x:v>
      </x:c>
      <x:c r="D119" s="29" t="n">
        <x:v>2</x:v>
      </x:c>
      <x:c r="E119" s="29" t="str">
        <x:v>pal_017</x:v>
      </x:c>
      <x:c r="F119" s="31" t="str">
        <x:f>IFERROR(VLOOKUP($E119,'02_怪物模板_好读版'!$A:$Z,2,FALSE),"")</x:f>
        <x:v>瞅什魔</x:v>
      </x:c>
      <x:c r="G119" s="31" t="str">
        <x:f>IFERROR(VLOOKUP($E119,'02_怪物模板_好读版'!$A:$Z,3,FALSE),"")</x:f>
        <x:v>土</x:v>
      </x:c>
      <x:c r="H119" s="31" t="str">
        <x:f>IFERROR(VLOOKUP($E119,'02_怪物模板_好读版'!$A:$Z,7,FALSE),"")</x:f>
        <x:v>肉盾</x:v>
      </x:c>
      <x:c r="I119" s="31" t="n">
        <x:f>IFERROR(VLOOKUP($E119,'02_怪物模板_好读版'!$A:$Z,8,FALSE),0)</x:f>
        <x:v>40</x:v>
      </x:c>
      <x:c r="J119" s="31" t="n">
        <x:f>IFERROR(VLOOKUP($E119,'02_怪物模板_好读版'!$A:$Z,9,FALSE),0)</x:f>
        <x:v>3</x:v>
      </x:c>
      <x:c r="K119" s="31" t="n">
        <x:f>IFERROR(VLOOKUP($E119,'02_怪物模板_好读版'!$A:$Z,10,FALSE),0)</x:f>
        <x:v>0</x:v>
      </x:c>
      <x:c r="L119" s="31" t="n">
        <x:f>IFERROR(VLOOKUP($E119,'02_怪物模板_好读版'!$A:$Z,11,FALSE),0)</x:f>
        <x:v>0</x:v>
      </x:c>
      <x:c r="M119" s="31" t="n">
        <x:f>IFERROR(VLOOKUP($E119,'02_怪物模板_好读版'!$A:$Z,12,FALSE),0)</x:f>
        <x:v>2</x:v>
      </x:c>
      <x:c r="N119" s="29" t="n">
        <x:v>1</x:v>
      </x:c>
      <x:c r="O119" s="29" t="str">
        <x:v>front_cluster</x:v>
      </x:c>
      <x:c r="P119" s="31" t="n">
        <x:f>IFERROR((I119+J119*3+K119*2+L119+M119*5)*N119,0)</x:f>
        <x:v>59</x:v>
      </x:c>
      <x:c r="Q119" s="29" t="str">
        <x:v>最终日预热，要求玩家边控边收尾。 逼玩家拿出真正高攻或增伤组合，不再靠低攻磨掉。</x:v>
      </x:c>
      <x:c r="R119" s="29" t="str">
        <x:v>城堡-4 / 资源-3 / 经济x0.72</x:v>
      </x:c>
      <x:c r="S119" s="29" t="str">
        <x:v>5回合内高奖；6-10回合每回合-9%；10回合失败</x:v>
      </x:c>
      <x:c r="T119" s="29" t="str"/>
    </x:row>
    <x:row r="120" ht="22" customHeight="1">
      <x:c r="A120" s="29" t="str">
        <x:v>wave_d10_morning</x:v>
      </x:c>
      <x:c r="B120" s="29" t="n">
        <x:v>10</x:v>
      </x:c>
      <x:c r="C120" s="29" t="str">
        <x:v>上午</x:v>
      </x:c>
      <x:c r="D120" s="29" t="n">
        <x:v>3</x:v>
      </x:c>
      <x:c r="E120" s="29" t="str">
        <x:v>pal_101</x:v>
      </x:c>
      <x:c r="F120" s="31" t="str">
        <x:f>IFERROR(VLOOKUP($E120,'02_怪物模板_好读版'!$A:$Z,2,FALSE),"")</x:f>
        <x:v>雪猛犸</x:v>
      </x:c>
      <x:c r="G120" s="31" t="str">
        <x:f>IFERROR(VLOOKUP($E120,'02_怪物模板_好读版'!$A:$Z,3,FALSE),"")</x:f>
        <x:v>水</x:v>
      </x:c>
      <x:c r="H120" s="31" t="str">
        <x:f>IFERROR(VLOOKUP($E120,'02_怪物模板_好读版'!$A:$Z,7,FALSE),"")</x:f>
        <x:v>精英怪</x:v>
      </x:c>
      <x:c r="I120" s="31" t="n">
        <x:f>IFERROR(VLOOKUP($E120,'02_怪物模板_好读版'!$A:$Z,8,FALSE),0)</x:f>
        <x:v>35</x:v>
      </x:c>
      <x:c r="J120" s="31" t="n">
        <x:f>IFERROR(VLOOKUP($E120,'02_怪物模板_好读版'!$A:$Z,9,FALSE),0)</x:f>
        <x:v>4</x:v>
      </x:c>
      <x:c r="K120" s="31" t="n">
        <x:f>IFERROR(VLOOKUP($E120,'02_怪物模板_好读版'!$A:$Z,10,FALSE),0)</x:f>
        <x:v>0</x:v>
      </x:c>
      <x:c r="L120" s="31" t="n">
        <x:f>IFERROR(VLOOKUP($E120,'02_怪物模板_好读版'!$A:$Z,11,FALSE),0)</x:f>
        <x:v>15</x:v>
      </x:c>
      <x:c r="M120" s="31" t="n">
        <x:f>IFERROR(VLOOKUP($E120,'02_怪物模板_好读版'!$A:$Z,12,FALSE),0)</x:f>
        <x:v>4</x:v>
      </x:c>
      <x:c r="N120" s="29" t="n">
        <x:v>1</x:v>
      </x:c>
      <x:c r="O120" s="29" t="str">
        <x:v>front_cluster</x:v>
      </x:c>
      <x:c r="P120" s="31" t="n">
        <x:f>IFERROR((I120+J120*3+K120*2+L120+M120*5)*N120,0)</x:f>
        <x:v>82</x:v>
      </x:c>
      <x:c r="Q120" s="29" t="str">
        <x:v>最终日预热，要求玩家边控边收尾。 逼玩家拿出真正意义上的强杀方案。</x:v>
      </x:c>
      <x:c r="R120" s="29" t="str">
        <x:v>城堡-4 / 资源-3 / 经济x0.72</x:v>
      </x:c>
      <x:c r="S120" s="29" t="str">
        <x:v>5回合内高奖；6-10回合每回合-9%；10回合失败</x:v>
      </x:c>
      <x:c r="T120" s="29" t="str"/>
    </x:row>
    <x:row r="121" ht="22" customHeight="1">
      <x:c r="A121" s="29" t="str">
        <x:v>wave_d10_morning</x:v>
      </x:c>
      <x:c r="B121" s="29" t="n">
        <x:v>10</x:v>
      </x:c>
      <x:c r="C121" s="29" t="str">
        <x:v>上午</x:v>
      </x:c>
      <x:c r="D121" s="29" t="n">
        <x:v>3</x:v>
      </x:c>
      <x:c r="E121" s="29" t="str">
        <x:v>pal_097</x:v>
      </x:c>
      <x:c r="F121" s="31" t="str">
        <x:f>IFERROR(VLOOKUP($E121,'02_怪物模板_好读版'!$A:$Z,2,FALSE),"")</x:f>
        <x:v>寒霜兽</x:v>
      </x:c>
      <x:c r="G121" s="31" t="str">
        <x:f>IFERROR(VLOOKUP($E121,'02_怪物模板_好读版'!$A:$Z,3,FALSE),"")</x:f>
        <x:v>水</x:v>
      </x:c>
      <x:c r="H121" s="31" t="str">
        <x:f>IFERROR(VLOOKUP($E121,'02_怪物模板_好读版'!$A:$Z,7,FALSE),"")</x:f>
        <x:v>限伤怪</x:v>
      </x:c>
      <x:c r="I121" s="31" t="n">
        <x:f>IFERROR(VLOOKUP($E121,'02_怪物模板_好读版'!$A:$Z,8,FALSE),0)</x:f>
        <x:v>40</x:v>
      </x:c>
      <x:c r="J121" s="31" t="n">
        <x:f>IFERROR(VLOOKUP($E121,'02_怪物模板_好读版'!$A:$Z,9,FALSE),0)</x:f>
        <x:v>3</x:v>
      </x:c>
      <x:c r="K121" s="31" t="n">
        <x:f>IFERROR(VLOOKUP($E121,'02_怪物模板_好读版'!$A:$Z,10,FALSE),0)</x:f>
        <x:v>0</x:v>
      </x:c>
      <x:c r="L121" s="31" t="n">
        <x:f>IFERROR(VLOOKUP($E121,'02_怪物模板_好读版'!$A:$Z,11,FALSE),0)</x:f>
        <x:v>6</x:v>
      </x:c>
      <x:c r="M121" s="31" t="n">
        <x:f>IFERROR(VLOOKUP($E121,'02_怪物模板_好读版'!$A:$Z,12,FALSE),0)</x:f>
        <x:v>3</x:v>
      </x:c>
      <x:c r="N121" s="29" t="n">
        <x:v>1</x:v>
      </x:c>
      <x:c r="O121" s="29" t="str">
        <x:v>mid_cluster</x:v>
      </x:c>
      <x:c r="P121" s="31" t="n">
        <x:f>IFERROR((I121+J121*3+K121*2+L121+M121*5)*N121,0)</x:f>
        <x:v>70</x:v>
      </x:c>
      <x:c r="Q121" s="29" t="str">
        <x:v>最终日预热，要求玩家边控边收尾。 把战斗从爆发检查扩展到持续处理能力检查。</x:v>
      </x:c>
      <x:c r="R121" s="29" t="str">
        <x:v>城堡-4 / 资源-3 / 经济x0.72</x:v>
      </x:c>
      <x:c r="S121" s="29" t="str">
        <x:v>5回合内高奖；6-10回合每回合-9%；10回合失败</x:v>
      </x:c>
      <x:c r="T121" s="29" t="str"/>
    </x:row>
    <x:row r="122" ht="22" customHeight="1">
      <x:c r="A122" s="29" t="str">
        <x:v>wave_d10_morning</x:v>
      </x:c>
      <x:c r="B122" s="29" t="n">
        <x:v>10</x:v>
      </x:c>
      <x:c r="C122" s="29" t="str">
        <x:v>上午</x:v>
      </x:c>
      <x:c r="D122" s="29" t="n">
        <x:v>4</x:v>
      </x:c>
      <x:c r="E122" s="29" t="str">
        <x:v>pal_124</x:v>
      </x:c>
      <x:c r="F122" s="31" t="str">
        <x:f>IFERROR(VLOOKUP($E122,'02_怪物模板_好读版'!$A:$Z,2,FALSE),"")</x:f>
        <x:v>混沌骑士</x:v>
      </x:c>
      <x:c r="G122" s="31" t="str">
        <x:f>IFERROR(VLOOKUP($E122,'02_怪物模板_好读版'!$A:$Z,3,FALSE),"")</x:f>
        <x:v>土</x:v>
      </x:c>
      <x:c r="H122" s="31" t="str">
        <x:f>IFERROR(VLOOKUP($E122,'02_怪物模板_好读版'!$A:$Z,7,FALSE),"")</x:f>
        <x:v>Boss</x:v>
      </x:c>
      <x:c r="I122" s="31" t="n">
        <x:f>IFERROR(VLOOKUP($E122,'02_怪物模板_好读版'!$A:$Z,8,FALSE),0)</x:f>
        <x:v>60</x:v>
      </x:c>
      <x:c r="J122" s="31" t="n">
        <x:f>IFERROR(VLOOKUP($E122,'02_怪物模板_好读版'!$A:$Z,9,FALSE),0)</x:f>
        <x:v>5</x:v>
      </x:c>
      <x:c r="K122" s="31" t="n">
        <x:f>IFERROR(VLOOKUP($E122,'02_怪物模板_好读版'!$A:$Z,10,FALSE),0)</x:f>
        <x:v>6</x:v>
      </x:c>
      <x:c r="L122" s="31" t="n">
        <x:f>IFERROR(VLOOKUP($E122,'02_怪物模板_好读版'!$A:$Z,11,FALSE),0)</x:f>
        <x:v>15</x:v>
      </x:c>
      <x:c r="M122" s="31" t="n">
        <x:f>IFERROR(VLOOKUP($E122,'02_怪物模板_好读版'!$A:$Z,12,FALSE),0)</x:f>
        <x:v>5</x:v>
      </x:c>
      <x:c r="N122" s="29" t="n">
        <x:v>1</x:v>
      </x:c>
      <x:c r="O122" s="29" t="str">
        <x:v>boss_anchor</x:v>
      </x:c>
      <x:c r="P122" s="31" t="n">
        <x:f>IFERROR((I122+J122*3+K122*2+L122+M122*5)*N122,0)</x:f>
        <x:v>127</x:v>
      </x:c>
      <x:c r="Q122" s="29" t="str">
        <x:v>最终日预热，要求玩家边控边收尾。 在后期把玩家全部解题工具都拉出来检查一遍。</x:v>
      </x:c>
      <x:c r="R122" s="29" t="str">
        <x:v>城堡-4 / 资源-3 / 经济x0.72</x:v>
      </x:c>
      <x:c r="S122" s="29" t="str">
        <x:v>5回合内高奖；6-10回合每回合-9%；10回合失败</x:v>
      </x:c>
      <x:c r="T122" s="29" t="str"/>
    </x:row>
    <x:row r="123" ht="22" customHeight="1">
      <x:c r="A123" s="29" t="str">
        <x:v>wave_d10_morning</x:v>
      </x:c>
      <x:c r="B123" s="29" t="n">
        <x:v>10</x:v>
      </x:c>
      <x:c r="C123" s="29" t="str">
        <x:v>上午</x:v>
      </x:c>
      <x:c r="D123" s="29" t="n">
        <x:v>4</x:v>
      </x:c>
      <x:c r="E123" s="29" t="str">
        <x:v>pal_106</x:v>
      </x:c>
      <x:c r="F123" s="31" t="str">
        <x:f>IFERROR(VLOOKUP($E123,'02_怪物模板_好读版'!$A:$Z,2,FALSE),"")</x:f>
        <x:v>夜幕魔蝠</x:v>
      </x:c>
      <x:c r="G123" s="31" t="str">
        <x:f>IFERROR(VLOOKUP($E123,'02_怪物模板_好读版'!$A:$Z,3,FALSE),"")</x:f>
        <x:v>土</x:v>
      </x:c>
      <x:c r="H123" s="31" t="str">
        <x:f>IFERROR(VLOOKUP($E123,'02_怪物模板_好读版'!$A:$Z,7,FALSE),"")</x:f>
        <x:v>召唤怪</x:v>
      </x:c>
      <x:c r="I123" s="31" t="n">
        <x:f>IFERROR(VLOOKUP($E123,'02_怪物模板_好读版'!$A:$Z,8,FALSE),0)</x:f>
        <x:v>35</x:v>
      </x:c>
      <x:c r="J123" s="31" t="n">
        <x:f>IFERROR(VLOOKUP($E123,'02_怪物模板_好读版'!$A:$Z,9,FALSE),0)</x:f>
        <x:v>3</x:v>
      </x:c>
      <x:c r="K123" s="31" t="n">
        <x:f>IFERROR(VLOOKUP($E123,'02_怪物模板_好读版'!$A:$Z,10,FALSE),0)</x:f>
        <x:v>0</x:v>
      </x:c>
      <x:c r="L123" s="31" t="n">
        <x:f>IFERROR(VLOOKUP($E123,'02_怪物模板_好读版'!$A:$Z,11,FALSE),0)</x:f>
        <x:v>6</x:v>
      </x:c>
      <x:c r="M123" s="31" t="n">
        <x:f>IFERROR(VLOOKUP($E123,'02_怪物模板_好读版'!$A:$Z,12,FALSE),0)</x:f>
        <x:v>3</x:v>
      </x:c>
      <x:c r="N123" s="29" t="n">
        <x:v>1</x:v>
      </x:c>
      <x:c r="O123" s="29" t="str">
        <x:v>escort_backline</x:v>
      </x:c>
      <x:c r="P123" s="31" t="n">
        <x:f>IFERROR((I123+J123*3+K123*2+L123+M123*5)*N123,0)</x:f>
        <x:v>65</x:v>
      </x:c>
      <x:c r="Q123" s="29" t="str">
        <x:v>最终日预热，要求玩家边控边收尾。 把召唤题抬到后期门槛难度。</x:v>
      </x:c>
      <x:c r="R123" s="29" t="str">
        <x:v>城堡-4 / 资源-3 / 经济x0.72</x:v>
      </x:c>
      <x:c r="S123" s="29" t="str">
        <x:v>5回合内高奖；6-10回合每回合-9%；10回合失败</x:v>
      </x:c>
      <x:c r="T123" s="29" t="str"/>
    </x:row>
    <x:row r="124" ht="22" customHeight="1">
      <x:c r="A124" s="29" t="str">
        <x:v>wave_d10_morning</x:v>
      </x:c>
      <x:c r="B124" s="29" t="n">
        <x:v>10</x:v>
      </x:c>
      <x:c r="C124" s="29" t="str">
        <x:v>上午</x:v>
      </x:c>
      <x:c r="D124" s="29" t="n">
        <x:v>5</x:v>
      </x:c>
      <x:c r="E124" s="29" t="str">
        <x:v>pal_091</x:v>
      </x:c>
      <x:c r="F124" s="31" t="str">
        <x:f>IFERROR(VLOOKUP($E124,'02_怪物模板_好读版'!$A:$Z,2,FALSE),"")</x:f>
        <x:v>佩克龙</x:v>
      </x:c>
      <x:c r="G124" s="31" t="str">
        <x:f>IFERROR(VLOOKUP($E124,'02_怪物模板_好读版'!$A:$Z,3,FALSE),"")</x:f>
        <x:v>水</x:v>
      </x:c>
      <x:c r="H124" s="31" t="str">
        <x:f>IFERROR(VLOOKUP($E124,'02_怪物模板_好读版'!$A:$Z,7,FALSE),"")</x:f>
        <x:v>肉盾</x:v>
      </x:c>
      <x:c r="I124" s="31" t="n">
        <x:f>IFERROR(VLOOKUP($E124,'02_怪物模板_好读版'!$A:$Z,8,FALSE),0)</x:f>
        <x:v>35</x:v>
      </x:c>
      <x:c r="J124" s="31" t="n">
        <x:f>IFERROR(VLOOKUP($E124,'02_怪物模板_好读版'!$A:$Z,9,FALSE),0)</x:f>
        <x:v>2</x:v>
      </x:c>
      <x:c r="K124" s="31" t="n">
        <x:f>IFERROR(VLOOKUP($E124,'02_怪物模板_好读版'!$A:$Z,10,FALSE),0)</x:f>
        <x:v>0</x:v>
      </x:c>
      <x:c r="L124" s="31" t="n">
        <x:f>IFERROR(VLOOKUP($E124,'02_怪物模板_好读版'!$A:$Z,11,FALSE),0)</x:f>
        <x:v>6</x:v>
      </x:c>
      <x:c r="M124" s="31" t="n">
        <x:f>IFERROR(VLOOKUP($E124,'02_怪物模板_好读版'!$A:$Z,12,FALSE),0)</x:f>
        <x:v>2</x:v>
      </x:c>
      <x:c r="N124" s="29" t="n">
        <x:v>1</x:v>
      </x:c>
      <x:c r="O124" s="29" t="str">
        <x:v>mid_cluster</x:v>
      </x:c>
      <x:c r="P124" s="31" t="n">
        <x:f>IFERROR((I124+J124*3+K124*2+L124+M124*5)*N124,0)</x:f>
        <x:v>57</x:v>
      </x:c>
      <x:c r="Q124" s="29" t="str">
        <x:v>最终日预热，要求玩家边控边收尾。 要求玩家把击杀节奏算清楚，避免重生后重新卡线。</x:v>
      </x:c>
      <x:c r="R124" s="29" t="str">
        <x:v>城堡-4 / 资源-3 / 经济x0.72</x:v>
      </x:c>
      <x:c r="S124" s="29" t="str">
        <x:v>5回合内高奖；6-10回合每回合-9%；10回合失败</x:v>
      </x:c>
      <x:c r="T124" s="29" t="str"/>
    </x:row>
    <x:row r="125" ht="22" customHeight="1">
      <x:c r="A125" s="29" t="str">
        <x:v>wave_d10_morning</x:v>
      </x:c>
      <x:c r="B125" s="29" t="n">
        <x:v>10</x:v>
      </x:c>
      <x:c r="C125" s="29" t="str">
        <x:v>上午</x:v>
      </x:c>
      <x:c r="D125" s="29" t="n">
        <x:v>5</x:v>
      </x:c>
      <x:c r="E125" s="29" t="str">
        <x:v>pal_073</x:v>
      </x:c>
      <x:c r="F125" s="31" t="str">
        <x:f>IFERROR(VLOOKUP($E125,'02_怪物模板_好读版'!$A:$Z,2,FALSE),"")</x:f>
        <x:v>烽歌龙</x:v>
      </x:c>
      <x:c r="G125" s="31" t="str">
        <x:f>IFERROR(VLOOKUP($E125,'02_怪物模板_好读版'!$A:$Z,3,FALSE),"")</x:f>
        <x:v>火</x:v>
      </x:c>
      <x:c r="H125" s="31" t="str">
        <x:f>IFERROR(VLOOKUP($E125,'02_怪物模板_好读版'!$A:$Z,7,FALSE),"")</x:f>
        <x:v>城堡怪</x:v>
      </x:c>
      <x:c r="I125" s="31" t="n">
        <x:f>IFERROR(VLOOKUP($E125,'02_怪物模板_好读版'!$A:$Z,8,FALSE),0)</x:f>
        <x:v>30</x:v>
      </x:c>
      <x:c r="J125" s="31" t="n">
        <x:f>IFERROR(VLOOKUP($E125,'02_怪物模板_好读版'!$A:$Z,9,FALSE),0)</x:f>
        <x:v>4</x:v>
      </x:c>
      <x:c r="K125" s="31" t="n">
        <x:f>IFERROR(VLOOKUP($E125,'02_怪物模板_好读版'!$A:$Z,10,FALSE),0)</x:f>
        <x:v>0</x:v>
      </x:c>
      <x:c r="L125" s="31" t="n">
        <x:f>IFERROR(VLOOKUP($E125,'02_怪物模板_好读版'!$A:$Z,11,FALSE),0)</x:f>
        <x:v>0</x:v>
      </x:c>
      <x:c r="M125" s="31" t="n">
        <x:f>IFERROR(VLOOKUP($E125,'02_怪物模板_好读版'!$A:$Z,12,FALSE),0)</x:f>
        <x:v>3</x:v>
      </x:c>
      <x:c r="N125" s="29" t="n">
        <x:v>1</x:v>
      </x:c>
      <x:c r="O125" s="29" t="str">
        <x:v>front_cluster</x:v>
      </x:c>
      <x:c r="P125" s="31" t="n">
        <x:f>IFERROR((I125+J125*3+K125*2+L125+M125*5)*N125,0)</x:f>
        <x:v>57</x:v>
      </x:c>
      <x:c r="Q125" s="29" t="str">
        <x:v>最终日预热，要求玩家边控边收尾。 把“拖着清”的代价抬高到不可忽视。</x:v>
      </x:c>
      <x:c r="R125" s="29" t="str">
        <x:v>城堡-4 / 资源-3 / 经济x0.72</x:v>
      </x:c>
      <x:c r="S125" s="29" t="str">
        <x:v>5回合内高奖；6-10回合每回合-9%；10回合失败</x:v>
      </x:c>
      <x:c r="T125" s="29" t="str"/>
    </x:row>
    <x:row r="126" ht="22" customHeight="1">
      <x:c r="A126" s="29" t="str">
        <x:v>wave_d10_afternoon</x:v>
      </x:c>
      <x:c r="B126" s="29" t="n">
        <x:v>10</x:v>
      </x:c>
      <x:c r="C126" s="29" t="str">
        <x:v>下午</x:v>
      </x:c>
      <x:c r="D126" s="29" t="n">
        <x:v>1</x:v>
      </x:c>
      <x:c r="E126" s="29" t="str">
        <x:v>pal_026</x:v>
      </x:c>
      <x:c r="F126" s="31" t="str">
        <x:f>IFERROR(VLOOKUP($E126,'02_怪物模板_好读版'!$A:$Z,2,FALSE),"")</x:f>
        <x:v>猎狼</x:v>
      </x:c>
      <x:c r="G126" s="31" t="str">
        <x:f>IFERROR(VLOOKUP($E126,'02_怪物模板_好读版'!$A:$Z,3,FALSE),"")</x:f>
        <x:v>风</x:v>
      </x:c>
      <x:c r="H126" s="31" t="str">
        <x:f>IFERROR(VLOOKUP($E126,'02_怪物模板_好读版'!$A:$Z,7,FALSE),"")</x:f>
        <x:v>偷奖励怪</x:v>
      </x:c>
      <x:c r="I126" s="31" t="n">
        <x:f>IFERROR(VLOOKUP($E126,'02_怪物模板_好读版'!$A:$Z,8,FALSE),0)</x:f>
        <x:v>20</x:v>
      </x:c>
      <x:c r="J126" s="31" t="n">
        <x:f>IFERROR(VLOOKUP($E126,'02_怪物模板_好读版'!$A:$Z,9,FALSE),0)</x:f>
        <x:v>3</x:v>
      </x:c>
      <x:c r="K126" s="31" t="n">
        <x:f>IFERROR(VLOOKUP($E126,'02_怪物模板_好读版'!$A:$Z,10,FALSE),0)</x:f>
        <x:v>0</x:v>
      </x:c>
      <x:c r="L126" s="31" t="n">
        <x:f>IFERROR(VLOOKUP($E126,'02_怪物模板_好读版'!$A:$Z,11,FALSE),0)</x:f>
        <x:v>6</x:v>
      </x:c>
      <x:c r="M126" s="31" t="n">
        <x:f>IFERROR(VLOOKUP($E126,'02_怪物模板_好读版'!$A:$Z,12,FALSE),0)</x:f>
        <x:v>4</x:v>
      </x:c>
      <x:c r="N126" s="29" t="n">
        <x:v>1</x:v>
      </x:c>
      <x:c r="O126" s="29" t="str">
        <x:v>back_corner</x:v>
      </x:c>
      <x:c r="P126" s="31" t="n">
        <x:f>IFERROR((I126+J126*3+K126*2+L126+M126*5)*N126,0)</x:f>
        <x:v>55</x:v>
      </x:c>
      <x:c r="Q126" s="29" t="str">
        <x:v>最终压力场，完整测试 5 回合高奖 / 10 回合失败逻辑。 把奖励题升级成真正的阵容完整性检查。</x:v>
      </x:c>
      <x:c r="R126" s="29" t="str">
        <x:v>城堡-5 / 资源-3 / 经济x0.69</x:v>
      </x:c>
      <x:c r="S126" s="29" t="str">
        <x:v>该怪存活每回合额外掉奖；5回合内高奖；6-10回合每回合-10%；10回合失败</x:v>
      </x:c>
      <x:c r="T126" s="29" t="str"/>
    </x:row>
    <x:row r="127" ht="22" customHeight="1">
      <x:c r="A127" s="29" t="str">
        <x:v>wave_d10_afternoon</x:v>
      </x:c>
      <x:c r="B127" s="29" t="n">
        <x:v>10</x:v>
      </x:c>
      <x:c r="C127" s="29" t="str">
        <x:v>下午</x:v>
      </x:c>
      <x:c r="D127" s="29" t="n">
        <x:v>2</x:v>
      </x:c>
      <x:c r="E127" s="29" t="str">
        <x:v>pal_101</x:v>
      </x:c>
      <x:c r="F127" s="31" t="str">
        <x:f>IFERROR(VLOOKUP($E127,'02_怪物模板_好读版'!$A:$Z,2,FALSE),"")</x:f>
        <x:v>雪猛犸</x:v>
      </x:c>
      <x:c r="G127" s="31" t="str">
        <x:f>IFERROR(VLOOKUP($E127,'02_怪物模板_好读版'!$A:$Z,3,FALSE),"")</x:f>
        <x:v>水</x:v>
      </x:c>
      <x:c r="H127" s="31" t="str">
        <x:f>IFERROR(VLOOKUP($E127,'02_怪物模板_好读版'!$A:$Z,7,FALSE),"")</x:f>
        <x:v>精英怪</x:v>
      </x:c>
      <x:c r="I127" s="31" t="n">
        <x:f>IFERROR(VLOOKUP($E127,'02_怪物模板_好读版'!$A:$Z,8,FALSE),0)</x:f>
        <x:v>35</x:v>
      </x:c>
      <x:c r="J127" s="31" t="n">
        <x:f>IFERROR(VLOOKUP($E127,'02_怪物模板_好读版'!$A:$Z,9,FALSE),0)</x:f>
        <x:v>4</x:v>
      </x:c>
      <x:c r="K127" s="31" t="n">
        <x:f>IFERROR(VLOOKUP($E127,'02_怪物模板_好读版'!$A:$Z,10,FALSE),0)</x:f>
        <x:v>0</x:v>
      </x:c>
      <x:c r="L127" s="31" t="n">
        <x:f>IFERROR(VLOOKUP($E127,'02_怪物模板_好读版'!$A:$Z,11,FALSE),0)</x:f>
        <x:v>15</x:v>
      </x:c>
      <x:c r="M127" s="31" t="n">
        <x:f>IFERROR(VLOOKUP($E127,'02_怪物模板_好读版'!$A:$Z,12,FALSE),0)</x:f>
        <x:v>4</x:v>
      </x:c>
      <x:c r="N127" s="29" t="n">
        <x:v>1</x:v>
      </x:c>
      <x:c r="O127" s="29" t="str">
        <x:v>escort_backline</x:v>
      </x:c>
      <x:c r="P127" s="31" t="n">
        <x:f>IFERROR((I127+J127*3+K127*2+L127+M127*5)*N127,0)</x:f>
        <x:v>82</x:v>
      </x:c>
      <x:c r="Q127" s="29" t="str">
        <x:v>最终压力场，完整测试 5 回合高奖 / 10 回合失败逻辑。 逼玩家拿出真正意义上的强杀方案。</x:v>
      </x:c>
      <x:c r="R127" s="29" t="str">
        <x:v>城堡-5 / 资源-3 / 经济x0.69</x:v>
      </x:c>
      <x:c r="S127" s="29" t="str">
        <x:v>5回合内高奖；6-10回合每回合-10%；10回合失败</x:v>
      </x:c>
      <x:c r="T127" s="29" t="str"/>
    </x:row>
    <x:row r="128" ht="22" customHeight="1">
      <x:c r="A128" s="29" t="str">
        <x:v>wave_d10_afternoon</x:v>
      </x:c>
      <x:c r="B128" s="29" t="n">
        <x:v>10</x:v>
      </x:c>
      <x:c r="C128" s="29" t="str">
        <x:v>下午</x:v>
      </x:c>
      <x:c r="D128" s="29" t="n">
        <x:v>2</x:v>
      </x:c>
      <x:c r="E128" s="29" t="str">
        <x:v>pal_091</x:v>
      </x:c>
      <x:c r="F128" s="31" t="str">
        <x:f>IFERROR(VLOOKUP($E128,'02_怪物模板_好读版'!$A:$Z,2,FALSE),"")</x:f>
        <x:v>佩克龙</x:v>
      </x:c>
      <x:c r="G128" s="31" t="str">
        <x:f>IFERROR(VLOOKUP($E128,'02_怪物模板_好读版'!$A:$Z,3,FALSE),"")</x:f>
        <x:v>水</x:v>
      </x:c>
      <x:c r="H128" s="31" t="str">
        <x:f>IFERROR(VLOOKUP($E128,'02_怪物模板_好读版'!$A:$Z,7,FALSE),"")</x:f>
        <x:v>肉盾</x:v>
      </x:c>
      <x:c r="I128" s="31" t="n">
        <x:f>IFERROR(VLOOKUP($E128,'02_怪物模板_好读版'!$A:$Z,8,FALSE),0)</x:f>
        <x:v>35</x:v>
      </x:c>
      <x:c r="J128" s="31" t="n">
        <x:f>IFERROR(VLOOKUP($E128,'02_怪物模板_好读版'!$A:$Z,9,FALSE),0)</x:f>
        <x:v>2</x:v>
      </x:c>
      <x:c r="K128" s="31" t="n">
        <x:f>IFERROR(VLOOKUP($E128,'02_怪物模板_好读版'!$A:$Z,10,FALSE),0)</x:f>
        <x:v>0</x:v>
      </x:c>
      <x:c r="L128" s="31" t="n">
        <x:f>IFERROR(VLOOKUP($E128,'02_怪物模板_好读版'!$A:$Z,11,FALSE),0)</x:f>
        <x:v>6</x:v>
      </x:c>
      <x:c r="M128" s="31" t="n">
        <x:f>IFERROR(VLOOKUP($E128,'02_怪物模板_好读版'!$A:$Z,12,FALSE),0)</x:f>
        <x:v>2</x:v>
      </x:c>
      <x:c r="N128" s="29" t="n">
        <x:v>1</x:v>
      </x:c>
      <x:c r="O128" s="29" t="str">
        <x:v>front_cluster</x:v>
      </x:c>
      <x:c r="P128" s="31" t="n">
        <x:f>IFERROR((I128+J128*3+K128*2+L128+M128*5)*N128,0)</x:f>
        <x:v>57</x:v>
      </x:c>
      <x:c r="Q128" s="29" t="str">
        <x:v>最终压力场，完整测试 5 回合高奖 / 10 回合失败逻辑。 要求玩家把击杀节奏算清楚，避免重生后重新卡线。</x:v>
      </x:c>
      <x:c r="R128" s="29" t="str">
        <x:v>城堡-5 / 资源-3 / 经济x0.69</x:v>
      </x:c>
      <x:c r="S128" s="29" t="str">
        <x:v>5回合内高奖；6-10回合每回合-10%；10回合失败</x:v>
      </x:c>
      <x:c r="T128" s="29" t="str"/>
    </x:row>
    <x:row r="129" ht="22" customHeight="1">
      <x:c r="A129" s="29" t="str">
        <x:v>wave_d10_afternoon</x:v>
      </x:c>
      <x:c r="B129" s="29" t="n">
        <x:v>10</x:v>
      </x:c>
      <x:c r="C129" s="29" t="str">
        <x:v>下午</x:v>
      </x:c>
      <x:c r="D129" s="29" t="n">
        <x:v>2</x:v>
      </x:c>
      <x:c r="E129" s="29" t="str">
        <x:v>pal_003</x:v>
      </x:c>
      <x:c r="F129" s="31" t="str">
        <x:f>IFERROR(VLOOKUP($E129,'02_怪物模板_好读版'!$A:$Z,2,FALSE),"")</x:f>
        <x:v>皮皮鸡</x:v>
      </x:c>
      <x:c r="G129" s="31" t="str">
        <x:f>IFERROR(VLOOKUP($E129,'02_怪物模板_好读版'!$A:$Z,3,FALSE),"")</x:f>
        <x:v>风</x:v>
      </x:c>
      <x:c r="H129" s="31" t="str">
        <x:f>IFERROR(VLOOKUP($E129,'02_怪物模板_好读版'!$A:$Z,7,FALSE),"")</x:f>
        <x:v>小怪</x:v>
      </x:c>
      <x:c r="I129" s="31" t="n">
        <x:f>IFERROR(VLOOKUP($E129,'02_怪物模板_好读版'!$A:$Z,8,FALSE),0)</x:f>
        <x:v>10</x:v>
      </x:c>
      <x:c r="J129" s="31" t="n">
        <x:f>IFERROR(VLOOKUP($E129,'02_怪物模板_好读版'!$A:$Z,9,FALSE),0)</x:f>
        <x:v>3</x:v>
      </x:c>
      <x:c r="K129" s="31" t="n">
        <x:f>IFERROR(VLOOKUP($E129,'02_怪物模板_好读版'!$A:$Z,10,FALSE),0)</x:f>
        <x:v>0</x:v>
      </x:c>
      <x:c r="L129" s="31" t="n">
        <x:f>IFERROR(VLOOKUP($E129,'02_怪物模板_好读版'!$A:$Z,11,FALSE),0)</x:f>
        <x:v>0</x:v>
      </x:c>
      <x:c r="M129" s="31" t="n">
        <x:f>IFERROR(VLOOKUP($E129,'02_怪物模板_好读版'!$A:$Z,12,FALSE),0)</x:f>
        <x:v>3</x:v>
      </x:c>
      <x:c r="N129" s="29" t="n">
        <x:v>1</x:v>
      </x:c>
      <x:c r="O129" s="29" t="str">
        <x:v>front_split</x:v>
      </x:c>
      <x:c r="P129" s="31" t="n">
        <x:f>IFERROR((I129+J129*3+K129*2+L129+M129*5)*N129,0)</x:f>
        <x:v>34</x:v>
      </x:c>
      <x:c r="Q129" s="29" t="str">
        <x:v>最终压力场，完整测试 5 回合高奖 / 10 回合失败逻辑。 把本来可以拖的杂兵变成必须先收的扰动源。</x:v>
      </x:c>
      <x:c r="R129" s="29" t="str">
        <x:v>城堡-5 / 资源-3 / 经济x0.69</x:v>
      </x:c>
      <x:c r="S129" s="29" t="str">
        <x:v>5回合内高奖；6-10回合每回合-10%；10回合失败</x:v>
      </x:c>
      <x:c r="T129" s="29" t="str"/>
    </x:row>
    <x:row r="130" ht="22" customHeight="1">
      <x:c r="A130" s="29" t="str">
        <x:v>wave_d10_afternoon</x:v>
      </x:c>
      <x:c r="B130" s="29" t="n">
        <x:v>10</x:v>
      </x:c>
      <x:c r="C130" s="29" t="str">
        <x:v>下午</x:v>
      </x:c>
      <x:c r="D130" s="29" t="n">
        <x:v>3</x:v>
      </x:c>
      <x:c r="E130" s="29" t="str">
        <x:v>pal_110</x:v>
      </x:c>
      <x:c r="F130" s="31" t="str">
        <x:f>IFERROR(VLOOKUP($E130,'02_怪物模板_好读版'!$A:$Z,2,FALSE),"")</x:f>
        <x:v>魔渊龙</x:v>
      </x:c>
      <x:c r="G130" s="31" t="str">
        <x:f>IFERROR(VLOOKUP($E130,'02_怪物模板_好读版'!$A:$Z,3,FALSE),"")</x:f>
        <x:v>土</x:v>
      </x:c>
      <x:c r="H130" s="31" t="str">
        <x:f>IFERROR(VLOOKUP($E130,'02_怪物模板_好读版'!$A:$Z,7,FALSE),"")</x:f>
        <x:v>精英怪</x:v>
      </x:c>
      <x:c r="I130" s="31" t="n">
        <x:f>IFERROR(VLOOKUP($E130,'02_怪物模板_好读版'!$A:$Z,8,FALSE),0)</x:f>
        <x:v>50</x:v>
      </x:c>
      <x:c r="J130" s="31" t="n">
        <x:f>IFERROR(VLOOKUP($E130,'02_怪物模板_好读版'!$A:$Z,9,FALSE),0)</x:f>
        <x:v>4</x:v>
      </x:c>
      <x:c r="K130" s="31" t="n">
        <x:f>IFERROR(VLOOKUP($E130,'02_怪物模板_好读版'!$A:$Z,10,FALSE),0)</x:f>
        <x:v>6</x:v>
      </x:c>
      <x:c r="L130" s="31" t="n">
        <x:f>IFERROR(VLOOKUP($E130,'02_怪物模板_好读版'!$A:$Z,11,FALSE),0)</x:f>
        <x:v>6</x:v>
      </x:c>
      <x:c r="M130" s="31" t="n">
        <x:f>IFERROR(VLOOKUP($E130,'02_怪物模板_好读版'!$A:$Z,12,FALSE),0)</x:f>
        <x:v>4</x:v>
      </x:c>
      <x:c r="N130" s="29" t="n">
        <x:v>1</x:v>
      </x:c>
      <x:c r="O130" s="29" t="str">
        <x:v>front_cluster</x:v>
      </x:c>
      <x:c r="P130" s="31" t="n">
        <x:f>IFERROR((I130+J130*3+K130*2+L130+M130*5)*N130,0)</x:f>
        <x:v>100</x:v>
      </x:c>
      <x:c r="Q130" s="29" t="str">
        <x:v>最终压力场，完整测试 5 回合高奖 / 10 回合失败逻辑。 让玩家感知真正的后期门槛题。</x:v>
      </x:c>
      <x:c r="R130" s="29" t="str">
        <x:v>城堡-5 / 资源-3 / 经济x0.69</x:v>
      </x:c>
      <x:c r="S130" s="29" t="str">
        <x:v>5回合内高奖；6-10回合每回合-10%；10回合失败</x:v>
      </x:c>
      <x:c r="T130" s="29" t="str"/>
    </x:row>
    <x:row r="131" ht="22" customHeight="1">
      <x:c r="A131" s="29" t="str">
        <x:v>wave_d10_afternoon</x:v>
      </x:c>
      <x:c r="B131" s="29" t="n">
        <x:v>10</x:v>
      </x:c>
      <x:c r="C131" s="29" t="str">
        <x:v>下午</x:v>
      </x:c>
      <x:c r="D131" s="29" t="n">
        <x:v>3</x:v>
      </x:c>
      <x:c r="E131" s="29" t="str">
        <x:v>pal_097</x:v>
      </x:c>
      <x:c r="F131" s="31" t="str">
        <x:f>IFERROR(VLOOKUP($E131,'02_怪物模板_好读版'!$A:$Z,2,FALSE),"")</x:f>
        <x:v>寒霜兽</x:v>
      </x:c>
      <x:c r="G131" s="31" t="str">
        <x:f>IFERROR(VLOOKUP($E131,'02_怪物模板_好读版'!$A:$Z,3,FALSE),"")</x:f>
        <x:v>水</x:v>
      </x:c>
      <x:c r="H131" s="31" t="str">
        <x:f>IFERROR(VLOOKUP($E131,'02_怪物模板_好读版'!$A:$Z,7,FALSE),"")</x:f>
        <x:v>限伤怪</x:v>
      </x:c>
      <x:c r="I131" s="31" t="n">
        <x:f>IFERROR(VLOOKUP($E131,'02_怪物模板_好读版'!$A:$Z,8,FALSE),0)</x:f>
        <x:v>40</x:v>
      </x:c>
      <x:c r="J131" s="31" t="n">
        <x:f>IFERROR(VLOOKUP($E131,'02_怪物模板_好读版'!$A:$Z,9,FALSE),0)</x:f>
        <x:v>3</x:v>
      </x:c>
      <x:c r="K131" s="31" t="n">
        <x:f>IFERROR(VLOOKUP($E131,'02_怪物模板_好读版'!$A:$Z,10,FALSE),0)</x:f>
        <x:v>0</x:v>
      </x:c>
      <x:c r="L131" s="31" t="n">
        <x:f>IFERROR(VLOOKUP($E131,'02_怪物模板_好读版'!$A:$Z,11,FALSE),0)</x:f>
        <x:v>6</x:v>
      </x:c>
      <x:c r="M131" s="31" t="n">
        <x:f>IFERROR(VLOOKUP($E131,'02_怪物模板_好读版'!$A:$Z,12,FALSE),0)</x:f>
        <x:v>3</x:v>
      </x:c>
      <x:c r="N131" s="29" t="n">
        <x:v>1</x:v>
      </x:c>
      <x:c r="O131" s="29" t="str">
        <x:v>mid_cluster</x:v>
      </x:c>
      <x:c r="P131" s="31" t="n">
        <x:f>IFERROR((I131+J131*3+K131*2+L131+M131*5)*N131,0)</x:f>
        <x:v>70</x:v>
      </x:c>
      <x:c r="Q131" s="29" t="str">
        <x:v>最终压力场，完整测试 5 回合高奖 / 10 回合失败逻辑。 把战斗从爆发检查扩展到持续处理能力检查。</x:v>
      </x:c>
      <x:c r="R131" s="29" t="str">
        <x:v>城堡-5 / 资源-3 / 经济x0.69</x:v>
      </x:c>
      <x:c r="S131" s="29" t="str">
        <x:v>5回合内高奖；6-10回合每回合-10%；10回合失败</x:v>
      </x:c>
      <x:c r="T131" s="29" t="str"/>
    </x:row>
    <x:row r="132" ht="22" customHeight="1">
      <x:c r="A132" s="29" t="str">
        <x:v>wave_d10_afternoon</x:v>
      </x:c>
      <x:c r="B132" s="29" t="n">
        <x:v>10</x:v>
      </x:c>
      <x:c r="C132" s="29" t="str">
        <x:v>下午</x:v>
      </x:c>
      <x:c r="D132" s="29" t="n">
        <x:v>4</x:v>
      </x:c>
      <x:c r="E132" s="29" t="str">
        <x:v>pal_124</x:v>
      </x:c>
      <x:c r="F132" s="31" t="str">
        <x:f>IFERROR(VLOOKUP($E132,'02_怪物模板_好读版'!$A:$Z,2,FALSE),"")</x:f>
        <x:v>混沌骑士</x:v>
      </x:c>
      <x:c r="G132" s="31" t="str">
        <x:f>IFERROR(VLOOKUP($E132,'02_怪物模板_好读版'!$A:$Z,3,FALSE),"")</x:f>
        <x:v>土</x:v>
      </x:c>
      <x:c r="H132" s="31" t="str">
        <x:f>IFERROR(VLOOKUP($E132,'02_怪物模板_好读版'!$A:$Z,7,FALSE),"")</x:f>
        <x:v>Boss</x:v>
      </x:c>
      <x:c r="I132" s="31" t="n">
        <x:f>IFERROR(VLOOKUP($E132,'02_怪物模板_好读版'!$A:$Z,8,FALSE),0)</x:f>
        <x:v>60</x:v>
      </x:c>
      <x:c r="J132" s="31" t="n">
        <x:f>IFERROR(VLOOKUP($E132,'02_怪物模板_好读版'!$A:$Z,9,FALSE),0)</x:f>
        <x:v>5</x:v>
      </x:c>
      <x:c r="K132" s="31" t="n">
        <x:f>IFERROR(VLOOKUP($E132,'02_怪物模板_好读版'!$A:$Z,10,FALSE),0)</x:f>
        <x:v>6</x:v>
      </x:c>
      <x:c r="L132" s="31" t="n">
        <x:f>IFERROR(VLOOKUP($E132,'02_怪物模板_好读版'!$A:$Z,11,FALSE),0)</x:f>
        <x:v>15</x:v>
      </x:c>
      <x:c r="M132" s="31" t="n">
        <x:f>IFERROR(VLOOKUP($E132,'02_怪物模板_好读版'!$A:$Z,12,FALSE),0)</x:f>
        <x:v>5</x:v>
      </x:c>
      <x:c r="N132" s="29" t="n">
        <x:v>1</x:v>
      </x:c>
      <x:c r="O132" s="29" t="str">
        <x:v>boss_anchor</x:v>
      </x:c>
      <x:c r="P132" s="31" t="n">
        <x:f>IFERROR((I132+J132*3+K132*2+L132+M132*5)*N132,0)</x:f>
        <x:v>127</x:v>
      </x:c>
      <x:c r="Q132" s="29" t="str">
        <x:v>最终压力场，完整测试 5 回合高奖 / 10 回合失败逻辑。 在后期把玩家全部解题工具都拉出来检查一遍。</x:v>
      </x:c>
      <x:c r="R132" s="29" t="str">
        <x:v>城堡-5 / 资源-3 / 经济x0.69</x:v>
      </x:c>
      <x:c r="S132" s="29" t="str">
        <x:v>5回合内高奖；6-10回合每回合-10%；10回合失败</x:v>
      </x:c>
      <x:c r="T132" s="29" t="str"/>
    </x:row>
    <x:row r="133" ht="22" customHeight="1">
      <x:c r="A133" s="29" t="str">
        <x:v>wave_d10_afternoon</x:v>
      </x:c>
      <x:c r="B133" s="29" t="n">
        <x:v>10</x:v>
      </x:c>
      <x:c r="C133" s="29" t="str">
        <x:v>下午</x:v>
      </x:c>
      <x:c r="D133" s="29" t="n">
        <x:v>4</x:v>
      </x:c>
      <x:c r="E133" s="29" t="str">
        <x:v>pal_106</x:v>
      </x:c>
      <x:c r="F133" s="31" t="str">
        <x:f>IFERROR(VLOOKUP($E133,'02_怪物模板_好读版'!$A:$Z,2,FALSE),"")</x:f>
        <x:v>夜幕魔蝠</x:v>
      </x:c>
      <x:c r="G133" s="31" t="str">
        <x:f>IFERROR(VLOOKUP($E133,'02_怪物模板_好读版'!$A:$Z,3,FALSE),"")</x:f>
        <x:v>土</x:v>
      </x:c>
      <x:c r="H133" s="31" t="str">
        <x:f>IFERROR(VLOOKUP($E133,'02_怪物模板_好读版'!$A:$Z,7,FALSE),"")</x:f>
        <x:v>召唤怪</x:v>
      </x:c>
      <x:c r="I133" s="31" t="n">
        <x:f>IFERROR(VLOOKUP($E133,'02_怪物模板_好读版'!$A:$Z,8,FALSE),0)</x:f>
        <x:v>35</x:v>
      </x:c>
      <x:c r="J133" s="31" t="n">
        <x:f>IFERROR(VLOOKUP($E133,'02_怪物模板_好读版'!$A:$Z,9,FALSE),0)</x:f>
        <x:v>3</x:v>
      </x:c>
      <x:c r="K133" s="31" t="n">
        <x:f>IFERROR(VLOOKUP($E133,'02_怪物模板_好读版'!$A:$Z,10,FALSE),0)</x:f>
        <x:v>0</x:v>
      </x:c>
      <x:c r="L133" s="31" t="n">
        <x:f>IFERROR(VLOOKUP($E133,'02_怪物模板_好读版'!$A:$Z,11,FALSE),0)</x:f>
        <x:v>6</x:v>
      </x:c>
      <x:c r="M133" s="31" t="n">
        <x:f>IFERROR(VLOOKUP($E133,'02_怪物模板_好读版'!$A:$Z,12,FALSE),0)</x:f>
        <x:v>3</x:v>
      </x:c>
      <x:c r="N133" s="29" t="n">
        <x:v>1</x:v>
      </x:c>
      <x:c r="O133" s="29" t="str">
        <x:v>escort_backline</x:v>
      </x:c>
      <x:c r="P133" s="31" t="n">
        <x:f>IFERROR((I133+J133*3+K133*2+L133+M133*5)*N133,0)</x:f>
        <x:v>65</x:v>
      </x:c>
      <x:c r="Q133" s="29" t="str">
        <x:v>最终压力场，完整测试 5 回合高奖 / 10 回合失败逻辑。 把召唤题抬到后期门槛难度。</x:v>
      </x:c>
      <x:c r="R133" s="29" t="str">
        <x:v>城堡-5 / 资源-3 / 经济x0.69</x:v>
      </x:c>
      <x:c r="S133" s="29" t="str">
        <x:v>5回合内高奖；6-10回合每回合-10%；10回合失败</x:v>
      </x:c>
      <x:c r="T133" s="29" t="str"/>
    </x:row>
    <x:row r="134" ht="22" customHeight="1">
      <x:c r="A134" s="29" t="str">
        <x:v>wave_d10_afternoon</x:v>
      </x:c>
      <x:c r="B134" s="29" t="n">
        <x:v>10</x:v>
      </x:c>
      <x:c r="C134" s="29" t="str">
        <x:v>下午</x:v>
      </x:c>
      <x:c r="D134" s="29" t="n">
        <x:v>5</x:v>
      </x:c>
      <x:c r="E134" s="29" t="str">
        <x:v>pal_090</x:v>
      </x:c>
      <x:c r="F134" s="31" t="str">
        <x:f>IFERROR(VLOOKUP($E134,'02_怪物模板_好读版'!$A:$Z,2,FALSE),"")</x:f>
        <x:v>狱阎王</x:v>
      </x:c>
      <x:c r="G134" s="31" t="str">
        <x:f>IFERROR(VLOOKUP($E134,'02_怪物模板_好读版'!$A:$Z,3,FALSE),"")</x:f>
        <x:v>火</x:v>
      </x:c>
      <x:c r="H134" s="31" t="str">
        <x:f>IFERROR(VLOOKUP($E134,'02_怪物模板_好读版'!$A:$Z,7,FALSE),"")</x:f>
        <x:v>Boss</x:v>
      </x:c>
      <x:c r="I134" s="31" t="n">
        <x:f>IFERROR(VLOOKUP($E134,'02_怪物模板_好读版'!$A:$Z,8,FALSE),0)</x:f>
        <x:v>70</x:v>
      </x:c>
      <x:c r="J134" s="31" t="n">
        <x:f>IFERROR(VLOOKUP($E134,'02_怪物模板_好读版'!$A:$Z,9,FALSE),0)</x:f>
        <x:v>5</x:v>
      </x:c>
      <x:c r="K134" s="31" t="n">
        <x:f>IFERROR(VLOOKUP($E134,'02_怪物模板_好读版'!$A:$Z,10,FALSE),0)</x:f>
        <x:v>10</x:v>
      </x:c>
      <x:c r="L134" s="31" t="n">
        <x:f>IFERROR(VLOOKUP($E134,'02_怪物模板_好读版'!$A:$Z,11,FALSE),0)</x:f>
        <x:v>10</x:v>
      </x:c>
      <x:c r="M134" s="31" t="n">
        <x:f>IFERROR(VLOOKUP($E134,'02_怪物模板_好读版'!$A:$Z,12,FALSE),0)</x:f>
        <x:v>5</x:v>
      </x:c>
      <x:c r="N134" s="29" t="n">
        <x:v>1</x:v>
      </x:c>
      <x:c r="O134" s="29" t="str">
        <x:v>boss_anchor</x:v>
      </x:c>
      <x:c r="P134" s="31" t="n">
        <x:f>IFERROR((I134+J134*3+K134*2+L134+M134*5)*N134,0)</x:f>
        <x:v>140</x:v>
      </x:c>
      <x:c r="Q134" s="29" t="str">
        <x:v>最终压力场，完整测试 5 回合高奖 / 10 回合失败逻辑。 完整测试 10 回合失败前的残局处理能力。</x:v>
      </x:c>
      <x:c r="R134" s="29" t="str">
        <x:v>城堡-5 / 资源-3 / 经济x0.69</x:v>
      </x:c>
      <x:c r="S134" s="29" t="str">
        <x:v>5回合内高奖；6-10回合每回合-10%；10回合失败</x:v>
      </x:c>
      <x:c r="T134" s="29" t="str"/>
    </x:row>
    <x:row r="135" ht="22" customHeight="1">
      <x:c r="A135" s="29" t="str">
        <x:v>wave_d10_afternoon</x:v>
      </x:c>
      <x:c r="B135" s="29" t="n">
        <x:v>10</x:v>
      </x:c>
      <x:c r="C135" s="29" t="str">
        <x:v>下午</x:v>
      </x:c>
      <x:c r="D135" s="29" t="n">
        <x:v>5</x:v>
      </x:c>
      <x:c r="E135" s="29" t="str">
        <x:v>pal_073</x:v>
      </x:c>
      <x:c r="F135" s="31" t="str">
        <x:f>IFERROR(VLOOKUP($E135,'02_怪物模板_好读版'!$A:$Z,2,FALSE),"")</x:f>
        <x:v>烽歌龙</x:v>
      </x:c>
      <x:c r="G135" s="31" t="str">
        <x:f>IFERROR(VLOOKUP($E135,'02_怪物模板_好读版'!$A:$Z,3,FALSE),"")</x:f>
        <x:v>火</x:v>
      </x:c>
      <x:c r="H135" s="31" t="str">
        <x:f>IFERROR(VLOOKUP($E135,'02_怪物模板_好读版'!$A:$Z,7,FALSE),"")</x:f>
        <x:v>城堡怪</x:v>
      </x:c>
      <x:c r="I135" s="31" t="n">
        <x:f>IFERROR(VLOOKUP($E135,'02_怪物模板_好读版'!$A:$Z,8,FALSE),0)</x:f>
        <x:v>30</x:v>
      </x:c>
      <x:c r="J135" s="31" t="n">
        <x:f>IFERROR(VLOOKUP($E135,'02_怪物模板_好读版'!$A:$Z,9,FALSE),0)</x:f>
        <x:v>4</x:v>
      </x:c>
      <x:c r="K135" s="31" t="n">
        <x:f>IFERROR(VLOOKUP($E135,'02_怪物模板_好读版'!$A:$Z,10,FALSE),0)</x:f>
        <x:v>0</x:v>
      </x:c>
      <x:c r="L135" s="31" t="n">
        <x:f>IFERROR(VLOOKUP($E135,'02_怪物模板_好读版'!$A:$Z,11,FALSE),0)</x:f>
        <x:v>0</x:v>
      </x:c>
      <x:c r="M135" s="31" t="n">
        <x:f>IFERROR(VLOOKUP($E135,'02_怪物模板_好读版'!$A:$Z,12,FALSE),0)</x:f>
        <x:v>3</x:v>
      </x:c>
      <x:c r="N135" s="29" t="n">
        <x:v>1</x:v>
      </x:c>
      <x:c r="O135" s="29" t="str">
        <x:v>front_cluster</x:v>
      </x:c>
      <x:c r="P135" s="31" t="n">
        <x:f>IFERROR((I135+J135*3+K135*2+L135+M135*5)*N135,0)</x:f>
        <x:v>57</x:v>
      </x:c>
      <x:c r="Q135" s="29" t="str">
        <x:v>最终压力场，完整测试 5 回合高奖 / 10 回合失败逻辑。 把“拖着清”的代价抬高到不可忽视。</x:v>
      </x:c>
      <x:c r="R135" s="29" t="str">
        <x:v>城堡-5 / 资源-3 / 经济x0.69</x:v>
      </x:c>
      <x:c r="S135" s="29" t="str">
        <x:v>5回合内高奖；6-10回合每回合-10%；10回合失败</x:v>
      </x:c>
      <x:c r="T135" s="29" t="str"/>
    </x:row>
  </x:sheetData>
  <x:pageMargins left="0.7" right="0.7" top="0.75" bottom="0.75" header="0.3" footer="0.3"/>
  <x:tableParts count="1">
    <x:tablePart xmlns:r="http://schemas.openxmlformats.org/officeDocument/2006/relationships" r:id="R5aef0a8d6b3e46b2"/>
  </x:tableParts>
</x:worksheet>
</file>