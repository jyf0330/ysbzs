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7fb26fe3374b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14de6f5f1d34279"/>
    <x:sheet xmlns:r="http://schemas.openxmlformats.org/officeDocument/2006/relationships" name="PETS" sheetId="2" r:id="R35f97e586bd3438c"/>
    <x:sheet xmlns:r="http://schemas.openxmlformats.org/officeDocument/2006/relationships" name="SHOP_STORES" sheetId="3" r:id="R46cead60b4a84fac"/>
    <x:sheet xmlns:r="http://schemas.openxmlformats.org/officeDocument/2006/relationships" name="WAVES" sheetId="4" r:id="Rc5e08f685c894325"/>
    <x:sheet xmlns:r="http://schemas.openxmlformats.org/officeDocument/2006/relationships" name="SHOP_ITEMS" sheetId="5" r:id="R0c05b95ddadc4398"/>
    <x:sheet xmlns:r="http://schemas.openxmlformats.org/officeDocument/2006/relationships" name="MECHANICS_QUALITY" sheetId="6" r:id="R16d5d5eaffb94936"/>
    <x:sheet xmlns:r="http://schemas.openxmlformats.org/officeDocument/2006/relationships" name="SHAPES_TRIALS" sheetId="7" r:id="R3a25a7b4aa334772"/>
    <x:sheet xmlns:r="http://schemas.openxmlformats.org/officeDocument/2006/relationships" name="BAZAAR_OBJECTS" sheetId="8" r:id="Re41184352e494b1b"/>
    <x:sheet xmlns:r="http://schemas.openxmlformats.org/officeDocument/2006/relationships" name="SHOP_MAPPING" sheetId="9" r:id="R75057008a9a74111"/>
    <x:sheet xmlns:r="http://schemas.openxmlformats.org/officeDocument/2006/relationships" name="ENCHANTMENTS" sheetId="10" r:id="Rc342d30f3c3f4fb1"/>
    <x:sheet xmlns:r="http://schemas.openxmlformats.org/officeDocument/2006/relationships" name="PET_ENCHANTMENTS" sheetId="11" r:id="R7d4d0c67d31247d1"/>
    <x:sheet xmlns:r="http://schemas.openxmlformats.org/officeDocument/2006/relationships" name="AUDIT" sheetId="12" r:id="Rdd5943b8ec464148"/>
    <x:sheet xmlns:r="http://schemas.openxmlformats.org/officeDocument/2006/relationships" name="ATTRIBUTES_EFFECTS" sheetId="13" r:id="R23112cbb419243fa"/>
    <x:sheet xmlns:r="http://schemas.openxmlformats.org/officeDocument/2006/relationships" name="PET_STAT_RULES" sheetId="14" r:id="Ra0e8aa95ae154d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1">
    <x:font>
      <x:sz val="11"/>
      <x:color theme="1"/>
      <x:name val="Calibri"/>
    </x:font>
    <x:font>
      <x:b/>
      <x:color rgb="FFFFFFFF"/>
    </x:font>
    <x:font>
      <x:b/>
      <x:sz val="11"/>
      <x:color rgb="FFFFFFFF"/>
      <x:name val="Calibri"/>
    </x:font>
    <x:font>
      <x:sz val="10"/>
      <x:color rgb="FF1F2937"/>
      <x:name val="Calibri"/>
    </x:font>
    <x:font>
      <x:b/>
      <x:sz val="19"/>
      <x:color rgb="FFFFFFFF"/>
      <x:name val="Calibri"/>
    </x:font>
    <x:font>
      <x:i/>
      <x:sz val="11"/>
      <x:color rgb="FF1F2937"/>
      <x:name val="Calibri"/>
    </x:font>
    <x:font>
      <x:b/>
      <x:sz val="11"/>
      <x:color theme="1"/>
      <x:name val="Calibri"/>
    </x:font>
    <x:font>
      <x:b/>
      <x:sz val="11"/>
      <x:color rgb="FF17365D"/>
      <x:name val="Calibri"/>
    </x:font>
    <x:font>
      <x:b/>
      <x:sz val="10"/>
      <x:color rgb="FF1F2937"/>
      <x:name val="Calibri"/>
    </x:font>
    <x:font>
      <x:sz val="11"/>
      <x:color rgb="FF17365D"/>
      <x:name val="Calibri"/>
    </x:font>
    <x:font>
      <x:sz val="11"/>
      <x:color rgb="FF1F2937"/>
      <x:name val="Calibri"/>
    </x:font>
  </x:fonts>
  <x:fills count="9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7030A0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5F3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D9E5F3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4F7FA"/>
      </x:patternFill>
    </x:fill>
    <x:fill>
      <x:patternFill patternType="solid">
        <x:fgColor rgb="FFD8AE5D"/>
      </x:patternFill>
    </x:fill>
    <x:fill>
      <x:patternFill patternType="solid">
        <x:fgColor rgb="FF7030A0"/>
      </x:patternFill>
    </x:fill>
    <x:fill>
      <x:patternFill patternType="solid">
        <x:fgColor rgb="FFE8C5A0"/>
      </x:patternFill>
    </x:fill>
    <x:fill>
      <x:patternFill patternType="solid">
        <x:fgColor rgb="FFF6E4A8"/>
      </x:patternFill>
    </x:fill>
    <x:fill>
      <x:patternFill patternType="solid">
        <x:fgColor rgb="FFDCE3EA"/>
      </x:patternFill>
    </x:fill>
    <x:fill>
      <x:patternFill patternType="solid">
        <x:fgColor rgb="FFCDEBF1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4F7FA"/>
      </x:patternFill>
    </x:fill>
    <x:fill>
      <x:patternFill patternType="solid">
        <x:fgColor rgb="FFD8AE5D"/>
      </x:patternFill>
    </x:fill>
    <x:fill>
      <x:patternFill patternType="solid">
        <x:fgColor rgb="FF7030A0"/>
      </x:patternFill>
    </x:fill>
    <x:fill>
      <x:patternFill patternType="solid">
        <x:fgColor rgb="FFE8C5A0"/>
      </x:patternFill>
    </x:fill>
    <x:fill>
      <x:patternFill patternType="solid">
        <x:fgColor rgb="FFF6E4A8"/>
      </x:patternFill>
    </x:fill>
    <x:fill>
      <x:patternFill patternType="solid">
        <x:fgColor rgb="FFDCE3EA"/>
      </x:patternFill>
    </x:fill>
    <x:fill>
      <x:patternFill patternType="solid">
        <x:fgColor rgb="FFCDEBF1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4F7FA"/>
      </x:patternFill>
    </x:fill>
    <x:fill>
      <x:patternFill patternType="solid">
        <x:fgColor rgb="FFD8AE5D"/>
      </x:patternFill>
    </x:fill>
    <x:fill>
      <x:patternFill patternType="solid">
        <x:fgColor rgb="FF7030A0"/>
      </x:patternFill>
    </x:fill>
    <x:fill>
      <x:patternFill patternType="solid">
        <x:fgColor rgb="FFE8C5A0"/>
      </x:patternFill>
    </x:fill>
    <x:fill>
      <x:patternFill patternType="solid">
        <x:fgColor rgb="FFF6E4A8"/>
      </x:patternFill>
    </x:fill>
    <x:fill>
      <x:patternFill patternType="solid">
        <x:fgColor rgb="FFDCE3EA"/>
      </x:patternFill>
    </x:fill>
    <x:fill>
      <x:patternFill patternType="solid">
        <x:fgColor rgb="FFCDEBF1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4F7FA"/>
      </x:patternFill>
    </x:fill>
    <x:fill>
      <x:patternFill patternType="solid">
        <x:fgColor rgb="FFD8AE5D"/>
      </x:patternFill>
    </x:fill>
    <x:fill>
      <x:patternFill patternType="solid">
        <x:fgColor rgb="FF7030A0"/>
      </x:patternFill>
    </x:fill>
    <x:fill>
      <x:patternFill patternType="solid">
        <x:fgColor rgb="FFE8C5A0"/>
      </x:patternFill>
    </x:fill>
    <x:fill>
      <x:patternFill patternType="solid">
        <x:fgColor rgb="FFF6E4A8"/>
      </x:patternFill>
    </x:fill>
    <x:fill>
      <x:patternFill patternType="solid">
        <x:fgColor rgb="FFDCE3EA"/>
      </x:patternFill>
    </x:fill>
    <x:fill>
      <x:patternFill patternType="solid">
        <x:fgColor rgb="FFCDEBF1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4F7FA"/>
      </x:patternFill>
    </x:fill>
    <x:fill>
      <x:patternFill patternType="solid">
        <x:fgColor rgb="FFD8AE5D"/>
      </x:patternFill>
    </x:fill>
    <x:fill>
      <x:patternFill patternType="solid">
        <x:fgColor rgb="FF7030A0"/>
      </x:patternFill>
    </x:fill>
    <x:fill>
      <x:patternFill patternType="solid">
        <x:fgColor rgb="FFE8C5A0"/>
      </x:patternFill>
    </x:fill>
    <x:fill>
      <x:patternFill patternType="solid">
        <x:fgColor rgb="FFF6E4A8"/>
      </x:patternFill>
    </x:fill>
    <x:fill>
      <x:patternFill patternType="solid">
        <x:fgColor rgb="FFDCE3EA"/>
      </x:patternFill>
    </x:fill>
    <x:fill>
      <x:patternFill patternType="solid">
        <x:fgColor rgb="FFCDEBF1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4F7FA"/>
      </x:patternFill>
    </x:fill>
    <x:fill>
      <x:patternFill patternType="solid">
        <x:fgColor rgb="FFD8AE5D"/>
      </x:patternFill>
    </x:fill>
    <x:fill>
      <x:patternFill patternType="solid">
        <x:fgColor rgb="FF7030A0"/>
      </x:patternFill>
    </x:fill>
    <x:fill>
      <x:patternFill patternType="solid">
        <x:fgColor rgb="FFE8C5A0"/>
      </x:patternFill>
    </x:fill>
    <x:fill>
      <x:patternFill patternType="solid">
        <x:fgColor rgb="FFF6E4A8"/>
      </x:patternFill>
    </x:fill>
    <x:fill>
      <x:patternFill patternType="solid">
        <x:fgColor rgb="FFDCE3EA"/>
      </x:patternFill>
    </x:fill>
    <x:fill>
      <x:patternFill patternType="solid">
        <x:fgColor rgb="FFCDEBF1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F4F7FA"/>
      </x:patternFill>
    </x:fill>
    <x:fill>
      <x:patternFill patternType="solid">
        <x:fgColor rgb="FFD8AE5D"/>
      </x:patternFill>
    </x:fill>
    <x:fill>
      <x:patternFill patternType="solid">
        <x:fgColor rgb="FF7030A0"/>
      </x:patternFill>
    </x:fill>
    <x:fill>
      <x:patternFill patternType="solid">
        <x:fgColor rgb="FFE8C5A0"/>
      </x:patternFill>
    </x:fill>
    <x:fill>
      <x:patternFill patternType="solid">
        <x:fgColor rgb="FFF6E4A8"/>
      </x:patternFill>
    </x:fill>
    <x:fill>
      <x:patternFill patternType="solid">
        <x:fgColor rgb="FFDCE3EA"/>
      </x:patternFill>
    </x:fill>
    <x:fill>
      <x:patternFill patternType="solid">
        <x:fgColor rgb="FFCDEBF1"/>
      </x:patternFill>
    </x:fill>
    <x:fill>
      <x:patternFill patternType="solid">
        <x:fgColor rgb="FF7030A0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375623"/>
      </x:patternFill>
    </x:fill>
    <x:fill>
      <x:patternFill patternType="solid">
        <x:fgColor rgb="FFC65911"/>
      </x:patternFill>
    </x:fill>
    <x:fill>
      <x:patternFill patternType="solid">
        <x:fgColor rgb="FF833C0C"/>
      </x:patternFill>
    </x:fill>
    <x:fill>
      <x:patternFill patternType="solid">
        <x:fgColor rgb="FF7030A0"/>
      </x:patternFill>
    </x:fill>
    <x:fill>
      <x:patternFill patternType="solid">
        <x:fgColor rgb="FF1F4E78"/>
      </x:patternFill>
    </x:fill>
    <x:fill>
      <x:patternFill patternType="solid">
        <x:fgColor rgb="FF7030A0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8">
    <x:border/>
    <x:border>
      <x:bottom style="thin">
        <x:color rgb="FF9DC3E6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41">
    <x:xf numFmtId="0" fontId="0" fillId="0" borderId="0" xfId="0"/>
    <x:xf numFmtId="0" fontId="1" fillId="2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1" fillId="3" borderId="0" xfId="0" applyAlignment="1">
      <x:alignment vertical="center" wrapText="1"/>
    </x:xf>
    <x:xf numFmtId="0" fontId="1" fillId="2" borderId="0" xfId="0" applyAlignment="1">
      <x:alignment vertical="top" wrapText="1"/>
    </x:xf>
    <x:xf numFmtId="0" fontId="1" fillId="3" borderId="0" xfId="0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0" fillId="8" borderId="0" xfId="0" applyNumberFormat="1" applyFont="1" applyFill="1" applyBorder="1" applyAlignment="1">
      <x:alignment horizontal="right" vertical="top" wrapText="1"/>
    </x:xf>
    <x:xf numFmtId="0" fontId="0" fillId="8" borderId="1" xfId="0" applyNumberFormat="1" applyFont="1" applyFill="1" applyBorder="1" applyAlignment="1">
      <x:alignment horizontal="right" vertical="top" wrapText="1"/>
    </x:xf>
    <x:xf numFmtId="0" fontId="0" fillId="9" borderId="0" xfId="0" applyNumberFormat="1" applyFont="1" applyFill="1" applyBorder="1" applyAlignment="1">
      <x:alignment horizontal="right" vertical="top" wrapText="1"/>
    </x:xf>
    <x:xf numFmtId="0" fontId="0" fillId="9" borderId="1" xfId="0" applyNumberFormat="1" applyFont="1" applyFill="1" applyBorder="1" applyAlignment="1">
      <x:alignment horizontal="right" vertical="top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 applyAlignment="1">
      <x:alignment horizontal="right" vertical="top" wrapText="1"/>
    </x:xf>
    <x:xf numFmtId="0" fontId="0" fillId="12" borderId="1" xfId="0" applyNumberFormat="1" applyFont="1" applyFill="1" applyBorder="1" applyAlignment="1">
      <x:alignment horizontal="right" vertical="top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horizontal="right" vertical="top" wrapText="1"/>
    </x:xf>
    <x:xf numFmtId="0" fontId="3" fillId="0" borderId="0" xfId="0" applyNumberFormat="1" applyFont="1" applyFill="1" applyBorder="1"/>
    <x:xf numFmtId="0" fontId="3" fillId="9" borderId="1" xfId="0" applyNumberFormat="1" applyFont="1" applyFill="1" applyBorder="1" applyAlignment="1">
      <x:alignment horizontal="right" vertical="top" wrapText="1"/>
    </x:xf>
    <x:xf numFmtId="0" fontId="3" fillId="0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0" fillId="17" borderId="0" xfId="0" applyNumberFormat="1" applyFont="1" applyFill="1" applyBorder="1"/>
    <x:xf numFmtId="0" fontId="7" fillId="17" borderId="0" xfId="0" applyNumberFormat="1" applyFont="1" applyFill="1" applyBorder="1"/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4" fillId="14" borderId="0" xfId="0" applyNumberFormat="1" applyFont="1" applyFill="1" applyBorder="1" applyAlignment="1">
      <x:alignment vertical="center" wrapText="1"/>
    </x:xf>
    <x:xf numFmtId="0" fontId="5" fillId="15" borderId="0" xfId="0" applyNumberFormat="1" applyFont="1" applyFill="1" applyBorder="1" applyAlignment="1">
      <x:alignment wrapText="1"/>
    </x:xf>
    <x:xf numFmtId="0" fontId="6" fillId="16" borderId="0" xfId="0" applyNumberFormat="1" applyFont="1" applyFill="1" applyBorder="1" applyAlignment="1">
      <x:alignment wrapText="1"/>
    </x:xf>
    <x:xf numFmtId="0" fontId="7" fillId="17" borderId="0" xfId="0" applyNumberFormat="1" applyFont="1" applyFill="1" applyBorder="1" applyAlignment="1">
      <x:alignment wrapText="1"/>
    </x:xf>
    <x:xf numFmtId="0" fontId="2" fillId="18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vertical="top" wrapText="1"/>
    </x:xf>
    <x:xf numFmtId="0" fontId="8" fillId="19" borderId="0" xfId="0" applyNumberFormat="1" applyFont="1" applyFill="1" applyBorder="1" applyAlignment="1">
      <x:alignment vertical="top" wrapText="1"/>
    </x:xf>
    <x:xf numFmtId="0" fontId="8" fillId="19" borderId="0" xfId="0" applyNumberFormat="1" applyFont="1" applyFill="1" applyBorder="1" applyAlignment="1">
      <x:alignment horizontal="center" vertical="top" wrapText="1"/>
    </x:xf>
    <x:xf numFmtId="0" fontId="3" fillId="20" borderId="0" xfId="0" applyNumberFormat="1" applyFont="1" applyFill="1" applyBorder="1" applyAlignment="1">
      <x:alignment vertical="top" wrapText="1"/>
    </x:xf>
    <x:xf numFmtId="0" fontId="8" fillId="20" borderId="0" xfId="0" applyNumberFormat="1" applyFont="1" applyFill="1" applyBorder="1" applyAlignment="1">
      <x:alignment vertical="top" wrapText="1"/>
    </x:xf>
    <x:xf numFmtId="0" fontId="8" fillId="20" borderId="0" xfId="0" applyNumberFormat="1" applyFont="1" applyFill="1" applyBorder="1" applyAlignment="1">
      <x:alignment horizontal="center" vertical="top" wrapText="1"/>
    </x:xf>
    <x:xf numFmtId="0" fontId="3" fillId="21" borderId="0" xfId="0" applyNumberFormat="1" applyFont="1" applyFill="1" applyBorder="1" applyAlignment="1">
      <x:alignment vertical="top" wrapText="1"/>
    </x:xf>
    <x:xf numFmtId="0" fontId="8" fillId="21" borderId="0" xfId="0" applyNumberFormat="1" applyFont="1" applyFill="1" applyBorder="1" applyAlignment="1">
      <x:alignment vertical="top" wrapText="1"/>
    </x:xf>
    <x:xf numFmtId="0" fontId="8" fillId="21" borderId="0" xfId="0" applyNumberFormat="1" applyFont="1" applyFill="1" applyBorder="1" applyAlignment="1">
      <x:alignment horizontal="center" vertical="top" wrapText="1"/>
    </x:xf>
    <x:xf numFmtId="0" fontId="3" fillId="22" borderId="0" xfId="0" applyNumberFormat="1" applyFont="1" applyFill="1" applyBorder="1" applyAlignment="1">
      <x:alignment vertical="top" wrapText="1"/>
    </x:xf>
    <x:xf numFmtId="0" fontId="8" fillId="22" borderId="0" xfId="0" applyNumberFormat="1" applyFont="1" applyFill="1" applyBorder="1" applyAlignment="1">
      <x:alignment vertical="top" wrapText="1"/>
    </x:xf>
    <x:xf numFmtId="0" fontId="8" fillId="22" borderId="0" xfId="0" applyNumberFormat="1" applyFont="1" applyFill="1" applyBorder="1" applyAlignment="1">
      <x:alignment horizontal="center" vertical="top" wrapText="1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0" xfId="0" applyNumberFormat="1" applyFont="1" applyFill="1" applyBorder="1" applyAlignment="1">
      <x:alignment wrapText="1"/>
    </x:xf>
    <x:xf numFmtId="0" fontId="2" fillId="23" borderId="0" xfId="0" applyNumberFormat="1" applyFont="1" applyFill="1" applyBorder="1" applyAlignment="1">
      <x:alignment horizontal="center" wrapText="1"/>
    </x:xf>
    <x:xf numFmtId="0" fontId="2" fillId="23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4" fillId="24" borderId="0" xfId="0" applyNumberFormat="1" applyFont="1" applyFill="1" applyBorder="1"/>
    <x:xf numFmtId="0" fontId="4" fillId="24" borderId="0" xfId="0" applyNumberFormat="1" applyFont="1" applyFill="1" applyBorder="1" applyAlignment="1">
      <x:alignment vertical="center"/>
    </x:xf>
    <x:xf numFmtId="0" fontId="0" fillId="25" borderId="0" xfId="0" applyNumberFormat="1" applyFont="1" applyFill="1" applyBorder="1"/>
    <x:xf numFmtId="0" fontId="5" fillId="25" borderId="0" xfId="0" applyNumberFormat="1" applyFont="1" applyFill="1" applyBorder="1"/>
    <x:xf numFmtId="0" fontId="0" fillId="26" borderId="0" xfId="0" applyNumberFormat="1" applyFont="1" applyFill="1" applyBorder="1"/>
    <x:xf numFmtId="0" fontId="6" fillId="26" borderId="0" xfId="0" applyNumberFormat="1" applyFont="1" applyFill="1" applyBorder="1"/>
    <x:xf numFmtId="0" fontId="0" fillId="27" borderId="0" xfId="0" applyNumberFormat="1" applyFont="1" applyFill="1" applyBorder="1"/>
    <x:xf numFmtId="0" fontId="7" fillId="27" borderId="0" xfId="0" applyNumberFormat="1" applyFont="1" applyFill="1" applyBorder="1"/>
    <x:xf numFmtId="0" fontId="0" fillId="28" borderId="0" xfId="0" applyNumberFormat="1" applyFont="1" applyFill="1" applyBorder="1"/>
    <x:xf numFmtId="0" fontId="2" fillId="28" borderId="0" xfId="0" applyNumberFormat="1" applyFont="1" applyFill="1" applyBorder="1"/>
    <x:xf numFmtId="0" fontId="4" fillId="24" borderId="0" xfId="0" applyNumberFormat="1" applyFont="1" applyFill="1" applyBorder="1" applyAlignment="1">
      <x:alignment vertical="center" wrapText="1"/>
    </x:xf>
    <x:xf numFmtId="0" fontId="5" fillId="25" borderId="0" xfId="0" applyNumberFormat="1" applyFont="1" applyFill="1" applyBorder="1" applyAlignment="1">
      <x:alignment wrapText="1"/>
    </x:xf>
    <x:xf numFmtId="0" fontId="6" fillId="26" borderId="0" xfId="0" applyNumberFormat="1" applyFont="1" applyFill="1" applyBorder="1" applyAlignment="1">
      <x:alignment wrapText="1"/>
    </x:xf>
    <x:xf numFmtId="0" fontId="7" fillId="27" borderId="0" xfId="0" applyNumberFormat="1" applyFont="1" applyFill="1" applyBorder="1" applyAlignment="1">
      <x:alignment wrapText="1"/>
    </x:xf>
    <x:xf numFmtId="0" fontId="2" fillId="28" borderId="0" xfId="0" applyNumberFormat="1" applyFont="1" applyFill="1" applyBorder="1" applyAlignment="1">
      <x:alignment wrapText="1"/>
    </x:xf>
    <x:xf numFmtId="0" fontId="3" fillId="29" borderId="0" xfId="0" applyNumberFormat="1" applyFont="1" applyFill="1" applyBorder="1" applyAlignment="1">
      <x:alignment vertical="top" wrapText="1"/>
    </x:xf>
    <x:xf numFmtId="0" fontId="8" fillId="29" borderId="0" xfId="0" applyNumberFormat="1" applyFont="1" applyFill="1" applyBorder="1" applyAlignment="1">
      <x:alignment vertical="top" wrapText="1"/>
    </x:xf>
    <x:xf numFmtId="0" fontId="8" fillId="29" borderId="0" xfId="0" applyNumberFormat="1" applyFont="1" applyFill="1" applyBorder="1" applyAlignment="1">
      <x:alignment horizontal="center" vertical="top" wrapText="1"/>
    </x:xf>
    <x:xf numFmtId="0" fontId="3" fillId="30" borderId="0" xfId="0" applyNumberFormat="1" applyFont="1" applyFill="1" applyBorder="1" applyAlignment="1">
      <x:alignment vertical="top" wrapText="1"/>
    </x:xf>
    <x:xf numFmtId="0" fontId="8" fillId="30" borderId="0" xfId="0" applyNumberFormat="1" applyFont="1" applyFill="1" applyBorder="1" applyAlignment="1">
      <x:alignment vertical="top" wrapText="1"/>
    </x:xf>
    <x:xf numFmtId="0" fontId="8" fillId="30" borderId="0" xfId="0" applyNumberFormat="1" applyFont="1" applyFill="1" applyBorder="1" applyAlignment="1">
      <x:alignment horizontal="center" vertical="top" wrapText="1"/>
    </x:xf>
    <x:xf numFmtId="0" fontId="3" fillId="31" borderId="0" xfId="0" applyNumberFormat="1" applyFont="1" applyFill="1" applyBorder="1" applyAlignment="1">
      <x:alignment vertical="top" wrapText="1"/>
    </x:xf>
    <x:xf numFmtId="0" fontId="8" fillId="31" borderId="0" xfId="0" applyNumberFormat="1" applyFont="1" applyFill="1" applyBorder="1" applyAlignment="1">
      <x:alignment vertical="top" wrapText="1"/>
    </x:xf>
    <x:xf numFmtId="0" fontId="8" fillId="31" borderId="0" xfId="0" applyNumberFormat="1" applyFont="1" applyFill="1" applyBorder="1" applyAlignment="1">
      <x:alignment horizontal="center" vertical="top" wrapText="1"/>
    </x:xf>
    <x:xf numFmtId="0" fontId="3" fillId="32" borderId="0" xfId="0" applyNumberFormat="1" applyFont="1" applyFill="1" applyBorder="1" applyAlignment="1">
      <x:alignment vertical="top" wrapText="1"/>
    </x:xf>
    <x:xf numFmtId="0" fontId="8" fillId="32" borderId="0" xfId="0" applyNumberFormat="1" applyFont="1" applyFill="1" applyBorder="1" applyAlignment="1">
      <x:alignment vertical="top" wrapText="1"/>
    </x:xf>
    <x:xf numFmtId="0" fontId="8" fillId="32" borderId="0" xfId="0" applyNumberFormat="1" applyFont="1" applyFill="1" applyBorder="1" applyAlignment="1">
      <x:alignment horizontal="center" vertical="top" wrapText="1"/>
    </x:xf>
    <x:xf numFmtId="0" fontId="0" fillId="33" borderId="0" xfId="0" applyNumberFormat="1" applyFont="1" applyFill="1" applyBorder="1"/>
    <x:xf numFmtId="0" fontId="2" fillId="33" borderId="0" xfId="0" applyNumberFormat="1" applyFont="1" applyFill="1" applyBorder="1"/>
    <x:xf numFmtId="0" fontId="2" fillId="33" borderId="0" xfId="0" applyNumberFormat="1" applyFont="1" applyFill="1" applyBorder="1" applyAlignment="1">
      <x:alignment wrapText="1"/>
    </x:xf>
    <x:xf numFmtId="0" fontId="2" fillId="33" borderId="0" xfId="0" applyNumberFormat="1" applyFont="1" applyFill="1" applyBorder="1" applyAlignment="1">
      <x:alignment horizontal="center" wrapText="1"/>
    </x:xf>
    <x:xf numFmtId="0" fontId="2" fillId="33" borderId="0" xfId="0" applyNumberFormat="1" applyFont="1" applyFill="1" applyBorder="1" applyAlignment="1">
      <x:alignment horizontal="center" vertical="center" wrapText="1"/>
    </x:xf>
    <x:xf numFmtId="0" fontId="0" fillId="34" borderId="0" xfId="0" applyNumberFormat="1" applyFont="1" applyFill="1" applyBorder="1"/>
    <x:xf numFmtId="0" fontId="4" fillId="34" borderId="0" xfId="0" applyNumberFormat="1" applyFont="1" applyFill="1" applyBorder="1"/>
    <x:xf numFmtId="0" fontId="4" fillId="34" borderId="0" xfId="0" applyNumberFormat="1" applyFont="1" applyFill="1" applyBorder="1" applyAlignment="1">
      <x:alignment vertical="center"/>
    </x:xf>
    <x:xf numFmtId="0" fontId="0" fillId="35" borderId="0" xfId="0" applyNumberFormat="1" applyFont="1" applyFill="1" applyBorder="1"/>
    <x:xf numFmtId="0" fontId="5" fillId="35" borderId="0" xfId="0" applyNumberFormat="1" applyFont="1" applyFill="1" applyBorder="1"/>
    <x:xf numFmtId="0" fontId="0" fillId="36" borderId="0" xfId="0" applyNumberFormat="1" applyFont="1" applyFill="1" applyBorder="1"/>
    <x:xf numFmtId="0" fontId="6" fillId="36" borderId="0" xfId="0" applyNumberFormat="1" applyFont="1" applyFill="1" applyBorder="1"/>
    <x:xf numFmtId="0" fontId="0" fillId="37" borderId="0" xfId="0" applyNumberFormat="1" applyFont="1" applyFill="1" applyBorder="1"/>
    <x:xf numFmtId="0" fontId="7" fillId="37" borderId="0" xfId="0" applyNumberFormat="1" applyFont="1" applyFill="1" applyBorder="1"/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4" fillId="34" borderId="0" xfId="0" applyNumberFormat="1" applyFont="1" applyFill="1" applyBorder="1" applyAlignment="1">
      <x:alignment vertical="center" wrapText="1"/>
    </x:xf>
    <x:xf numFmtId="0" fontId="5" fillId="35" borderId="0" xfId="0" applyNumberFormat="1" applyFont="1" applyFill="1" applyBorder="1" applyAlignment="1">
      <x:alignment wrapText="1"/>
    </x:xf>
    <x:xf numFmtId="0" fontId="6" fillId="36" borderId="0" xfId="0" applyNumberFormat="1" applyFont="1" applyFill="1" applyBorder="1" applyAlignment="1">
      <x:alignment wrapText="1"/>
    </x:xf>
    <x:xf numFmtId="0" fontId="7" fillId="37" borderId="0" xfId="0" applyNumberFormat="1" applyFont="1" applyFill="1" applyBorder="1" applyAlignment="1">
      <x:alignment wrapText="1"/>
    </x:xf>
    <x:xf numFmtId="0" fontId="2" fillId="38" borderId="0" xfId="0" applyNumberFormat="1" applyFont="1" applyFill="1" applyBorder="1" applyAlignment="1">
      <x:alignment wrapText="1"/>
    </x:xf>
    <x:xf numFmtId="0" fontId="3" fillId="39" borderId="0" xfId="0" applyNumberFormat="1" applyFont="1" applyFill="1" applyBorder="1" applyAlignment="1">
      <x:alignment vertical="top" wrapText="1"/>
    </x:xf>
    <x:xf numFmtId="0" fontId="8" fillId="39" borderId="0" xfId="0" applyNumberFormat="1" applyFont="1" applyFill="1" applyBorder="1" applyAlignment="1">
      <x:alignment vertical="top" wrapText="1"/>
    </x:xf>
    <x:xf numFmtId="0" fontId="8" fillId="39" borderId="0" xfId="0" applyNumberFormat="1" applyFont="1" applyFill="1" applyBorder="1" applyAlignment="1">
      <x:alignment horizontal="center" vertical="top" wrapText="1"/>
    </x:xf>
    <x:xf numFmtId="0" fontId="3" fillId="40" borderId="0" xfId="0" applyNumberFormat="1" applyFont="1" applyFill="1" applyBorder="1" applyAlignment="1">
      <x:alignment vertical="top" wrapText="1"/>
    </x:xf>
    <x:xf numFmtId="0" fontId="8" fillId="40" borderId="0" xfId="0" applyNumberFormat="1" applyFont="1" applyFill="1" applyBorder="1" applyAlignment="1">
      <x:alignment vertical="top" wrapText="1"/>
    </x:xf>
    <x:xf numFmtId="0" fontId="8" fillId="40" borderId="0" xfId="0" applyNumberFormat="1" applyFont="1" applyFill="1" applyBorder="1" applyAlignment="1">
      <x:alignment horizontal="center" vertical="top" wrapText="1"/>
    </x:xf>
    <x:xf numFmtId="0" fontId="3" fillId="41" borderId="0" xfId="0" applyNumberFormat="1" applyFont="1" applyFill="1" applyBorder="1" applyAlignment="1">
      <x:alignment vertical="top" wrapText="1"/>
    </x:xf>
    <x:xf numFmtId="0" fontId="8" fillId="41" borderId="0" xfId="0" applyNumberFormat="1" applyFont="1" applyFill="1" applyBorder="1" applyAlignment="1">
      <x:alignment vertical="top" wrapText="1"/>
    </x:xf>
    <x:xf numFmtId="0" fontId="8" fillId="41" borderId="0" xfId="0" applyNumberFormat="1" applyFont="1" applyFill="1" applyBorder="1" applyAlignment="1">
      <x:alignment horizontal="center" vertical="top" wrapText="1"/>
    </x:xf>
    <x:xf numFmtId="0" fontId="3" fillId="42" borderId="0" xfId="0" applyNumberFormat="1" applyFont="1" applyFill="1" applyBorder="1" applyAlignment="1">
      <x:alignment vertical="top" wrapText="1"/>
    </x:xf>
    <x:xf numFmtId="0" fontId="8" fillId="42" borderId="0" xfId="0" applyNumberFormat="1" applyFont="1" applyFill="1" applyBorder="1" applyAlignment="1">
      <x:alignment vertical="top" wrapText="1"/>
    </x:xf>
    <x:xf numFmtId="0" fontId="8" fillId="42" borderId="0" xfId="0" applyNumberFormat="1" applyFont="1" applyFill="1" applyBorder="1" applyAlignment="1">
      <x:alignment horizontal="center" vertical="top" wrapText="1"/>
    </x:xf>
    <x:xf numFmtId="0" fontId="0" fillId="43" borderId="0" xfId="0" applyNumberFormat="1" applyFont="1" applyFill="1" applyBorder="1"/>
    <x:xf numFmtId="0" fontId="2" fillId="43" borderId="0" xfId="0" applyNumberFormat="1" applyFont="1" applyFill="1" applyBorder="1"/>
    <x:xf numFmtId="0" fontId="2" fillId="43" borderId="0" xfId="0" applyNumberFormat="1" applyFont="1" applyFill="1" applyBorder="1" applyAlignment="1">
      <x:alignment wrapText="1"/>
    </x:xf>
    <x:xf numFmtId="0" fontId="2" fillId="43" borderId="0" xfId="0" applyNumberFormat="1" applyFont="1" applyFill="1" applyBorder="1" applyAlignment="1">
      <x:alignment horizontal="center" wrapText="1"/>
    </x:xf>
    <x:xf numFmtId="0" fontId="2" fillId="43" borderId="0" xfId="0" applyNumberFormat="1" applyFont="1" applyFill="1" applyBorder="1" applyAlignment="1">
      <x:alignment horizontal="center" vertical="center" wrapText="1"/>
    </x:xf>
    <x:xf numFmtId="0" fontId="0" fillId="44" borderId="0" xfId="0" applyNumberFormat="1" applyFont="1" applyFill="1" applyBorder="1"/>
    <x:xf numFmtId="0" fontId="4" fillId="44" borderId="0" xfId="0" applyNumberFormat="1" applyFont="1" applyFill="1" applyBorder="1"/>
    <x:xf numFmtId="0" fontId="4" fillId="44" borderId="0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/>
    <x:xf numFmtId="0" fontId="5" fillId="45" borderId="0" xfId="0" applyNumberFormat="1" applyFont="1" applyFill="1" applyBorder="1"/>
    <x:xf numFmtId="0" fontId="0" fillId="46" borderId="0" xfId="0" applyNumberFormat="1" applyFont="1" applyFill="1" applyBorder="1"/>
    <x:xf numFmtId="0" fontId="6" fillId="46" borderId="0" xfId="0" applyNumberFormat="1" applyFont="1" applyFill="1" applyBorder="1"/>
    <x:xf numFmtId="0" fontId="0" fillId="47" borderId="0" xfId="0" applyNumberFormat="1" applyFont="1" applyFill="1" applyBorder="1"/>
    <x:xf numFmtId="0" fontId="7" fillId="47" borderId="0" xfId="0" applyNumberFormat="1" applyFont="1" applyFill="1" applyBorder="1"/>
    <x:xf numFmtId="0" fontId="0" fillId="48" borderId="0" xfId="0" applyNumberFormat="1" applyFont="1" applyFill="1" applyBorder="1"/>
    <x:xf numFmtId="0" fontId="2" fillId="48" borderId="0" xfId="0" applyNumberFormat="1" applyFont="1" applyFill="1" applyBorder="1"/>
    <x:xf numFmtId="0" fontId="4" fillId="44" borderId="0" xfId="0" applyNumberFormat="1" applyFont="1" applyFill="1" applyBorder="1" applyAlignment="1">
      <x:alignment vertical="center" wrapText="1"/>
    </x:xf>
    <x:xf numFmtId="0" fontId="5" fillId="45" borderId="0" xfId="0" applyNumberFormat="1" applyFont="1" applyFill="1" applyBorder="1" applyAlignment="1">
      <x:alignment wrapText="1"/>
    </x:xf>
    <x:xf numFmtId="0" fontId="6" fillId="46" borderId="0" xfId="0" applyNumberFormat="1" applyFont="1" applyFill="1" applyBorder="1" applyAlignment="1">
      <x:alignment wrapText="1"/>
    </x:xf>
    <x:xf numFmtId="0" fontId="7" fillId="47" borderId="0" xfId="0" applyNumberFormat="1" applyFont="1" applyFill="1" applyBorder="1" applyAlignment="1">
      <x:alignment wrapText="1"/>
    </x:xf>
    <x:xf numFmtId="0" fontId="2" fillId="48" borderId="0" xfId="0" applyNumberFormat="1" applyFont="1" applyFill="1" applyBorder="1" applyAlignment="1">
      <x:alignment wrapText="1"/>
    </x:xf>
    <x:xf numFmtId="0" fontId="3" fillId="49" borderId="0" xfId="0" applyNumberFormat="1" applyFont="1" applyFill="1" applyBorder="1" applyAlignment="1">
      <x:alignment vertical="top" wrapText="1"/>
    </x:xf>
    <x:xf numFmtId="0" fontId="8" fillId="49" borderId="0" xfId="0" applyNumberFormat="1" applyFont="1" applyFill="1" applyBorder="1" applyAlignment="1">
      <x:alignment vertical="top" wrapText="1"/>
    </x:xf>
    <x:xf numFmtId="0" fontId="8" fillId="49" borderId="0" xfId="0" applyNumberFormat="1" applyFont="1" applyFill="1" applyBorder="1" applyAlignment="1">
      <x:alignment horizontal="center" vertical="top" wrapText="1"/>
    </x:xf>
    <x:xf numFmtId="0" fontId="3" fillId="50" borderId="0" xfId="0" applyNumberFormat="1" applyFont="1" applyFill="1" applyBorder="1" applyAlignment="1">
      <x:alignment vertical="top" wrapText="1"/>
    </x:xf>
    <x:xf numFmtId="0" fontId="8" fillId="50" borderId="0" xfId="0" applyNumberFormat="1" applyFont="1" applyFill="1" applyBorder="1" applyAlignment="1">
      <x:alignment vertical="top" wrapText="1"/>
    </x:xf>
    <x:xf numFmtId="0" fontId="8" fillId="50" borderId="0" xfId="0" applyNumberFormat="1" applyFont="1" applyFill="1" applyBorder="1" applyAlignment="1">
      <x:alignment horizontal="center" vertical="top" wrapText="1"/>
    </x:xf>
    <x:xf numFmtId="0" fontId="3" fillId="51" borderId="0" xfId="0" applyNumberFormat="1" applyFont="1" applyFill="1" applyBorder="1" applyAlignment="1">
      <x:alignment vertical="top" wrapText="1"/>
    </x:xf>
    <x:xf numFmtId="0" fontId="8" fillId="51" borderId="0" xfId="0" applyNumberFormat="1" applyFont="1" applyFill="1" applyBorder="1" applyAlignment="1">
      <x:alignment vertical="top" wrapText="1"/>
    </x:xf>
    <x:xf numFmtId="0" fontId="8" fillId="51" borderId="0" xfId="0" applyNumberFormat="1" applyFont="1" applyFill="1" applyBorder="1" applyAlignment="1">
      <x:alignment horizontal="center" vertical="top" wrapText="1"/>
    </x:xf>
    <x:xf numFmtId="0" fontId="3" fillId="52" borderId="0" xfId="0" applyNumberFormat="1" applyFont="1" applyFill="1" applyBorder="1" applyAlignment="1">
      <x:alignment vertical="top" wrapText="1"/>
    </x:xf>
    <x:xf numFmtId="0" fontId="8" fillId="52" borderId="0" xfId="0" applyNumberFormat="1" applyFont="1" applyFill="1" applyBorder="1" applyAlignment="1">
      <x:alignment vertical="top" wrapText="1"/>
    </x:xf>
    <x:xf numFmtId="0" fontId="8" fillId="52" borderId="0" xfId="0" applyNumberFormat="1" applyFont="1" applyFill="1" applyBorder="1" applyAlignment="1">
      <x:alignment horizontal="center" vertical="top" wrapText="1"/>
    </x:xf>
    <x:xf numFmtId="0" fontId="0" fillId="53" borderId="0" xfId="0" applyNumberFormat="1" applyFont="1" applyFill="1" applyBorder="1"/>
    <x:xf numFmtId="0" fontId="2" fillId="53" borderId="0" xfId="0" applyNumberFormat="1" applyFont="1" applyFill="1" applyBorder="1"/>
    <x:xf numFmtId="0" fontId="2" fillId="53" borderId="0" xfId="0" applyNumberFormat="1" applyFont="1" applyFill="1" applyBorder="1" applyAlignment="1">
      <x:alignment wrapText="1"/>
    </x:xf>
    <x:xf numFmtId="0" fontId="2" fillId="53" borderId="0" xfId="0" applyNumberFormat="1" applyFont="1" applyFill="1" applyBorder="1" applyAlignment="1">
      <x:alignment horizontal="center" wrapText="1"/>
    </x:xf>
    <x:xf numFmtId="0" fontId="2" fillId="53" borderId="0" xfId="0" applyNumberFormat="1" applyFont="1" applyFill="1" applyBorder="1" applyAlignment="1">
      <x:alignment horizontal="center" vertical="center" wrapText="1"/>
    </x:xf>
    <x:xf numFmtId="0" fontId="0" fillId="54" borderId="0" xfId="0" applyNumberFormat="1" applyFont="1" applyFill="1" applyBorder="1"/>
    <x:xf numFmtId="0" fontId="4" fillId="54" borderId="0" xfId="0" applyNumberFormat="1" applyFont="1" applyFill="1" applyBorder="1"/>
    <x:xf numFmtId="0" fontId="4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5" fillId="55" borderId="0" xfId="0" applyNumberFormat="1" applyFont="1" applyFill="1" applyBorder="1"/>
    <x:xf numFmtId="0" fontId="0" fillId="56" borderId="0" xfId="0" applyNumberFormat="1" applyFont="1" applyFill="1" applyBorder="1"/>
    <x:xf numFmtId="0" fontId="6" fillId="56" borderId="0" xfId="0" applyNumberFormat="1" applyFont="1" applyFill="1" applyBorder="1"/>
    <x:xf numFmtId="0" fontId="0" fillId="57" borderId="0" xfId="0" applyNumberFormat="1" applyFont="1" applyFill="1" applyBorder="1"/>
    <x:xf numFmtId="0" fontId="7" fillId="57" borderId="0" xfId="0" applyNumberFormat="1" applyFont="1" applyFill="1" applyBorder="1"/>
    <x:xf numFmtId="0" fontId="0" fillId="58" borderId="0" xfId="0" applyNumberFormat="1" applyFont="1" applyFill="1" applyBorder="1"/>
    <x:xf numFmtId="0" fontId="2" fillId="58" borderId="0" xfId="0" applyNumberFormat="1" applyFont="1" applyFill="1" applyBorder="1"/>
    <x:xf numFmtId="0" fontId="4" fillId="54" borderId="0" xfId="0" applyNumberFormat="1" applyFont="1" applyFill="1" applyBorder="1" applyAlignment="1">
      <x:alignment vertical="center" wrapText="1"/>
    </x:xf>
    <x:xf numFmtId="0" fontId="5" fillId="55" borderId="0" xfId="0" applyNumberFormat="1" applyFont="1" applyFill="1" applyBorder="1" applyAlignment="1">
      <x:alignment wrapText="1"/>
    </x:xf>
    <x:xf numFmtId="0" fontId="6" fillId="56" borderId="0" xfId="0" applyNumberFormat="1" applyFont="1" applyFill="1" applyBorder="1" applyAlignment="1">
      <x:alignment wrapText="1"/>
    </x:xf>
    <x:xf numFmtId="0" fontId="7" fillId="57" borderId="0" xfId="0" applyNumberFormat="1" applyFont="1" applyFill="1" applyBorder="1" applyAlignment="1">
      <x:alignment wrapText="1"/>
    </x:xf>
    <x:xf numFmtId="0" fontId="2" fillId="58" borderId="0" xfId="0" applyNumberFormat="1" applyFont="1" applyFill="1" applyBorder="1" applyAlignment="1">
      <x:alignment wrapText="1"/>
    </x:xf>
    <x:xf numFmtId="0" fontId="3" fillId="59" borderId="0" xfId="0" applyNumberFormat="1" applyFont="1" applyFill="1" applyBorder="1" applyAlignment="1">
      <x:alignment vertical="top" wrapText="1"/>
    </x:xf>
    <x:xf numFmtId="0" fontId="8" fillId="59" borderId="0" xfId="0" applyNumberFormat="1" applyFont="1" applyFill="1" applyBorder="1" applyAlignment="1">
      <x:alignment vertical="top" wrapText="1"/>
    </x:xf>
    <x:xf numFmtId="0" fontId="8" fillId="59" borderId="0" xfId="0" applyNumberFormat="1" applyFont="1" applyFill="1" applyBorder="1" applyAlignment="1">
      <x:alignment horizontal="center" vertical="top" wrapText="1"/>
    </x:xf>
    <x:xf numFmtId="0" fontId="3" fillId="60" borderId="0" xfId="0" applyNumberFormat="1" applyFont="1" applyFill="1" applyBorder="1" applyAlignment="1">
      <x:alignment vertical="top" wrapText="1"/>
    </x:xf>
    <x:xf numFmtId="0" fontId="8" fillId="60" borderId="0" xfId="0" applyNumberFormat="1" applyFont="1" applyFill="1" applyBorder="1" applyAlignment="1">
      <x:alignment vertical="top" wrapText="1"/>
    </x:xf>
    <x:xf numFmtId="0" fontId="8" fillId="60" borderId="0" xfId="0" applyNumberFormat="1" applyFont="1" applyFill="1" applyBorder="1" applyAlignment="1">
      <x:alignment horizontal="center" vertical="top" wrapText="1"/>
    </x:xf>
    <x:xf numFmtId="0" fontId="3" fillId="61" borderId="0" xfId="0" applyNumberFormat="1" applyFont="1" applyFill="1" applyBorder="1" applyAlignment="1">
      <x:alignment vertical="top" wrapText="1"/>
    </x:xf>
    <x:xf numFmtId="0" fontId="8" fillId="61" borderId="0" xfId="0" applyNumberFormat="1" applyFont="1" applyFill="1" applyBorder="1" applyAlignment="1">
      <x:alignment vertical="top" wrapText="1"/>
    </x:xf>
    <x:xf numFmtId="0" fontId="8" fillId="61" borderId="0" xfId="0" applyNumberFormat="1" applyFont="1" applyFill="1" applyBorder="1" applyAlignment="1">
      <x:alignment horizontal="center" vertical="top" wrapText="1"/>
    </x:xf>
    <x:xf numFmtId="0" fontId="3" fillId="62" borderId="0" xfId="0" applyNumberFormat="1" applyFont="1" applyFill="1" applyBorder="1" applyAlignment="1">
      <x:alignment vertical="top" wrapText="1"/>
    </x:xf>
    <x:xf numFmtId="0" fontId="8" fillId="62" borderId="0" xfId="0" applyNumberFormat="1" applyFont="1" applyFill="1" applyBorder="1" applyAlignment="1">
      <x:alignment vertical="top" wrapText="1"/>
    </x:xf>
    <x:xf numFmtId="0" fontId="8" fillId="62" borderId="0" xfId="0" applyNumberFormat="1" applyFont="1" applyFill="1" applyBorder="1" applyAlignment="1">
      <x:alignment horizontal="center" vertical="top" wrapText="1"/>
    </x:xf>
    <x:xf numFmtId="0" fontId="0" fillId="63" borderId="0" xfId="0" applyNumberFormat="1" applyFont="1" applyFill="1" applyBorder="1"/>
    <x:xf numFmtId="0" fontId="2" fillId="63" borderId="0" xfId="0" applyNumberFormat="1" applyFont="1" applyFill="1" applyBorder="1"/>
    <x:xf numFmtId="0" fontId="2" fillId="63" borderId="0" xfId="0" applyNumberFormat="1" applyFont="1" applyFill="1" applyBorder="1" applyAlignment="1">
      <x:alignment wrapText="1"/>
    </x:xf>
    <x:xf numFmtId="0" fontId="2" fillId="63" borderId="0" xfId="0" applyNumberFormat="1" applyFont="1" applyFill="1" applyBorder="1" applyAlignment="1">
      <x:alignment horizontal="center" wrapText="1"/>
    </x:xf>
    <x:xf numFmtId="0" fontId="2" fillId="63" borderId="0" xfId="0" applyNumberFormat="1" applyFont="1" applyFill="1" applyBorder="1" applyAlignment="1">
      <x:alignment horizontal="center" vertical="center" wrapText="1"/>
    </x:xf>
    <x:xf numFmtId="0" fontId="0" fillId="64" borderId="0" xfId="0" applyNumberFormat="1" applyFont="1" applyFill="1" applyBorder="1"/>
    <x:xf numFmtId="0" fontId="4" fillId="64" borderId="0" xfId="0" applyNumberFormat="1" applyFont="1" applyFill="1" applyBorder="1"/>
    <x:xf numFmtId="0" fontId="4" fillId="64" borderId="0" xfId="0" applyNumberFormat="1" applyFont="1" applyFill="1" applyBorder="1" applyAlignment="1">
      <x:alignment vertical="center"/>
    </x:xf>
    <x:xf numFmtId="0" fontId="0" fillId="65" borderId="0" xfId="0" applyNumberFormat="1" applyFont="1" applyFill="1" applyBorder="1"/>
    <x:xf numFmtId="0" fontId="5" fillId="65" borderId="0" xfId="0" applyNumberFormat="1" applyFont="1" applyFill="1" applyBorder="1"/>
    <x:xf numFmtId="0" fontId="0" fillId="66" borderId="0" xfId="0" applyNumberFormat="1" applyFont="1" applyFill="1" applyBorder="1"/>
    <x:xf numFmtId="0" fontId="6" fillId="66" borderId="0" xfId="0" applyNumberFormat="1" applyFont="1" applyFill="1" applyBorder="1"/>
    <x:xf numFmtId="0" fontId="0" fillId="67" borderId="0" xfId="0" applyNumberFormat="1" applyFont="1" applyFill="1" applyBorder="1"/>
    <x:xf numFmtId="0" fontId="7" fillId="67" borderId="0" xfId="0" applyNumberFormat="1" applyFont="1" applyFill="1" applyBorder="1"/>
    <x:xf numFmtId="0" fontId="0" fillId="68" borderId="0" xfId="0" applyNumberFormat="1" applyFont="1" applyFill="1" applyBorder="1"/>
    <x:xf numFmtId="0" fontId="2" fillId="68" borderId="0" xfId="0" applyNumberFormat="1" applyFont="1" applyFill="1" applyBorder="1"/>
    <x:xf numFmtId="0" fontId="4" fillId="64" borderId="0" xfId="0" applyNumberFormat="1" applyFont="1" applyFill="1" applyBorder="1" applyAlignment="1">
      <x:alignment vertical="center" wrapText="1"/>
    </x:xf>
    <x:xf numFmtId="0" fontId="5" fillId="65" borderId="0" xfId="0" applyNumberFormat="1" applyFont="1" applyFill="1" applyBorder="1" applyAlignment="1">
      <x:alignment wrapText="1"/>
    </x:xf>
    <x:xf numFmtId="0" fontId="6" fillId="66" borderId="0" xfId="0" applyNumberFormat="1" applyFont="1" applyFill="1" applyBorder="1" applyAlignment="1">
      <x:alignment wrapText="1"/>
    </x:xf>
    <x:xf numFmtId="0" fontId="7" fillId="67" borderId="0" xfId="0" applyNumberFormat="1" applyFont="1" applyFill="1" applyBorder="1" applyAlignment="1">
      <x:alignment wrapText="1"/>
    </x:xf>
    <x:xf numFmtId="0" fontId="2" fillId="68" borderId="0" xfId="0" applyNumberFormat="1" applyFont="1" applyFill="1" applyBorder="1" applyAlignment="1">
      <x:alignment wrapText="1"/>
    </x:xf>
    <x:xf numFmtId="0" fontId="3" fillId="69" borderId="0" xfId="0" applyNumberFormat="1" applyFont="1" applyFill="1" applyBorder="1" applyAlignment="1">
      <x:alignment vertical="top" wrapText="1"/>
    </x:xf>
    <x:xf numFmtId="0" fontId="8" fillId="69" borderId="0" xfId="0" applyNumberFormat="1" applyFont="1" applyFill="1" applyBorder="1" applyAlignment="1">
      <x:alignment vertical="top" wrapText="1"/>
    </x:xf>
    <x:xf numFmtId="0" fontId="8" fillId="69" borderId="0" xfId="0" applyNumberFormat="1" applyFont="1" applyFill="1" applyBorder="1" applyAlignment="1">
      <x:alignment horizontal="center" vertical="top" wrapText="1"/>
    </x:xf>
    <x:xf numFmtId="0" fontId="3" fillId="70" borderId="0" xfId="0" applyNumberFormat="1" applyFont="1" applyFill="1" applyBorder="1" applyAlignment="1">
      <x:alignment vertical="top" wrapText="1"/>
    </x:xf>
    <x:xf numFmtId="0" fontId="8" fillId="70" borderId="0" xfId="0" applyNumberFormat="1" applyFont="1" applyFill="1" applyBorder="1" applyAlignment="1">
      <x:alignment vertical="top" wrapText="1"/>
    </x:xf>
    <x:xf numFmtId="0" fontId="8" fillId="70" borderId="0" xfId="0" applyNumberFormat="1" applyFont="1" applyFill="1" applyBorder="1" applyAlignment="1">
      <x:alignment horizontal="center" vertical="top" wrapText="1"/>
    </x:xf>
    <x:xf numFmtId="0" fontId="3" fillId="71" borderId="0" xfId="0" applyNumberFormat="1" applyFont="1" applyFill="1" applyBorder="1" applyAlignment="1">
      <x:alignment vertical="top" wrapText="1"/>
    </x:xf>
    <x:xf numFmtId="0" fontId="8" fillId="71" borderId="0" xfId="0" applyNumberFormat="1" applyFont="1" applyFill="1" applyBorder="1" applyAlignment="1">
      <x:alignment vertical="top" wrapText="1"/>
    </x:xf>
    <x:xf numFmtId="0" fontId="8" fillId="71" borderId="0" xfId="0" applyNumberFormat="1" applyFont="1" applyFill="1" applyBorder="1" applyAlignment="1">
      <x:alignment horizontal="center" vertical="top" wrapText="1"/>
    </x:xf>
    <x:xf numFmtId="0" fontId="3" fillId="72" borderId="0" xfId="0" applyNumberFormat="1" applyFont="1" applyFill="1" applyBorder="1" applyAlignment="1">
      <x:alignment vertical="top" wrapText="1"/>
    </x:xf>
    <x:xf numFmtId="0" fontId="8" fillId="72" borderId="0" xfId="0" applyNumberFormat="1" applyFont="1" applyFill="1" applyBorder="1" applyAlignment="1">
      <x:alignment vertical="top" wrapText="1"/>
    </x:xf>
    <x:xf numFmtId="0" fontId="8" fillId="72" borderId="0" xfId="0" applyNumberFormat="1" applyFont="1" applyFill="1" applyBorder="1" applyAlignment="1">
      <x:alignment horizontal="center" vertical="top" wrapText="1"/>
    </x:xf>
    <x:xf numFmtId="0" fontId="0" fillId="73" borderId="0" xfId="0" applyNumberFormat="1" applyFont="1" applyFill="1" applyBorder="1"/>
    <x:xf numFmtId="0" fontId="2" fillId="73" borderId="0" xfId="0" applyNumberFormat="1" applyFont="1" applyFill="1" applyBorder="1"/>
    <x:xf numFmtId="0" fontId="2" fillId="73" borderId="0" xfId="0" applyNumberFormat="1" applyFont="1" applyFill="1" applyBorder="1" applyAlignment="1">
      <x:alignment wrapText="1"/>
    </x:xf>
    <x:xf numFmtId="0" fontId="2" fillId="73" borderId="0" xfId="0" applyNumberFormat="1" applyFont="1" applyFill="1" applyBorder="1" applyAlignment="1">
      <x:alignment horizontal="center" wrapText="1"/>
    </x:xf>
    <x:xf numFmtId="0" fontId="2" fillId="73" borderId="0" xfId="0" applyNumberFormat="1" applyFont="1" applyFill="1" applyBorder="1" applyAlignment="1">
      <x:alignment horizontal="center" vertical="center" wrapText="1"/>
    </x:xf>
    <x:xf numFmtId="0" fontId="0" fillId="74" borderId="0" xfId="0" applyNumberFormat="1" applyFont="1" applyFill="1" applyBorder="1"/>
    <x:xf numFmtId="0" fontId="4" fillId="74" borderId="0" xfId="0" applyNumberFormat="1" applyFont="1" applyFill="1" applyBorder="1"/>
    <x:xf numFmtId="0" fontId="4" fillId="74" borderId="0" xfId="0" applyNumberFormat="1" applyFont="1" applyFill="1" applyBorder="1" applyAlignment="1">
      <x:alignment vertical="center"/>
    </x:xf>
    <x:xf numFmtId="0" fontId="0" fillId="75" borderId="0" xfId="0" applyNumberFormat="1" applyFont="1" applyFill="1" applyBorder="1"/>
    <x:xf numFmtId="0" fontId="5" fillId="75" borderId="0" xfId="0" applyNumberFormat="1" applyFont="1" applyFill="1" applyBorder="1"/>
    <x:xf numFmtId="0" fontId="0" fillId="76" borderId="0" xfId="0" applyNumberFormat="1" applyFont="1" applyFill="1" applyBorder="1"/>
    <x:xf numFmtId="0" fontId="6" fillId="76" borderId="0" xfId="0" applyNumberFormat="1" applyFont="1" applyFill="1" applyBorder="1"/>
    <x:xf numFmtId="0" fontId="0" fillId="77" borderId="0" xfId="0" applyNumberFormat="1" applyFont="1" applyFill="1" applyBorder="1"/>
    <x:xf numFmtId="0" fontId="7" fillId="77" borderId="0" xfId="0" applyNumberFormat="1" applyFont="1" applyFill="1" applyBorder="1"/>
    <x:xf numFmtId="0" fontId="0" fillId="78" borderId="0" xfId="0" applyNumberFormat="1" applyFont="1" applyFill="1" applyBorder="1"/>
    <x:xf numFmtId="0" fontId="2" fillId="78" borderId="0" xfId="0" applyNumberFormat="1" applyFont="1" applyFill="1" applyBorder="1"/>
    <x:xf numFmtId="0" fontId="4" fillId="74" borderId="0" xfId="0" applyNumberFormat="1" applyFont="1" applyFill="1" applyBorder="1" applyAlignment="1">
      <x:alignment vertical="center" wrapText="1"/>
    </x:xf>
    <x:xf numFmtId="0" fontId="5" fillId="75" borderId="0" xfId="0" applyNumberFormat="1" applyFont="1" applyFill="1" applyBorder="1" applyAlignment="1">
      <x:alignment wrapText="1"/>
    </x:xf>
    <x:xf numFmtId="0" fontId="6" fillId="76" borderId="0" xfId="0" applyNumberFormat="1" applyFont="1" applyFill="1" applyBorder="1" applyAlignment="1">
      <x:alignment wrapText="1"/>
    </x:xf>
    <x:xf numFmtId="0" fontId="7" fillId="77" borderId="0" xfId="0" applyNumberFormat="1" applyFont="1" applyFill="1" applyBorder="1" applyAlignment="1">
      <x:alignment wrapText="1"/>
    </x:xf>
    <x:xf numFmtId="0" fontId="2" fillId="78" borderId="0" xfId="0" applyNumberFormat="1" applyFont="1" applyFill="1" applyBorder="1" applyAlignment="1">
      <x:alignment wrapText="1"/>
    </x:xf>
    <x:xf numFmtId="0" fontId="3" fillId="79" borderId="0" xfId="0" applyNumberFormat="1" applyFont="1" applyFill="1" applyBorder="1" applyAlignment="1">
      <x:alignment vertical="top" wrapText="1"/>
    </x:xf>
    <x:xf numFmtId="0" fontId="8" fillId="79" borderId="0" xfId="0" applyNumberFormat="1" applyFont="1" applyFill="1" applyBorder="1" applyAlignment="1">
      <x:alignment vertical="top" wrapText="1"/>
    </x:xf>
    <x:xf numFmtId="0" fontId="8" fillId="79" borderId="0" xfId="0" applyNumberFormat="1" applyFont="1" applyFill="1" applyBorder="1" applyAlignment="1">
      <x:alignment horizontal="center" vertical="top" wrapText="1"/>
    </x:xf>
    <x:xf numFmtId="0" fontId="3" fillId="80" borderId="0" xfId="0" applyNumberFormat="1" applyFont="1" applyFill="1" applyBorder="1" applyAlignment="1">
      <x:alignment vertical="top" wrapText="1"/>
    </x:xf>
    <x:xf numFmtId="0" fontId="8" fillId="80" borderId="0" xfId="0" applyNumberFormat="1" applyFont="1" applyFill="1" applyBorder="1" applyAlignment="1">
      <x:alignment vertical="top" wrapText="1"/>
    </x:xf>
    <x:xf numFmtId="0" fontId="8" fillId="80" borderId="0" xfId="0" applyNumberFormat="1" applyFont="1" applyFill="1" applyBorder="1" applyAlignment="1">
      <x:alignment horizontal="center" vertical="top" wrapText="1"/>
    </x:xf>
    <x:xf numFmtId="0" fontId="3" fillId="81" borderId="0" xfId="0" applyNumberFormat="1" applyFont="1" applyFill="1" applyBorder="1" applyAlignment="1">
      <x:alignment vertical="top" wrapText="1"/>
    </x:xf>
    <x:xf numFmtId="0" fontId="8" fillId="81" borderId="0" xfId="0" applyNumberFormat="1" applyFont="1" applyFill="1" applyBorder="1" applyAlignment="1">
      <x:alignment vertical="top" wrapText="1"/>
    </x:xf>
    <x:xf numFmtId="0" fontId="8" fillId="81" borderId="0" xfId="0" applyNumberFormat="1" applyFont="1" applyFill="1" applyBorder="1" applyAlignment="1">
      <x:alignment horizontal="center" vertical="top" wrapText="1"/>
    </x:xf>
    <x:xf numFmtId="0" fontId="3" fillId="82" borderId="0" xfId="0" applyNumberFormat="1" applyFont="1" applyFill="1" applyBorder="1" applyAlignment="1">
      <x:alignment vertical="top" wrapText="1"/>
    </x:xf>
    <x:xf numFmtId="0" fontId="8" fillId="82" borderId="0" xfId="0" applyNumberFormat="1" applyFont="1" applyFill="1" applyBorder="1" applyAlignment="1">
      <x:alignment vertical="top" wrapText="1"/>
    </x:xf>
    <x:xf numFmtId="0" fontId="8" fillId="82" borderId="0" xfId="0" applyNumberFormat="1" applyFont="1" applyFill="1" applyBorder="1" applyAlignment="1">
      <x:alignment horizontal="center" vertical="top" wrapText="1"/>
    </x:xf>
    <x:xf numFmtId="0" fontId="0" fillId="83" borderId="0" xfId="0" applyNumberFormat="1" applyFont="1" applyFill="1" applyBorder="1"/>
    <x:xf numFmtId="0" fontId="2" fillId="83" borderId="0" xfId="0" applyNumberFormat="1" applyFont="1" applyFill="1" applyBorder="1"/>
    <x:xf numFmtId="0" fontId="2" fillId="83" borderId="0" xfId="0" applyNumberFormat="1" applyFont="1" applyFill="1" applyBorder="1" applyAlignment="1">
      <x:alignment wrapText="1"/>
    </x:xf>
    <x:xf numFmtId="0" fontId="0" fillId="84" borderId="0" xfId="0" applyNumberFormat="1" applyFont="1" applyFill="1" applyBorder="1"/>
    <x:xf numFmtId="0" fontId="2" fillId="84" borderId="0" xfId="0" applyNumberFormat="1" applyFont="1" applyFill="1" applyBorder="1"/>
    <x:xf numFmtId="0" fontId="2" fillId="84" borderId="0" xfId="0" applyNumberFormat="1" applyFont="1" applyFill="1" applyBorder="1" applyAlignment="1">
      <x:alignment wrapText="1"/>
    </x:xf>
    <x:xf numFmtId="0" fontId="2" fillId="84" borderId="0" xfId="0" applyNumberFormat="1" applyFont="1" applyFill="1" applyBorder="1" applyAlignment="1">
      <x:alignment horizontal="center" wrapText="1"/>
    </x:xf>
    <x:xf numFmtId="0" fontId="2" fillId="84" borderId="0" xfId="0" applyNumberFormat="1" applyFont="1" applyFill="1" applyBorder="1" applyAlignment="1">
      <x:alignment horizontal="center" vertical="center" wrapText="1"/>
    </x:xf>
    <x:xf numFmtId="0" fontId="2" fillId="85" borderId="0" xfId="0" applyNumberFormat="1" applyFont="1" applyFill="1" applyBorder="1" applyAlignment="1">
      <x:alignment wrapText="1"/>
    </x:xf>
    <x:xf numFmtId="0" fontId="0" fillId="85" borderId="0" xfId="0" applyNumberFormat="1" applyFont="1" applyFill="1" applyBorder="1"/>
    <x:xf numFmtId="0" fontId="2" fillId="85" borderId="0" xfId="0" applyNumberFormat="1" applyFont="1" applyFill="1" applyBorder="1"/>
    <x:xf numFmtId="0" fontId="2" fillId="86" borderId="0" xfId="0" applyNumberFormat="1" applyFont="1" applyFill="1" applyBorder="1" applyAlignment="1">
      <x:alignment horizontal="center" vertical="center" wrapText="1"/>
    </x:xf>
    <x:xf numFmtId="0" fontId="0" fillId="86" borderId="0" xfId="0" applyNumberFormat="1" applyFont="1" applyFill="1" applyBorder="1"/>
    <x:xf numFmtId="0" fontId="2" fillId="86" borderId="0" xfId="0" applyNumberFormat="1" applyFont="1" applyFill="1" applyBorder="1"/>
    <x:xf numFmtId="0" fontId="2" fillId="86" borderId="0" xfId="0" applyNumberFormat="1" applyFont="1" applyFill="1" applyBorder="1" applyAlignment="1">
      <x:alignment wrapText="1"/>
    </x:xf>
    <x:xf numFmtId="0" fontId="2" fillId="86" borderId="0" xfId="0" applyNumberFormat="1" applyFont="1" applyFill="1" applyBorder="1" applyAlignment="1">
      <x:alignment horizontal="center" wrapText="1"/>
    </x:xf>
    <x:xf numFmtId="0" fontId="0" fillId="87" borderId="0" xfId="0" applyNumberFormat="1" applyFont="1" applyFill="1" applyBorder="1"/>
    <x:xf numFmtId="0" fontId="2" fillId="87" borderId="0" xfId="0" applyNumberFormat="1" applyFont="1" applyFill="1" applyBorder="1"/>
    <x:xf numFmtId="0" fontId="2" fillId="87" borderId="0" xfId="0" applyNumberFormat="1" applyFont="1" applyFill="1" applyBorder="1" applyAlignment="1">
      <x:alignment wrapText="1"/>
    </x:xf>
    <x:xf numFmtId="0" fontId="0" fillId="88" borderId="0" xfId="0" applyNumberFormat="1" applyFont="1" applyFill="1" applyBorder="1"/>
    <x:xf numFmtId="0" fontId="2" fillId="88" borderId="0" xfId="0" applyNumberFormat="1" applyFont="1" applyFill="1" applyBorder="1"/>
    <x:xf numFmtId="0" fontId="2" fillId="88" borderId="0" xfId="0" applyNumberFormat="1" applyFont="1" applyFill="1" applyBorder="1" applyAlignment="1">
      <x:alignment wrapText="1"/>
    </x:xf>
    <x:xf numFmtId="0" fontId="2" fillId="88" borderId="0" xfId="0" applyNumberFormat="1" applyFont="1" applyFill="1" applyBorder="1" applyAlignment="1">
      <x:alignment horizontal="center" wrapText="1"/>
    </x:xf>
    <x:xf numFmtId="0" fontId="0" fillId="89" borderId="0" xfId="0" applyNumberFormat="1" applyFont="1" applyFill="1" applyBorder="1"/>
    <x:xf numFmtId="0" fontId="2" fillId="89" borderId="0" xfId="0" applyNumberFormat="1" applyFont="1" applyFill="1" applyBorder="1"/>
    <x:xf numFmtId="0" fontId="2" fillId="89" borderId="0" xfId="0" applyNumberFormat="1" applyFont="1" applyFill="1" applyBorder="1" applyAlignment="1">
      <x:alignment wrapText="1"/>
    </x:xf>
    <x:xf numFmtId="0" fontId="0" fillId="90" borderId="0" xfId="0" applyNumberFormat="1" applyFont="1" applyFill="1" applyBorder="1"/>
    <x:xf numFmtId="0" fontId="2" fillId="90" borderId="0" xfId="0" applyNumberFormat="1" applyFont="1" applyFill="1" applyBorder="1"/>
    <x:xf numFmtId="0" fontId="2" fillId="90" borderId="0" xfId="0" applyNumberFormat="1" applyFont="1" applyFill="1" applyBorder="1" applyAlignment="1">
      <x:alignment wrapText="1"/>
    </x:xf>
    <x:xf numFmtId="0" fontId="2" fillId="90" borderId="0" xfId="0" applyNumberFormat="1" applyFont="1" applyFill="1" applyBorder="1" applyAlignment="1">
      <x:alignment horizontal="center" wrapText="1"/>
    </x:xf>
    <x:xf numFmtId="0" fontId="0" fillId="91" borderId="0" xfId="0" applyNumberFormat="1" applyFont="1" applyFill="1" applyBorder="1"/>
    <x:xf numFmtId="0" fontId="2" fillId="91" borderId="0" xfId="0" applyNumberFormat="1" applyFont="1" applyFill="1" applyBorder="1"/>
    <x:xf numFmtId="0" fontId="2" fillId="91" borderId="0" xfId="0" applyNumberFormat="1" applyFont="1" applyFill="1" applyBorder="1" applyAlignment="1">
      <x:alignment wrapText="1"/>
    </x:xf>
    <x:xf numFmtId="0" fontId="0" fillId="92" borderId="0" xfId="0" applyNumberFormat="1" applyFont="1" applyFill="1" applyBorder="1" applyAlignment="1">
      <x:alignment vertical="top" wrapText="1"/>
    </x:xf>
    <x:xf numFmtId="0" fontId="2" fillId="92" borderId="0" xfId="0" applyNumberFormat="1" applyFont="1" applyFill="1" applyBorder="1" applyAlignment="1">
      <x:alignment vertical="top" wrapText="1"/>
    </x:xf>
    <x:xf numFmtId="0" fontId="2" fillId="92" borderId="0" xfId="0" applyNumberFormat="1" applyFont="1" applyFill="1" applyBorder="1" applyAlignment="1">
      <x:alignment horizontal="center" vertical="top" wrapText="1"/>
    </x:xf>
    <x:xf numFmtId="0" fontId="2" fillId="91" borderId="2" xfId="0" applyNumberFormat="1" applyFont="1" applyFill="1" applyBorder="1" applyAlignment="1">
      <x:alignment wrapText="1"/>
    </x:xf>
    <x:xf numFmtId="0" fontId="2" fillId="92" borderId="3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/>
    <x:xf numFmtId="0" fontId="2" fillId="91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93" borderId="0" xfId="0" applyNumberFormat="1" applyFont="1" applyFill="1" applyBorder="1"/>
    <x:xf numFmtId="0" fontId="2" fillId="93" borderId="0" xfId="0" applyNumberFormat="1" applyFont="1" applyFill="1" applyBorder="1"/>
    <x:xf numFmtId="0" fontId="2" fillId="93" borderId="0" xfId="0" applyNumberFormat="1" applyFont="1" applyFill="1" applyBorder="1" applyAlignment="1">
      <x:alignment wrapText="1"/>
    </x:xf>
    <x:xf numFmtId="0" fontId="0" fillId="94" borderId="0" xfId="0" applyNumberFormat="1" applyFont="1" applyFill="1" applyBorder="1" applyAlignment="1">
      <x:alignment vertical="top" wrapText="1"/>
    </x:xf>
    <x:xf numFmtId="0" fontId="2" fillId="94" borderId="0" xfId="0" applyNumberFormat="1" applyFont="1" applyFill="1" applyBorder="1" applyAlignment="1">
      <x:alignment vertical="top" wrapText="1"/>
    </x:xf>
    <x:xf numFmtId="0" fontId="2" fillId="94" borderId="0" xfId="0" applyNumberFormat="1" applyFont="1" applyFill="1" applyBorder="1" applyAlignment="1">
      <x:alignment horizontal="center" vertical="top" wrapText="1"/>
    </x:xf>
    <x:xf numFmtId="0" fontId="2" fillId="93" borderId="2" xfId="0" applyNumberFormat="1" applyFont="1" applyFill="1" applyBorder="1" applyAlignment="1">
      <x:alignment wrapText="1"/>
    </x:xf>
    <x:xf numFmtId="0" fontId="2" fillId="94" borderId="3" xfId="0" applyNumberFormat="1" applyFont="1" applyFill="1" applyBorder="1" applyAlignment="1">
      <x:alignment horizontal="center" vertical="top" wrapText="1"/>
    </x:xf>
    <x:xf numFmtId="0" fontId="2" fillId="93" borderId="3" xfId="0" applyNumberFormat="1" applyFont="1" applyFill="1" applyBorder="1" applyAlignment="1">
      <x:alignment wrapText="1"/>
    </x:xf>
    <x:xf numFmtId="0" fontId="0" fillId="95" borderId="0" xfId="0" applyNumberFormat="1" applyFont="1" applyFill="1" applyBorder="1"/>
    <x:xf numFmtId="0" fontId="2" fillId="95" borderId="0" xfId="0" applyNumberFormat="1" applyFont="1" applyFill="1" applyBorder="1"/>
    <x:xf numFmtId="0" fontId="2" fillId="95" borderId="0" xfId="0" applyNumberFormat="1" applyFont="1" applyFill="1" applyBorder="1" applyAlignment="1">
      <x:alignment horizontal="left"/>
    </x:xf>
    <x:xf numFmtId="0" fontId="2" fillId="95" borderId="0" xfId="0" applyNumberFormat="1" applyFont="1" applyFill="1" applyBorder="1" applyAlignment="1">
      <x:alignment horizontal="left" vertical="center"/>
    </x:xf>
    <x:xf numFmtId="0" fontId="0" fillId="96" borderId="0" xfId="0" applyNumberFormat="1" applyFont="1" applyFill="1" applyBorder="1"/>
    <x:xf numFmtId="0" fontId="9" fillId="96" borderId="0" xfId="0" applyNumberFormat="1" applyFont="1" applyFill="1" applyBorder="1"/>
    <x:xf numFmtId="0" fontId="9" fillId="96" borderId="0" xfId="0" applyNumberFormat="1" applyFont="1" applyFill="1" applyBorder="1" applyAlignment="1">
      <x:alignment wrapText="1"/>
    </x:xf>
    <x:xf numFmtId="0" fontId="0" fillId="97" borderId="0" xfId="0" applyNumberFormat="1" applyFont="1" applyFill="1" applyBorder="1"/>
    <x:xf numFmtId="0" fontId="2" fillId="97" borderId="0" xfId="0" applyNumberFormat="1" applyFont="1" applyFill="1" applyBorder="1"/>
    <x:xf numFmtId="0" fontId="2" fillId="97" borderId="0" xfId="0" applyNumberFormat="1" applyFont="1" applyFill="1" applyBorder="1" applyAlignment="1">
      <x:alignment horizontal="center"/>
    </x:xf>
    <x:xf numFmtId="0" fontId="2" fillId="97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right"/>
    </x:xf>
    <x:xf numFmtId="0" fontId="10" fillId="0" borderId="5" xfId="0" applyNumberFormat="1" applyFont="1" applyFill="1" applyBorder="1"/>
    <x:xf numFmtId="200" fontId="0" fillId="0" borderId="5" xfId="0" applyNumberFormat="1" applyFont="1" applyFill="1" applyBorder="1" applyAlignment="1">
      <x:alignment horizontal="right"/>
    </x:xf>
    <x:xf numFmtId="0" fontId="10" fillId="0" borderId="6" xfId="0" applyNumberFormat="1" applyFont="1" applyFill="1" applyBorder="1"/>
    <x:xf numFmtId="200" fontId="0" fillId="0" borderId="6" xfId="0" applyNumberFormat="1" applyFont="1" applyFill="1" applyBorder="1" applyAlignment="1">
      <x:alignment horizontal="right"/>
    </x:xf>
    <x:xf numFmtId="0" fontId="10" fillId="0" borderId="7" xfId="0" applyNumberFormat="1" applyFont="1" applyFill="1" applyBorder="1"/>
    <x:xf numFmtId="200" fontId="0" fillId="0" borderId="7" xfId="0" applyNumberFormat="1" applyFont="1" applyFill="1" applyBorder="1" applyAlignment="1">
      <x:alignment horizontal="right"/>
    </x:xf>
    <x:xf numFmtId="20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4">
    <x:dxf>
      <x:font>
        <x:b/>
        <x:color rgb="FF166534"/>
      </x:font>
      <x:fill>
        <x:patternFill>
          <x:bgColor rgb="FFDFF3E4"/>
        </x:patternFill>
      </x:fill>
    </x:dxf>
    <x:dxf>
      <x:font>
        <x:b/>
        <x:color rgb="FF991B1B"/>
      </x:font>
      <x:fill>
        <x:patternFill>
          <x:bgColor rgb="FFFDE2E2"/>
        </x:patternFill>
      </x:fill>
    </x:dxf>
    <x:dxf>
      <x:font>
        <x:b/>
        <x:color rgb="FF166534"/>
      </x:font>
      <x:fill>
        <x:patternFill>
          <x:bgColor rgb="FFDFF3E4"/>
        </x:patternFill>
      </x:fill>
    </x:dxf>
    <x:dxf>
      <x:font>
        <x:b/>
        <x:color rgb="FF991B1B"/>
      </x:font>
      <x:fill>
        <x:patternFill>
          <x:bgColor rgb="FFFDE2E2"/>
        </x:patternFill>
      </x:fill>
    </x:dxf>
    <x:dxf>
      <x:font>
        <x:b/>
        <x:color rgb="FF166534"/>
      </x:font>
      <x:fill>
        <x:patternFill>
          <x:bgColor rgb="FFDFF3E4"/>
        </x:patternFill>
      </x:fill>
    </x:dxf>
    <x:dxf>
      <x:font>
        <x:b/>
        <x:color rgb="FF991B1B"/>
      </x:font>
      <x:fill>
        <x:patternFill>
          <x:bgColor rgb="FFFDE2E2"/>
        </x:patternFill>
      </x:fill>
    </x:dxf>
    <x:dxf>
      <x:font>
        <x:b/>
        <x:color rgb="FF166534"/>
      </x:font>
      <x:fill>
        <x:patternFill>
          <x:bgColor rgb="FFDFF3E4"/>
        </x:patternFill>
      </x:fill>
    </x:dxf>
    <x:dxf>
      <x:font>
        <x:b/>
        <x:color rgb="FF991B1B"/>
      </x:font>
      <x:fill>
        <x:patternFill>
          <x:bgColor rgb="FFFDE2E2"/>
        </x:patternFill>
      </x:fill>
    </x:dxf>
    <x:dxf>
      <x:font>
        <x:b/>
        <x:color rgb="FF166534"/>
      </x:font>
      <x:fill>
        <x:patternFill>
          <x:bgColor rgb="FFDFF3E4"/>
        </x:patternFill>
      </x:fill>
    </x:dxf>
    <x:dxf>
      <x:font>
        <x:b/>
        <x:color rgb="FF991B1B"/>
      </x:font>
      <x:fill>
        <x:patternFill>
          <x:bgColor rgb="FFFDE2E2"/>
        </x:patternFill>
      </x:fill>
    </x:dxf>
    <x:dxf>
      <x:font>
        <x:b/>
        <x:color rgb="FF166534"/>
      </x:font>
      <x:fill>
        <x:patternFill>
          <x:bgColor rgb="FFDFF3E4"/>
        </x:patternFill>
      </x:fill>
    </x:dxf>
    <x:dxf>
      <x:font>
        <x:b/>
        <x:color rgb="FF991B1B"/>
      </x:font>
      <x:fill>
        <x:patternFill>
          <x:bgColor rgb="FFFDE2E2"/>
        </x:patternFill>
      </x:fill>
    </x:dxf>
    <x:dxf>
      <x:font>
        <x:b/>
        <x:color rgb="FF166534"/>
      </x:font>
      <x:fill>
        <x:patternFill>
          <x:bgColor rgb="FFDFF3E4"/>
        </x:patternFill>
      </x:fill>
    </x:dxf>
    <x:dxf>
      <x:font>
        <x:b/>
        <x:color rgb="FF991B1B"/>
      </x:font>
      <x:fill>
        <x:patternFill>
          <x:bgColor rgb="FFFDE2E2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8052d285564f6c" /><Relationship Type="http://schemas.openxmlformats.org/officeDocument/2006/relationships/theme" Target="/xl/theme/theme1.xml" Id="R404f19165f5d4467" /><Relationship Type="http://schemas.openxmlformats.org/officeDocument/2006/relationships/sharedStrings" Target="/xl/sharedStrings.xml" Id="Rc3200b52c4e247ce" /><Relationship Type="http://schemas.openxmlformats.org/officeDocument/2006/relationships/worksheet" Target="/xl/worksheets/sheet1.xml" Id="R314de6f5f1d34279" /><Relationship Type="http://schemas.openxmlformats.org/officeDocument/2006/relationships/worksheet" Target="/xl/worksheets/sheet2.xml" Id="R35f97e586bd3438c" /><Relationship Type="http://schemas.openxmlformats.org/officeDocument/2006/relationships/worksheet" Target="/xl/worksheets/sheet3.xml" Id="R46cead60b4a84fac" /><Relationship Type="http://schemas.openxmlformats.org/officeDocument/2006/relationships/worksheet" Target="/xl/worksheets/sheet4.xml" Id="Rc5e08f685c894325" /><Relationship Type="http://schemas.openxmlformats.org/officeDocument/2006/relationships/worksheet" Target="/xl/worksheets/sheet5.xml" Id="R0c05b95ddadc4398" /><Relationship Type="http://schemas.openxmlformats.org/officeDocument/2006/relationships/worksheet" Target="/xl/worksheets/sheet6.xml" Id="R16d5d5eaffb94936" /><Relationship Type="http://schemas.openxmlformats.org/officeDocument/2006/relationships/worksheet" Target="/xl/worksheets/sheet7.xml" Id="R3a25a7b4aa334772" /><Relationship Type="http://schemas.openxmlformats.org/officeDocument/2006/relationships/worksheet" Target="/xl/worksheets/sheet8.xml" Id="Re41184352e494b1b" /><Relationship Type="http://schemas.openxmlformats.org/officeDocument/2006/relationships/worksheet" Target="/xl/worksheets/sheet9.xml" Id="R75057008a9a74111" /><Relationship Type="http://schemas.openxmlformats.org/officeDocument/2006/relationships/worksheet" Target="/xl/worksheets/sheet10.xml" Id="Rc342d30f3c3f4fb1" /><Relationship Type="http://schemas.openxmlformats.org/officeDocument/2006/relationships/worksheet" Target="/xl/worksheets/sheet11.xml" Id="R7d4d0c67d31247d1" /><Relationship Type="http://schemas.openxmlformats.org/officeDocument/2006/relationships/worksheet" Target="/xl/worksheets/sheet12.xml" Id="Rdd5943b8ec464148" /><Relationship Type="http://schemas.openxmlformats.org/officeDocument/2006/relationships/worksheet" Target="/xl/worksheets/sheet13.xml" Id="R23112cbb419243fa" /><Relationship Type="http://schemas.openxmlformats.org/officeDocument/2006/relationships/worksheet" Target="/xl/worksheets/sheet14.xml" Id="Ra0e8aa95ae154dee" /></Relationships>
</file>

<file path=xl/tables/table1.xml><?xml version="1.0" encoding="utf-8"?>
<x:table xmlns:x="http://schemas.openxmlformats.org/spreadsheetml/2006/main" id="46" name="T_PETS" displayName="T_PETS" ref="A1:T370" headerRowCount="1" totalsRowCount="0" totalsRowShown="0">
  <x:tableColumns count="20">
    <x:tableColumn id="1" name="pet_id"/>
    <x:tableColumn id="2" name="name"/>
    <x:tableColumn id="3" name="element"/>
    <x:tableColumn id="4" name="tier"/>
    <x:tableColumn id="5" name="role"/>
    <x:tableColumn id="6" name="body_size"/>
    <x:tableColumn id="7" name="source_object_id"/>
    <x:tableColumn id="8" name="shop_store_ids"/>
    <x:tableColumn id="9" name="shop_count"/>
    <x:tableColumn id="10" name="hp"/>
    <x:tableColumn id="11" name="atk"/>
    <x:tableColumn id="12" name="shield"/>
    <x:tableColumn id="13" name="action"/>
    <x:tableColumn id="14" name="attack_grid_count"/>
    <x:tableColumn id="15" name="mechanism_id"/>
    <x:tableColumn id="16" name="shape_id"/>
    <x:tableColumn id="17" name="primary_enchant"/>
    <x:tableColumn id="18" name="note"/>
    <x:tableColumn id="19" name="enemy_move_range"/>
    <x:tableColumn id="20" name="enemy_attack_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7" name="T_SHOP_STORES" displayName="T_SHOP_STORES" ref="A1:M31" headerRowCount="1" totalsRowCount="0" totalsRowShown="0">
  <x:tableColumns count="13">
    <x:tableColumn id="1" name="shop_store_id"/>
    <x:tableColumn id="2" name="name"/>
    <x:tableColumn id="3" name="store_type"/>
    <x:tableColumn id="4" name="tags"/>
    <x:tableColumn id="5" name="default_slots"/>
    <x:tableColumn id="6" name="unlock_day"/>
    <x:tableColumn id="7" name="stall_count"/>
    <x:tableColumn id="8" name="day1_stalls"/>
    <x:tableColumn id="9" name="day2_stalls"/>
    <x:tableColumn id="10" name="day3_stalls"/>
    <x:tableColumn id="11" name="price_rule"/>
    <x:tableColumn id="12" name="status"/>
    <x:tableColumn id="13" name="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8" name="T_SHOP_ITEMS" displayName="T_SHOP_ITEMS" ref="A1:F370" headerRowCount="1" totalsRowCount="0" totalsRowShown="0">
  <x:tableColumns count="6">
    <x:tableColumn id="1" name="pet_id"/>
    <x:tableColumn id="2" name="unlock_day"/>
    <x:tableColumn id="3" name="tier_pool"/>
    <x:tableColumn id="4" name="shop_weight"/>
    <x:tableColumn id="5" name="reward_weight"/>
    <x:tableColumn id="6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9" name="T_BAZAAR_OBJECTS" displayName="T_BAZAAR_OBJECTS" ref="A1:S370" headerRowCount="1" totalsRowCount="0" totalsRowShown="0">
  <x:tableColumns count="19">
    <x:tableColumn id="1" name="object_id"/>
    <x:tableColumn id="2" name="object_no"/>
    <x:tableColumn id="3" name="source_type"/>
    <x:tableColumn id="4" name="source_status"/>
    <x:tableColumn id="5" name="source_slug"/>
    <x:tableColumn id="6" name="source_name"/>
    <x:tableColumn id="7" name="source_tier"/>
    <x:tableColumn id="8" name="source_size"/>
    <x:tableColumn id="9" name="source_tags"/>
    <x:tableColumn id="10" name="source_relation_count"/>
    <x:tableColumn id="11" name="source_stall_ids"/>
    <x:tableColumn id="12" name="local_shop_count"/>
    <x:tableColumn id="13" name="local_shop_ids"/>
    <x:tableColumn id="14" name="primary_enchant"/>
    <x:tableColumn id="15" name="pet_id"/>
    <x:tableColumn id="16" name="pet_name"/>
    <x:tableColumn id="17" name="source_url"/>
    <x:tableColumn id="18" name="source_effect"/>
    <x:tableColumn id="19" name="design_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0" name="T_SHOP_MAPPING" displayName="T_SHOP_MAPPING" ref="A1:P57" headerRowCount="1" totalsRowCount="0" totalsRowShown="0">
  <x:tableColumns count="16">
    <x:tableColumn id="1" name="source_node_type"/>
    <x:tableColumn id="2" name="source_slug"/>
    <x:tableColumn id="3" name="source_name"/>
    <x:tableColumn id="4" name="source_rule"/>
    <x:tableColumn id="5" name="source_object_count"/>
    <x:tableColumn id="6" name="stall_id"/>
    <x:tableColumn id="7" name="unlock_day"/>
    <x:tableColumn id="8" name="close_day"/>
    <x:tableColumn id="9" name="day1_status"/>
    <x:tableColumn id="10" name="day2_status"/>
    <x:tableColumn id="11" name="day3_status"/>
    <x:tableColumn id="12" name="offer_slots"/>
    <x:tableColumn id="13" name="free_rerolls"/>
    <x:tableColumn id="14" name="local_shop_id"/>
    <x:tableColumn id="15" name="local_shop_name"/>
    <x:tableColumn id="16" name="mapping_rul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1" name="T_ENCHANTMENTS" displayName="T_ENCHANTMENTS" ref="A1:H14" headerRowCount="1" totalsRowCount="0" totalsRowShown="0">
  <x:tableColumns count="8">
    <x:tableColumn id="1" name="enchant_id"/>
    <x:tableColumn id="2" name="name_zh"/>
    <x:tableColumn id="3" name="class"/>
    <x:tableColumn id="4" name="bronze_effect"/>
    <x:tableColumn id="5" name="silver_effect"/>
    <x:tableColumn id="6" name="gold_effect"/>
    <x:tableColumn id="7" name="diamond_effect"/>
    <x:tableColumn id="8" name="recommended_fo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2" name="T_PET_ENCHANTMENTS" displayName="T_PET_ENCHANTMENTS" ref="A1:G370" headerRowCount="1" totalsRowCount="0" totalsRowShown="0">
  <x:tableColumns count="7">
    <x:tableColumn id="1" name="pet_id"/>
    <x:tableColumn id="2" name="pet_name"/>
    <x:tableColumn id="3" name="source_object_id"/>
    <x:tableColumn id="4" name="primary_enchant"/>
    <x:tableColumn id="5" name="eligible_enchant_count"/>
    <x:tableColumn id="6" name="eligible_enchants"/>
    <x:tableColumn id="7" name="classification_reas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53" name="PetStatRulesTable" displayName="PetStatRulesTable" ref="A4:G88" headerRowCount="1" totalsRowCount="0" totalsRowShown="0">
  <x:tableColumns count="7">
    <x:tableColumn id="1" name="rule_key"/>
    <x:tableColumn id="2" name="设计维度"/>
    <x:tableColumn id="3" name="hp"/>
    <x:tableColumn id="4" name="atk"/>
    <x:tableColumn id="5" name="def"/>
    <x:tableColumn id="6" name="shield"/>
    <x:tableColumn id="7" name="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b3e9f6c8fe437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195942d3844a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3ffeece9c8149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4.xml" Id="R5232e88d7ead41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ff68e42a71cf482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e99e9780898b48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2a311cddb749425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8.xml" Id="R3003aea6287b4b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hidden="0" customWidth="1"/>
    <x:col min="2" max="2" width="36" hidden="0" customWidth="1"/>
    <x:col min="3" max="3" width="24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42" hidden="0" customWidth="1"/>
  </x:cols>
  <x:sheetData>
    <x:row r="1" ht="42" customHeight="1">
      <x:c r="A1" s="252" t="str">
        <x:v>西游宠物 369｜Vanessa 对象映射总表</x:v>
      </x:c>
      <x:c r="B1" s="252"/>
      <x:c r="C1" s="252"/>
      <x:c r="D1" s="252"/>
      <x:c r="E1" s="252"/>
      <x:c r="F1" s="252"/>
      <x:c r="G1" s="252"/>
      <x:c r="H1" s="252"/>
    </x:row>
    <x:row r="2" ht="28" customHeight="1">
      <x:c r="A2" s="253" t="str">
        <x:v>369 = 138 普通物品宠 + 93 商人包宠 + 138 技能宠；前 30 个西游地点按来源摊位独立抽取，不再人工补足 8 店。</x:v>
      </x:c>
      <x:c r="B2" s="253"/>
      <x:c r="C2" s="253"/>
      <x:c r="D2" s="253"/>
      <x:c r="E2" s="253"/>
      <x:c r="F2" s="253"/>
      <x:c r="G2" s="253"/>
      <x:c r="H2" s="253"/>
    </x:row>
    <x:row r="3">
      <x:c r="A3" s="15"/>
      <x:c r="B3" s="15"/>
      <x:c r="C3" s="15"/>
      <x:c r="D3" s="15"/>
      <x:c r="E3" s="15"/>
      <x:c r="F3" s="15"/>
      <x:c r="G3" s="15"/>
      <x:c r="H3" s="15"/>
    </x:row>
    <x:row r="4">
      <x:c r="A4" s="238" t="str">
        <x:v>指标</x:v>
      </x:c>
      <x:c r="B4" s="238" t="str">
        <x:v>结果</x:v>
      </x:c>
      <x:c r="C4" s="15"/>
      <x:c r="D4" s="238" t="str">
        <x:v>设计口径</x:v>
      </x:c>
      <x:c r="E4" s="238"/>
      <x:c r="F4" s="238"/>
      <x:c r="G4" s="238"/>
      <x:c r="H4" s="238"/>
    </x:row>
    <x:row r="5">
      <x:c r="A5" s="254" t="str">
        <x:v>宠物总数</x:v>
      </x:c>
      <x:c r="B5" s="15" t="n">
        <x:v>369</x:v>
      </x:c>
      <x:c r="C5" s="15"/>
      <x:c r="D5" s="255" t="str">
        <x:v>分类</x:v>
      </x:c>
      <x:c r="E5" s="255" t="str">
        <x:v>表内落点</x:v>
      </x:c>
      <x:c r="F5" s="255" t="str">
        <x:v>规则</x:v>
      </x:c>
      <x:c r="G5" s="255" t="str">
        <x:v>运行边界</x:v>
      </x:c>
      <x:c r="H5" s="255" t="str">
        <x:v>备注</x:v>
      </x:c>
    </x:row>
    <x:row r="6">
      <x:c r="A6" s="254" t="str">
        <x:v>普通物品宠</x:v>
      </x:c>
      <x:c r="B6" s="15" t="n">
        <x:v>138</x:v>
      </x:c>
      <x:c r="C6" s="15"/>
      <x:c r="D6" s="15" t="str">
        <x:v>对象</x:v>
      </x:c>
      <x:c r="E6" s="15" t="str">
        <x:v>BAZAAR_OBJECTS</x:v>
      </x:c>
      <x:c r="F6" s="15" t="str">
        <x:v>物品和技能均一对一成为宠物</x:v>
      </x:c>
      <x:c r="G6" s="15" t="str">
        <x:v>369 个 pet_id</x:v>
      </x:c>
      <x:c r="H6" s="15" t="str">
        <x:v>技能不再是表外技能</x:v>
      </x:c>
    </x:row>
    <x:row r="7">
      <x:c r="A7" s="254" t="str">
        <x:v>商人包宠</x:v>
      </x:c>
      <x:c r="B7" s="15" t="n">
        <x:v>93</x:v>
      </x:c>
      <x:c r="C7" s="15"/>
      <x:c r="D7" s="15" t="str">
        <x:v>商人包</x:v>
      </x:c>
      <x:c r="E7" s="15" t="str">
        <x:v>BAZAAR_OBJECTS</x:v>
      </x:c>
      <x:c r="F7" s="15" t="str">
        <x:v>93 张卡按 card_id / 品质 / 占格独立成宠</x:v>
      </x:c>
      <x:c r="G7" s="15" t="str">
        <x:v>32 个商人组</x:v>
      </x:c>
      <x:c r="H7" s="15" t="str">
        <x:v>不再使用 donor 画像</x:v>
      </x:c>
    </x:row>
    <x:row r="8">
      <x:c r="A8" s="254" t="str">
        <x:v>技能宠</x:v>
      </x:c>
      <x:c r="B8" s="15" t="n">
        <x:v>138</x:v>
      </x:c>
      <x:c r="C8" s="15"/>
      <x:c r="D8" s="15" t="str">
        <x:v>品质</x:v>
      </x:c>
      <x:c r="E8" s="15" t="str">
        <x:v>PETS.tier</x:v>
      </x:c>
      <x:c r="F8" s="15" t="str">
        <x:v>青铜/白银/黄金/钻石同档映射</x:v>
      </x:c>
      <x:c r="G8" s="15" t="str">
        <x:v>成长仍走品质表</x:v>
      </x:c>
      <x:c r="H8" s="15" t="str">
        <x:v>来源起始品质</x:v>
      </x:c>
    </x:row>
    <x:row r="9">
      <x:c r="A9" s="254" t="str">
        <x:v>正式西游地点</x:v>
      </x:c>
      <x:c r="B9" s="15" t="n">
        <x:v>30</x:v>
      </x:c>
      <x:c r="C9" s="15"/>
      <x:c r="D9" s="15" t="str">
        <x:v>占格</x:v>
      </x:c>
      <x:c r="E9" s="15" t="str">
        <x:v>PETS.body_size</x:v>
      </x:c>
      <x:c r="F9" s="15" t="str">
        <x:v>Small/Medium/Large → 一/两/三格</x:v>
      </x:c>
      <x:c r="G9" s="15" t="str">
        <x:v>战斗体型</x:v>
      </x:c>
      <x:c r="H9" s="15" t="str">
        <x:v>技能按来源 Medium=两格</x:v>
      </x:c>
    </x:row>
    <x:row r="10">
      <x:c r="A10" s="254" t="str">
        <x:v>来源独立摊位</x:v>
      </x:c>
      <x:c r="B10" s="15" t="n">
        <x:v>56</x:v>
      </x:c>
      <x:c r="C10" s="15"/>
      <x:c r="D10" s="15" t="str">
        <x:v>攻击格</x:v>
      </x:c>
      <x:c r="E10" s="15" t="str">
        <x:v>attack_grid_count + shape_id</x:v>
      </x:c>
      <x:c r="F10" s="15" t="str">
        <x:v>语义推导 1/2/3 格，再落到 19 形状</x:v>
      </x:c>
      <x:c r="G10" s="15" t="str">
        <x:v>正式攻击形状</x:v>
      </x:c>
      <x:c r="H10" s="15" t="str">
        <x:v>所有形状仍结算 3 次</x:v>
      </x:c>
    </x:row>
    <x:row r="11">
      <x:c r="A11" s="254" t="str">
        <x:v>第1天开放摊位</x:v>
      </x:c>
      <x:c r="B11" s="15" t="n">
        <x:v>9</x:v>
      </x:c>
      <x:c r="C11" s="15"/>
      <x:c r="D11" s="15" t="str">
        <x:v>商店</x:v>
      </x:c>
      <x:c r="E11" s="15" t="str">
        <x:v>SHOP_MAPPING + shop_store_ids</x:v>
      </x:c>
      <x:c r="F11" s="15" t="str">
        <x:v>只保留来源关系并压缩到30地点</x:v>
      </x:c>
      <x:c r="G11" s="15" t="str">
        <x:v>摊位独立抽取</x:v>
      </x:c>
      <x:c r="H11" s="15" t="str">
        <x:v>删除每宠至少8店</x:v>
      </x:c>
    </x:row>
    <x:row r="12">
      <x:c r="A12" s="254" t="str">
        <x:v>第2天开放摊位</x:v>
      </x:c>
      <x:c r="B12" s="15" t="n">
        <x:v>10</x:v>
      </x:c>
      <x:c r="C12" s="15"/>
      <x:c r="D12" s="15" t="str">
        <x:v>前三天</x:v>
      </x:c>
      <x:c r="E12" s="15" t="str">
        <x:v>SHOP_MAPPING</x:v>
      </x:c>
      <x:c r="F12" s="15" t="str">
        <x:v>Day1=9摊；Day2/3=10摊</x:v>
      </x:c>
      <x:c r="G12" s="15" t="str">
        <x:v>普通3格/1刷；Curio 10格/1刷</x:v>
      </x:c>
      <x:c r="H12" s="15" t="str">
        <x:v>Kina Day1后离场，Mittel/Quixel Day2进入</x:v>
      </x:c>
    </x:row>
    <x:row r="13">
      <x:c r="A13" s="254" t="str">
        <x:v>第3天开放摊位</x:v>
      </x:c>
      <x:c r="B13" s="15" t="n">
        <x:v>10</x:v>
      </x:c>
      <x:c r="C13" s="15"/>
      <x:c r="D13" s="15" t="str">
        <x:v>附魔</x:v>
      </x:c>
      <x:c r="E13" s="15" t="str">
        <x:v>ENCHANTMENTS</x:v>
      </x:c>
      <x:c r="F13" s="15" t="str">
        <x:v>13 类、四品质效果</x:v>
      </x:c>
      <x:c r="G13" s="15" t="str">
        <x:v>当前为策划合同</x:v>
      </x:c>
      <x:c r="H13" s="15" t="str">
        <x:v>主附魔用于宠物分类</x:v>
      </x:c>
    </x:row>
    <x:row r="14">
      <x:c r="A14" s="254" t="str">
        <x:v>每宠最少来源地点</x:v>
      </x:c>
      <x:c r="B14" s="15" t="n">
        <x:v>1</x:v>
      </x:c>
      <x:c r="C14" s="15"/>
      <x:c r="D14" s="15" t="str">
        <x:v>宠物附魔</x:v>
      </x:c>
      <x:c r="E14" s="15" t="str">
        <x:v>PET_ENCHANTMENTS</x:v>
      </x:c>
      <x:c r="F14" s="15" t="str">
        <x:v>每宠选1个主附魔，13类均可成长</x:v>
      </x:c>
      <x:c r="G14" s="15" t="str">
        <x:v>后续 runtime 接线</x:v>
      </x:c>
      <x:c r="H14" s="15" t="str">
        <x:v>本轮先完成表格设计</x:v>
      </x:c>
    </x:row>
    <x:row r="15">
      <x:c r="A15" s="254" t="str">
        <x:v>每宠最多来源地点</x:v>
      </x:c>
      <x:c r="B15" s="15" t="n">
        <x:v>10</x:v>
      </x:c>
      <x:c r="C15" s="15"/>
      <x:c r="D15" s="15"/>
      <x:c r="E15" s="15"/>
      <x:c r="F15" s="15"/>
      <x:c r="G15" s="15"/>
      <x:c r="H15" s="15"/>
    </x:row>
    <x:row r="16">
      <x:c r="A16" s="254" t="str">
        <x:v>附魔类型</x:v>
      </x:c>
      <x:c r="B16" s="15" t="n">
        <x:v>13</x:v>
      </x:c>
      <x:c r="C16" s="15"/>
      <x:c r="D16" s="15"/>
      <x:c r="E16" s="15"/>
      <x:c r="F16" s="15"/>
      <x:c r="G16" s="15"/>
      <x:c r="H16" s="15"/>
    </x:row>
    <x:row r="17">
      <x:c r="A17" s="254" t="str">
        <x:v>攻击格分类</x:v>
      </x:c>
      <x:c r="B17" s="15" t="str">
        <x:v>1格 / 2格 / 3格</x:v>
      </x:c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256" t="str">
        <x:v>导出链</x:v>
      </x:c>
      <x:c r="B19" s="256"/>
      <x:c r="C19" s="256"/>
      <x:c r="D19" s="256"/>
      <x:c r="E19" s="256"/>
      <x:c r="F19" s="256"/>
      <x:c r="G19" s="256"/>
      <x:c r="H19" s="256"/>
    </x:row>
    <x:row r="20">
      <x:c r="A20" s="255" t="str">
        <x:v>步骤</x:v>
      </x:c>
      <x:c r="B20" s="255" t="str">
        <x:v>命令 / 产物</x:v>
      </x:c>
      <x:c r="C20" s="255" t="str"/>
      <x:c r="D20" s="255" t="str"/>
      <x:c r="E20" s="255" t="str"/>
      <x:c r="F20" s="255" t="str"/>
      <x:c r="G20" s="255" t="str"/>
      <x:c r="H20" s="255" t="str"/>
    </x:row>
    <x:row r="21">
      <x:c r="A21" s="15" t="str">
        <x:v>1</x:v>
      </x:c>
      <x:c r="B21" s="15" t="str">
        <x:v>本文件为人类策划真相源</x:v>
      </x:c>
      <x:c r="C21" s="15" t="str"/>
      <x:c r="D21" s="15" t="str"/>
      <x:c r="E21" s="15" t="str"/>
      <x:c r="F21" s="15" t="str"/>
      <x:c r="G21" s="15" t="str"/>
      <x:c r="H21" s="15" t="str"/>
    </x:row>
    <x:row r="22">
      <x:c r="A22" s="15" t="str">
        <x:v>2</x:v>
      </x:c>
      <x:c r="B22" s="15" t="str">
        <x:v>npm run data:export → data/csv/*.csv</x:v>
      </x:c>
      <x:c r="C22" s="15" t="str"/>
      <x:c r="D22" s="15" t="str"/>
      <x:c r="E22" s="15" t="str"/>
      <x:c r="F22" s="15" t="str"/>
      <x:c r="G22" s="15" t="str"/>
      <x:c r="H22" s="15" t="str"/>
    </x:row>
    <x:row r="23">
      <x:c r="A23" s="15" t="str">
        <x:v>3</x:v>
      </x:c>
      <x:c r="B23" s="15" t="str">
        <x:v>python3 tools/export_ysbzs_singleplayer_data.py → Godot JSON</x:v>
      </x:c>
      <x:c r="C23" s="15" t="str"/>
      <x:c r="D23" s="15" t="str"/>
      <x:c r="E23" s="15" t="str"/>
      <x:c r="F23" s="15" t="str"/>
      <x:c r="G23" s="15" t="str"/>
      <x:c r="H23" s="15" t="str"/>
    </x:row>
    <x:row r="24">
      <x:c r="A24" s="15"/>
      <x:c r="B24" s="15"/>
      <x:c r="C24" s="15"/>
      <x:c r="D24" s="15"/>
      <x:c r="E24" s="15"/>
      <x:c r="F24" s="15"/>
      <x:c r="G24" s="15"/>
      <x:c r="H24" s="15"/>
    </x:row>
    <x:row r="25">
      <x:c r="A25" s="15"/>
      <x:c r="B25" s="15"/>
      <x:c r="C25" s="15"/>
      <x:c r="D25" s="15"/>
      <x:c r="E25" s="15"/>
      <x:c r="F25" s="15"/>
      <x:c r="G25" s="15"/>
      <x:c r="H25" s="15"/>
    </x:row>
    <x:row r="26">
      <x:c r="A26" s="15"/>
      <x:c r="B26" s="15"/>
      <x:c r="C26" s="15"/>
      <x:c r="D26" s="15"/>
      <x:c r="E26" s="15"/>
      <x:c r="F26" s="15"/>
      <x:c r="G26" s="15"/>
      <x:c r="H26" s="15"/>
    </x:row>
    <x:row r="27">
      <x:c r="A27" s="15"/>
      <x:c r="B27" s="15"/>
      <x:c r="C27" s="15"/>
      <x:c r="D27" s="15"/>
      <x:c r="E27" s="15"/>
      <x:c r="F27" s="15"/>
      <x:c r="G27" s="15"/>
      <x:c r="H27" s="15"/>
    </x:row>
    <x:row r="28">
      <x:c r="A28" s="15"/>
      <x:c r="B28" s="15"/>
      <x:c r="C28" s="15"/>
      <x:c r="D28" s="15"/>
      <x:c r="E28" s="15"/>
      <x:c r="F28" s="15"/>
      <x:c r="G28" s="15"/>
      <x:c r="H28" s="15"/>
    </x:row>
    <x:row r="29">
      <x:c r="A29" s="15"/>
      <x:c r="B29" s="15"/>
      <x:c r="C29" s="15"/>
      <x:c r="D29" s="15"/>
      <x:c r="E29" s="15"/>
      <x:c r="F29" s="15"/>
      <x:c r="G29" s="15"/>
      <x:c r="H29" s="15"/>
    </x:row>
    <x:row r="30">
      <x:c r="A30" s="15"/>
      <x:c r="B30" s="15"/>
      <x:c r="C30" s="15"/>
      <x:c r="D30" s="15"/>
      <x:c r="E30" s="15"/>
      <x:c r="F30" s="15"/>
      <x:c r="G30" s="15"/>
      <x:c r="H30" s="15"/>
    </x:row>
    <x:row r="31">
      <x:c r="A31" s="15"/>
      <x:c r="B31" s="15"/>
      <x:c r="C31" s="15"/>
      <x:c r="D31" s="15"/>
      <x:c r="E31" s="15"/>
      <x:c r="F31" s="15"/>
      <x:c r="G31" s="15"/>
      <x:c r="H31" s="15"/>
    </x:row>
    <x:row r="32">
      <x:c r="A32" s="15"/>
      <x:c r="B32" s="15"/>
      <x:c r="C32" s="15"/>
      <x:c r="D32" s="15"/>
      <x:c r="E32" s="15"/>
      <x:c r="F32" s="15"/>
      <x:c r="G32" s="15"/>
      <x:c r="H32" s="15"/>
    </x:row>
    <x:row r="33">
      <x:c r="A33" s="15"/>
      <x:c r="B33" s="15"/>
      <x:c r="C33" s="15"/>
      <x:c r="D33" s="15"/>
      <x:c r="E33" s="15"/>
      <x:c r="F33" s="15"/>
      <x:c r="G33" s="15"/>
      <x:c r="H33" s="15"/>
    </x:row>
    <x:row r="34">
      <x:c r="A34" s="15"/>
      <x:c r="B34" s="15"/>
      <x:c r="C34" s="15"/>
      <x:c r="D34" s="15"/>
      <x:c r="E34" s="15"/>
      <x:c r="F34" s="15"/>
      <x:c r="G34" s="15"/>
      <x:c r="H34" s="15"/>
    </x:row>
    <x:row r="35">
      <x:c r="A35" s="15"/>
      <x:c r="B35" s="15"/>
      <x:c r="C35" s="15"/>
      <x:c r="D35" s="15"/>
      <x:c r="E35" s="15"/>
      <x:c r="F35" s="15"/>
      <x:c r="G35" s="15"/>
      <x:c r="H35" s="15"/>
    </x:row>
    <x:row r="36">
      <x:c r="A36" s="15"/>
      <x:c r="B36" s="15"/>
      <x:c r="C36" s="15"/>
      <x:c r="D36" s="15"/>
      <x:c r="E36" s="15"/>
      <x:c r="F36" s="15"/>
      <x:c r="G36" s="15"/>
      <x:c r="H36" s="15"/>
    </x:row>
    <x:row r="37">
      <x:c r="A37" s="15"/>
      <x:c r="B37" s="15"/>
      <x:c r="C37" s="15"/>
      <x:c r="D37" s="15"/>
      <x:c r="E37" s="15"/>
      <x:c r="F37" s="15"/>
      <x:c r="G37" s="15"/>
      <x:c r="H37" s="15"/>
    </x:row>
    <x:row r="38">
      <x:c r="A38" s="15"/>
      <x:c r="B38" s="15"/>
      <x:c r="C38" s="15"/>
      <x:c r="D38" s="15"/>
      <x:c r="E38" s="15"/>
      <x:c r="F38" s="15"/>
      <x:c r="G38" s="15"/>
      <x:c r="H38" s="15"/>
    </x:row>
    <x:row r="39">
      <x:c r="A39" s="15"/>
      <x:c r="B39" s="15"/>
      <x:c r="C39" s="15"/>
      <x:c r="D39" s="15"/>
      <x:c r="E39" s="15"/>
      <x:c r="F39" s="15"/>
      <x:c r="G39" s="15"/>
      <x:c r="H39" s="15"/>
    </x:row>
    <x:row r="40">
      <x:c r="A40" s="15"/>
      <x:c r="B40" s="15"/>
      <x:c r="C40" s="15"/>
      <x:c r="D40" s="15"/>
      <x:c r="E40" s="15"/>
      <x:c r="F40" s="15"/>
      <x:c r="G40" s="15"/>
      <x:c r="H40" s="15"/>
    </x:row>
  </x:sheetData>
  <x:mergeCells>
    <x:mergeCell ref="A19:H19"/>
    <x:mergeCell ref="A1:H1"/>
    <x:mergeCell ref="A2:H2"/>
    <x:mergeCell ref="D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hidden="0" customWidth="1"/>
    <x:col min="2" max="2" width="12" hidden="0" customWidth="1"/>
    <x:col min="3" max="3" width="12" hidden="0" customWidth="1"/>
    <x:col min="4" max="4" width="10" hidden="0" customWidth="1"/>
    <x:col min="5" max="5" width="10" hidden="0" customWidth="1"/>
    <x:col min="6" max="6" width="10" hidden="0" customWidth="1"/>
    <x:col min="7" max="7" width="16" hidden="0" customWidth="1"/>
    <x:col min="8" max="8" width="54" hidden="0" customWidth="1"/>
    <x:col min="9" max="9" width="10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13" hidden="0" customWidth="1"/>
    <x:col min="15" max="15" width="26" hidden="0" customWidth="1"/>
    <x:col min="16" max="16" width="14" hidden="0" customWidth="1"/>
    <x:col min="17" max="17" width="16" hidden="0" customWidth="1"/>
    <x:col min="18" max="18" width="52" hidden="0" customWidth="1"/>
    <x:col min="19" max="19" width="18" hidden="0" customWidth="1"/>
    <x:col min="20" max="20" width="18" hidden="0" customWidth="1"/>
    <x:col min="21" max="21" width="52" hidden="0" customWidth="1"/>
    <x:col min="22" max="22" width="28" hidden="0" customWidth="1"/>
  </x:cols>
  <x:sheetData>
    <x:row r="1" ht="32" customHeight="1">
      <x:c r="A1" s="240" t="str">
        <x:v>pet_id</x:v>
      </x:c>
      <x:c r="B1" s="240" t="str">
        <x:v>name</x:v>
      </x:c>
      <x:c r="C1" s="240" t="str">
        <x:v>element</x:v>
      </x:c>
      <x:c r="D1" s="240" t="str">
        <x:v>tier</x:v>
      </x:c>
      <x:c r="E1" s="240" t="str">
        <x:v>role</x:v>
      </x:c>
      <x:c r="F1" s="240" t="str">
        <x:v>body_size</x:v>
      </x:c>
      <x:c r="G1" s="240" t="str">
        <x:v>source_object_id</x:v>
      </x:c>
      <x:c r="H1" s="240" t="str">
        <x:v>shop_store_ids</x:v>
      </x:c>
      <x:c r="I1" s="240" t="str">
        <x:v>shop_count</x:v>
      </x:c>
      <x:c r="J1" s="240" t="str">
        <x:v>hp</x:v>
      </x:c>
      <x:c r="K1" s="240" t="str">
        <x:v>atk</x:v>
      </x:c>
      <x:c r="L1" s="240" t="str">
        <x:v>shield</x:v>
      </x:c>
      <x:c r="M1" s="240" t="str">
        <x:v>action</x:v>
      </x:c>
      <x:c r="N1" s="240" t="str">
        <x:v>attack_grid_count</x:v>
      </x:c>
      <x:c r="O1" s="240" t="str">
        <x:v>mechanism_id</x:v>
      </x:c>
      <x:c r="P1" s="240" t="str">
        <x:v>shape_id</x:v>
      </x:c>
      <x:c r="Q1" s="240" t="str">
        <x:v>primary_enchant</x:v>
      </x:c>
      <x:c r="R1" s="240" t="str">
        <x:v>note</x:v>
      </x:c>
      <x:c r="S1" s="240" t="str">
        <x:v>enemy_move_range</x:v>
      </x:c>
      <x:c r="T1" s="240" t="str">
        <x:v>enemy_attack_count</x:v>
      </x:c>
      <x:c r="U1" s="15" t="str">
        <x:v>skill_ids</x:v>
      </x:c>
      <x:c r="V1" s="15" t="str">
        <x:v>trait_ids</x:v>
      </x:c>
      <x:c r="W1" t="str">
        <x:v>def</x:v>
      </x:c>
    </x:row>
    <x:row r="2">
      <x:c r="A2" s="38" t="str">
        <x:v>pal_001</x:v>
      </x:c>
      <x:c r="B2" s="38" t="str">
        <x:v>棉角羊</x:v>
      </x:c>
      <x:c r="C2" s="38" t="str">
        <x:v>水、龙</x:v>
      </x:c>
      <x:c r="D2" s="259" t="str">
        <x:v>青铜</x:v>
      </x:c>
      <x:c r="E2" s="38" t="str">
        <x:v>治疗</x:v>
      </x:c>
      <x:c r="F2" s="38" t="str">
        <x:v>一格</x:v>
      </x:c>
      <x:c r="G2" s="38" t="str">
        <x:v>bz_van_001</x:v>
      </x:c>
      <x:c r="H2" s="38" t="str">
        <x:v>night_base, elem_火, elem_雷, elem_冰, elem_地, role_召唤, role_坦克, role_控制, role_输出, role_机动</x:v>
      </x:c>
      <x:c r="I2" s="38" t="n">
        <x:v>10</x:v>
      </x:c>
      <x:c r="J2" s="340" t="n">
        <x:v>20</x:v>
      </x:c>
      <x:c r="K2" s="340" t="n">
        <x:v>8</x:v>
      </x:c>
      <x:c r="L2" s="340" t="n">
        <x:v>0</x:v>
      </x:c>
      <x:c r="M2" s="340" t="n">
        <x:f>XLOOKUP($D2&amp;"|"&amp;$E2&amp;"|"&amp;$F2,'PET_STAT_RULES'!$A$5:$A$88,'PET_STAT_RULES'!$G$5:$G$88)</x:f>
        <x:v>3</x:v>
      </x:c>
      <x:c r="N2" s="38" t="n">
        <x:v>1</x:v>
      </x:c>
      <x:c r="O2" s="38" t="str">
        <x:v>mech_shield_regen</x:v>
      </x:c>
      <x:c r="P2" s="38" t="str">
        <x:v>02 形状02</x:v>
      </x:c>
      <x:c r="Q2" s="38" t="str">
        <x:v>Restorative</x:v>
      </x:c>
      <x:c r="R2" s="38" t="str">
        <x:v>item confirmed；来源=Ambergris；攻击1格；仅保留来源商人/训练师关系。</x:v>
      </x:c>
      <x:c r="S2" s="38" t="n">
        <x:v>3</x:v>
      </x:c>
      <x:c r="T2" s="38" t="n">
        <x:v>1</x:v>
      </x:c>
      <x:c r="U2" s="15" t="str">
        <x:v>skill_vanguard,skill_flank,skill_pierce,skill_revolve,skill_chase,skill_break,skill_suppress,skill_finale</x:v>
      </x:c>
      <x:c r="V2" s="15" t="str">
        <x:v>trait_element_affinity</x:v>
      </x:c>
      <x:c r="W2" s="332" t="n">
        <x:v>0</x:v>
      </x:c>
    </x:row>
    <x:row r="3">
      <x:c r="A3" s="38" t="str">
        <x:v>pal_002</x:v>
      </x:c>
      <x:c r="B3" s="38" t="str">
        <x:v>灰尾狸</x:v>
      </x:c>
      <x:c r="C3" s="38" t="str">
        <x:v>水、地</x:v>
      </x:c>
      <x:c r="D3" s="262" t="str">
        <x:v>黄金</x:v>
      </x:c>
      <x:c r="E3" s="38" t="str">
        <x:v>治疗</x:v>
      </x:c>
      <x:c r="F3" s="38" t="str">
        <x:v>两格</x:v>
      </x:c>
      <x:c r="G3" s="38" t="str">
        <x:v>bz_van_002</x:v>
      </x:c>
      <x:c r="H3" s="38" t="str">
        <x:v>night_base, elem_水, elem_雷, elem_无, role_坦克, role_控制, role_输出, special_merchant, elite_high, role_远点压制</x:v>
      </x:c>
      <x:c r="I3" s="38" t="n">
        <x:v>10</x:v>
      </x:c>
      <x:c r="J3" s="340" t="n">
        <x:v>22</x:v>
      </x:c>
      <x:c r="K3" s="340" t="n">
        <x:v>5</x:v>
      </x:c>
      <x:c r="L3" s="340" t="n">
        <x:v>0</x:v>
      </x:c>
      <x:c r="M3" s="340" t="n">
        <x:f>XLOOKUP($D3&amp;"|"&amp;$E3&amp;"|"&amp;$F3,'PET_STAT_RULES'!$A$5:$A$88,'PET_STAT_RULES'!$G$5:$G$88)</x:f>
        <x:v>3</x:v>
      </x:c>
      <x:c r="N3" s="38" t="n">
        <x:v>2</x:v>
      </x:c>
      <x:c r="O3" s="38" t="str">
        <x:v>mech_shield_regen</x:v>
      </x:c>
      <x:c r="P3" s="38" t="str">
        <x:v>09 形状09</x:v>
      </x:c>
      <x:c r="Q3" s="38" t="str">
        <x:v>Turbo</x:v>
      </x:c>
      <x:c r="R3" s="38" t="str">
        <x:v>item confirmed；来源=Anchor；攻击2格；仅保留来源商人/训练师关系。</x:v>
      </x:c>
      <x:c r="S3" s="38" t="n">
        <x:v>3</x:v>
      </x:c>
      <x:c r="T3" s="38" t="n">
        <x:v>2</x:v>
      </x:c>
      <x:c r="U3" s="15" t="str">
        <x:v>skill_vanguard,skill_flank,skill_pierce,skill_revolve,skill_chase,skill_break,skill_suppress,skill_finale</x:v>
      </x:c>
      <x:c r="V3" s="15" t="str">
        <x:v>trait_element_affinity</x:v>
      </x:c>
      <x:c r="W3" s="332" t="n">
        <x:v>0</x:v>
      </x:c>
    </x:row>
    <x:row r="4">
      <x:c r="A4" s="38" t="str">
        <x:v>pal_003</x:v>
      </x:c>
      <x:c r="B4" s="38" t="str">
        <x:v>芦花鸡</x:v>
      </x:c>
      <x:c r="C4" s="38" t="str">
        <x:v>雷</x:v>
      </x:c>
      <x:c r="D4" s="265" t="str">
        <x:v>白银</x:v>
      </x:c>
      <x:c r="E4" s="38" t="str">
        <x:v>机动</x:v>
      </x:c>
      <x:c r="F4" s="38" t="str">
        <x:v>两格</x:v>
      </x:c>
      <x:c r="G4" s="38" t="str">
        <x:v>bz_van_003</x:v>
      </x:c>
      <x:c r="H4" s="38" t="str">
        <x:v>night_base, elem_水, elem_雷, elem_无, role_召唤, role_坦克, role_控制, role_机动, special_merchant, elite_high</x:v>
      </x:c>
      <x:c r="I4" s="38" t="n">
        <x:v>10</x:v>
      </x:c>
      <x:c r="J4" s="340" t="n">
        <x:v>22</x:v>
      </x:c>
      <x:c r="K4" s="340" t="n">
        <x:v>5</x:v>
      </x:c>
      <x:c r="L4" s="340" t="n">
        <x:v>0</x:v>
      </x:c>
      <x:c r="M4" s="340" t="n">
        <x:f>XLOOKUP($D4&amp;"|"&amp;$E4&amp;"|"&amp;$F4,'PET_STAT_RULES'!$A$5:$A$88,'PET_STAT_RULES'!$G$5:$G$88)</x:f>
        <x:v>5</x:v>
      </x:c>
      <x:c r="N4" s="38" t="n">
        <x:v>2</x:v>
      </x:c>
      <x:c r="O4" s="38" t="str">
        <x:v>none</x:v>
      </x:c>
      <x:c r="P4" s="38" t="str">
        <x:v>12 形状12</x:v>
      </x:c>
      <x:c r="Q4" s="38" t="str">
        <x:v>Turbo</x:v>
      </x:c>
      <x:c r="R4" s="38" t="str">
        <x:v>item confirmed；来源=Arbalest；攻击2格；仅保留来源商人/训练师关系。</x:v>
      </x:c>
      <x:c r="S4" s="38" t="n">
        <x:v>5</x:v>
      </x:c>
      <x:c r="T4" s="38" t="n">
        <x:v>2</x:v>
      </x:c>
      <x:c r="U4" s="15" t="str">
        <x:v>skill_vanguard,skill_flank,skill_pierce,skill_revolve,skill_chase,skill_break,skill_suppress,skill_finale</x:v>
      </x:c>
      <x:c r="V4" s="15" t="str">
        <x:v>trait_relentless</x:v>
      </x:c>
      <x:c r="W4" s="332" t="n">
        <x:v>0</x:v>
      </x:c>
    </x:row>
    <x:row r="5">
      <x:c r="A5" s="38" t="str">
        <x:v>pal_004</x:v>
      </x:c>
      <x:c r="B5" s="38" t="str">
        <x:v>青藤鼠</x:v>
      </x:c>
      <x:c r="C5" s="38" t="str">
        <x:v>雷</x:v>
      </x:c>
      <x:c r="D5" s="265" t="str">
        <x:v>白银</x:v>
      </x:c>
      <x:c r="E5" s="38" t="str">
        <x:v>机动</x:v>
      </x:c>
      <x:c r="F5" s="38" t="str">
        <x:v>两格</x:v>
      </x:c>
      <x:c r="G5" s="38" t="str">
        <x:v>bz_van_004</x:v>
      </x:c>
      <x:c r="H5" s="38" t="str">
        <x:v>elem_水, elem_雷, elem_冰, elem_无, role_召唤, role_坦克, role_控制, special_merchant, elite_high, role_远点压制</x:v>
      </x:c>
      <x:c r="I5" s="38" t="n">
        <x:v>10</x:v>
      </x:c>
      <x:c r="J5" s="340" t="n">
        <x:v>18</x:v>
      </x:c>
      <x:c r="K5" s="340" t="n">
        <x:v>4</x:v>
      </x:c>
      <x:c r="L5" s="340" t="n">
        <x:v>0</x:v>
      </x:c>
      <x:c r="M5" s="340" t="n">
        <x:f>XLOOKUP($D5&amp;"|"&amp;$E5&amp;"|"&amp;$F5,'PET_STAT_RULES'!$A$5:$A$88,'PET_STAT_RULES'!$G$5:$G$88)</x:f>
        <x:v>5</x:v>
      </x:c>
      <x:c r="N5" s="38" t="n">
        <x:v>3</x:v>
      </x:c>
      <x:c r="O5" s="38" t="str">
        <x:v>none</x:v>
      </x:c>
      <x:c r="P5" s="38" t="str">
        <x:v>16 形状16</x:v>
      </x:c>
      <x:c r="Q5" s="38" t="str">
        <x:v>Turbo</x:v>
      </x:c>
      <x:c r="R5" s="38" t="str">
        <x:v>item confirmed；来源=Astrolabe；攻击3格；仅保留来源商人/训练师关系。</x:v>
      </x:c>
      <x:c r="S5" s="38" t="n">
        <x:v>5</x:v>
      </x:c>
      <x:c r="T5" s="38" t="n">
        <x:v>2</x:v>
      </x:c>
      <x:c r="U5" s="15" t="str">
        <x:v>skill_vanguard,skill_flank,skill_pierce,skill_revolve,skill_chase,skill_break,skill_suppress,skill_finale</x:v>
      </x:c>
      <x:c r="V5" s="15" t="str">
        <x:v>trait_relentless</x:v>
      </x:c>
      <x:c r="W5" s="332" t="n">
        <x:v>0</x:v>
      </x:c>
    </x:row>
    <x:row r="6">
      <x:c r="A6" s="38" t="str">
        <x:v>pal_005</x:v>
      </x:c>
      <x:c r="B6" s="38" t="str">
        <x:v>赤尾狐</x:v>
      </x:c>
      <x:c r="C6" s="38" t="str">
        <x:v>火</x:v>
      </x:c>
      <x:c r="D6" s="262" t="str">
        <x:v>黄金</x:v>
      </x:c>
      <x:c r="E6" s="38" t="str">
        <x:v>输出</x:v>
      </x:c>
      <x:c r="F6" s="38" t="str">
        <x:v>三格</x:v>
      </x:c>
      <x:c r="G6" s="38" t="str">
        <x:v>bz_van_005</x:v>
      </x:c>
      <x:c r="H6" s="38" t="str">
        <x:v>night_base, elem_火, role_输出, tier_pT3</x:v>
      </x:c>
      <x:c r="I6" s="38" t="n">
        <x:v>10</x:v>
      </x:c>
      <x:c r="J6" s="340" t="n">
        <x:v>18</x:v>
      </x:c>
      <x:c r="K6" s="340" t="n">
        <x:v>4</x:v>
      </x:c>
      <x:c r="L6" s="340" t="n">
        <x:v>0</x:v>
      </x:c>
      <x:c r="M6" s="340" t="n">
        <x:f>XLOOKUP($D6&amp;"|"&amp;$E6&amp;"|"&amp;$F6,'PET_STAT_RULES'!$A$5:$A$88,'PET_STAT_RULES'!$G$5:$G$88)</x:f>
        <x:v>2</x:v>
      </x:c>
      <x:c r="N6" s="38" t="n">
        <x:v>3</x:v>
      </x:c>
      <x:c r="O6" s="38" t="str">
        <x:v>pet_pal_005_red_tail_fox</x:v>
      </x:c>
      <x:c r="P6" s="38" t="str">
        <x:v>13 形状13</x:v>
      </x:c>
      <x:c r="Q6" s="38" t="str">
        <x:v>Deadly</x:v>
      </x:c>
      <x:c r="R6" s="38" t="str">
        <x:v>第一套·核心；玩家效果：火种地形结算时，每层额外造成1点伤害。火种不附着单位，回合末统一结算。来源=Ballista。</x:v>
      </x:c>
      <x:c r="S6" s="38" t="n">
        <x:v>2</x:v>
      </x:c>
      <x:c r="T6" s="38" t="n">
        <x:v>2</x:v>
      </x:c>
      <x:c r="U6" s="15" t="str">
        <x:v>skill_vanguard,skill_flank,skill_pierce,skill_revolve,skill_chase,skill_break,skill_suppress,skill_finale</x:v>
      </x:c>
      <x:c r="V6" s="15" t="str">
        <x:v>trait_relentless</x:v>
      </x:c>
      <x:c r="W6" s="332" t="n">
        <x:v>0</x:v>
      </x:c>
    </x:row>
    <x:row r="7">
      <x:c r="A7" s="38" t="str">
        <x:v>pal_006</x:v>
      </x:c>
      <x:c r="B7" s="38" t="str">
        <x:v>碧水鸭</x:v>
      </x:c>
      <x:c r="C7" s="38" t="str">
        <x:v>地</x:v>
      </x:c>
      <x:c r="D7" s="259" t="str">
        <x:v>青铜</x:v>
      </x:c>
      <x:c r="E7" s="38" t="str">
        <x:v>坦克</x:v>
      </x:c>
      <x:c r="F7" s="38" t="str">
        <x:v>两格</x:v>
      </x:c>
      <x:c r="G7" s="38" t="str">
        <x:v>bz_van_006</x:v>
      </x:c>
      <x:c r="H7" s="38" t="str">
        <x:v>elem_水, elem_雷, elem_冰, elem_龙, elem_无, role_召唤, role_坦克, role_控制, role_治疗, tier_pT3</x:v>
      </x:c>
      <x:c r="I7" s="38" t="n">
        <x:v>10</x:v>
      </x:c>
      <x:c r="J7" s="340" t="n">
        <x:v>22</x:v>
      </x:c>
      <x:c r="K7" s="340" t="n">
        <x:v>5</x:v>
      </x:c>
      <x:c r="L7" s="340" t="n">
        <x:v>0</x:v>
      </x:c>
      <x:c r="M7" s="340" t="n">
        <x:f>XLOOKUP($D7&amp;"|"&amp;$E7&amp;"|"&amp;$F7,'PET_STAT_RULES'!$A$5:$A$88,'PET_STAT_RULES'!$G$5:$G$88)</x:f>
        <x:v>3</x:v>
      </x:c>
      <x:c r="N7" s="38" t="n">
        <x:v>2</x:v>
      </x:c>
      <x:c r="O7" s="38" t="str">
        <x:v>mech_armor_flat</x:v>
      </x:c>
      <x:c r="P7" s="38" t="str">
        <x:v>06 形状06</x:v>
      </x:c>
      <x:c r="Q7" s="38" t="str">
        <x:v>Shielded</x:v>
      </x:c>
      <x:c r="R7" s="38" t="str">
        <x:v>item confirmed；来源=Barrel；攻击2格；仅保留来源商人/训练师关系。</x:v>
      </x:c>
      <x:c r="S7" s="38" t="n">
        <x:v>3</x:v>
      </x:c>
      <x:c r="T7" s="38" t="n">
        <x:v>1</x:v>
      </x:c>
      <x:c r="U7" s="15" t="str">
        <x:v>skill_vanguard,skill_flank,skill_pierce,skill_revolve,skill_chase,skill_break,skill_suppress,skill_finale</x:v>
      </x:c>
      <x:c r="V7" s="15" t="str">
        <x:v>trait_combo_mastery</x:v>
      </x:c>
      <x:c r="W7" s="332" t="n">
        <x:v>0</x:v>
      </x:c>
    </x:row>
    <x:row r="8">
      <x:c r="A8" s="38" t="str">
        <x:v>pal_007</x:v>
      </x:c>
      <x:c r="B8" s="38" t="str">
        <x:v>雷须猫</x:v>
      </x:c>
      <x:c r="C8" s="38" t="str">
        <x:v>雷、火</x:v>
      </x:c>
      <x:c r="D8" s="259" t="str">
        <x:v>青铜</x:v>
      </x:c>
      <x:c r="E8" s="38" t="str">
        <x:v>控制</x:v>
      </x:c>
      <x:c r="F8" s="38" t="str">
        <x:v>一格</x:v>
      </x:c>
      <x:c r="G8" s="38" t="str">
        <x:v>bz_van_007</x:v>
      </x:c>
      <x:c r="H8" s="38" t="str">
        <x:v>night_base, elem_火, elem_雷, role_控制, tier_pT1</x:v>
      </x:c>
      <x:c r="I8" s="38" t="n">
        <x:v>10</x:v>
      </x:c>
      <x:c r="J8" s="340" t="n">
        <x:v>20</x:v>
      </x:c>
      <x:c r="K8" s="340" t="n">
        <x:v>8</x:v>
      </x:c>
      <x:c r="L8" s="340" t="n">
        <x:v>0</x:v>
      </x:c>
      <x:c r="M8" s="340" t="n">
        <x:f>XLOOKUP($D8&amp;"|"&amp;$E8&amp;"|"&amp;$F8,'PET_STAT_RULES'!$A$5:$A$88,'PET_STAT_RULES'!$G$5:$G$88)</x:f>
        <x:v>4</x:v>
      </x:c>
      <x:c r="N8" s="38" t="n">
        <x:v>1</x:v>
      </x:c>
      <x:c r="O8" s="38" t="str">
        <x:v>pet_pal_007_thunder_whisker_cat</x:v>
      </x:c>
      <x:c r="P8" s="38" t="str">
        <x:v>04 形状04</x:v>
      </x:c>
      <x:c r="Q8" s="38" t="str">
        <x:v>Deadly</x:v>
      </x:c>
      <x:c r="R8" s="38" t="str">
        <x:v>第一套·扩散辅助；玩家效果：每当自身铺设火种地形，其上下左右相邻格各获得1层火种。来源=Bayonet。</x:v>
      </x:c>
      <x:c r="S8" s="38" t="n">
        <x:v>3</x:v>
      </x:c>
      <x:c r="T8" s="38" t="n">
        <x:v>1</x:v>
      </x:c>
      <x:c r="U8" s="15" t="str">
        <x:v>skill_vanguard,skill_flank,skill_pierce,skill_revolve,skill_chase,skill_break,skill_suppress,skill_finale</x:v>
      </x:c>
      <x:c r="V8" s="15" t="str">
        <x:v>trait_relentless</x:v>
      </x:c>
      <x:c r="W8" s="332" t="n">
        <x:v>0</x:v>
      </x:c>
    </x:row>
    <x:row r="9">
      <x:c r="A9" s="38" t="str">
        <x:v>pal_008</x:v>
      </x:c>
      <x:c r="B9" s="38" t="str">
        <x:v>藤甲猿</x:v>
      </x:c>
      <x:c r="C9" s="38" t="str">
        <x:v>水</x:v>
      </x:c>
      <x:c r="D9" s="259" t="str">
        <x:v>青铜</x:v>
      </x:c>
      <x:c r="E9" s="38" t="str">
        <x:v>机动</x:v>
      </x:c>
      <x:c r="F9" s="38" t="str">
        <x:v>两格</x:v>
      </x:c>
      <x:c r="G9" s="38" t="str">
        <x:v>bz_van_008</x:v>
      </x:c>
      <x:c r="H9" s="38" t="str">
        <x:v>elem_水, elem_雷, elem_冰, elem_无, role_召唤, role_坦克, role_控制, role_输出, special_merchant, elite_high</x:v>
      </x:c>
      <x:c r="I9" s="38" t="n">
        <x:v>10</x:v>
      </x:c>
      <x:c r="J9" s="340" t="n">
        <x:v>18</x:v>
      </x:c>
      <x:c r="K9" s="340" t="n">
        <x:v>4</x:v>
      </x:c>
      <x:c r="L9" s="340" t="n">
        <x:v>0</x:v>
      </x:c>
      <x:c r="M9" s="340" t="n">
        <x:f>XLOOKUP($D9&amp;"|"&amp;$E9&amp;"|"&amp;$F9,'PET_STAT_RULES'!$A$5:$A$88,'PET_STAT_RULES'!$G$5:$G$88)</x:f>
        <x:v>5</x:v>
      </x:c>
      <x:c r="N9" s="38" t="n">
        <x:v>3</x:v>
      </x:c>
      <x:c r="O9" s="38" t="str">
        <x:v>none</x:v>
      </x:c>
      <x:c r="P9" s="38" t="str">
        <x:v>18 形状18</x:v>
      </x:c>
      <x:c r="Q9" s="38" t="str">
        <x:v>Turbo</x:v>
      </x:c>
      <x:c r="R9" s="38" t="str">
        <x:v>item confirmed；来源=Beach Ball；攻击3格；仅保留来源商人/训练师关系。</x:v>
      </x:c>
      <x:c r="S9" s="38" t="n">
        <x:v>5</x:v>
      </x:c>
      <x:c r="T9" s="38" t="n">
        <x:v>1</x:v>
      </x:c>
      <x:c r="U9" s="15" t="str">
        <x:v>skill_vanguard,skill_flank,skill_pierce,skill_revolve,skill_chase,skill_break,skill_suppress,skill_finale</x:v>
      </x:c>
      <x:c r="V9" s="15" t="str">
        <x:v>trait_relentless</x:v>
      </x:c>
      <x:c r="W9" s="332" t="n">
        <x:v>0</x:v>
      </x:c>
    </x:row>
    <x:row r="10">
      <x:c r="A10" s="38" t="str">
        <x:v>pal_009</x:v>
      </x:c>
      <x:c r="B10" s="38" t="str">
        <x:v>火角鹿</x:v>
      </x:c>
      <x:c r="C10" s="38" t="str">
        <x:v>火</x:v>
      </x:c>
      <x:c r="D10" s="259" t="str">
        <x:v>青铜</x:v>
      </x:c>
      <x:c r="E10" s="38" t="str">
        <x:v>召唤</x:v>
      </x:c>
      <x:c r="F10" s="38" t="str">
        <x:v>一格</x:v>
      </x:c>
      <x:c r="G10" s="38" t="str">
        <x:v>bz_van_009</x:v>
      </x:c>
      <x:c r="H10" s="38" t="str">
        <x:v>night_base, elem_火, role_召唤, tier_pT1</x:v>
      </x:c>
      <x:c r="I10" s="38" t="n">
        <x:v>10</x:v>
      </x:c>
      <x:c r="J10" s="340" t="n">
        <x:v>20</x:v>
      </x:c>
      <x:c r="K10" s="340" t="n">
        <x:v>8</x:v>
      </x:c>
      <x:c r="L10" s="340" t="n">
        <x:v>0</x:v>
      </x:c>
      <x:c r="M10" s="340" t="n">
        <x:f>XLOOKUP($D10&amp;"|"&amp;$E10&amp;"|"&amp;$F10,'PET_STAT_RULES'!$A$5:$A$88,'PET_STAT_RULES'!$G$5:$G$88)</x:f>
        <x:v>3</x:v>
      </x:c>
      <x:c r="N10" s="38" t="n">
        <x:v>1</x:v>
      </x:c>
      <x:c r="O10" s="38" t="str">
        <x:v>pet_pal_009_fire_antler_deer</x:v>
      </x:c>
      <x:c r="P10" s="38" t="str">
        <x:v>01 形状01</x:v>
      </x:c>
      <x:c r="Q10" s="38" t="str">
        <x:v>Deadly</x:v>
      </x:c>
      <x:c r="R10" s="38" t="str">
        <x:v>第一套·火种供应；玩家效果：每当自身铺设火种地形，该格额外获得1层火种。来源=Bilge Worm。</x:v>
      </x:c>
      <x:c r="S10" s="38" t="n">
        <x:v>3</x:v>
      </x:c>
      <x:c r="T10" s="38" t="n">
        <x:v>1</x:v>
      </x:c>
      <x:c r="U10" s="15" t="str">
        <x:v>skill_vanguard,skill_flank,skill_pierce,skill_revolve,skill_chase,skill_break,skill_suppress,skill_finale</x:v>
      </x:c>
      <x:c r="V10" s="15" t="str">
        <x:v>trait_relentless</x:v>
      </x:c>
      <x:c r="W10" s="332" t="n">
        <x:v>0</x:v>
      </x:c>
    </x:row>
    <x:row r="11">
      <x:c r="A11" s="38" t="str">
        <x:v>pal_010</x:v>
      </x:c>
      <x:c r="B11" s="38" t="str">
        <x:v>霜羽鹭</x:v>
      </x:c>
      <x:c r="C11" s="38" t="str">
        <x:v>水、龙</x:v>
      </x:c>
      <x:c r="D11" s="265" t="str">
        <x:v>白银</x:v>
      </x:c>
      <x:c r="E11" s="38" t="str">
        <x:v>机动</x:v>
      </x:c>
      <x:c r="F11" s="38" t="str">
        <x:v>两格</x:v>
      </x:c>
      <x:c r="G11" s="38" t="str">
        <x:v>bz_van_010</x:v>
      </x:c>
      <x:c r="H11" s="38" t="str">
        <x:v>night_base, elem_火, elem_水, elem_草, elem_雷, elem_无, role_坦克, role_控制, role_输出, role_抗压承伤</x:v>
      </x:c>
      <x:c r="I11" s="38" t="n">
        <x:v>10</x:v>
      </x:c>
      <x:c r="J11" s="340" t="n">
        <x:v>22</x:v>
      </x:c>
      <x:c r="K11" s="340" t="n">
        <x:v>5</x:v>
      </x:c>
      <x:c r="L11" s="340" t="n">
        <x:v>0</x:v>
      </x:c>
      <x:c r="M11" s="340" t="n">
        <x:f>XLOOKUP($D11&amp;"|"&amp;$E11&amp;"|"&amp;$F11,'PET_STAT_RULES'!$A$5:$A$88,'PET_STAT_RULES'!$G$5:$G$88)</x:f>
        <x:v>5</x:v>
      </x:c>
      <x:c r="N11" s="38" t="n">
        <x:v>2</x:v>
      </x:c>
      <x:c r="O11" s="38" t="str">
        <x:v>none</x:v>
      </x:c>
      <x:c r="P11" s="38" t="str">
        <x:v>05 形状05</x:v>
      </x:c>
      <x:c r="Q11" s="38" t="str">
        <x:v>Deadly</x:v>
      </x:c>
      <x:c r="R11" s="38" t="str">
        <x:v>item confirmed；来源=Bladed Hoverboard；攻击2格；仅保留来源商人/训练师关系。</x:v>
      </x:c>
      <x:c r="S11" s="38" t="n">
        <x:v>5</x:v>
      </x:c>
      <x:c r="T11" s="38" t="n">
        <x:v>2</x:v>
      </x:c>
      <x:c r="U11" s="15" t="str">
        <x:v>skill_vanguard,skill_flank,skill_pierce,skill_revolve,skill_chase,skill_break,skill_suppress,skill_finale</x:v>
      </x:c>
      <x:c r="V11" s="15" t="str">
        <x:v>trait_relentless</x:v>
      </x:c>
      <x:c r="W11" s="332" t="n">
        <x:v>0</x:v>
      </x:c>
    </x:row>
    <x:row r="12">
      <x:c r="A12" s="38" t="str">
        <x:v>pal_011</x:v>
      </x:c>
      <x:c r="B12" s="38" t="str">
        <x:v>冰背獭</x:v>
      </x:c>
      <x:c r="C12" s="38" t="str">
        <x:v>草、龙</x:v>
      </x:c>
      <x:c r="D12" s="262" t="str">
        <x:v>黄金</x:v>
      </x:c>
      <x:c r="E12" s="38" t="str">
        <x:v>控制</x:v>
      </x:c>
      <x:c r="F12" s="38" t="str">
        <x:v>一格</x:v>
      </x:c>
      <x:c r="G12" s="38" t="str">
        <x:v>bz_van_011</x:v>
      </x:c>
      <x:c r="H12" s="38" t="str">
        <x:v>night_base, elem_火, elem_雷, elem_冰, elem_地, role_召唤, role_坦克, role_控制, role_治疗, role_火系压制</x:v>
      </x:c>
      <x:c r="I12" s="38" t="n">
        <x:v>10</x:v>
      </x:c>
      <x:c r="J12" s="340" t="n">
        <x:v>22</x:v>
      </x:c>
      <x:c r="K12" s="340" t="n">
        <x:v>5</x:v>
      </x:c>
      <x:c r="L12" s="340" t="n">
        <x:v>0</x:v>
      </x:c>
      <x:c r="M12" s="340" t="n">
        <x:f>XLOOKUP($D12&amp;"|"&amp;$E12&amp;"|"&amp;$F12,'PET_STAT_RULES'!$A$5:$A$88,'PET_STAT_RULES'!$G$5:$G$88)</x:f>
        <x:v>4</x:v>
      </x:c>
      <x:c r="N12" s="38" t="n">
        <x:v>2</x:v>
      </x:c>
      <x:c r="O12" s="38" t="str">
        <x:v>mech_counter_damage</x:v>
      </x:c>
      <x:c r="P12" s="38" t="str">
        <x:v>06 形状06</x:v>
      </x:c>
      <x:c r="Q12" s="38" t="str">
        <x:v>Toxic</x:v>
      </x:c>
      <x:c r="R12" s="38" t="str">
        <x:v>item confirmed；来源=Blowgun；攻击2格；仅保留来源商人/训练师关系。</x:v>
      </x:c>
      <x:c r="S12" s="38" t="n">
        <x:v>4</x:v>
      </x:c>
      <x:c r="T12" s="38" t="n">
        <x:v>2</x:v>
      </x:c>
      <x:c r="U12" s="15" t="str">
        <x:v>skill_vanguard,skill_flank,skill_pierce,skill_revolve,skill_chase,skill_break,skill_suppress,skill_finale</x:v>
      </x:c>
      <x:c r="V12" s="15" t="str">
        <x:v>trait_element_affinity</x:v>
      </x:c>
      <x:c r="W12" s="332" t="n">
        <x:v>0</x:v>
      </x:c>
    </x:row>
    <x:row r="13">
      <x:c r="A13" s="38" t="str">
        <x:v>pal_012</x:v>
      </x:c>
      <x:c r="B13" s="38" t="str">
        <x:v>电棘鼠</x:v>
      </x:c>
      <x:c r="C13" s="38" t="str">
        <x:v>火、雷</x:v>
      </x:c>
      <x:c r="D13" s="262" t="str">
        <x:v>黄金</x:v>
      </x:c>
      <x:c r="E13" s="38" t="str">
        <x:v>输出</x:v>
      </x:c>
      <x:c r="F13" s="38" t="str">
        <x:v>两格</x:v>
      </x:c>
      <x:c r="G13" s="38" t="str">
        <x:v>bz_van_012</x:v>
      </x:c>
      <x:c r="H13" s="38" t="str">
        <x:v>night_base, elem_火, elem_雷, role_输出, tier_pT3</x:v>
      </x:c>
      <x:c r="I13" s="38" t="n">
        <x:v>10</x:v>
      </x:c>
      <x:c r="J13" s="340" t="n">
        <x:v>18</x:v>
      </x:c>
      <x:c r="K13" s="340" t="n">
        <x:v>4</x:v>
      </x:c>
      <x:c r="L13" s="340" t="n">
        <x:v>0</x:v>
      </x:c>
      <x:c r="M13" s="340" t="n">
        <x:f>XLOOKUP($D13&amp;"|"&amp;$E13&amp;"|"&amp;$F13,'PET_STAT_RULES'!$A$5:$A$88,'PET_STAT_RULES'!$G$5:$G$88)</x:f>
        <x:v>3</x:v>
      </x:c>
      <x:c r="N13" s="38" t="n">
        <x:v>3</x:v>
      </x:c>
      <x:c r="O13" s="38" t="str">
        <x:v>pet_pal_012_electric_quill_mouse</x:v>
      </x:c>
      <x:c r="P13" s="38" t="str">
        <x:v>17 形状17</x:v>
      </x:c>
      <x:c r="Q13" s="38" t="str">
        <x:v>Fiery</x:v>
      </x:c>
      <x:c r="R13" s="38" t="str">
        <x:v>第一套·双元素副核；玩家效果：同格同时有火种和雷地形时，火种统一结算按配对层数每层额外造成2点伤害。来源=Blunderbuss。</x:v>
      </x:c>
      <x:c r="S13" s="38" t="n">
        <x:v>3</x:v>
      </x:c>
      <x:c r="T13" s="38" t="n">
        <x:v>2</x:v>
      </x:c>
      <x:c r="U13" s="15" t="str">
        <x:v>skill_vanguard,skill_flank,skill_pierce,skill_revolve,skill_chase,skill_break,skill_suppress,skill_finale</x:v>
      </x:c>
      <x:c r="V13" s="15" t="str">
        <x:v>trait_relentless</x:v>
      </x:c>
      <x:c r="W13" s="332" t="n">
        <x:v>0</x:v>
      </x:c>
    </x:row>
    <x:row r="14">
      <x:c r="A14" s="38" t="str">
        <x:v>pal_013</x:v>
      </x:c>
      <x:c r="B14" s="38" t="str">
        <x:v>苔甲龟</x:v>
      </x:c>
      <x:c r="C14" s="38" t="str">
        <x:v>雷</x:v>
      </x:c>
      <x:c r="D14" s="259" t="str">
        <x:v>青铜</x:v>
      </x:c>
      <x:c r="E14" s="38" t="str">
        <x:v>控制</x:v>
      </x:c>
      <x:c r="F14" s="38" t="str">
        <x:v>一格</x:v>
      </x:c>
      <x:c r="G14" s="38" t="str">
        <x:v>bz_van_013</x:v>
      </x:c>
      <x:c r="H14" s="38" t="str">
        <x:v>night_base, elem_火, elem_雷, elem_地, role_召唤, role_坦克, role_控制, role_机动, special_merchant, role_召唤铺场</x:v>
      </x:c>
      <x:c r="I14" s="38" t="n">
        <x:v>10</x:v>
      </x:c>
      <x:c r="J14" s="340" t="n">
        <x:v>22</x:v>
      </x:c>
      <x:c r="K14" s="340" t="n">
        <x:v>5</x:v>
      </x:c>
      <x:c r="L14" s="340" t="n">
        <x:v>0</x:v>
      </x:c>
      <x:c r="M14" s="340" t="n">
        <x:f>XLOOKUP($D14&amp;"|"&amp;$E14&amp;"|"&amp;$F14,'PET_STAT_RULES'!$A$5:$A$88,'PET_STAT_RULES'!$G$5:$G$88)</x:f>
        <x:v>4</x:v>
      </x:c>
      <x:c r="N14" s="38" t="n">
        <x:v>2</x:v>
      </x:c>
      <x:c r="O14" s="38" t="str">
        <x:v>mech_counter_damage</x:v>
      </x:c>
      <x:c r="P14" s="38" t="str">
        <x:v>07 形状07</x:v>
      </x:c>
      <x:c r="Q14" s="38" t="str">
        <x:v>Icy</x:v>
      </x:c>
      <x:c r="R14" s="38" t="str">
        <x:v>item confirmed；来源=Bolas；攻击2格；仅保留来源商人/训练师关系。</x:v>
      </x:c>
      <x:c r="S14" s="38" t="n">
        <x:v>4</x:v>
      </x:c>
      <x:c r="T14" s="38" t="n">
        <x:v>1</x:v>
      </x:c>
      <x:c r="U14" s="15" t="str">
        <x:v>skill_vanguard,skill_flank,skill_pierce,skill_revolve,skill_chase,skill_break,skill_suppress,skill_finale</x:v>
      </x:c>
      <x:c r="V14" s="15" t="str">
        <x:v>trait_element_affinity</x:v>
      </x:c>
      <x:c r="W14" s="332" t="n">
        <x:v>0</x:v>
      </x:c>
    </x:row>
    <x:row r="15">
      <x:c r="A15" s="38" t="str">
        <x:v>pal_014</x:v>
      </x:c>
      <x:c r="B15" s="38" t="str">
        <x:v>金钱狸</x:v>
      </x:c>
      <x:c r="C15" s="38" t="str">
        <x:v>火</x:v>
      </x:c>
      <x:c r="D15" s="265" t="str">
        <x:v>白银</x:v>
      </x:c>
      <x:c r="E15" s="38" t="str">
        <x:v>经济</x:v>
      </x:c>
      <x:c r="F15" s="38" t="str">
        <x:v>两格</x:v>
      </x:c>
      <x:c r="G15" s="38" t="str">
        <x:v>bz_van_014</x:v>
      </x:c>
      <x:c r="H15" s="38" t="str">
        <x:v>night_base, elem_火, role_经济, tier_pT2</x:v>
      </x:c>
      <x:c r="I15" s="38" t="n">
        <x:v>10</x:v>
      </x:c>
      <x:c r="J15" s="340" t="n">
        <x:v>22</x:v>
      </x:c>
      <x:c r="K15" s="340" t="n">
        <x:v>5</x:v>
      </x:c>
      <x:c r="L15" s="340" t="n">
        <x:v>0</x:v>
      </x:c>
      <x:c r="M15" s="340" t="n">
        <x:f>XLOOKUP($D15&amp;"|"&amp;$E15&amp;"|"&amp;$F15,'PET_STAT_RULES'!$A$5:$A$88,'PET_STAT_RULES'!$G$5:$G$88)</x:f>
        <x:v>3</x:v>
      </x:c>
      <x:c r="N15" s="38" t="n">
        <x:v>2</x:v>
      </x:c>
      <x:c r="O15" s="38" t="str">
        <x:v>pet_pal_014_money_raccoon</x:v>
      </x:c>
      <x:c r="P15" s="38" t="str">
        <x:v>09 形状09</x:v>
      </x:c>
      <x:c r="Q15" s="38" t="str">
        <x:v>Fiery</x:v>
      </x:c>
      <x:c r="R15" s="38" t="str">
        <x:v>第一套·经济辅助；玩家效果：战斗胜利且自身存活时，额外获得1金币。来源=Bonfire。</x:v>
      </x:c>
      <x:c r="S15" s="38" t="n">
        <x:v>5</x:v>
      </x:c>
      <x:c r="T15" s="38" t="n">
        <x:v>2</x:v>
      </x:c>
      <x:c r="U15" s="15" t="str">
        <x:v>skill_vanguard,skill_flank,skill_pierce,skill_revolve,skill_chase,skill_break,skill_suppress,skill_finale</x:v>
      </x:c>
      <x:c r="V15" s="15" t="str">
        <x:v>trait_relentless</x:v>
      </x:c>
      <x:c r="W15" s="332" t="n">
        <x:v>0</x:v>
      </x:c>
    </x:row>
    <x:row r="16">
      <x:c r="A16" s="38" t="str">
        <x:v>pal_015</x:v>
      </x:c>
      <x:c r="B16" s="38" t="str">
        <x:v>黑甲猪</x:v>
      </x:c>
      <x:c r="C16" s="38" t="str">
        <x:v>水</x:v>
      </x:c>
      <x:c r="D16" s="265" t="str">
        <x:v>白银</x:v>
      </x:c>
      <x:c r="E16" s="38" t="str">
        <x:v>输出</x:v>
      </x:c>
      <x:c r="F16" s="38" t="str">
        <x:v>一格</x:v>
      </x:c>
      <x:c r="G16" s="38" t="str">
        <x:v>bz_van_015</x:v>
      </x:c>
      <x:c r="H16" s="38" t="str">
        <x:v>night_base, elem_火, elem_雷, elem_地, elem_暗, role_召唤, role_坦克, role_控制, role_治疗, role_经济</x:v>
      </x:c>
      <x:c r="I16" s="38" t="n">
        <x:v>10</x:v>
      </x:c>
      <x:c r="J16" s="340" t="n">
        <x:v>22</x:v>
      </x:c>
      <x:c r="K16" s="340" t="n">
        <x:v>5</x:v>
      </x:c>
      <x:c r="L16" s="340" t="n">
        <x:v>0</x:v>
      </x:c>
      <x:c r="M16" s="340" t="n">
        <x:f>XLOOKUP($D16&amp;"|"&amp;$E16&amp;"|"&amp;$F16,'PET_STAT_RULES'!$A$5:$A$88,'PET_STAT_RULES'!$G$5:$G$88)</x:f>
        <x:v>3</x:v>
      </x:c>
      <x:c r="N16" s="38" t="n">
        <x:v>2</x:v>
      </x:c>
      <x:c r="O16" s="38" t="str">
        <x:v>mech_grow_atk_each_round</x:v>
      </x:c>
      <x:c r="P16" s="38" t="str">
        <x:v>06 形状06</x:v>
      </x:c>
      <x:c r="Q16" s="38" t="str">
        <x:v>Deadly</x:v>
      </x:c>
      <x:c r="R16" s="38" t="str">
        <x:v>item confirmed；来源=Butterfly Swords；攻击2格；仅保留来源商人/训练师关系。</x:v>
      </x:c>
      <x:c r="S16" s="38" t="n">
        <x:v>3</x:v>
      </x:c>
      <x:c r="T16" s="38" t="n">
        <x:v>2</x:v>
      </x:c>
      <x:c r="U16" s="15" t="str">
        <x:v>skill_vanguard,skill_flank,skill_pierce,skill_revolve,skill_chase,skill_break,skill_suppress,skill_finale</x:v>
      </x:c>
      <x:c r="V16" s="15" t="str">
        <x:v>trait_relentless</x:v>
      </x:c>
      <x:c r="W16" s="332" t="n">
        <x:v>0</x:v>
      </x:c>
    </x:row>
    <x:row r="17">
      <x:c r="A17" s="38" t="str">
        <x:v>pal_016</x:v>
      </x:c>
      <x:c r="B17" s="38" t="str">
        <x:v>涧水象</x:v>
      </x:c>
      <x:c r="C17" s="38" t="str">
        <x:v>雷、龙</x:v>
      </x:c>
      <x:c r="D17" s="259" t="str">
        <x:v>青铜</x:v>
      </x:c>
      <x:c r="E17" s="38" t="str">
        <x:v>召唤</x:v>
      </x:c>
      <x:c r="F17" s="38" t="str">
        <x:v>一格</x:v>
      </x:c>
      <x:c r="G17" s="38" t="str">
        <x:v>bz_van_016</x:v>
      </x:c>
      <x:c r="H17" s="38" t="str">
        <x:v>night_base, elem_火, elem_雷, elem_地, role_召唤, role_坦克, role_控制, role_治疗, tier_pT1, role_机动压制</x:v>
      </x:c>
      <x:c r="I17" s="38" t="n">
        <x:v>10</x:v>
      </x:c>
      <x:c r="J17" s="340" t="n">
        <x:v>22</x:v>
      </x:c>
      <x:c r="K17" s="340" t="n">
        <x:v>5</x:v>
      </x:c>
      <x:c r="L17" s="340" t="n">
        <x:v>0</x:v>
      </x:c>
      <x:c r="M17" s="340" t="n">
        <x:f>XLOOKUP($D17&amp;"|"&amp;$E17&amp;"|"&amp;$F17,'PET_STAT_RULES'!$A$5:$A$88,'PET_STAT_RULES'!$G$5:$G$88)</x:f>
        <x:v>3</x:v>
      </x:c>
      <x:c r="N17" s="38" t="n">
        <x:v>2</x:v>
      </x:c>
      <x:c r="O17" s="38" t="str">
        <x:v>mech_grow_shield_each_round</x:v>
      </x:c>
      <x:c r="P17" s="38" t="str">
        <x:v>09 形状09</x:v>
      </x:c>
      <x:c r="Q17" s="38" t="str">
        <x:v>Deadly</x:v>
      </x:c>
      <x:c r="R17" s="38" t="str">
        <x:v>item confirmed；来源=Calico；攻击2格；仅保留来源商人/训练师关系。</x:v>
      </x:c>
      <x:c r="S17" s="38" t="n">
        <x:v>3</x:v>
      </x:c>
      <x:c r="T17" s="38" t="n">
        <x:v>1</x:v>
      </x:c>
      <x:c r="U17" s="15" t="str">
        <x:v>skill_vanguard,skill_flank,skill_pierce,skill_revolve,skill_chase,skill_break,skill_suppress,skill_finale</x:v>
      </x:c>
      <x:c r="V17" s="15" t="str">
        <x:v>trait_combo_resonance</x:v>
      </x:c>
      <x:c r="W17" s="332" t="n">
        <x:v>0</x:v>
      </x:c>
    </x:row>
    <x:row r="18">
      <x:c r="A18" s="38" t="str">
        <x:v>pal_017</x:v>
      </x:c>
      <x:c r="B18" s="38" t="str">
        <x:v>黑角犀</x:v>
      </x:c>
      <x:c r="C18" s="38" t="str">
        <x:v>火、雷</x:v>
      </x:c>
      <x:c r="D18" s="259" t="str">
        <x:v>青铜</x:v>
      </x:c>
      <x:c r="E18" s="38" t="str">
        <x:v>坦克</x:v>
      </x:c>
      <x:c r="F18" s="38" t="str">
        <x:v>两格</x:v>
      </x:c>
      <x:c r="G18" s="38" t="str">
        <x:v>bz_van_017</x:v>
      </x:c>
      <x:c r="H18" s="38" t="str">
        <x:v>night_base, elem_火, elem_雷, role_坦克, tier_pT1</x:v>
      </x:c>
      <x:c r="I18" s="38" t="n">
        <x:v>10</x:v>
      </x:c>
      <x:c r="J18" s="340" t="n">
        <x:v>20</x:v>
      </x:c>
      <x:c r="K18" s="340" t="n">
        <x:v>8</x:v>
      </x:c>
      <x:c r="L18" s="340" t="n">
        <x:v>0</x:v>
      </x:c>
      <x:c r="M18" s="340" t="n">
        <x:f>XLOOKUP($D18&amp;"|"&amp;$E18&amp;"|"&amp;$F18,'PET_STAT_RULES'!$A$5:$A$88,'PET_STAT_RULES'!$G$5:$G$88)</x:f>
        <x:v>3</x:v>
      </x:c>
      <x:c r="N18" s="38" t="n">
        <x:v>1</x:v>
      </x:c>
      <x:c r="O18" s="38" t="str">
        <x:v>pet_pal_017_black_horn_rhino</x:v>
      </x:c>
      <x:c r="P18" s="38" t="str">
        <x:v>01 形状01</x:v>
      </x:c>
      <x:c r="Q18" s="38" t="str">
        <x:v>Fiery</x:v>
      </x:c>
      <x:c r="R18" s="38" t="str">
        <x:v>第一套·站位辅助；玩家效果：火攻击命中后将存活目标沿攻击方向推动1格；推动不会提前结算火种。来源=Cannon。</x:v>
      </x:c>
      <x:c r="S18" s="38" t="n">
        <x:v>3</x:v>
      </x:c>
      <x:c r="T18" s="38" t="n">
        <x:v>1</x:v>
      </x:c>
      <x:c r="U18" s="15" t="str">
        <x:v>skill_vanguard,skill_flank,skill_pierce,skill_revolve,skill_chase,skill_break,skill_suppress,skill_finale</x:v>
      </x:c>
      <x:c r="V18" s="15" t="str">
        <x:v>trait_relentless</x:v>
      </x:c>
      <x:c r="W18" s="332" t="n">
        <x:v>0</x:v>
      </x:c>
    </x:row>
    <x:row r="19">
      <x:c r="A19" s="38" t="str">
        <x:v>pal_018</x:v>
      </x:c>
      <x:c r="B19" s="38" t="str">
        <x:v>竹囊鼠</x:v>
      </x:c>
      <x:c r="C19" s="38" t="str">
        <x:v>雷</x:v>
      </x:c>
      <x:c r="D19" s="262" t="str">
        <x:v>黄金</x:v>
      </x:c>
      <x:c r="E19" s="38" t="str">
        <x:v>机动</x:v>
      </x:c>
      <x:c r="F19" s="38" t="str">
        <x:v>三格</x:v>
      </x:c>
      <x:c r="G19" s="38" t="str">
        <x:v>bz_van_018</x:v>
      </x:c>
      <x:c r="H19" s="38" t="str">
        <x:v>night_base, elem_水, elem_雷, elem_地, elem_暗, role_坦克, role_控制, role_治疗, elite_high, role_风系铺场</x:v>
      </x:c>
      <x:c r="I19" s="38" t="n">
        <x:v>10</x:v>
      </x:c>
      <x:c r="J19" s="340" t="n">
        <x:v>22</x:v>
      </x:c>
      <x:c r="K19" s="340" t="n">
        <x:v>5</x:v>
      </x:c>
      <x:c r="L19" s="340" t="n">
        <x:v>0</x:v>
      </x:c>
      <x:c r="M19" s="340" t="n">
        <x:f>XLOOKUP($D19&amp;"|"&amp;$E19&amp;"|"&amp;$F19,'PET_STAT_RULES'!$A$5:$A$88,'PET_STAT_RULES'!$G$5:$G$88)</x:f>
        <x:v>5</x:v>
      </x:c>
      <x:c r="N19" s="38" t="n">
        <x:v>2</x:v>
      </x:c>
      <x:c r="O19" s="38" t="str">
        <x:v>none</x:v>
      </x:c>
      <x:c r="P19" s="38" t="str">
        <x:v>09 形状09</x:v>
      </x:c>
      <x:c r="Q19" s="38" t="str">
        <x:v>Turbo</x:v>
      </x:c>
      <x:c r="R19" s="38" t="str">
        <x:v>item confirmed；来源=Cannonade；攻击2格；仅保留来源商人/训练师关系。</x:v>
      </x:c>
      <x:c r="S19" s="38" t="n">
        <x:v>5</x:v>
      </x:c>
      <x:c r="T19" s="38" t="n">
        <x:v>2</x:v>
      </x:c>
      <x:c r="U19" s="15" t="str">
        <x:v>skill_vanguard,skill_flank,skill_pierce,skill_revolve,skill_chase,skill_break,skill_suppress,skill_finale</x:v>
      </x:c>
      <x:c r="V19" s="15" t="str">
        <x:v>trait_relentless</x:v>
      </x:c>
      <x:c r="W19" s="332" t="n">
        <x:v>0</x:v>
      </x:c>
    </x:row>
    <x:row r="20">
      <x:c r="A20" s="38" t="str">
        <x:v>pal_019</x:v>
      </x:c>
      <x:c r="B20" s="38" t="str">
        <x:v>夜穴鼹</x:v>
      </x:c>
      <x:c r="C20" s="38" t="str">
        <x:v>暗、火</x:v>
      </x:c>
      <x:c r="D20" s="265" t="str">
        <x:v>白银</x:v>
      </x:c>
      <x:c r="E20" s="38" t="str">
        <x:v>输出</x:v>
      </x:c>
      <x:c r="F20" s="38" t="str">
        <x:v>一格</x:v>
      </x:c>
      <x:c r="G20" s="38" t="str">
        <x:v>bz_van_019</x:v>
      </x:c>
      <x:c r="H20" s="38" t="str">
        <x:v>night_base, elem_火, elem_暗, role_输出, tier_pT2</x:v>
      </x:c>
      <x:c r="I20" s="38" t="n">
        <x:v>10</x:v>
      </x:c>
      <x:c r="J20" s="340" t="n">
        <x:v>18</x:v>
      </x:c>
      <x:c r="K20" s="340" t="n">
        <x:v>4</x:v>
      </x:c>
      <x:c r="L20" s="340" t="n">
        <x:v>0</x:v>
      </x:c>
      <x:c r="M20" s="340" t="n">
        <x:f>XLOOKUP($D20&amp;"|"&amp;$E20&amp;"|"&amp;$F20,'PET_STAT_RULES'!$A$5:$A$88,'PET_STAT_RULES'!$G$5:$G$88)</x:f>
        <x:v>3</x:v>
      </x:c>
      <x:c r="N20" s="38" t="n">
        <x:v>3</x:v>
      </x:c>
      <x:c r="O20" s="38" t="str">
        <x:v>pet_pal_019_night_burrow_mole</x:v>
      </x:c>
      <x:c r="P20" s="38" t="str">
        <x:v>13 形状13</x:v>
      </x:c>
      <x:c r="Q20" s="38" t="str">
        <x:v>Deadly</x:v>
      </x:c>
      <x:c r="R20" s="38" t="str">
        <x:v>第一套·延迟副核；玩家效果：火种地形达到3层时，统一结算额外造成5点伤害。来源=Cannonball。</x:v>
      </x:c>
      <x:c r="S20" s="38" t="n">
        <x:v>3</x:v>
      </x:c>
      <x:c r="T20" s="38" t="n">
        <x:v>2</x:v>
      </x:c>
      <x:c r="U20" s="15" t="str">
        <x:v>skill_vanguard,skill_flank,skill_pierce,skill_revolve,skill_chase,skill_break,skill_suppress,skill_finale</x:v>
      </x:c>
      <x:c r="V20" s="15" t="str">
        <x:v>trait_relentless</x:v>
      </x:c>
      <x:c r="W20" s="332" t="n">
        <x:v>0</x:v>
      </x:c>
    </x:row>
    <x:row r="21">
      <x:c r="A21" s="38" t="str">
        <x:v>pal_020</x:v>
      </x:c>
      <x:c r="B21" s="38" t="str">
        <x:v>沙鬃猪</x:v>
      </x:c>
      <x:c r="C21" s="38" t="str">
        <x:v>水、雷</x:v>
      </x:c>
      <x:c r="D21" s="265" t="str">
        <x:v>白银</x:v>
      </x:c>
      <x:c r="E21" s="38" t="str">
        <x:v>机动</x:v>
      </x:c>
      <x:c r="F21" s="38" t="str">
        <x:v>三格</x:v>
      </x:c>
      <x:c r="G21" s="38" t="str">
        <x:v>bz_van_020</x:v>
      </x:c>
      <x:c r="H21" s="38" t="str">
        <x:v>elem_水, elem_雷, elem_冰, elem_地, role_坦克, role_控制, role_输出, role_机动, special_merchant, elite_high</x:v>
      </x:c>
      <x:c r="I21" s="38" t="n">
        <x:v>10</x:v>
      </x:c>
      <x:c r="J21" s="340" t="n">
        <x:v>22</x:v>
      </x:c>
      <x:c r="K21" s="340" t="n">
        <x:v>5</x:v>
      </x:c>
      <x:c r="L21" s="340" t="n">
        <x:v>0</x:v>
      </x:c>
      <x:c r="M21" s="340" t="n">
        <x:f>XLOOKUP($D21&amp;"|"&amp;$E21&amp;"|"&amp;$F21,'PET_STAT_RULES'!$A$5:$A$88,'PET_STAT_RULES'!$G$5:$G$88)</x:f>
        <x:v>5</x:v>
      </x:c>
      <x:c r="N21" s="38" t="n">
        <x:v>2</x:v>
      </x:c>
      <x:c r="O21" s="38" t="str">
        <x:v>none</x:v>
      </x:c>
      <x:c r="P21" s="38" t="str">
        <x:v>08 形状08</x:v>
      </x:c>
      <x:c r="Q21" s="38" t="str">
        <x:v>Turbo</x:v>
      </x:c>
      <x:c r="R21" s="38" t="str">
        <x:v>item confirmed；来源=Captain's Quarters；攻击2格；仅保留来源商人/训练师关系。</x:v>
      </x:c>
      <x:c r="S21" s="38" t="n">
        <x:v>5</x:v>
      </x:c>
      <x:c r="T21" s="38" t="n">
        <x:v>2</x:v>
      </x:c>
      <x:c r="U21" s="15" t="str">
        <x:v>skill_vanguard,skill_flank,skill_pierce,skill_revolve,skill_chase,skill_break,skill_suppress,skill_finale</x:v>
      </x:c>
      <x:c r="V21" s="15" t="str">
        <x:v>trait_relentless</x:v>
      </x:c>
      <x:c r="W21" s="332" t="n">
        <x:v>0</x:v>
      </x:c>
    </x:row>
    <x:row r="22">
      <x:c r="A22" s="38" t="str">
        <x:v>pal_021</x:v>
      </x:c>
      <x:c r="B22" s="38" t="str">
        <x:v>暮羽鸦</x:v>
      </x:c>
      <x:c r="C22" s="38" t="str">
        <x:v>水、龙</x:v>
      </x:c>
      <x:c r="D22" s="265" t="str">
        <x:v>白银</x:v>
      </x:c>
      <x:c r="E22" s="38" t="str">
        <x:v>机动</x:v>
      </x:c>
      <x:c r="F22" s="38" t="str">
        <x:v>两格</x:v>
      </x:c>
      <x:c r="G22" s="38" t="str">
        <x:v>bz_van_021</x:v>
      </x:c>
      <x:c r="H22" s="38" t="str">
        <x:v>elem_水, elem_雷, elem_冰, elem_无, role_坦克, role_控制, role_输出, special_merchant, elite_high, role_远点压制</x:v>
      </x:c>
      <x:c r="I22" s="38" t="n">
        <x:v>10</x:v>
      </x:c>
      <x:c r="J22" s="340" t="n">
        <x:f>XLOOKUP($D22&amp;"|"&amp;$E22&amp;"|"&amp;$F22,'PET_STAT_RULES'!$A$5:$A$88,'PET_STAT_RULES'!$C$5:$C$88)</x:f>
        <x:v>40</x:v>
      </x:c>
      <x:c r="K22" s="340" t="n">
        <x:f>XLOOKUP($D22&amp;"|"&amp;$E22&amp;"|"&amp;$F22,'PET_STAT_RULES'!$A$5:$A$88,'PET_STAT_RULES'!$D$5:$D$88)</x:f>
        <x:v>12</x:v>
      </x:c>
      <x:c r="L22" s="340" t="n">
        <x:f>XLOOKUP($D22&amp;"|"&amp;$E22&amp;"|"&amp;$F22,'PET_STAT_RULES'!$A$5:$A$88,'PET_STAT_RULES'!$F$5:$F$88)</x:f>
        <x:v>0</x:v>
      </x:c>
      <x:c r="M22" s="340" t="n">
        <x:f>XLOOKUP($D22&amp;"|"&amp;$E22&amp;"|"&amp;$F22,'PET_STAT_RULES'!$A$5:$A$88,'PET_STAT_RULES'!$G$5:$G$88)</x:f>
        <x:v>5</x:v>
      </x:c>
      <x:c r="N22" s="38" t="n">
        <x:v>2</x:v>
      </x:c>
      <x:c r="O22" s="38" t="str">
        <x:v>none</x:v>
      </x:c>
      <x:c r="P22" s="38" t="str">
        <x:v>06 形状06</x:v>
      </x:c>
      <x:c r="Q22" s="38" t="str">
        <x:v>Turbo</x:v>
      </x:c>
      <x:c r="R22" s="38" t="str">
        <x:v>item confirmed；来源=Captain's Wheel；攻击2格；仅保留来源商人/训练师关系。</x:v>
      </x:c>
      <x:c r="S22" s="38" t="n">
        <x:v>5</x:v>
      </x:c>
      <x:c r="T22" s="38" t="n">
        <x:v>2</x:v>
      </x:c>
      <x:c r="U22" s="15" t="str">
        <x:v>skill_vanguard,skill_flank,skill_pierce,skill_revolve,skill_chase,skill_break,skill_suppress,skill_finale</x:v>
      </x:c>
      <x:c r="V22" s="15" t="str">
        <x:v>trait_relentless</x:v>
      </x:c>
      <x:c r="W22" s="332" t="n">
        <x:f>XLOOKUP($D22&amp;"|"&amp;$E22&amp;"|"&amp;$F22,'PET_STAT_RULES'!$A$5:$A$88,'PET_STAT_RULES'!$E$5:$E$88)</x:f>
        <x:v>0</x:v>
      </x:c>
    </x:row>
    <x:row r="23">
      <x:c r="A23" s="38" t="str">
        <x:v>pal_022</x:v>
      </x:c>
      <x:c r="B23" s="38" t="str">
        <x:v>岩爪鼹</x:v>
      </x:c>
      <x:c r="C23" s="38" t="str">
        <x:v>龙</x:v>
      </x:c>
      <x:c r="D23" s="265" t="str">
        <x:v>白银</x:v>
      </x:c>
      <x:c r="E23" s="38" t="str">
        <x:v>机动</x:v>
      </x:c>
      <x:c r="F23" s="38" t="str">
        <x:v>两格</x:v>
      </x:c>
      <x:c r="G23" s="38" t="str">
        <x:v>bz_van_022</x:v>
      </x:c>
      <x:c r="H23" s="38" t="str">
        <x:v>elem_水, elem_雷, elem_冰, elem_暗, elem_无, role_召唤, role_坦克, role_控制, role_治疗, role_经济</x:v>
      </x:c>
      <x:c r="I23" s="38" t="n">
        <x:v>10</x:v>
      </x:c>
      <x:c r="J23" s="340" t="n">
        <x:f>XLOOKUP($D23&amp;"|"&amp;$E23&amp;"|"&amp;$F23,'PET_STAT_RULES'!$A$5:$A$88,'PET_STAT_RULES'!$C$5:$C$88)</x:f>
        <x:v>40</x:v>
      </x:c>
      <x:c r="K23" s="340" t="n">
        <x:f>XLOOKUP($D23&amp;"|"&amp;$E23&amp;"|"&amp;$F23,'PET_STAT_RULES'!$A$5:$A$88,'PET_STAT_RULES'!$D$5:$D$88)</x:f>
        <x:v>12</x:v>
      </x:c>
      <x:c r="L23" s="340" t="n">
        <x:f>XLOOKUP($D23&amp;"|"&amp;$E23&amp;"|"&amp;$F23,'PET_STAT_RULES'!$A$5:$A$88,'PET_STAT_RULES'!$F$5:$F$88)</x:f>
        <x:v>0</x:v>
      </x:c>
      <x:c r="M23" s="340" t="n">
        <x:f>XLOOKUP($D23&amp;"|"&amp;$E23&amp;"|"&amp;$F23,'PET_STAT_RULES'!$A$5:$A$88,'PET_STAT_RULES'!$G$5:$G$88)</x:f>
        <x:v>5</x:v>
      </x:c>
      <x:c r="N23" s="38" t="n">
        <x:v>2</x:v>
      </x:c>
      <x:c r="O23" s="38" t="str">
        <x:v>none</x:v>
      </x:c>
      <x:c r="P23" s="38" t="str">
        <x:v>07 形状07</x:v>
      </x:c>
      <x:c r="Q23" s="38" t="str">
        <x:v>Turbo</x:v>
      </x:c>
      <x:c r="R23" s="38" t="str">
        <x:v>item confirmed；来源=Card Table；攻击2格；仅保留来源商人/训练师关系。</x:v>
      </x:c>
      <x:c r="S23" s="38" t="n">
        <x:v>5</x:v>
      </x:c>
      <x:c r="T23" s="38" t="n">
        <x:v>2</x:v>
      </x:c>
      <x:c r="U23" s="15" t="str">
        <x:v>skill_vanguard,skill_flank,skill_pierce,skill_revolve,skill_chase,skill_break,skill_suppress,skill_finale</x:v>
      </x:c>
      <x:c r="V23" s="15" t="str">
        <x:v>trait_relentless</x:v>
      </x:c>
      <x:c r="W23" s="332" t="n">
        <x:f>XLOOKUP($D23&amp;"|"&amp;$E23&amp;"|"&amp;$F23,'PET_STAT_RULES'!$A$5:$A$88,'PET_STAT_RULES'!$E$5:$E$88)</x:f>
        <x:v>0</x:v>
      </x:c>
    </x:row>
    <x:row r="24">
      <x:c r="A24" s="38" t="str">
        <x:v>pal_023</x:v>
      </x:c>
      <x:c r="B24" s="38" t="str">
        <x:v>墨潭鲵</x:v>
      </x:c>
      <x:c r="C24" s="38" t="str">
        <x:v>草、水</x:v>
      </x:c>
      <x:c r="D24" s="259" t="str">
        <x:v>青铜</x:v>
      </x:c>
      <x:c r="E24" s="38" t="str">
        <x:v>控制</x:v>
      </x:c>
      <x:c r="F24" s="38" t="str">
        <x:v>一格</x:v>
      </x:c>
      <x:c r="G24" s="38" t="str">
        <x:v>bz_van_023</x:v>
      </x:c>
      <x:c r="H24" s="38" t="str">
        <x:v>elem_火, elem_雷, elem_冰, role_坦克, role_控制, role_输出, special_merchant, elite_high, role_机动压制, role_火系压制</x:v>
      </x:c>
      <x:c r="I24" s="38" t="n">
        <x:v>10</x:v>
      </x:c>
      <x:c r="J24" s="340" t="n">
        <x:f>XLOOKUP($D24&amp;"|"&amp;$E24&amp;"|"&amp;$F24,'PET_STAT_RULES'!$A$5:$A$88,'PET_STAT_RULES'!$C$5:$C$88)</x:f>
        <x:v>26</x:v>
      </x:c>
      <x:c r="K24" s="340" t="n">
        <x:f>XLOOKUP($D24&amp;"|"&amp;$E24&amp;"|"&amp;$F24,'PET_STAT_RULES'!$A$5:$A$88,'PET_STAT_RULES'!$D$5:$D$88)</x:f>
        <x:v>10</x:v>
      </x:c>
      <x:c r="L24" s="340" t="n">
        <x:f>XLOOKUP($D24&amp;"|"&amp;$E24&amp;"|"&amp;$F24,'PET_STAT_RULES'!$A$5:$A$88,'PET_STAT_RULES'!$F$5:$F$88)</x:f>
        <x:v>0</x:v>
      </x:c>
      <x:c r="M24" s="340" t="n">
        <x:f>XLOOKUP($D24&amp;"|"&amp;$E24&amp;"|"&amp;$F24,'PET_STAT_RULES'!$A$5:$A$88,'PET_STAT_RULES'!$G$5:$G$88)</x:f>
        <x:v>4</x:v>
      </x:c>
      <x:c r="N24" s="38" t="n">
        <x:v>2</x:v>
      </x:c>
      <x:c r="O24" s="38" t="str">
        <x:v>mech_counter_damage</x:v>
      </x:c>
      <x:c r="P24" s="38" t="str">
        <x:v>10 形状10</x:v>
      </x:c>
      <x:c r="Q24" s="38" t="str">
        <x:v>Toxic</x:v>
      </x:c>
      <x:c r="R24" s="38" t="str">
        <x:v>item confirmed；来源=Catfish；攻击2格；仅保留来源商人/训练师关系。</x:v>
      </x:c>
      <x:c r="S24" s="38" t="n">
        <x:v>4</x:v>
      </x:c>
      <x:c r="T24" s="38" t="n">
        <x:v>1</x:v>
      </x:c>
      <x:c r="U24" s="15" t="str">
        <x:v>skill_vanguard,skill_flank,skill_pierce,skill_revolve,skill_chase,skill_break,skill_suppress,skill_finale</x:v>
      </x:c>
      <x:c r="V24" s="15" t="str">
        <x:v>trait_element_affinity</x:v>
      </x:c>
      <x:c r="W24" s="332" t="n">
        <x:f>XLOOKUP($D24&amp;"|"&amp;$E24&amp;"|"&amp;$F24,'PET_STAT_RULES'!$A$5:$A$88,'PET_STAT_RULES'!$E$5:$E$88)</x:f>
        <x:v>0</x:v>
      </x:c>
    </x:row>
    <x:row r="25">
      <x:c r="A25" s="38" t="str">
        <x:v>pal_024</x:v>
      </x:c>
      <x:c r="B25" s="38" t="str">
        <x:v>幽纹猫</x:v>
      </x:c>
      <x:c r="C25" s="38" t="str">
        <x:v>火</x:v>
      </x:c>
      <x:c r="D25" s="265" t="str">
        <x:v>白银</x:v>
      </x:c>
      <x:c r="E25" s="38" t="str">
        <x:v>控制</x:v>
      </x:c>
      <x:c r="F25" s="38" t="str">
        <x:v>两格</x:v>
      </x:c>
      <x:c r="G25" s="38" t="str">
        <x:v>bz_van_024</x:v>
      </x:c>
      <x:c r="H25" s="38" t="str">
        <x:v>night_base, elem_水, elem_雷, role_坦克, role_控制, special_merchant, elite_high, tier_pT2, role_召唤铺场, role_抗压承伤</x:v>
      </x:c>
      <x:c r="I25" s="38" t="n">
        <x:v>10</x:v>
      </x:c>
      <x:c r="J25" s="340" t="n">
        <x:f>XLOOKUP($D25&amp;"|"&amp;$E25&amp;"|"&amp;$F25,'PET_STAT_RULES'!$A$5:$A$88,'PET_STAT_RULES'!$C$5:$C$88)</x:f>
        <x:v>44</x:v>
      </x:c>
      <x:c r="K25" s="340" t="n">
        <x:f>XLOOKUP($D25&amp;"|"&amp;$E25&amp;"|"&amp;$F25,'PET_STAT_RULES'!$A$5:$A$88,'PET_STAT_RULES'!$D$5:$D$88)</x:f>
        <x:v>14</x:v>
      </x:c>
      <x:c r="L25" s="340" t="n">
        <x:f>XLOOKUP($D25&amp;"|"&amp;$E25&amp;"|"&amp;$F25,'PET_STAT_RULES'!$A$5:$A$88,'PET_STAT_RULES'!$F$5:$F$88)</x:f>
        <x:v>0</x:v>
      </x:c>
      <x:c r="M25" s="340" t="n">
        <x:f>XLOOKUP($D25&amp;"|"&amp;$E25&amp;"|"&amp;$F25,'PET_STAT_RULES'!$A$5:$A$88,'PET_STAT_RULES'!$G$5:$G$88)</x:f>
        <x:v>4</x:v>
      </x:c>
      <x:c r="N25" s="38" t="n">
        <x:v>2</x:v>
      </x:c>
      <x:c r="O25" s="38" t="str">
        <x:v>mech_fire_ignite_bonus</x:v>
      </x:c>
      <x:c r="P25" s="38" t="str">
        <x:v>08 形状08</x:v>
      </x:c>
      <x:c r="Q25" s="38" t="str">
        <x:v>Fiery</x:v>
      </x:c>
      <x:c r="R25" s="38" t="str">
        <x:v>item confirmed；来源=Cauterizing Blade；攻击2格；仅保留来源商人/训练师关系。</x:v>
      </x:c>
      <x:c r="S25" s="38" t="n">
        <x:v>4</x:v>
      </x:c>
      <x:c r="T25" s="38" t="n">
        <x:v>2</x:v>
      </x:c>
      <x:c r="U25" s="15" t="str">
        <x:v>skill_vanguard,skill_flank,skill_pierce,skill_revolve,skill_chase,skill_break,skill_suppress,skill_finale</x:v>
      </x:c>
      <x:c r="V25" s="15" t="str">
        <x:v>trait_element_affinity</x:v>
      </x:c>
      <x:c r="W25" s="332" t="n">
        <x:f>XLOOKUP($D25&amp;"|"&amp;$E25&amp;"|"&amp;$F25,'PET_STAT_RULES'!$A$5:$A$88,'PET_STAT_RULES'!$E$5:$E$88)</x:f>
        <x:v>0</x:v>
      </x:c>
    </x:row>
    <x:row r="26">
      <x:c r="A26" s="38" t="str">
        <x:v>pal_025</x:v>
      </x:c>
      <x:c r="B26" s="38" t="str">
        <x:v>泉须鲶</x:v>
      </x:c>
      <x:c r="C26" s="38" t="str">
        <x:v>草、水</x:v>
      </x:c>
      <x:c r="D26" s="259" t="str">
        <x:v>青铜</x:v>
      </x:c>
      <x:c r="E26" s="38" t="str">
        <x:v>经济</x:v>
      </x:c>
      <x:c r="F26" s="38" t="str">
        <x:v>一格</x:v>
      </x:c>
      <x:c r="G26" s="38" t="str">
        <x:v>bz_van_025</x:v>
      </x:c>
      <x:c r="H26" s="38" t="str">
        <x:v>elem_火, elem_雷, elem_冰, elem_地, role_召唤, role_坦克, role_控制, role_输出, tier_pT1, tier_pT3</x:v>
      </x:c>
      <x:c r="I26" s="38" t="n">
        <x:v>10</x:v>
      </x:c>
      <x:c r="J26" s="340" t="n">
        <x:f>XLOOKUP($D26&amp;"|"&amp;$E26&amp;"|"&amp;$F26,'PET_STAT_RULES'!$A$5:$A$88,'PET_STAT_RULES'!$C$5:$C$88)</x:f>
        <x:v>22</x:v>
      </x:c>
      <x:c r="K26" s="340" t="n">
        <x:f>XLOOKUP($D26&amp;"|"&amp;$E26&amp;"|"&amp;$F26,'PET_STAT_RULES'!$A$5:$A$88,'PET_STAT_RULES'!$D$5:$D$88)</x:f>
        <x:v>8</x:v>
      </x:c>
      <x:c r="L26" s="340" t="n">
        <x:f>XLOOKUP($D26&amp;"|"&amp;$E26&amp;"|"&amp;$F26,'PET_STAT_RULES'!$A$5:$A$88,'PET_STAT_RULES'!$F$5:$F$88)</x:f>
        <x:v>0</x:v>
      </x:c>
      <x:c r="M26" s="340" t="n">
        <x:f>XLOOKUP($D26&amp;"|"&amp;$E26&amp;"|"&amp;$F26,'PET_STAT_RULES'!$A$5:$A$88,'PET_STAT_RULES'!$G$5:$G$88)</x:f>
        <x:v>3</x:v>
      </x:c>
      <x:c r="N26" s="38" t="n">
        <x:v>1</x:v>
      </x:c>
      <x:c r="O26" s="38" t="str">
        <x:v>none</x:v>
      </x:c>
      <x:c r="P26" s="38" t="str">
        <x:v>01 形状01</x:v>
      </x:c>
      <x:c r="Q26" s="38" t="str">
        <x:v>Golden</x:v>
      </x:c>
      <x:c r="R26" s="38" t="str">
        <x:v>item confirmed；来源=Chum；攻击1格；仅保留来源商人/训练师关系。</x:v>
      </x:c>
      <x:c r="S26" s="38" t="n">
        <x:v>3</x:v>
      </x:c>
      <x:c r="T26" s="38" t="n">
        <x:v>1</x:v>
      </x:c>
      <x:c r="U26" s="15" t="str">
        <x:v>skill_vanguard,skill_flank,skill_pierce,skill_revolve,skill_chase,skill_break,skill_suppress,skill_finale</x:v>
      </x:c>
      <x:c r="V26" s="15" t="str">
        <x:v>trait_combo_resonance</x:v>
      </x:c>
      <x:c r="W26" s="332" t="n">
        <x:f>XLOOKUP($D26&amp;"|"&amp;$E26&amp;"|"&amp;$F26,'PET_STAT_RULES'!$A$5:$A$88,'PET_STAT_RULES'!$E$5:$E$88)</x:f>
        <x:v>0</x:v>
      </x:c>
    </x:row>
    <x:row r="27">
      <x:c r="A27" s="38" t="str">
        <x:v>pal_026</x:v>
      </x:c>
      <x:c r="B27" s="38" t="str">
        <x:v>疾风狼</x:v>
      </x:c>
      <x:c r="C27" s="38" t="str">
        <x:v>水</x:v>
      </x:c>
      <x:c r="D27" s="265" t="str">
        <x:v>白银</x:v>
      </x:c>
      <x:c r="E27" s="38" t="str">
        <x:v>控制</x:v>
      </x:c>
      <x:c r="F27" s="38" t="str">
        <x:v>一格</x:v>
      </x:c>
      <x:c r="G27" s="38" t="str">
        <x:v>bz_van_026</x:v>
      </x:c>
      <x:c r="H27" s="38" t="str">
        <x:v>elem_火, elem_雷, elem_冰, elem_地, role_召唤, role_坦克, role_控制, role_输出, special_merchant, role_召唤铺场</x:v>
      </x:c>
      <x:c r="I27" s="38" t="n">
        <x:v>10</x:v>
      </x:c>
      <x:c r="J27" s="340" t="n">
        <x:f>XLOOKUP($D27&amp;"|"&amp;$E27&amp;"|"&amp;$F27,'PET_STAT_RULES'!$A$5:$A$88,'PET_STAT_RULES'!$C$5:$C$88)</x:f>
        <x:v>38</x:v>
      </x:c>
      <x:c r="K27" s="340" t="n">
        <x:f>XLOOKUP($D27&amp;"|"&amp;$E27&amp;"|"&amp;$F27,'PET_STAT_RULES'!$A$5:$A$88,'PET_STAT_RULES'!$D$5:$D$88)</x:f>
        <x:v>16</x:v>
      </x:c>
      <x:c r="L27" s="340" t="n">
        <x:f>XLOOKUP($D27&amp;"|"&amp;$E27&amp;"|"&amp;$F27,'PET_STAT_RULES'!$A$5:$A$88,'PET_STAT_RULES'!$F$5:$F$88)</x:f>
        <x:v>0</x:v>
      </x:c>
      <x:c r="M27" s="340" t="n">
        <x:f>XLOOKUP($D27&amp;"|"&amp;$E27&amp;"|"&amp;$F27,'PET_STAT_RULES'!$A$5:$A$88,'PET_STAT_RULES'!$G$5:$G$88)</x:f>
        <x:v>4</x:v>
      </x:c>
      <x:c r="N27" s="38" t="n">
        <x:v>2</x:v>
      </x:c>
      <x:c r="O27" s="38" t="str">
        <x:v>mech_counter_damage</x:v>
      </x:c>
      <x:c r="P27" s="38" t="str">
        <x:v>11 形状11</x:v>
      </x:c>
      <x:c r="Q27" s="38" t="str">
        <x:v>Icy</x:v>
      </x:c>
      <x:c r="R27" s="38" t="str">
        <x:v>item confirmed；来源=Clamera；攻击2格；仅保留来源商人/训练师关系。</x:v>
      </x:c>
      <x:c r="S27" s="38" t="n">
        <x:v>4</x:v>
      </x:c>
      <x:c r="T27" s="38" t="n">
        <x:v>2</x:v>
      </x:c>
      <x:c r="U27" s="15" t="str">
        <x:v>skill_vanguard,skill_flank,skill_pierce,skill_revolve,skill_chase,skill_break,skill_suppress,skill_finale</x:v>
      </x:c>
      <x:c r="V27" s="15" t="str">
        <x:v>trait_element_affinity</x:v>
      </x:c>
      <x:c r="W27" s="332" t="n">
        <x:f>XLOOKUP($D27&amp;"|"&amp;$E27&amp;"|"&amp;$F27,'PET_STAT_RULES'!$A$5:$A$88,'PET_STAT_RULES'!$E$5:$E$88)</x:f>
        <x:v>0</x:v>
      </x:c>
    </x:row>
    <x:row r="28">
      <x:c r="A28" s="38" t="str">
        <x:v>pal_027</x:v>
      </x:c>
      <x:c r="B28" s="38" t="str">
        <x:v>惊羽雀</x:v>
      </x:c>
      <x:c r="C28" s="38" t="str">
        <x:v>地</x:v>
      </x:c>
      <x:c r="D28" s="259" t="str">
        <x:v>青铜</x:v>
      </x:c>
      <x:c r="E28" s="38" t="str">
        <x:v>机动</x:v>
      </x:c>
      <x:c r="F28" s="38" t="str">
        <x:v>一格</x:v>
      </x:c>
      <x:c r="G28" s="38" t="str">
        <x:v>bz_van_027</x:v>
      </x:c>
      <x:c r="H28" s="38" t="str">
        <x:v>night_base, elem_火, elem_雷, elem_地, role_召唤, role_坦克, role_控制, role_治疗, special_merchant, elite_high</x:v>
      </x:c>
      <x:c r="I28" s="38" t="n">
        <x:v>10</x:v>
      </x:c>
      <x:c r="J28" s="340" t="n">
        <x:f>XLOOKUP($D28&amp;"|"&amp;$E28&amp;"|"&amp;$F28,'PET_STAT_RULES'!$A$5:$A$88,'PET_STAT_RULES'!$C$5:$C$88)</x:f>
        <x:v>22</x:v>
      </x:c>
      <x:c r="K28" s="340" t="n">
        <x:f>XLOOKUP($D28&amp;"|"&amp;$E28&amp;"|"&amp;$F28,'PET_STAT_RULES'!$A$5:$A$88,'PET_STAT_RULES'!$D$5:$D$88)</x:f>
        <x:v>8</x:v>
      </x:c>
      <x:c r="L28" s="340" t="n">
        <x:f>XLOOKUP($D28&amp;"|"&amp;$E28&amp;"|"&amp;$F28,'PET_STAT_RULES'!$A$5:$A$88,'PET_STAT_RULES'!$F$5:$F$88)</x:f>
        <x:v>0</x:v>
      </x:c>
      <x:c r="M28" s="340" t="n">
        <x:f>XLOOKUP($D28&amp;"|"&amp;$E28&amp;"|"&amp;$F28,'PET_STAT_RULES'!$A$5:$A$88,'PET_STAT_RULES'!$G$5:$G$88)</x:f>
        <x:v>5</x:v>
      </x:c>
      <x:c r="N28" s="38" t="n">
        <x:v>1</x:v>
      </x:c>
      <x:c r="O28" s="38" t="str">
        <x:v>none</x:v>
      </x:c>
      <x:c r="P28" s="38" t="str">
        <x:v>01 形状01</x:v>
      </x:c>
      <x:c r="Q28" s="38" t="str">
        <x:v>Turbo</x:v>
      </x:c>
      <x:c r="R28" s="38" t="str">
        <x:v>item confirmed；来源=Concealed Dagger；攻击1格；仅保留来源商人/训练师关系。</x:v>
      </x:c>
      <x:c r="S28" s="38" t="n">
        <x:v>5</x:v>
      </x:c>
      <x:c r="T28" s="38" t="n">
        <x:v>1</x:v>
      </x:c>
      <x:c r="U28" s="15" t="str">
        <x:v>skill_vanguard,skill_flank,skill_pierce,skill_revolve,skill_chase,skill_break,skill_suppress,skill_finale</x:v>
      </x:c>
      <x:c r="V28" s="15" t="str">
        <x:v>trait_relentless</x:v>
      </x:c>
      <x:c r="W28" s="332" t="n">
        <x:f>XLOOKUP($D28&amp;"|"&amp;$E28&amp;"|"&amp;$F28,'PET_STAT_RULES'!$A$5:$A$88,'PET_STAT_RULES'!$E$5:$E$88)</x:f>
        <x:v>0</x:v>
      </x:c>
    </x:row>
    <x:row r="29">
      <x:c r="A29" s="38" t="str">
        <x:v>pal_028</x:v>
      </x:c>
      <x:c r="B29" s="38" t="str">
        <x:v>药草兔</x:v>
      </x:c>
      <x:c r="C29" s="38" t="str">
        <x:v>水、龙</x:v>
      </x:c>
      <x:c r="D29" s="259" t="str">
        <x:v>青铜</x:v>
      </x:c>
      <x:c r="E29" s="38" t="str">
        <x:v>治疗</x:v>
      </x:c>
      <x:c r="F29" s="38" t="str">
        <x:v>一格</x:v>
      </x:c>
      <x:c r="G29" s="38" t="str">
        <x:v>bz_van_028</x:v>
      </x:c>
      <x:c r="H29" s="38" t="str">
        <x:v>night_base, elem_火, elem_雷, elem_冰, elem_地, role_召唤, role_坦克, role_控制, role_治疗, role_输出</x:v>
      </x:c>
      <x:c r="I29" s="38" t="n">
        <x:v>10</x:v>
      </x:c>
      <x:c r="J29" s="340" t="n">
        <x:f>XLOOKUP($D29&amp;"|"&amp;$E29&amp;"|"&amp;$F29,'PET_STAT_RULES'!$A$5:$A$88,'PET_STAT_RULES'!$C$5:$C$88)</x:f>
        <x:v>28</x:v>
      </x:c>
      <x:c r="K29" s="340" t="n">
        <x:f>XLOOKUP($D29&amp;"|"&amp;$E29&amp;"|"&amp;$F29,'PET_STAT_RULES'!$A$5:$A$88,'PET_STAT_RULES'!$D$5:$D$88)</x:f>
        <x:v>8</x:v>
      </x:c>
      <x:c r="L29" s="340" t="n">
        <x:f>XLOOKUP($D29&amp;"|"&amp;$E29&amp;"|"&amp;$F29,'PET_STAT_RULES'!$A$5:$A$88,'PET_STAT_RULES'!$F$5:$F$88)</x:f>
        <x:v>2</x:v>
      </x:c>
      <x:c r="M29" s="340" t="n">
        <x:f>XLOOKUP($D29&amp;"|"&amp;$E29&amp;"|"&amp;$F29,'PET_STAT_RULES'!$A$5:$A$88,'PET_STAT_RULES'!$G$5:$G$88)</x:f>
        <x:v>3</x:v>
      </x:c>
      <x:c r="N29" s="38" t="n">
        <x:v>1</x:v>
      </x:c>
      <x:c r="O29" s="38" t="str">
        <x:v>mech_shield_regen</x:v>
      </x:c>
      <x:c r="P29" s="38" t="str">
        <x:v>03 形状03</x:v>
      </x:c>
      <x:c r="Q29" s="38" t="str">
        <x:v>Restorative</x:v>
      </x:c>
      <x:c r="R29" s="38" t="str">
        <x:v>item confirmed；来源=Coral；攻击1格；仅保留来源商人/训练师关系。</x:v>
      </x:c>
      <x:c r="S29" s="38" t="n">
        <x:v>3</x:v>
      </x:c>
      <x:c r="T29" s="38" t="n">
        <x:v>1</x:v>
      </x:c>
      <x:c r="U29" s="15" t="str">
        <x:v>skill_vanguard,skill_flank,skill_pierce,skill_revolve,skill_chase,skill_break,skill_suppress,skill_finale</x:v>
      </x:c>
      <x:c r="V29" s="15" t="str">
        <x:v>trait_element_affinity</x:v>
      </x:c>
      <x:c r="W29" s="332" t="n">
        <x:f>XLOOKUP($D29&amp;"|"&amp;$E29&amp;"|"&amp;$F29,'PET_STAT_RULES'!$A$5:$A$88,'PET_STAT_RULES'!$E$5:$E$88)</x:f>
        <x:v>0</x:v>
      </x:c>
    </x:row>
    <x:row r="30">
      <x:c r="A30" s="38" t="str">
        <x:v>pal_029</x:v>
      </x:c>
      <x:c r="B30" s="38" t="str">
        <x:v>黄背牛</x:v>
      </x:c>
      <x:c r="C30" s="38" t="str">
        <x:v>水、地</x:v>
      </x:c>
      <x:c r="D30" s="259" t="str">
        <x:v>青铜</x:v>
      </x:c>
      <x:c r="E30" s="38" t="str">
        <x:v>坦克</x:v>
      </x:c>
      <x:c r="F30" s="38" t="str">
        <x:v>两格</x:v>
      </x:c>
      <x:c r="G30" s="38" t="str">
        <x:v>bz_van_029</x:v>
      </x:c>
      <x:c r="H30" s="38" t="str">
        <x:v>elem_水, elem_雷, elem_冰, elem_龙, elem_无, role_坦克, role_控制, role_输出, tier_pT3, role_重甲抗压</x:v>
      </x:c>
      <x:c r="I30" s="38" t="n">
        <x:v>10</x:v>
      </x:c>
      <x:c r="J30" s="340" t="n">
        <x:f>XLOOKUP($D30&amp;"|"&amp;$E30&amp;"|"&amp;$F30,'PET_STAT_RULES'!$A$5:$A$88,'PET_STAT_RULES'!$C$5:$C$88)</x:f>
        <x:v>42</x:v>
      </x:c>
      <x:c r="K30" s="340" t="n">
        <x:f>XLOOKUP($D30&amp;"|"&amp;$E30&amp;"|"&amp;$F30,'PET_STAT_RULES'!$A$5:$A$88,'PET_STAT_RULES'!$D$5:$D$88)</x:f>
        <x:v>6</x:v>
      </x:c>
      <x:c r="L30" s="340" t="n">
        <x:f>XLOOKUP($D30&amp;"|"&amp;$E30&amp;"|"&amp;$F30,'PET_STAT_RULES'!$A$5:$A$88,'PET_STAT_RULES'!$F$5:$F$88)</x:f>
        <x:v>6</x:v>
      </x:c>
      <x:c r="M30" s="340" t="n">
        <x:f>XLOOKUP($D30&amp;"|"&amp;$E30&amp;"|"&amp;$F30,'PET_STAT_RULES'!$A$5:$A$88,'PET_STAT_RULES'!$G$5:$G$88)</x:f>
        <x:v>3</x:v>
      </x:c>
      <x:c r="N30" s="38" t="n">
        <x:v>1</x:v>
      </x:c>
      <x:c r="O30" s="38" t="str">
        <x:v>mech_armor_flat</x:v>
      </x:c>
      <x:c r="P30" s="38" t="str">
        <x:v>01 形状01</x:v>
      </x:c>
      <x:c r="Q30" s="38" t="str">
        <x:v>Shielded</x:v>
      </x:c>
      <x:c r="R30" s="38" t="str">
        <x:v>item confirmed；来源=Coral Armor；攻击1格；仅保留来源商人/训练师关系。</x:v>
      </x:c>
      <x:c r="S30" s="38" t="n">
        <x:v>3</x:v>
      </x:c>
      <x:c r="T30" s="38" t="n">
        <x:v>1</x:v>
      </x:c>
      <x:c r="U30" s="15" t="str">
        <x:v>skill_vanguard,skill_flank,skill_pierce,skill_revolve,skill_chase,skill_break,skill_suppress,skill_finale</x:v>
      </x:c>
      <x:c r="V30" s="15" t="str">
        <x:v>trait_combo_mastery</x:v>
      </x:c>
      <x:c r="W30" s="332" t="n">
        <x:f>XLOOKUP($D30&amp;"|"&amp;$E30&amp;"|"&amp;$F30,'PET_STAT_RULES'!$A$5:$A$88,'PET_STAT_RULES'!$E$5:$E$88)</x:f>
        <x:v>0</x:v>
      </x:c>
    </x:row>
    <x:row r="31">
      <x:c r="A31" s="38" t="str">
        <x:v>pal_030</x:v>
      </x:c>
      <x:c r="B31" s="38" t="str">
        <x:v>花刺蛛</x:v>
      </x:c>
      <x:c r="C31" s="38" t="str">
        <x:v>水、地</x:v>
      </x:c>
      <x:c r="D31" s="259" t="str">
        <x:v>青铜</x:v>
      </x:c>
      <x:c r="E31" s="38" t="str">
        <x:v>坦克</x:v>
      </x:c>
      <x:c r="F31" s="38" t="str">
        <x:v>三格</x:v>
      </x:c>
      <x:c r="G31" s="38" t="str">
        <x:v>bz_van_030</x:v>
      </x:c>
      <x:c r="H31" s="38" t="str">
        <x:v>elem_水, elem_雷, elem_冰, elem_地, elem_暗, role_坦克, role_控制, role_输出, tier_pT3, role_风系铺场</x:v>
      </x:c>
      <x:c r="I31" s="38" t="n">
        <x:v>10</x:v>
      </x:c>
      <x:c r="J31" s="340" t="n">
        <x:f>XLOOKUP($D31&amp;"|"&amp;$E31&amp;"|"&amp;$F31,'PET_STAT_RULES'!$A$5:$A$88,'PET_STAT_RULES'!$C$5:$C$88)</x:f>
        <x:v>48</x:v>
      </x:c>
      <x:c r="K31" s="340" t="n">
        <x:f>XLOOKUP($D31&amp;"|"&amp;$E31&amp;"|"&amp;$F31,'PET_STAT_RULES'!$A$5:$A$88,'PET_STAT_RULES'!$D$5:$D$88)</x:f>
        <x:v>4</x:v>
      </x:c>
      <x:c r="L31" s="340" t="n">
        <x:f>XLOOKUP($D31&amp;"|"&amp;$E31&amp;"|"&amp;$F31,'PET_STAT_RULES'!$A$5:$A$88,'PET_STAT_RULES'!$F$5:$F$88)</x:f>
        <x:v>6</x:v>
      </x:c>
      <x:c r="M31" s="340" t="n">
        <x:f>XLOOKUP($D31&amp;"|"&amp;$E31&amp;"|"&amp;$F31,'PET_STAT_RULES'!$A$5:$A$88,'PET_STAT_RULES'!$G$5:$G$88)</x:f>
        <x:v>2</x:v>
      </x:c>
      <x:c r="N31" s="38" t="n">
        <x:v>1</x:v>
      </x:c>
      <x:c r="O31" s="38" t="str">
        <x:v>mech_armor_flat</x:v>
      </x:c>
      <x:c r="P31" s="38" t="str">
        <x:v>03 形状03</x:v>
      </x:c>
      <x:c r="Q31" s="38" t="str">
        <x:v>Shielded</x:v>
      </x:c>
      <x:c r="R31" s="38" t="str">
        <x:v>item confirmed；来源=Cove；攻击1格；仅保留来源商人/训练师关系。</x:v>
      </x:c>
      <x:c r="S31" s="38" t="n">
        <x:v>2</x:v>
      </x:c>
      <x:c r="T31" s="38" t="n">
        <x:v>1</x:v>
      </x:c>
      <x:c r="U31" s="15" t="str">
        <x:v>skill_vanguard,skill_flank,skill_pierce,skill_revolve,skill_chase,skill_break,skill_suppress,skill_finale</x:v>
      </x:c>
      <x:c r="V31" s="15" t="str">
        <x:v>trait_combo_mastery</x:v>
      </x:c>
      <x:c r="W31" s="332" t="n">
        <x:f>XLOOKUP($D31&amp;"|"&amp;$E31&amp;"|"&amp;$F31,'PET_STAT_RULES'!$A$5:$A$88,'PET_STAT_RULES'!$E$5:$E$88)</x:f>
        <x:v>0</x:v>
      </x:c>
    </x:row>
    <x:row r="32">
      <x:c r="A32" s="38" t="str">
        <x:v>pal_031</x:v>
      </x:c>
      <x:c r="B32" s="38" t="str">
        <x:v>青背鲵</x:v>
      </x:c>
      <x:c r="C32" s="38" t="str">
        <x:v>水、雷</x:v>
      </x:c>
      <x:c r="D32" s="265" t="str">
        <x:v>白银</x:v>
      </x:c>
      <x:c r="E32" s="38" t="str">
        <x:v>治疗</x:v>
      </x:c>
      <x:c r="F32" s="38" t="str">
        <x:v>三格</x:v>
      </x:c>
      <x:c r="G32" s="38" t="str">
        <x:v>bz_van_031</x:v>
      </x:c>
      <x:c r="H32" s="38" t="str">
        <x:v>elite_high</x:v>
      </x:c>
      <x:c r="I32" s="38" t="n">
        <x:v>1</x:v>
      </x:c>
      <x:c r="J32" s="340" t="n">
        <x:f>XLOOKUP($D32&amp;"|"&amp;$E32&amp;"|"&amp;$F32,'PET_STAT_RULES'!$A$5:$A$88,'PET_STAT_RULES'!$C$5:$C$88)</x:f>
        <x:v>52</x:v>
      </x:c>
      <x:c r="K32" s="340" t="n">
        <x:f>XLOOKUP($D32&amp;"|"&amp;$E32&amp;"|"&amp;$F32,'PET_STAT_RULES'!$A$5:$A$88,'PET_STAT_RULES'!$D$5:$D$88)</x:f>
        <x:v>10</x:v>
      </x:c>
      <x:c r="L32" s="340" t="n">
        <x:f>XLOOKUP($D32&amp;"|"&amp;$E32&amp;"|"&amp;$F32,'PET_STAT_RULES'!$A$5:$A$88,'PET_STAT_RULES'!$F$5:$F$88)</x:f>
        <x:v>4</x:v>
      </x:c>
      <x:c r="M32" s="340" t="n">
        <x:f>XLOOKUP($D32&amp;"|"&amp;$E32&amp;"|"&amp;$F32,'PET_STAT_RULES'!$A$5:$A$88,'PET_STAT_RULES'!$G$5:$G$88)</x:f>
        <x:v>2</x:v>
      </x:c>
      <x:c r="N32" s="38" t="n">
        <x:v>2</x:v>
      </x:c>
      <x:c r="O32" s="38" t="str">
        <x:v>mech_shield_regen</x:v>
      </x:c>
      <x:c r="P32" s="38" t="str">
        <x:v>12 形状12</x:v>
      </x:c>
      <x:c r="Q32" s="38" t="str">
        <x:v>Icy</x:v>
      </x:c>
      <x:c r="R32" s="38" t="str">
        <x:v>item confirmed；来源=Crow's Nest；攻击2格；仅保留来源商人/训练师关系。</x:v>
      </x:c>
      <x:c r="S32" s="38" t="n">
        <x:v>2</x:v>
      </x:c>
      <x:c r="T32" s="38" t="n">
        <x:v>2</x:v>
      </x:c>
      <x:c r="U32" s="15" t="str">
        <x:v>skill_vanguard,skill_flank,skill_pierce,skill_revolve,skill_chase,skill_break,skill_suppress,skill_finale</x:v>
      </x:c>
      <x:c r="V32" s="15" t="str">
        <x:v>trait_element_affinity</x:v>
      </x:c>
      <x:c r="W32" s="332" t="n">
        <x:f>XLOOKUP($D32&amp;"|"&amp;$E32&amp;"|"&amp;$F32,'PET_STAT_RULES'!$A$5:$A$88,'PET_STAT_RULES'!$E$5:$E$88)</x:f>
        <x:v>0</x:v>
      </x:c>
    </x:row>
    <x:row r="33">
      <x:c r="A33" s="38" t="str">
        <x:v>pal_032</x:v>
      </x:c>
      <x:c r="B33" s="38" t="str">
        <x:v>石甲鲮</x:v>
      </x:c>
      <x:c r="C33" s="38" t="str">
        <x:v>雷</x:v>
      </x:c>
      <x:c r="D33" s="265" t="str">
        <x:v>白银</x:v>
      </x:c>
      <x:c r="E33" s="38" t="str">
        <x:v>机动</x:v>
      </x:c>
      <x:c r="F33" s="38" t="str">
        <x:v>一格</x:v>
      </x:c>
      <x:c r="G33" s="38" t="str">
        <x:v>bz_van_032</x:v>
      </x:c>
      <x:c r="H33" s="38" t="str">
        <x:v>elem_火, elem_雷, elem_冰, elem_地, role_召唤, role_坦克, role_控制, role_治疗, tier_pT1, role_抗压承伤</x:v>
      </x:c>
      <x:c r="I33" s="38" t="n">
        <x:v>10</x:v>
      </x:c>
      <x:c r="J33" s="340" t="n">
        <x:f>XLOOKUP($D33&amp;"|"&amp;$E33&amp;"|"&amp;$F33,'PET_STAT_RULES'!$A$5:$A$88,'PET_STAT_RULES'!$C$5:$C$88)</x:f>
        <x:v>34</x:v>
      </x:c>
      <x:c r="K33" s="340" t="n">
        <x:f>XLOOKUP($D33&amp;"|"&amp;$E33&amp;"|"&amp;$F33,'PET_STAT_RULES'!$A$5:$A$88,'PET_STAT_RULES'!$D$5:$D$88)</x:f>
        <x:v>14</x:v>
      </x:c>
      <x:c r="L33" s="340" t="n">
        <x:f>XLOOKUP($D33&amp;"|"&amp;$E33&amp;"|"&amp;$F33,'PET_STAT_RULES'!$A$5:$A$88,'PET_STAT_RULES'!$F$5:$F$88)</x:f>
        <x:v>0</x:v>
      </x:c>
      <x:c r="M33" s="340" t="n">
        <x:f>XLOOKUP($D33&amp;"|"&amp;$E33&amp;"|"&amp;$F33,'PET_STAT_RULES'!$A$5:$A$88,'PET_STAT_RULES'!$G$5:$G$88)</x:f>
        <x:v>5</x:v>
      </x:c>
      <x:c r="N33" s="38" t="n">
        <x:v>2</x:v>
      </x:c>
      <x:c r="O33" s="38" t="str">
        <x:v>none</x:v>
      </x:c>
      <x:c r="P33" s="38" t="str">
        <x:v>12 形状12</x:v>
      </x:c>
      <x:c r="Q33" s="38" t="str">
        <x:v>Turbo</x:v>
      </x:c>
      <x:c r="R33" s="38" t="str">
        <x:v>item confirmed；来源=Custom Scope；攻击2格；仅保留来源商人/训练师关系。</x:v>
      </x:c>
      <x:c r="S33" s="38" t="n">
        <x:v>5</x:v>
      </x:c>
      <x:c r="T33" s="38" t="n">
        <x:v>2</x:v>
      </x:c>
      <x:c r="U33" s="15" t="str">
        <x:v>skill_vanguard,skill_flank,skill_pierce,skill_revolve,skill_chase,skill_break,skill_suppress,skill_finale</x:v>
      </x:c>
      <x:c r="V33" s="15" t="str">
        <x:v>trait_relentless</x:v>
      </x:c>
      <x:c r="W33" s="332" t="n">
        <x:f>XLOOKUP($D33&amp;"|"&amp;$E33&amp;"|"&amp;$F33,'PET_STAT_RULES'!$A$5:$A$88,'PET_STAT_RULES'!$E$5:$E$88)</x:f>
        <x:v>0</x:v>
      </x:c>
    </x:row>
    <x:row r="34">
      <x:c r="A34" s="38" t="str">
        <x:v>pal_033</x:v>
      </x:c>
      <x:c r="B34" s="38" t="str">
        <x:v>芭蕉熊</x:v>
      </x:c>
      <x:c r="C34" s="38" t="str">
        <x:v>雷</x:v>
      </x:c>
      <x:c r="D34" s="259" t="str">
        <x:v>青铜</x:v>
      </x:c>
      <x:c r="E34" s="38" t="str">
        <x:v>控制</x:v>
      </x:c>
      <x:c r="F34" s="38" t="str">
        <x:v>两格</x:v>
      </x:c>
      <x:c r="G34" s="38" t="str">
        <x:v>bz_van_033</x:v>
      </x:c>
      <x:c r="H34" s="38" t="str">
        <x:v>night_base, elem_水, elem_雷, elem_无, role_召唤, role_坦克, role_控制, role_治疗, tier_pT1, role_召唤铺场</x:v>
      </x:c>
      <x:c r="I34" s="38" t="n">
        <x:v>10</x:v>
      </x:c>
      <x:c r="J34" s="340" t="n">
        <x:f>XLOOKUP($D34&amp;"|"&amp;$E34&amp;"|"&amp;$F34,'PET_STAT_RULES'!$A$5:$A$88,'PET_STAT_RULES'!$C$5:$C$88)</x:f>
        <x:v>32</x:v>
      </x:c>
      <x:c r="K34" s="340" t="n">
        <x:f>XLOOKUP($D34&amp;"|"&amp;$E34&amp;"|"&amp;$F34,'PET_STAT_RULES'!$A$5:$A$88,'PET_STAT_RULES'!$D$5:$D$88)</x:f>
        <x:v>8</x:v>
      </x:c>
      <x:c r="L34" s="340" t="n">
        <x:f>XLOOKUP($D34&amp;"|"&amp;$E34&amp;"|"&amp;$F34,'PET_STAT_RULES'!$A$5:$A$88,'PET_STAT_RULES'!$F$5:$F$88)</x:f>
        <x:v>0</x:v>
      </x:c>
      <x:c r="M34" s="340" t="n">
        <x:f>XLOOKUP($D34&amp;"|"&amp;$E34&amp;"|"&amp;$F34,'PET_STAT_RULES'!$A$5:$A$88,'PET_STAT_RULES'!$G$5:$G$88)</x:f>
        <x:v>4</x:v>
      </x:c>
      <x:c r="N34" s="38" t="n">
        <x:v>2</x:v>
      </x:c>
      <x:c r="O34" s="38" t="str">
        <x:v>mech_counter_damage</x:v>
      </x:c>
      <x:c r="P34" s="38" t="str">
        <x:v>07 形状07</x:v>
      </x:c>
      <x:c r="Q34" s="38" t="str">
        <x:v>Icy</x:v>
      </x:c>
      <x:c r="R34" s="38" t="str">
        <x:v>item confirmed；来源=Cutlass；攻击2格；仅保留来源商人/训练师关系。</x:v>
      </x:c>
      <x:c r="S34" s="38" t="n">
        <x:v>4</x:v>
      </x:c>
      <x:c r="T34" s="38" t="n">
        <x:v>1</x:v>
      </x:c>
      <x:c r="U34" s="15" t="str">
        <x:v>skill_vanguard,skill_flank,skill_pierce,skill_revolve,skill_chase,skill_break,skill_suppress,skill_finale</x:v>
      </x:c>
      <x:c r="V34" s="15" t="str">
        <x:v>trait_element_affinity</x:v>
      </x:c>
      <x:c r="W34" s="332" t="n">
        <x:f>XLOOKUP($D34&amp;"|"&amp;$E34&amp;"|"&amp;$F34,'PET_STAT_RULES'!$A$5:$A$88,'PET_STAT_RULES'!$E$5:$E$88)</x:f>
        <x:v>0</x:v>
      </x:c>
    </x:row>
    <x:row r="35">
      <x:c r="A35" s="38" t="str">
        <x:v>pal_034</x:v>
      </x:c>
      <x:c r="B35" s="38" t="str">
        <x:v>蜜纹獾</x:v>
      </x:c>
      <x:c r="C35" s="38" t="str">
        <x:v>雷</x:v>
      </x:c>
      <x:c r="D35" s="265" t="str">
        <x:v>白银</x:v>
      </x:c>
      <x:c r="E35" s="38" t="str">
        <x:v>输出</x:v>
      </x:c>
      <x:c r="F35" s="38" t="str">
        <x:v>两格</x:v>
      </x:c>
      <x:c r="G35" s="38" t="str">
        <x:v>bz_van_034</x:v>
      </x:c>
      <x:c r="H35" s="38" t="str">
        <x:v>night_base, elem_水, elem_雷, elem_无, role_召唤, role_坦克, role_控制, role_治疗, tier_pT1, role_抗压承伤</x:v>
      </x:c>
      <x:c r="I35" s="38" t="n">
        <x:v>10</x:v>
      </x:c>
      <x:c r="J35" s="340" t="n">
        <x:f>XLOOKUP($D35&amp;"|"&amp;$E35&amp;"|"&amp;$F35,'PET_STAT_RULES'!$A$5:$A$88,'PET_STAT_RULES'!$C$5:$C$88)</x:f>
        <x:v>40</x:v>
      </x:c>
      <x:c r="K35" s="340" t="n">
        <x:f>XLOOKUP($D35&amp;"|"&amp;$E35&amp;"|"&amp;$F35,'PET_STAT_RULES'!$A$5:$A$88,'PET_STAT_RULES'!$D$5:$D$88)</x:f>
        <x:v>20</x:v>
      </x:c>
      <x:c r="L35" s="340" t="n">
        <x:f>XLOOKUP($D35&amp;"|"&amp;$E35&amp;"|"&amp;$F35,'PET_STAT_RULES'!$A$5:$A$88,'PET_STAT_RULES'!$F$5:$F$88)</x:f>
        <x:v>0</x:v>
      </x:c>
      <x:c r="M35" s="340" t="n">
        <x:f>XLOOKUP($D35&amp;"|"&amp;$E35&amp;"|"&amp;$F35,'PET_STAT_RULES'!$A$5:$A$88,'PET_STAT_RULES'!$G$5:$G$88)</x:f>
        <x:v>3</x:v>
      </x:c>
      <x:c r="N35" s="38" t="n">
        <x:v>2</x:v>
      </x:c>
      <x:c r="O35" s="38" t="str">
        <x:v>mech_grow_atk_each_round</x:v>
      </x:c>
      <x:c r="P35" s="38" t="str">
        <x:v>05 形状05</x:v>
      </x:c>
      <x:c r="Q35" s="38" t="str">
        <x:v>Deadly</x:v>
      </x:c>
      <x:c r="R35" s="38" t="str">
        <x:v>item confirmed；来源=Cyber-Sai；攻击2格；仅保留来源商人/训练师关系。</x:v>
      </x:c>
      <x:c r="S35" s="38" t="n">
        <x:v>3</x:v>
      </x:c>
      <x:c r="T35" s="38" t="n">
        <x:v>2</x:v>
      </x:c>
      <x:c r="U35" s="15" t="str">
        <x:v>skill_vanguard,skill_flank,skill_pierce,skill_revolve,skill_chase,skill_break,skill_suppress,skill_finale</x:v>
      </x:c>
      <x:c r="V35" s="15" t="str">
        <x:v>trait_relentless</x:v>
      </x:c>
      <x:c r="W35" s="332" t="n">
        <x:f>XLOOKUP($D35&amp;"|"&amp;$E35&amp;"|"&amp;$F35,'PET_STAT_RULES'!$A$5:$A$88,'PET_STAT_RULES'!$E$5:$E$88)</x:f>
        <x:v>0</x:v>
      </x:c>
    </x:row>
    <x:row r="36">
      <x:c r="A36" s="38" t="str">
        <x:v>pal_035</x:v>
      </x:c>
      <x:c r="B36" s="38" t="str">
        <x:v>藤巢蜂</x:v>
      </x:c>
      <x:c r="C36" s="38" t="str">
        <x:v>水、雷</x:v>
      </x:c>
      <x:c r="D36" s="262" t="str">
        <x:v>黄金</x:v>
      </x:c>
      <x:c r="E36" s="38" t="str">
        <x:v>控制</x:v>
      </x:c>
      <x:c r="F36" s="38" t="str">
        <x:v>三格</x:v>
      </x:c>
      <x:c r="G36" s="38" t="str">
        <x:v>bz_van_035</x:v>
      </x:c>
      <x:c r="H36" s="38" t="str">
        <x:v>elem_水, elem_雷, elem_冰, elem_地, elem_暗, role_坦克, role_控制, role_治疗, role_输出, role_风系铺场</x:v>
      </x:c>
      <x:c r="I36" s="38" t="n">
        <x:v>10</x:v>
      </x:c>
      <x:c r="J36" s="340" t="n">
        <x:f>XLOOKUP($D36&amp;"|"&amp;$E36&amp;"|"&amp;$F36,'PET_STAT_RULES'!$A$5:$A$88,'PET_STAT_RULES'!$C$5:$C$88)</x:f>
        <x:v>62</x:v>
      </x:c>
      <x:c r="K36" s="340" t="n">
        <x:f>XLOOKUP($D36&amp;"|"&amp;$E36&amp;"|"&amp;$F36,'PET_STAT_RULES'!$A$5:$A$88,'PET_STAT_RULES'!$D$5:$D$88)</x:f>
        <x:v>18</x:v>
      </x:c>
      <x:c r="L36" s="340" t="n">
        <x:f>XLOOKUP($D36&amp;"|"&amp;$E36&amp;"|"&amp;$F36,'PET_STAT_RULES'!$A$5:$A$88,'PET_STAT_RULES'!$F$5:$F$88)</x:f>
        <x:v>0</x:v>
      </x:c>
      <x:c r="M36" s="340" t="n">
        <x:f>XLOOKUP($D36&amp;"|"&amp;$E36&amp;"|"&amp;$F36,'PET_STAT_RULES'!$A$5:$A$88,'PET_STAT_RULES'!$G$5:$G$88)</x:f>
        <x:v>4</x:v>
      </x:c>
      <x:c r="N36" s="38" t="n">
        <x:v>3</x:v>
      </x:c>
      <x:c r="O36" s="38" t="str">
        <x:v>mech_death_explosion</x:v>
      </x:c>
      <x:c r="P36" s="38" t="str">
        <x:v>18 形状18</x:v>
      </x:c>
      <x:c r="Q36" s="38" t="str">
        <x:v>Turbo</x:v>
      </x:c>
      <x:c r="R36" s="38" t="str">
        <x:v>item confirmed；来源=Dam；攻击3格；仅保留来源商人/训练师关系。</x:v>
      </x:c>
      <x:c r="S36" s="38" t="n">
        <x:v>4</x:v>
      </x:c>
      <x:c r="T36" s="38" t="n">
        <x:v>2</x:v>
      </x:c>
      <x:c r="U36" s="15" t="str">
        <x:v>skill_vanguard,skill_flank,skill_pierce,skill_revolve,skill_chase,skill_break,skill_suppress,skill_finale</x:v>
      </x:c>
      <x:c r="V36" s="15" t="str">
        <x:v>trait_element_affinity</x:v>
      </x:c>
      <x:c r="W36" s="332" t="n">
        <x:f>XLOOKUP($D36&amp;"|"&amp;$E36&amp;"|"&amp;$F36,'PET_STAT_RULES'!$A$5:$A$88,'PET_STAT_RULES'!$E$5:$E$88)</x:f>
        <x:v>0</x:v>
      </x:c>
    </x:row>
    <x:row r="37">
      <x:c r="A37" s="38" t="str">
        <x:v>pal_036</x:v>
      </x:c>
      <x:c r="B37" s="38" t="str">
        <x:v>云纹巨驼</x:v>
      </x:c>
      <x:c r="C37" s="38" t="str">
        <x:v>火、水</x:v>
      </x:c>
      <x:c r="D37" s="265" t="str">
        <x:v>白银</x:v>
      </x:c>
      <x:c r="E37" s="38" t="str">
        <x:v>控制</x:v>
      </x:c>
      <x:c r="F37" s="38" t="str">
        <x:v>两格</x:v>
      </x:c>
      <x:c r="G37" s="38" t="str">
        <x:v>bz_van_036</x:v>
      </x:c>
      <x:c r="H37" s="38" t="str">
        <x:v>elem_水, elem_雷, elem_冰, role_坦克, role_控制, role_输出, special_merchant, tier_pT2, role_召唤铺场, role_机动压制</x:v>
      </x:c>
      <x:c r="I37" s="38" t="n">
        <x:v>10</x:v>
      </x:c>
      <x:c r="J37" s="340" t="n">
        <x:f>XLOOKUP($D37&amp;"|"&amp;$E37&amp;"|"&amp;$F37,'PET_STAT_RULES'!$A$5:$A$88,'PET_STAT_RULES'!$C$5:$C$88)</x:f>
        <x:v>44</x:v>
      </x:c>
      <x:c r="K37" s="340" t="n">
        <x:f>XLOOKUP($D37&amp;"|"&amp;$E37&amp;"|"&amp;$F37,'PET_STAT_RULES'!$A$5:$A$88,'PET_STAT_RULES'!$D$5:$D$88)</x:f>
        <x:v>14</x:v>
      </x:c>
      <x:c r="L37" s="340" t="n">
        <x:f>XLOOKUP($D37&amp;"|"&amp;$E37&amp;"|"&amp;$F37,'PET_STAT_RULES'!$A$5:$A$88,'PET_STAT_RULES'!$F$5:$F$88)</x:f>
        <x:v>0</x:v>
      </x:c>
      <x:c r="M37" s="340" t="n">
        <x:f>XLOOKUP($D37&amp;"|"&amp;$E37&amp;"|"&amp;$F37,'PET_STAT_RULES'!$A$5:$A$88,'PET_STAT_RULES'!$G$5:$G$88)</x:f>
        <x:v>4</x:v>
      </x:c>
      <x:c r="N37" s="38" t="n">
        <x:v>2</x:v>
      </x:c>
      <x:c r="O37" s="38" t="str">
        <x:v>mech_fire_ignite_bonus</x:v>
      </x:c>
      <x:c r="P37" s="38" t="str">
        <x:v>11 形状11</x:v>
      </x:c>
      <x:c r="Q37" s="38" t="str">
        <x:v>Fiery</x:v>
      </x:c>
      <x:c r="R37" s="38" t="str">
        <x:v>item confirmed；来源=Darkwater Anglerfish；攻击2格；仅保留来源商人/训练师关系。</x:v>
      </x:c>
      <x:c r="S37" s="38" t="n">
        <x:v>4</x:v>
      </x:c>
      <x:c r="T37" s="38" t="n">
        <x:v>2</x:v>
      </x:c>
      <x:c r="U37" s="15" t="str">
        <x:v>skill_vanguard,skill_flank,skill_pierce,skill_revolve,skill_chase,skill_break,skill_suppress,skill_finale</x:v>
      </x:c>
      <x:c r="V37" s="15" t="str">
        <x:v>trait_element_affinity</x:v>
      </x:c>
      <x:c r="W37" s="332" t="n">
        <x:f>XLOOKUP($D37&amp;"|"&amp;$E37&amp;"|"&amp;$F37,'PET_STAT_RULES'!$A$5:$A$88,'PET_STAT_RULES'!$E$5:$E$88)</x:f>
        <x:v>0</x:v>
      </x:c>
    </x:row>
    <x:row r="38">
      <x:c r="A38" s="38" t="str">
        <x:v>pal_037</x:v>
      </x:c>
      <x:c r="B38" s="38" t="str">
        <x:v>月角白鹿</x:v>
      </x:c>
      <x:c r="C38" s="38" t="str">
        <x:v>草</x:v>
      </x:c>
      <x:c r="D38" s="265" t="str">
        <x:v>白银</x:v>
      </x:c>
      <x:c r="E38" s="38" t="str">
        <x:v>控制</x:v>
      </x:c>
      <x:c r="F38" s="38" t="str">
        <x:v>一格</x:v>
      </x:c>
      <x:c r="G38" s="38" t="str">
        <x:v>bz_van_037</x:v>
      </x:c>
      <x:c r="H38" s="38" t="str">
        <x:v>night_base, elem_火, elem_雷, elem_地, role_坦克, role_控制, special_merchant, role_召唤铺场, role_抗压承伤, role_火系压制</x:v>
      </x:c>
      <x:c r="I38" s="38" t="n">
        <x:v>10</x:v>
      </x:c>
      <x:c r="J38" s="340" t="n">
        <x:f>XLOOKUP($D38&amp;"|"&amp;$E38&amp;"|"&amp;$F38,'PET_STAT_RULES'!$A$5:$A$88,'PET_STAT_RULES'!$C$5:$C$88)</x:f>
        <x:v>38</x:v>
      </x:c>
      <x:c r="K38" s="340" t="n">
        <x:f>XLOOKUP($D38&amp;"|"&amp;$E38&amp;"|"&amp;$F38,'PET_STAT_RULES'!$A$5:$A$88,'PET_STAT_RULES'!$D$5:$D$88)</x:f>
        <x:v>16</x:v>
      </x:c>
      <x:c r="L38" s="340" t="n">
        <x:f>XLOOKUP($D38&amp;"|"&amp;$E38&amp;"|"&amp;$F38,'PET_STAT_RULES'!$A$5:$A$88,'PET_STAT_RULES'!$F$5:$F$88)</x:f>
        <x:v>0</x:v>
      </x:c>
      <x:c r="M38" s="340" t="n">
        <x:f>XLOOKUP($D38&amp;"|"&amp;$E38&amp;"|"&amp;$F38,'PET_STAT_RULES'!$A$5:$A$88,'PET_STAT_RULES'!$G$5:$G$88)</x:f>
        <x:v>4</x:v>
      </x:c>
      <x:c r="N38" s="38" t="n">
        <x:v>2</x:v>
      </x:c>
      <x:c r="O38" s="38" t="str">
        <x:v>mech_counter_damage</x:v>
      </x:c>
      <x:c r="P38" s="38" t="str">
        <x:v>12 形状12</x:v>
      </x:c>
      <x:c r="Q38" s="38" t="str">
        <x:v>Icy</x:v>
      </x:c>
      <x:c r="R38" s="38" t="str">
        <x:v>item confirmed；来源=Dart Launcher；攻击2格；仅保留来源商人/训练师关系。</x:v>
      </x:c>
      <x:c r="S38" s="38" t="n">
        <x:v>4</x:v>
      </x:c>
      <x:c r="T38" s="38" t="n">
        <x:v>2</x:v>
      </x:c>
      <x:c r="U38" s="15" t="str">
        <x:v>skill_vanguard,skill_flank,skill_pierce,skill_revolve,skill_chase,skill_break,skill_suppress,skill_finale</x:v>
      </x:c>
      <x:c r="V38" s="15" t="str">
        <x:v>trait_element_affinity</x:v>
      </x:c>
      <x:c r="W38" s="332" t="n">
        <x:f>XLOOKUP($D38&amp;"|"&amp;$E38&amp;"|"&amp;$F38,'PET_STAT_RULES'!$A$5:$A$88,'PET_STAT_RULES'!$E$5:$E$88)</x:f>
        <x:v>0</x:v>
      </x:c>
    </x:row>
    <x:row r="39">
      <x:c r="A39" s="38" t="str">
        <x:v>pal_038</x:v>
      </x:c>
      <x:c r="B39" s="38" t="str">
        <x:v>疾风苍鹰</x:v>
      </x:c>
      <x:c r="C39" s="38" t="str">
        <x:v>雷</x:v>
      </x:c>
      <x:c r="D39" s="265" t="str">
        <x:v>白银</x:v>
      </x:c>
      <x:c r="E39" s="38" t="str">
        <x:v>机动</x:v>
      </x:c>
      <x:c r="F39" s="38" t="str">
        <x:v>两格</x:v>
      </x:c>
      <x:c r="G39" s="38" t="str">
        <x:v>bz_van_038</x:v>
      </x:c>
      <x:c r="H39" s="38" t="str">
        <x:v>elem_水, elem_雷, elem_冰, elem_无, role_召唤, role_坦克, role_控制, role_治疗, role_经济, role_重甲抗压</x:v>
      </x:c>
      <x:c r="I39" s="38" t="n">
        <x:v>10</x:v>
      </x:c>
      <x:c r="J39" s="340" t="n">
        <x:f>XLOOKUP($D39&amp;"|"&amp;$E39&amp;"|"&amp;$F39,'PET_STAT_RULES'!$A$5:$A$88,'PET_STAT_RULES'!$C$5:$C$88)</x:f>
        <x:v>40</x:v>
      </x:c>
      <x:c r="K39" s="340" t="n">
        <x:f>XLOOKUP($D39&amp;"|"&amp;$E39&amp;"|"&amp;$F39,'PET_STAT_RULES'!$A$5:$A$88,'PET_STAT_RULES'!$D$5:$D$88)</x:f>
        <x:v>12</x:v>
      </x:c>
      <x:c r="L39" s="340" t="n">
        <x:f>XLOOKUP($D39&amp;"|"&amp;$E39&amp;"|"&amp;$F39,'PET_STAT_RULES'!$A$5:$A$88,'PET_STAT_RULES'!$F$5:$F$88)</x:f>
        <x:v>0</x:v>
      </x:c>
      <x:c r="M39" s="340" t="n">
        <x:f>XLOOKUP($D39&amp;"|"&amp;$E39&amp;"|"&amp;$F39,'PET_STAT_RULES'!$A$5:$A$88,'PET_STAT_RULES'!$G$5:$G$88)</x:f>
        <x:v>5</x:v>
      </x:c>
      <x:c r="N39" s="38" t="n">
        <x:v>3</x:v>
      </x:c>
      <x:c r="O39" s="38" t="str">
        <x:v>none</x:v>
      </x:c>
      <x:c r="P39" s="38" t="str">
        <x:v>15 形状15</x:v>
      </x:c>
      <x:c r="Q39" s="38" t="str">
        <x:v>Turbo</x:v>
      </x:c>
      <x:c r="R39" s="38" t="str">
        <x:v>item confirmed；来源=Disguise；攻击3格；仅保留来源商人/训练师关系。</x:v>
      </x:c>
      <x:c r="S39" s="38" t="n">
        <x:v>5</x:v>
      </x:c>
      <x:c r="T39" s="38" t="n">
        <x:v>2</x:v>
      </x:c>
      <x:c r="U39" s="15" t="str">
        <x:v>skill_vanguard,skill_flank,skill_pierce,skill_revolve,skill_chase,skill_break,skill_suppress,skill_finale</x:v>
      </x:c>
      <x:c r="V39" s="15" t="str">
        <x:v>trait_relentless</x:v>
      </x:c>
      <x:c r="W39" s="332" t="n">
        <x:f>XLOOKUP($D39&amp;"|"&amp;$E39&amp;"|"&amp;$F39,'PET_STAT_RULES'!$A$5:$A$88,'PET_STAT_RULES'!$E$5:$E$88)</x:f>
        <x:v>0</x:v>
      </x:c>
    </x:row>
    <x:row r="40">
      <x:c r="A40" s="38" t="str">
        <x:v>pal_039</x:v>
      </x:c>
      <x:c r="B40" s="38" t="str">
        <x:v>银背巨兔</x:v>
      </x:c>
      <x:c r="C40" s="38" t="str">
        <x:v>水、雷</x:v>
      </x:c>
      <x:c r="D40" s="265" t="str">
        <x:v>白银</x:v>
      </x:c>
      <x:c r="E40" s="38" t="str">
        <x:v>机动</x:v>
      </x:c>
      <x:c r="F40" s="38" t="str">
        <x:v>一格</x:v>
      </x:c>
      <x:c r="G40" s="38" t="str">
        <x:v>bz_van_039</x:v>
      </x:c>
      <x:c r="H40" s="38" t="str">
        <x:v>elem_火, elem_雷, elem_冰, role_坦克, role_控制, role_输出, role_机动, special_merchant, elite_high, role_重甲抗压</x:v>
      </x:c>
      <x:c r="I40" s="38" t="n">
        <x:v>10</x:v>
      </x:c>
      <x:c r="J40" s="340" t="n">
        <x:f>XLOOKUP($D40&amp;"|"&amp;$E40&amp;"|"&amp;$F40,'PET_STAT_RULES'!$A$5:$A$88,'PET_STAT_RULES'!$C$5:$C$88)</x:f>
        <x:v>34</x:v>
      </x:c>
      <x:c r="K40" s="340" t="n">
        <x:f>XLOOKUP($D40&amp;"|"&amp;$E40&amp;"|"&amp;$F40,'PET_STAT_RULES'!$A$5:$A$88,'PET_STAT_RULES'!$D$5:$D$88)</x:f>
        <x:v>14</x:v>
      </x:c>
      <x:c r="L40" s="340" t="n">
        <x:f>XLOOKUP($D40&amp;"|"&amp;$E40&amp;"|"&amp;$F40,'PET_STAT_RULES'!$A$5:$A$88,'PET_STAT_RULES'!$F$5:$F$88)</x:f>
        <x:v>0</x:v>
      </x:c>
      <x:c r="M40" s="340" t="n">
        <x:f>XLOOKUP($D40&amp;"|"&amp;$E40&amp;"|"&amp;$F40,'PET_STAT_RULES'!$A$5:$A$88,'PET_STAT_RULES'!$G$5:$G$88)</x:f>
        <x:v>5</x:v>
      </x:c>
      <x:c r="N40" s="38" t="n">
        <x:v>2</x:v>
      </x:c>
      <x:c r="O40" s="38" t="str">
        <x:v>none</x:v>
      </x:c>
      <x:c r="P40" s="38" t="str">
        <x:v>12 形状12</x:v>
      </x:c>
      <x:c r="Q40" s="38" t="str">
        <x:v>Turbo</x:v>
      </x:c>
      <x:c r="R40" s="38" t="str">
        <x:v>item confirmed；来源=Dive Weights；攻击2格；仅保留来源商人/训练师关系。</x:v>
      </x:c>
      <x:c r="S40" s="38" t="n">
        <x:v>5</x:v>
      </x:c>
      <x:c r="T40" s="38" t="n">
        <x:v>2</x:v>
      </x:c>
      <x:c r="U40" s="15" t="str">
        <x:v>skill_vanguard,skill_flank,skill_pierce,skill_revolve,skill_chase,skill_break,skill_suppress,skill_finale</x:v>
      </x:c>
      <x:c r="V40" s="15" t="str">
        <x:v>trait_relentless</x:v>
      </x:c>
      <x:c r="W40" s="332" t="n">
        <x:f>XLOOKUP($D40&amp;"|"&amp;$E40&amp;"|"&amp;$F40,'PET_STAT_RULES'!$A$5:$A$88,'PET_STAT_RULES'!$E$5:$E$88)</x:f>
        <x:v>0</x:v>
      </x:c>
    </x:row>
    <x:row r="41">
      <x:c r="A41" s="38" t="str">
        <x:v>pal_040</x:v>
      </x:c>
      <x:c r="B41" s="38" t="str">
        <x:v>炎角黑羊</x:v>
      </x:c>
      <x:c r="C41" s="38" t="str">
        <x:v>水、雷</x:v>
      </x:c>
      <x:c r="D41" s="262" t="str">
        <x:v>黄金</x:v>
      </x:c>
      <x:c r="E41" s="38" t="str">
        <x:v>坦克</x:v>
      </x:c>
      <x:c r="F41" s="38" t="str">
        <x:v>两格</x:v>
      </x:c>
      <x:c r="G41" s="38" t="str">
        <x:v>bz_van_040</x:v>
      </x:c>
      <x:c r="H41" s="38" t="str">
        <x:v>elem_水, elem_雷, elem_冰, elem_无, role_坦克, role_控制, role_输出, tier_pT3, role_重甲抗压, role_远点压制</x:v>
      </x:c>
      <x:c r="I41" s="38" t="n">
        <x:v>10</x:v>
      </x:c>
      <x:c r="J41" s="340" t="n">
        <x:f>XLOOKUP($D41&amp;"|"&amp;$E41&amp;"|"&amp;$F41,'PET_STAT_RULES'!$A$5:$A$88,'PET_STAT_RULES'!$C$5:$C$88)</x:f>
        <x:v>66</x:v>
      </x:c>
      <x:c r="K41" s="340" t="n">
        <x:f>XLOOKUP($D41&amp;"|"&amp;$E41&amp;"|"&amp;$F41,'PET_STAT_RULES'!$A$5:$A$88,'PET_STAT_RULES'!$D$5:$D$88)</x:f>
        <x:v>18</x:v>
      </x:c>
      <x:c r="L41" s="340" t="n">
        <x:f>XLOOKUP($D41&amp;"|"&amp;$E41&amp;"|"&amp;$F41,'PET_STAT_RULES'!$A$5:$A$88,'PET_STAT_RULES'!$F$5:$F$88)</x:f>
        <x:v>14</x:v>
      </x:c>
      <x:c r="M41" s="340" t="n">
        <x:f>XLOOKUP($D41&amp;"|"&amp;$E41&amp;"|"&amp;$F41,'PET_STAT_RULES'!$A$5:$A$88,'PET_STAT_RULES'!$G$5:$G$88)</x:f>
        <x:v>3</x:v>
      </x:c>
      <x:c r="N41" s="38" t="n">
        <x:v>2</x:v>
      </x:c>
      <x:c r="O41" s="38" t="str">
        <x:v>mech_shield_regen</x:v>
      </x:c>
      <x:c r="P41" s="38" t="str">
        <x:v>07 形状07</x:v>
      </x:c>
      <x:c r="Q41" s="38" t="str">
        <x:v>Turbo</x:v>
      </x:c>
      <x:c r="R41" s="38" t="str">
        <x:v>item confirmed；来源=Diving Helmet；攻击2格；仅保留来源商人/训练师关系。</x:v>
      </x:c>
      <x:c r="S41" s="38" t="n">
        <x:v>3</x:v>
      </x:c>
      <x:c r="T41" s="38" t="n">
        <x:v>2</x:v>
      </x:c>
      <x:c r="U41" s="15" t="str">
        <x:v>skill_vanguard,skill_flank,skill_pierce,skill_revolve,skill_chase,skill_break,skill_suppress,skill_finale</x:v>
      </x:c>
      <x:c r="V41" s="15" t="str">
        <x:v>trait_combo_mastery</x:v>
      </x:c>
      <x:c r="W41" s="332" t="n">
        <x:f>XLOOKUP($D41&amp;"|"&amp;$E41&amp;"|"&amp;$F41,'PET_STAT_RULES'!$A$5:$A$88,'PET_STAT_RULES'!$E$5:$E$88)</x:f>
        <x:v>0</x:v>
      </x:c>
    </x:row>
    <x:row r="42">
      <x:c r="A42" s="38" t="str">
        <x:v>pal_041</x:v>
      </x:c>
      <x:c r="B42" s="38" t="str">
        <x:v>回春彩蝶</x:v>
      </x:c>
      <x:c r="C42" s="38" t="str">
        <x:v>水</x:v>
      </x:c>
      <x:c r="D42" s="265" t="str">
        <x:v>白银</x:v>
      </x:c>
      <x:c r="E42" s="38" t="str">
        <x:v>控制</x:v>
      </x:c>
      <x:c r="F42" s="38" t="str">
        <x:v>两格</x:v>
      </x:c>
      <x:c r="G42" s="38" t="str">
        <x:v>bz_van_041</x:v>
      </x:c>
      <x:c r="H42" s="38" t="str">
        <x:v>elem_水, elem_雷, elem_冰, elem_无, role_坦克, role_控制, role_输出, special_merchant, role_召唤铺场, role_远点压制</x:v>
      </x:c>
      <x:c r="I42" s="38" t="n">
        <x:v>10</x:v>
      </x:c>
      <x:c r="J42" s="340" t="n">
        <x:f>XLOOKUP($D42&amp;"|"&amp;$E42&amp;"|"&amp;$F42,'PET_STAT_RULES'!$A$5:$A$88,'PET_STAT_RULES'!$C$5:$C$88)</x:f>
        <x:v>44</x:v>
      </x:c>
      <x:c r="K42" s="340" t="n">
        <x:f>XLOOKUP($D42&amp;"|"&amp;$E42&amp;"|"&amp;$F42,'PET_STAT_RULES'!$A$5:$A$88,'PET_STAT_RULES'!$D$5:$D$88)</x:f>
        <x:v>14</x:v>
      </x:c>
      <x:c r="L42" s="340" t="n">
        <x:f>XLOOKUP($D42&amp;"|"&amp;$E42&amp;"|"&amp;$F42,'PET_STAT_RULES'!$A$5:$A$88,'PET_STAT_RULES'!$F$5:$F$88)</x:f>
        <x:v>0</x:v>
      </x:c>
      <x:c r="M42" s="340" t="n">
        <x:f>XLOOKUP($D42&amp;"|"&amp;$E42&amp;"|"&amp;$F42,'PET_STAT_RULES'!$A$5:$A$88,'PET_STAT_RULES'!$G$5:$G$88)</x:f>
        <x:v>4</x:v>
      </x:c>
      <x:c r="N42" s="38" t="n">
        <x:v>3</x:v>
      </x:c>
      <x:c r="O42" s="38" t="str">
        <x:v>mech_counter_damage</x:v>
      </x:c>
      <x:c r="P42" s="38" t="str">
        <x:v>16 形状16</x:v>
      </x:c>
      <x:c r="Q42" s="38" t="str">
        <x:v>Icy</x:v>
      </x:c>
      <x:c r="R42" s="38" t="str">
        <x:v>item confirmed；来源=Dock Lines；攻击3格；仅保留来源商人/训练师关系。</x:v>
      </x:c>
      <x:c r="S42" s="38" t="n">
        <x:v>4</x:v>
      </x:c>
      <x:c r="T42" s="38" t="n">
        <x:v>2</x:v>
      </x:c>
      <x:c r="U42" s="15" t="str">
        <x:v>skill_vanguard,skill_flank,skill_pierce,skill_revolve,skill_chase,skill_break,skill_suppress,skill_finale</x:v>
      </x:c>
      <x:c r="V42" s="15" t="str">
        <x:v>trait_element_affinity</x:v>
      </x:c>
      <x:c r="W42" s="332" t="n">
        <x:f>XLOOKUP($D42&amp;"|"&amp;$E42&amp;"|"&amp;$F42,'PET_STAT_RULES'!$A$5:$A$88,'PET_STAT_RULES'!$E$5:$E$88)</x:f>
        <x:v>0</x:v>
      </x:c>
    </x:row>
    <x:row r="43">
      <x:c r="A43" s="38" t="str">
        <x:v>pal_042</x:v>
      </x:c>
      <x:c r="B43" s="38" t="str">
        <x:v>赤焰蛮牛</x:v>
      </x:c>
      <x:c r="C43" s="38" t="str">
        <x:v>雷</x:v>
      </x:c>
      <x:c r="D43" s="259" t="str">
        <x:v>青铜</x:v>
      </x:c>
      <x:c r="E43" s="38" t="str">
        <x:v>输出</x:v>
      </x:c>
      <x:c r="F43" s="38" t="str">
        <x:v>两格</x:v>
      </x:c>
      <x:c r="G43" s="38" t="str">
        <x:v>bz_van_042</x:v>
      </x:c>
      <x:c r="H43" s="38" t="str">
        <x:v>night_base, elem_水, elem_雷, elem_无, role_召唤, role_坦克, role_控制, role_治疗, role_经济, role_机动</x:v>
      </x:c>
      <x:c r="I43" s="38" t="n">
        <x:v>10</x:v>
      </x:c>
      <x:c r="J43" s="340" t="n">
        <x:f>XLOOKUP($D43&amp;"|"&amp;$E43&amp;"|"&amp;$F43,'PET_STAT_RULES'!$A$5:$A$88,'PET_STAT_RULES'!$C$5:$C$88)</x:f>
        <x:v>28</x:v>
      </x:c>
      <x:c r="K43" s="340" t="n">
        <x:f>XLOOKUP($D43&amp;"|"&amp;$E43&amp;"|"&amp;$F43,'PET_STAT_RULES'!$A$5:$A$88,'PET_STAT_RULES'!$D$5:$D$88)</x:f>
        <x:v>12</x:v>
      </x:c>
      <x:c r="L43" s="340" t="n">
        <x:f>XLOOKUP($D43&amp;"|"&amp;$E43&amp;"|"&amp;$F43,'PET_STAT_RULES'!$A$5:$A$88,'PET_STAT_RULES'!$F$5:$F$88)</x:f>
        <x:v>0</x:v>
      </x:c>
      <x:c r="M43" s="340" t="n">
        <x:f>XLOOKUP($D43&amp;"|"&amp;$E43&amp;"|"&amp;$F43,'PET_STAT_RULES'!$A$5:$A$88,'PET_STAT_RULES'!$G$5:$G$88)</x:f>
        <x:v>3</x:v>
      </x:c>
      <x:c r="N43" s="38" t="n">
        <x:v>1</x:v>
      </x:c>
      <x:c r="O43" s="38" t="str">
        <x:v>mech_grow_atk_each_round</x:v>
      </x:c>
      <x:c r="P43" s="38" t="str">
        <x:v>04 形状04</x:v>
      </x:c>
      <x:c r="Q43" s="38" t="str">
        <x:v>Deadly</x:v>
      </x:c>
      <x:c r="R43" s="38" t="str">
        <x:v>item confirmed；来源=Double Barrel；攻击1格；仅保留来源商人/训练师关系。</x:v>
      </x:c>
      <x:c r="S43" s="38" t="n">
        <x:v>3</x:v>
      </x:c>
      <x:c r="T43" s="38" t="n">
        <x:v>1</x:v>
      </x:c>
      <x:c r="U43" s="15" t="str">
        <x:v>skill_vanguard,skill_flank,skill_pierce,skill_revolve,skill_chase,skill_break,skill_suppress,skill_finale</x:v>
      </x:c>
      <x:c r="V43" s="15" t="str">
        <x:v>trait_relentless</x:v>
      </x:c>
      <x:c r="W43" s="332" t="n">
        <x:f>XLOOKUP($D43&amp;"|"&amp;$E43&amp;"|"&amp;$F43,'PET_STAT_RULES'!$A$5:$A$88,'PET_STAT_RULES'!$E$5:$E$88)</x:f>
        <x:v>0</x:v>
      </x:c>
    </x:row>
    <x:row r="44">
      <x:c r="A44" s="38" t="str">
        <x:v>pal_043</x:v>
      </x:c>
      <x:c r="B44" s="38" t="str">
        <x:v>泥甲巨鲶</x:v>
      </x:c>
      <x:c r="C44" s="38" t="str">
        <x:v>水、雷</x:v>
      </x:c>
      <x:c r="D44" s="262" t="str">
        <x:v>黄金</x:v>
      </x:c>
      <x:c r="E44" s="38" t="str">
        <x:v>控制</x:v>
      </x:c>
      <x:c r="F44" s="38" t="str">
        <x:v>三格</x:v>
      </x:c>
      <x:c r="G44" s="38" t="str">
        <x:v>bz_van_043</x:v>
      </x:c>
      <x:c r="H44" s="38" t="str">
        <x:v>night_base, elem_水, elem_雷, elem_地, role_坦克, role_控制, role_输出, special_merchant, role_召唤铺场, role_机动压制</x:v>
      </x:c>
      <x:c r="I44" s="38" t="n">
        <x:v>10</x:v>
      </x:c>
      <x:c r="J44" s="340" t="n">
        <x:f>XLOOKUP($D44&amp;"|"&amp;$E44&amp;"|"&amp;$F44,'PET_STAT_RULES'!$A$5:$A$88,'PET_STAT_RULES'!$C$5:$C$88)</x:f>
        <x:v>62</x:v>
      </x:c>
      <x:c r="K44" s="340" t="n">
        <x:f>XLOOKUP($D44&amp;"|"&amp;$E44&amp;"|"&amp;$F44,'PET_STAT_RULES'!$A$5:$A$88,'PET_STAT_RULES'!$D$5:$D$88)</x:f>
        <x:v>18</x:v>
      </x:c>
      <x:c r="L44" s="340" t="n">
        <x:f>XLOOKUP($D44&amp;"|"&amp;$E44&amp;"|"&amp;$F44,'PET_STAT_RULES'!$A$5:$A$88,'PET_STAT_RULES'!$F$5:$F$88)</x:f>
        <x:v>0</x:v>
      </x:c>
      <x:c r="M44" s="340" t="n">
        <x:f>XLOOKUP($D44&amp;"|"&amp;$E44&amp;"|"&amp;$F44,'PET_STAT_RULES'!$A$5:$A$88,'PET_STAT_RULES'!$G$5:$G$88)</x:f>
        <x:v>4</x:v>
      </x:c>
      <x:c r="N44" s="38" t="n">
        <x:v>2</x:v>
      </x:c>
      <x:c r="O44" s="38" t="str">
        <x:v>mech_counter_damage</x:v>
      </x:c>
      <x:c r="P44" s="38" t="str">
        <x:v>07 形状07</x:v>
      </x:c>
      <x:c r="Q44" s="38" t="str">
        <x:v>Icy</x:v>
      </x:c>
      <x:c r="R44" s="38" t="str">
        <x:v>item confirmed；来源=Electric Eels；攻击2格；仅保留来源商人/训练师关系。</x:v>
      </x:c>
      <x:c r="S44" s="38" t="n">
        <x:v>4</x:v>
      </x:c>
      <x:c r="T44" s="38" t="n">
        <x:v>2</x:v>
      </x:c>
      <x:c r="U44" s="15" t="str">
        <x:v>skill_vanguard,skill_flank,skill_pierce,skill_revolve,skill_chase,skill_break,skill_suppress,skill_finale</x:v>
      </x:c>
      <x:c r="V44" s="15" t="str">
        <x:v>trait_element_affinity</x:v>
      </x:c>
      <x:c r="W44" s="332" t="n">
        <x:f>XLOOKUP($D44&amp;"|"&amp;$E44&amp;"|"&amp;$F44,'PET_STAT_RULES'!$A$5:$A$88,'PET_STAT_RULES'!$E$5:$E$88)</x:f>
        <x:v>0</x:v>
      </x:c>
    </x:row>
    <x:row r="45">
      <x:c r="A45" s="38" t="str">
        <x:v>pal_044</x:v>
      </x:c>
      <x:c r="B45" s="38" t="str">
        <x:v>夜羽巨鸦</x:v>
      </x:c>
      <x:c r="C45" s="38" t="str">
        <x:v>火、冰</x:v>
      </x:c>
      <x:c r="D45" s="265" t="str">
        <x:v>白银</x:v>
      </x:c>
      <x:c r="E45" s="38" t="str">
        <x:v>控制</x:v>
      </x:c>
      <x:c r="F45" s="38" t="str">
        <x:v>两格</x:v>
      </x:c>
      <x:c r="G45" s="38" t="str">
        <x:v>bz_van_044</x:v>
      </x:c>
      <x:c r="H45" s="38" t="str">
        <x:v>elem_水, elem_雷, elem_冰, role_坦克, role_输出, role_机动, tier_pT2, role_抗压承伤, role_风系牵制, role_火系压制</x:v>
      </x:c>
      <x:c r="I45" s="38" t="n">
        <x:v>10</x:v>
      </x:c>
      <x:c r="J45" s="340" t="n">
        <x:f>XLOOKUP($D45&amp;"|"&amp;$E45&amp;"|"&amp;$F45,'PET_STAT_RULES'!$A$5:$A$88,'PET_STAT_RULES'!$C$5:$C$88)</x:f>
        <x:v>44</x:v>
      </x:c>
      <x:c r="K45" s="340" t="n">
        <x:f>XLOOKUP($D45&amp;"|"&amp;$E45&amp;"|"&amp;$F45,'PET_STAT_RULES'!$A$5:$A$88,'PET_STAT_RULES'!$D$5:$D$88)</x:f>
        <x:v>14</x:v>
      </x:c>
      <x:c r="L45" s="340" t="n">
        <x:f>XLOOKUP($D45&amp;"|"&amp;$E45&amp;"|"&amp;$F45,'PET_STAT_RULES'!$A$5:$A$88,'PET_STAT_RULES'!$F$5:$F$88)</x:f>
        <x:v>0</x:v>
      </x:c>
      <x:c r="M45" s="340" t="n">
        <x:f>XLOOKUP($D45&amp;"|"&amp;$E45&amp;"|"&amp;$F45,'PET_STAT_RULES'!$A$5:$A$88,'PET_STAT_RULES'!$G$5:$G$88)</x:f>
        <x:v>4</x:v>
      </x:c>
      <x:c r="N45" s="38" t="n">
        <x:v>2</x:v>
      </x:c>
      <x:c r="O45" s="38" t="str">
        <x:v>mech_fire_ignite_bonus</x:v>
      </x:c>
      <x:c r="P45" s="38" t="str">
        <x:v>06 形状06</x:v>
      </x:c>
      <x:c r="Q45" s="38" t="str">
        <x:v>Fiery</x:v>
      </x:c>
      <x:c r="R45" s="38" t="str">
        <x:v>item confirmed；来源=Elemental Depth Charge；攻击2格；仅保留来源商人/训练师关系。</x:v>
      </x:c>
      <x:c r="S45" s="38" t="n">
        <x:v>4</x:v>
      </x:c>
      <x:c r="T45" s="38" t="n">
        <x:v>2</x:v>
      </x:c>
      <x:c r="U45" s="15" t="str">
        <x:v>skill_vanguard,skill_flank,skill_pierce,skill_revolve,skill_chase,skill_break,skill_suppress,skill_finale</x:v>
      </x:c>
      <x:c r="V45" s="15" t="str">
        <x:v>trait_element_affinity</x:v>
      </x:c>
      <x:c r="W45" s="332" t="n">
        <x:f>XLOOKUP($D45&amp;"|"&amp;$E45&amp;"|"&amp;$F45,'PET_STAT_RULES'!$A$5:$A$88,'PET_STAT_RULES'!$E$5:$E$88)</x:f>
        <x:v>0</x:v>
      </x:c>
    </x:row>
    <x:row r="46">
      <x:c r="A46" s="38" t="str">
        <x:v>pal_045</x:v>
      </x:c>
      <x:c r="B46" s="38" t="str">
        <x:v>墨鳞巨蜥</x:v>
      </x:c>
      <x:c r="C46" s="38" t="str">
        <x:v>水、龙</x:v>
      </x:c>
      <x:c r="D46" s="265" t="str">
        <x:v>白银</x:v>
      </x:c>
      <x:c r="E46" s="38" t="str">
        <x:v>机动</x:v>
      </x:c>
      <x:c r="F46" s="38" t="str">
        <x:v>两格</x:v>
      </x:c>
      <x:c r="G46" s="38" t="str">
        <x:v>bz_van_045</x:v>
      </x:c>
      <x:c r="H46" s="38" t="str">
        <x:v>elem_水, elem_雷, elem_冰, elem_无, role_召唤, role_坦克, role_控制, role_治疗, role_输出, special_merchant</x:v>
      </x:c>
      <x:c r="I46" s="38" t="n">
        <x:v>10</x:v>
      </x:c>
      <x:c r="J46" s="340" t="n">
        <x:f>XLOOKUP($D46&amp;"|"&amp;$E46&amp;"|"&amp;$F46,'PET_STAT_RULES'!$A$5:$A$88,'PET_STAT_RULES'!$C$5:$C$88)</x:f>
        <x:v>40</x:v>
      </x:c>
      <x:c r="K46" s="340" t="n">
        <x:f>XLOOKUP($D46&amp;"|"&amp;$E46&amp;"|"&amp;$F46,'PET_STAT_RULES'!$A$5:$A$88,'PET_STAT_RULES'!$D$5:$D$88)</x:f>
        <x:v>12</x:v>
      </x:c>
      <x:c r="L46" s="340" t="n">
        <x:f>XLOOKUP($D46&amp;"|"&amp;$E46&amp;"|"&amp;$F46,'PET_STAT_RULES'!$A$5:$A$88,'PET_STAT_RULES'!$F$5:$F$88)</x:f>
        <x:v>0</x:v>
      </x:c>
      <x:c r="M46" s="340" t="n">
        <x:f>XLOOKUP($D46&amp;"|"&amp;$E46&amp;"|"&amp;$F46,'PET_STAT_RULES'!$A$5:$A$88,'PET_STAT_RULES'!$G$5:$G$88)</x:f>
        <x:v>5</x:v>
      </x:c>
      <x:c r="N46" s="38" t="n">
        <x:v>2</x:v>
      </x:c>
      <x:c r="O46" s="38" t="str">
        <x:v>none</x:v>
      </x:c>
      <x:c r="P46" s="38" t="str">
        <x:v>12 形状12</x:v>
      </x:c>
      <x:c r="Q46" s="38" t="str">
        <x:v>Turbo</x:v>
      </x:c>
      <x:c r="R46" s="38" t="str">
        <x:v>item confirmed；来源=Figurehead；攻击2格；仅保留来源商人/训练师关系。</x:v>
      </x:c>
      <x:c r="S46" s="38" t="n">
        <x:v>5</x:v>
      </x:c>
      <x:c r="T46" s="38" t="n">
        <x:v>2</x:v>
      </x:c>
      <x:c r="U46" s="15" t="str">
        <x:v>skill_vanguard,skill_flank,skill_pierce,skill_revolve,skill_chase,skill_break,skill_suppress,skill_finale</x:v>
      </x:c>
      <x:c r="V46" s="15" t="str">
        <x:v>trait_relentless</x:v>
      </x:c>
      <x:c r="W46" s="332" t="n">
        <x:f>XLOOKUP($D46&amp;"|"&amp;$E46&amp;"|"&amp;$F46,'PET_STAT_RULES'!$A$5:$A$88,'PET_STAT_RULES'!$E$5:$E$88)</x:f>
        <x:v>0</x:v>
      </x:c>
    </x:row>
    <x:row r="47">
      <x:c r="A47" s="38" t="str">
        <x:v>pal_046</x:v>
      </x:c>
      <x:c r="B47" s="38" t="str">
        <x:v>月镰螳螂</x:v>
      </x:c>
      <x:c r="C47" s="38" t="str">
        <x:v>水</x:v>
      </x:c>
      <x:c r="D47" s="259" t="str">
        <x:v>青铜</x:v>
      </x:c>
      <x:c r="E47" s="38" t="str">
        <x:v>控制</x:v>
      </x:c>
      <x:c r="F47" s="38" t="str">
        <x:v>两格</x:v>
      </x:c>
      <x:c r="G47" s="38" t="str">
        <x:v>bz_van_046</x:v>
      </x:c>
      <x:c r="H47" s="38" t="str">
        <x:v>elem_水, elem_雷, elem_冰, elem_无, role_坦克, role_控制, role_输出, special_merchant, role_召唤铺场, role_远点压制</x:v>
      </x:c>
      <x:c r="I47" s="38" t="n">
        <x:v>10</x:v>
      </x:c>
      <x:c r="J47" s="340" t="n">
        <x:f>XLOOKUP($D47&amp;"|"&amp;$E47&amp;"|"&amp;$F47,'PET_STAT_RULES'!$A$5:$A$88,'PET_STAT_RULES'!$C$5:$C$88)</x:f>
        <x:v>32</x:v>
      </x:c>
      <x:c r="K47" s="340" t="n">
        <x:f>XLOOKUP($D47&amp;"|"&amp;$E47&amp;"|"&amp;$F47,'PET_STAT_RULES'!$A$5:$A$88,'PET_STAT_RULES'!$D$5:$D$88)</x:f>
        <x:v>8</x:v>
      </x:c>
      <x:c r="L47" s="340" t="n">
        <x:f>XLOOKUP($D47&amp;"|"&amp;$E47&amp;"|"&amp;$F47,'PET_STAT_RULES'!$A$5:$A$88,'PET_STAT_RULES'!$F$5:$F$88)</x:f>
        <x:v>0</x:v>
      </x:c>
      <x:c r="M47" s="340" t="n">
        <x:f>XLOOKUP($D47&amp;"|"&amp;$E47&amp;"|"&amp;$F47,'PET_STAT_RULES'!$A$5:$A$88,'PET_STAT_RULES'!$G$5:$G$88)</x:f>
        <x:v>4</x:v>
      </x:c>
      <x:c r="N47" s="38" t="n">
        <x:v>3</x:v>
      </x:c>
      <x:c r="O47" s="38" t="str">
        <x:v>mech_counter_damage</x:v>
      </x:c>
      <x:c r="P47" s="38" t="str">
        <x:v>16 形状16</x:v>
      </x:c>
      <x:c r="Q47" s="38" t="str">
        <x:v>Icy</x:v>
      </x:c>
      <x:c r="R47" s="38" t="str">
        <x:v>item confirmed；来源=Fishing Net；攻击3格；仅保留来源商人/训练师关系。</x:v>
      </x:c>
      <x:c r="S47" s="38" t="n">
        <x:v>4</x:v>
      </x:c>
      <x:c r="T47" s="38" t="n">
        <x:v>1</x:v>
      </x:c>
      <x:c r="U47" s="15" t="str">
        <x:v>skill_vanguard,skill_flank,skill_pierce,skill_revolve,skill_chase,skill_break,skill_suppress,skill_finale</x:v>
      </x:c>
      <x:c r="V47" s="15" t="str">
        <x:v>trait_element_affinity</x:v>
      </x:c>
      <x:c r="W47" s="332" t="n">
        <x:f>XLOOKUP($D47&amp;"|"&amp;$E47&amp;"|"&amp;$F47,'PET_STAT_RULES'!$A$5:$A$88,'PET_STAT_RULES'!$E$5:$E$88)</x:f>
        <x:v>0</x:v>
      </x:c>
    </x:row>
    <x:row r="48">
      <x:c r="A48" s="38" t="str">
        <x:v>pal_047</x:v>
      </x:c>
      <x:c r="B48" s="38" t="str">
        <x:v>裂空苍鹰</x:v>
      </x:c>
      <x:c r="C48" s="38" t="str">
        <x:v>水</x:v>
      </x:c>
      <x:c r="D48" s="259" t="str">
        <x:v>青铜</x:v>
      </x:c>
      <x:c r="E48" s="38" t="str">
        <x:v>机动</x:v>
      </x:c>
      <x:c r="F48" s="38" t="str">
        <x:v>两格</x:v>
      </x:c>
      <x:c r="G48" s="38" t="str">
        <x:v>bz_van_047</x:v>
      </x:c>
      <x:c r="H48" s="38" t="str">
        <x:v>elem_水, elem_雷, elem_冰, elem_无, role_坦克, role_控制, role_输出, special_merchant, elite_high, role_远点压制</x:v>
      </x:c>
      <x:c r="I48" s="38" t="n">
        <x:v>10</x:v>
      </x:c>
      <x:c r="J48" s="340" t="n">
        <x:f>XLOOKUP($D48&amp;"|"&amp;$E48&amp;"|"&amp;$F48,'PET_STAT_RULES'!$A$5:$A$88,'PET_STAT_RULES'!$C$5:$C$88)</x:f>
        <x:v>28</x:v>
      </x:c>
      <x:c r="K48" s="340" t="n">
        <x:f>XLOOKUP($D48&amp;"|"&amp;$E48&amp;"|"&amp;$F48,'PET_STAT_RULES'!$A$5:$A$88,'PET_STAT_RULES'!$D$5:$D$88)</x:f>
        <x:v>6</x:v>
      </x:c>
      <x:c r="L48" s="340" t="n">
        <x:f>XLOOKUP($D48&amp;"|"&amp;$E48&amp;"|"&amp;$F48,'PET_STAT_RULES'!$A$5:$A$88,'PET_STAT_RULES'!$F$5:$F$88)</x:f>
        <x:v>0</x:v>
      </x:c>
      <x:c r="M48" s="340" t="n">
        <x:f>XLOOKUP($D48&amp;"|"&amp;$E48&amp;"|"&amp;$F48,'PET_STAT_RULES'!$A$5:$A$88,'PET_STAT_RULES'!$G$5:$G$88)</x:f>
        <x:v>5</x:v>
      </x:c>
      <x:c r="N48" s="38" t="n">
        <x:v>3</x:v>
      </x:c>
      <x:c r="O48" s="38" t="str">
        <x:v>none</x:v>
      </x:c>
      <x:c r="P48" s="38" t="str">
        <x:v>16 形状16</x:v>
      </x:c>
      <x:c r="Q48" s="38" t="str">
        <x:v>Turbo</x:v>
      </x:c>
      <x:c r="R48" s="38" t="str">
        <x:v>item confirmed；来源=Fishing Rod；攻击3格；仅保留来源商人/训练师关系。</x:v>
      </x:c>
      <x:c r="S48" s="38" t="n">
        <x:v>5</x:v>
      </x:c>
      <x:c r="T48" s="38" t="n">
        <x:v>1</x:v>
      </x:c>
      <x:c r="U48" s="15" t="str">
        <x:v>skill_vanguard,skill_flank,skill_pierce,skill_revolve,skill_chase,skill_break,skill_suppress,skill_finale</x:v>
      </x:c>
      <x:c r="V48" s="15" t="str">
        <x:v>trait_relentless</x:v>
      </x:c>
      <x:c r="W48" s="332" t="n">
        <x:f>XLOOKUP($D48&amp;"|"&amp;$E48&amp;"|"&amp;$F48,'PET_STAT_RULES'!$A$5:$A$88,'PET_STAT_RULES'!$E$5:$E$88)</x:f>
        <x:v>0</x:v>
      </x:c>
    </x:row>
    <x:row r="49">
      <x:c r="A49" s="38" t="str">
        <x:v>pal_048</x:v>
      </x:c>
      <x:c r="B49" s="38" t="str">
        <x:v>木刺豪猪</x:v>
      </x:c>
      <x:c r="C49" s="38" t="str">
        <x:v>水、雷</x:v>
      </x:c>
      <x:c r="D49" s="265" t="str">
        <x:v>白银</x:v>
      </x:c>
      <x:c r="E49" s="38" t="str">
        <x:v>召唤</x:v>
      </x:c>
      <x:c r="F49" s="38" t="str">
        <x:v>三格</x:v>
      </x:c>
      <x:c r="G49" s="38" t="str">
        <x:v>bz_van_048</x:v>
      </x:c>
      <x:c r="H49" s="38" t="str">
        <x:v>elite_high</x:v>
      </x:c>
      <x:c r="I49" s="38" t="n">
        <x:v>1</x:v>
      </x:c>
      <x:c r="J49" s="340" t="n">
        <x:f>XLOOKUP($D49&amp;"|"&amp;$E49&amp;"|"&amp;$F49,'PET_STAT_RULES'!$A$5:$A$88,'PET_STAT_RULES'!$C$5:$C$88)</x:f>
        <x:v>54</x:v>
      </x:c>
      <x:c r="K49" s="340" t="n">
        <x:f>XLOOKUP($D49&amp;"|"&amp;$E49&amp;"|"&amp;$F49,'PET_STAT_RULES'!$A$5:$A$88,'PET_STAT_RULES'!$D$5:$D$88)</x:f>
        <x:v>10</x:v>
      </x:c>
      <x:c r="L49" s="340" t="n">
        <x:f>XLOOKUP($D49&amp;"|"&amp;$E49&amp;"|"&amp;$F49,'PET_STAT_RULES'!$A$5:$A$88,'PET_STAT_RULES'!$F$5:$F$88)</x:f>
        <x:v>0</x:v>
      </x:c>
      <x:c r="M49" s="340" t="n">
        <x:f>XLOOKUP($D49&amp;"|"&amp;$E49&amp;"|"&amp;$F49,'PET_STAT_RULES'!$A$5:$A$88,'PET_STAT_RULES'!$G$5:$G$88)</x:f>
        <x:v>2</x:v>
      </x:c>
      <x:c r="N49" s="38" t="n">
        <x:v>2</x:v>
      </x:c>
      <x:c r="O49" s="38" t="str">
        <x:v>mech_grow_shield_each_round</x:v>
      </x:c>
      <x:c r="P49" s="38" t="str">
        <x:v>10 形状10</x:v>
      </x:c>
      <x:c r="Q49" s="38" t="str">
        <x:v>Deadly</x:v>
      </x:c>
      <x:c r="R49" s="38" t="str">
        <x:v>item confirmed；来源=Flagship；攻击2格；仅保留来源商人/训练师关系。</x:v>
      </x:c>
      <x:c r="S49" s="38" t="n">
        <x:v>2</x:v>
      </x:c>
      <x:c r="T49" s="38" t="n">
        <x:v>2</x:v>
      </x:c>
      <x:c r="U49" s="15" t="str">
        <x:v>skill_vanguard,skill_flank,skill_pierce,skill_revolve,skill_chase,skill_break,skill_suppress,skill_finale</x:v>
      </x:c>
      <x:c r="V49" s="15" t="str">
        <x:v>trait_combo_resonance</x:v>
      </x:c>
      <x:c r="W49" s="332" t="n">
        <x:f>XLOOKUP($D49&amp;"|"&amp;$E49&amp;"|"&amp;$F49,'PET_STAT_RULES'!$A$5:$A$88,'PET_STAT_RULES'!$E$5:$E$88)</x:f>
        <x:v>0</x:v>
      </x:c>
    </x:row>
    <x:row r="50">
      <x:c r="A50" s="38" t="str">
        <x:v>pal_049</x:v>
      </x:c>
      <x:c r="B50" s="38" t="str">
        <x:v>铁臂黑猿</x:v>
      </x:c>
      <x:c r="C50" s="38" t="str">
        <x:v>水、龙</x:v>
      </x:c>
      <x:c r="D50" s="259" t="str">
        <x:v>青铜</x:v>
      </x:c>
      <x:c r="E50" s="38" t="str">
        <x:v>机动</x:v>
      </x:c>
      <x:c r="F50" s="38" t="str">
        <x:v>一格</x:v>
      </x:c>
      <x:c r="G50" s="38" t="str">
        <x:v>bz_van_049</x:v>
      </x:c>
      <x:c r="H50" s="38" t="str">
        <x:v>night_base, elem_火, elem_草, elem_雷, role_坦克, role_控制, role_输出, special_merchant, elite_high, role_机动压制</x:v>
      </x:c>
      <x:c r="I50" s="38" t="n">
        <x:v>10</x:v>
      </x:c>
      <x:c r="J50" s="340" t="n">
        <x:f>XLOOKUP($D50&amp;"|"&amp;$E50&amp;"|"&amp;$F50,'PET_STAT_RULES'!$A$5:$A$88,'PET_STAT_RULES'!$C$5:$C$88)</x:f>
        <x:v>22</x:v>
      </x:c>
      <x:c r="K50" s="340" t="n">
        <x:f>XLOOKUP($D50&amp;"|"&amp;$E50&amp;"|"&amp;$F50,'PET_STAT_RULES'!$A$5:$A$88,'PET_STAT_RULES'!$D$5:$D$88)</x:f>
        <x:v>8</x:v>
      </x:c>
      <x:c r="L50" s="340" t="n">
        <x:f>XLOOKUP($D50&amp;"|"&amp;$E50&amp;"|"&amp;$F50,'PET_STAT_RULES'!$A$5:$A$88,'PET_STAT_RULES'!$F$5:$F$88)</x:f>
        <x:v>0</x:v>
      </x:c>
      <x:c r="M50" s="340" t="n">
        <x:f>XLOOKUP($D50&amp;"|"&amp;$E50&amp;"|"&amp;$F50,'PET_STAT_RULES'!$A$5:$A$88,'PET_STAT_RULES'!$G$5:$G$88)</x:f>
        <x:v>5</x:v>
      </x:c>
      <x:c r="N50" s="38" t="n">
        <x:v>2</x:v>
      </x:c>
      <x:c r="O50" s="38" t="str">
        <x:v>none</x:v>
      </x:c>
      <x:c r="P50" s="38" t="str">
        <x:v>12 形状12</x:v>
      </x:c>
      <x:c r="Q50" s="38" t="str">
        <x:v>Turbo</x:v>
      </x:c>
      <x:c r="R50" s="38" t="str">
        <x:v>item confirmed；来源=Flying Fish；攻击2格；仅保留来源商人/训练师关系。</x:v>
      </x:c>
      <x:c r="S50" s="38" t="n">
        <x:v>5</x:v>
      </x:c>
      <x:c r="T50" s="38" t="n">
        <x:v>1</x:v>
      </x:c>
      <x:c r="U50" s="15" t="str">
        <x:v>skill_vanguard,skill_flank,skill_pierce,skill_revolve,skill_chase,skill_break,skill_suppress,skill_finale</x:v>
      </x:c>
      <x:c r="V50" s="15" t="str">
        <x:v>trait_relentless</x:v>
      </x:c>
      <x:c r="W50" s="332" t="n">
        <x:f>XLOOKUP($D50&amp;"|"&amp;$E50&amp;"|"&amp;$F50,'PET_STAT_RULES'!$A$5:$A$88,'PET_STAT_RULES'!$E$5:$E$88)</x:f>
        <x:v>0</x:v>
      </x:c>
    </x:row>
    <x:row r="51">
      <x:c r="A51" s="38" t="str">
        <x:v>pal_050</x:v>
      </x:c>
      <x:c r="B51" s="38" t="str">
        <x:v>金甲蜂群</x:v>
      </x:c>
      <x:c r="C51" s="38" t="str">
        <x:v>雷</x:v>
      </x:c>
      <x:c r="D51" s="259" t="str">
        <x:v>青铜</x:v>
      </x:c>
      <x:c r="E51" s="38" t="str">
        <x:v>输出</x:v>
      </x:c>
      <x:c r="F51" s="38" t="str">
        <x:v>一格</x:v>
      </x:c>
      <x:c r="G51" s="38" t="str">
        <x:v>bz_van_050</x:v>
      </x:c>
      <x:c r="H51" s="38" t="str">
        <x:v>night_base, elem_火, elem_雷, elem_地, role_召唤, role_坦克, role_控制, role_治疗, role_经济, role_机动</x:v>
      </x:c>
      <x:c r="I51" s="38" t="n">
        <x:v>10</x:v>
      </x:c>
      <x:c r="J51" s="340" t="n">
        <x:f>XLOOKUP($D51&amp;"|"&amp;$E51&amp;"|"&amp;$F51,'PET_STAT_RULES'!$A$5:$A$88,'PET_STAT_RULES'!$C$5:$C$88)</x:f>
        <x:v>22</x:v>
      </x:c>
      <x:c r="K51" s="340" t="n">
        <x:f>XLOOKUP($D51&amp;"|"&amp;$E51&amp;"|"&amp;$F51,'PET_STAT_RULES'!$A$5:$A$88,'PET_STAT_RULES'!$D$5:$D$88)</x:f>
        <x:v>14</x:v>
      </x:c>
      <x:c r="L51" s="340" t="n">
        <x:f>XLOOKUP($D51&amp;"|"&amp;$E51&amp;"|"&amp;$F51,'PET_STAT_RULES'!$A$5:$A$88,'PET_STAT_RULES'!$F$5:$F$88)</x:f>
        <x:v>0</x:v>
      </x:c>
      <x:c r="M51" s="340" t="n">
        <x:f>XLOOKUP($D51&amp;"|"&amp;$E51&amp;"|"&amp;$F51,'PET_STAT_RULES'!$A$5:$A$88,'PET_STAT_RULES'!$G$5:$G$88)</x:f>
        <x:v>3</x:v>
      </x:c>
      <x:c r="N51" s="38" t="n">
        <x:v>1</x:v>
      </x:c>
      <x:c r="O51" s="38" t="str">
        <x:v>mech_grow_atk_each_round</x:v>
      </x:c>
      <x:c r="P51" s="38" t="str">
        <x:v>01 形状01</x:v>
      </x:c>
      <x:c r="Q51" s="38" t="str">
        <x:v>Deadly</x:v>
      </x:c>
      <x:c r="R51" s="38" t="str">
        <x:v>item confirmed；来源=Grapeshot；攻击1格；仅保留来源商人/训练师关系。</x:v>
      </x:c>
      <x:c r="S51" s="38" t="n">
        <x:v>3</x:v>
      </x:c>
      <x:c r="T51" s="38" t="n">
        <x:v>1</x:v>
      </x:c>
      <x:c r="U51" s="15" t="str">
        <x:v>skill_vanguard,skill_flank,skill_pierce,skill_revolve,skill_chase,skill_break,skill_suppress,skill_finale</x:v>
      </x:c>
      <x:c r="V51" s="15" t="str">
        <x:v>trait_relentless</x:v>
      </x:c>
      <x:c r="W51" s="332" t="n">
        <x:f>XLOOKUP($D51&amp;"|"&amp;$E51&amp;"|"&amp;$F51,'PET_STAT_RULES'!$A$5:$A$88,'PET_STAT_RULES'!$E$5:$E$88)</x:f>
        <x:v>0</x:v>
      </x:c>
    </x:row>
    <x:row r="52">
      <x:c r="A52" s="38" t="str">
        <x:v>pal_051</x:v>
      </x:c>
      <x:c r="B52" s="38" t="str">
        <x:v>百花巨蜂</x:v>
      </x:c>
      <x:c r="C52" s="38" t="str">
        <x:v>暗</x:v>
      </x:c>
      <x:c r="D52" s="259" t="str">
        <x:v>青铜</x:v>
      </x:c>
      <x:c r="E52" s="38" t="str">
        <x:v>控制</x:v>
      </x:c>
      <x:c r="F52" s="38" t="str">
        <x:v>一格</x:v>
      </x:c>
      <x:c r="G52" s="38" t="str">
        <x:v>bz_van_051</x:v>
      </x:c>
      <x:c r="H52" s="38" t="str">
        <x:v>night_base, elem_火, elem_雷, elem_地, role_召唤, role_坦克, role_控制, special_merchant, role_召唤铺场, role_远点压制</x:v>
      </x:c>
      <x:c r="I52" s="38" t="n">
        <x:v>10</x:v>
      </x:c>
      <x:c r="J52" s="340" t="n">
        <x:f>XLOOKUP($D52&amp;"|"&amp;$E52&amp;"|"&amp;$F52,'PET_STAT_RULES'!$A$5:$A$88,'PET_STAT_RULES'!$C$5:$C$88)</x:f>
        <x:v>26</x:v>
      </x:c>
      <x:c r="K52" s="340" t="n">
        <x:f>XLOOKUP($D52&amp;"|"&amp;$E52&amp;"|"&amp;$F52,'PET_STAT_RULES'!$A$5:$A$88,'PET_STAT_RULES'!$D$5:$D$88)</x:f>
        <x:v>10</x:v>
      </x:c>
      <x:c r="L52" s="340" t="n">
        <x:f>XLOOKUP($D52&amp;"|"&amp;$E52&amp;"|"&amp;$F52,'PET_STAT_RULES'!$A$5:$A$88,'PET_STAT_RULES'!$F$5:$F$88)</x:f>
        <x:v>0</x:v>
      </x:c>
      <x:c r="M52" s="340" t="n">
        <x:f>XLOOKUP($D52&amp;"|"&amp;$E52&amp;"|"&amp;$F52,'PET_STAT_RULES'!$A$5:$A$88,'PET_STAT_RULES'!$G$5:$G$88)</x:f>
        <x:v>4</x:v>
      </x:c>
      <x:c r="N52" s="38" t="n">
        <x:v>3</x:v>
      </x:c>
      <x:c r="O52" s="38" t="str">
        <x:v>mech_counter_damage</x:v>
      </x:c>
      <x:c r="P52" s="38" t="str">
        <x:v>19 形状19</x:v>
      </x:c>
      <x:c r="Q52" s="38" t="str">
        <x:v>Icy</x:v>
      </x:c>
      <x:c r="R52" s="38" t="str">
        <x:v>item confirmed；来源=Grappling Hook；攻击3格；仅保留来源商人/训练师关系。</x:v>
      </x:c>
      <x:c r="S52" s="38" t="n">
        <x:v>4</x:v>
      </x:c>
      <x:c r="T52" s="38" t="n">
        <x:v>1</x:v>
      </x:c>
      <x:c r="U52" s="15" t="str">
        <x:v>skill_vanguard,skill_flank,skill_pierce,skill_revolve,skill_chase,skill_break,skill_suppress,skill_finale</x:v>
      </x:c>
      <x:c r="V52" s="15" t="str">
        <x:v>trait_element_affinity</x:v>
      </x:c>
      <x:c r="W52" s="332" t="n">
        <x:f>XLOOKUP($D52&amp;"|"&amp;$E52&amp;"|"&amp;$F52,'PET_STAT_RULES'!$A$5:$A$88,'PET_STAT_RULES'!$E$5:$E$88)</x:f>
        <x:v>0</x:v>
      </x:c>
    </x:row>
    <x:row r="53">
      <x:c r="A53" s="38" t="str">
        <x:v>pal_052</x:v>
      </x:c>
      <x:c r="B53" s="38" t="str">
        <x:v>笑面山猫</x:v>
      </x:c>
      <x:c r="C53" s="38" t="str">
        <x:v>雷</x:v>
      </x:c>
      <x:c r="D53" s="259" t="str">
        <x:v>青铜</x:v>
      </x:c>
      <x:c r="E53" s="38" t="str">
        <x:v>输出</x:v>
      </x:c>
      <x:c r="F53" s="38" t="str">
        <x:v>一格</x:v>
      </x:c>
      <x:c r="G53" s="38" t="str">
        <x:v>bz_van_052</x:v>
      </x:c>
      <x:c r="H53" s="38" t="str">
        <x:v>night_base, elem_火, elem_雷, elem_地, role_召唤, role_坦克, role_控制, role_治疗, role_经济, role_机动</x:v>
      </x:c>
      <x:c r="I53" s="38" t="n">
        <x:v>10</x:v>
      </x:c>
      <x:c r="J53" s="340" t="n">
        <x:f>XLOOKUP($D53&amp;"|"&amp;$E53&amp;"|"&amp;$F53,'PET_STAT_RULES'!$A$5:$A$88,'PET_STAT_RULES'!$C$5:$C$88)</x:f>
        <x:v>22</x:v>
      </x:c>
      <x:c r="K53" s="340" t="n">
        <x:f>XLOOKUP($D53&amp;"|"&amp;$E53&amp;"|"&amp;$F53,'PET_STAT_RULES'!$A$5:$A$88,'PET_STAT_RULES'!$D$5:$D$88)</x:f>
        <x:v>14</x:v>
      </x:c>
      <x:c r="L53" s="340" t="n">
        <x:f>XLOOKUP($D53&amp;"|"&amp;$E53&amp;"|"&amp;$F53,'PET_STAT_RULES'!$A$5:$A$88,'PET_STAT_RULES'!$F$5:$F$88)</x:f>
        <x:v>0</x:v>
      </x:c>
      <x:c r="M53" s="340" t="n">
        <x:f>XLOOKUP($D53&amp;"|"&amp;$E53&amp;"|"&amp;$F53,'PET_STAT_RULES'!$A$5:$A$88,'PET_STAT_RULES'!$G$5:$G$88)</x:f>
        <x:v>3</x:v>
      </x:c>
      <x:c r="N53" s="38" t="n">
        <x:v>1</x:v>
      </x:c>
      <x:c r="O53" s="38" t="str">
        <x:v>mech_grow_atk_each_round</x:v>
      </x:c>
      <x:c r="P53" s="38" t="str">
        <x:v>02 形状02</x:v>
      </x:c>
      <x:c r="Q53" s="38" t="str">
        <x:v>Deadly</x:v>
      </x:c>
      <x:c r="R53" s="38" t="str">
        <x:v>item confirmed；来源=Grenade；攻击1格；仅保留来源商人/训练师关系。</x:v>
      </x:c>
      <x:c r="S53" s="38" t="n">
        <x:v>3</x:v>
      </x:c>
      <x:c r="T53" s="38" t="n">
        <x:v>1</x:v>
      </x:c>
      <x:c r="U53" s="15" t="str">
        <x:v>skill_vanguard,skill_flank,skill_pierce,skill_revolve,skill_chase,skill_break,skill_suppress,skill_finale</x:v>
      </x:c>
      <x:c r="V53" s="15" t="str">
        <x:v>trait_relentless</x:v>
      </x:c>
      <x:c r="W53" s="332" t="n">
        <x:f>XLOOKUP($D53&amp;"|"&amp;$E53&amp;"|"&amp;$F53,'PET_STAT_RULES'!$A$5:$A$88,'PET_STAT_RULES'!$E$5:$E$88)</x:f>
        <x:v>0</x:v>
      </x:c>
    </x:row>
    <x:row r="54">
      <x:c r="A54" s="38" t="str">
        <x:v>pal_053</x:v>
      </x:c>
      <x:c r="B54" s="38" t="str">
        <x:v>霜尾雪貂</x:v>
      </x:c>
      <x:c r="C54" s="38" t="str">
        <x:v>无</x:v>
      </x:c>
      <x:c r="D54" s="259" t="str">
        <x:v>青铜</x:v>
      </x:c>
      <x:c r="E54" s="38" t="str">
        <x:v>输出</x:v>
      </x:c>
      <x:c r="F54" s="38" t="str">
        <x:v>一格</x:v>
      </x:c>
      <x:c r="G54" s="38" t="str">
        <x:v>bz_van_053</x:v>
      </x:c>
      <x:c r="H54" s="38" t="str">
        <x:v>night_base, elem_火, elem_雷, elem_地, elem_暗, role_召唤, role_坦克, role_控制, role_治疗, role_经济</x:v>
      </x:c>
      <x:c r="I54" s="38" t="n">
        <x:v>10</x:v>
      </x:c>
      <x:c r="J54" s="340" t="n">
        <x:f>XLOOKUP($D54&amp;"|"&amp;$E54&amp;"|"&amp;$F54,'PET_STAT_RULES'!$A$5:$A$88,'PET_STAT_RULES'!$C$5:$C$88)</x:f>
        <x:v>22</x:v>
      </x:c>
      <x:c r="K54" s="340" t="n">
        <x:f>XLOOKUP($D54&amp;"|"&amp;$E54&amp;"|"&amp;$F54,'PET_STAT_RULES'!$A$5:$A$88,'PET_STAT_RULES'!$D$5:$D$88)</x:f>
        <x:v>14</x:v>
      </x:c>
      <x:c r="L54" s="340" t="n">
        <x:f>XLOOKUP($D54&amp;"|"&amp;$E54&amp;"|"&amp;$F54,'PET_STAT_RULES'!$A$5:$A$88,'PET_STAT_RULES'!$F$5:$F$88)</x:f>
        <x:v>0</x:v>
      </x:c>
      <x:c r="M54" s="340" t="n">
        <x:f>XLOOKUP($D54&amp;"|"&amp;$E54&amp;"|"&amp;$F54,'PET_STAT_RULES'!$A$5:$A$88,'PET_STAT_RULES'!$G$5:$G$88)</x:f>
        <x:v>3</x:v>
      </x:c>
      <x:c r="N54" s="38" t="n">
        <x:v>1</x:v>
      </x:c>
      <x:c r="O54" s="38" t="str">
        <x:v>mech_grow_atk_each_round</x:v>
      </x:c>
      <x:c r="P54" s="38" t="str">
        <x:v>01 形状01</x:v>
      </x:c>
      <x:c r="Q54" s="38" t="str">
        <x:v>Deadly</x:v>
      </x:c>
      <x:c r="R54" s="38" t="str">
        <x:v>item confirmed；来源=Handaxe；攻击1格；仅保留来源商人/训练师关系。</x:v>
      </x:c>
      <x:c r="S54" s="38" t="n">
        <x:v>3</x:v>
      </x:c>
      <x:c r="T54" s="38" t="n">
        <x:v>1</x:v>
      </x:c>
      <x:c r="U54" s="15" t="str">
        <x:v>skill_vanguard,skill_flank,skill_pierce,skill_revolve,skill_chase,skill_break,skill_suppress,skill_finale</x:v>
      </x:c>
      <x:c r="V54" s="15" t="str">
        <x:v>trait_relentless</x:v>
      </x:c>
      <x:c r="W54" s="332" t="n">
        <x:f>XLOOKUP($D54&amp;"|"&amp;$E54&amp;"|"&amp;$F54,'PET_STAT_RULES'!$A$5:$A$88,'PET_STAT_RULES'!$E$5:$E$88)</x:f>
        <x:v>0</x:v>
      </x:c>
    </x:row>
    <x:row r="55">
      <x:c r="A55" s="38" t="str">
        <x:v>pal_054</x:v>
      </x:c>
      <x:c r="B55" s="38" t="str">
        <x:v>白眉雪猿</x:v>
      </x:c>
      <x:c r="C55" s="38" t="str">
        <x:v>水、雷</x:v>
      </x:c>
      <x:c r="D55" s="265" t="str">
        <x:v>白银</x:v>
      </x:c>
      <x:c r="E55" s="38" t="str">
        <x:v>控制</x:v>
      </x:c>
      <x:c r="F55" s="38" t="str">
        <x:v>两格</x:v>
      </x:c>
      <x:c r="G55" s="38" t="str">
        <x:v>bz_van_054</x:v>
      </x:c>
      <x:c r="H55" s="38" t="str">
        <x:v>elem_水, elem_雷, elem_冰, elem_无, role_召唤, role_坦克, role_控制, role_治疗, role_输出, role_机动</x:v>
      </x:c>
      <x:c r="I55" s="38" t="n">
        <x:v>10</x:v>
      </x:c>
      <x:c r="J55" s="340" t="n">
        <x:f>XLOOKUP($D55&amp;"|"&amp;$E55&amp;"|"&amp;$F55,'PET_STAT_RULES'!$A$5:$A$88,'PET_STAT_RULES'!$C$5:$C$88)</x:f>
        <x:v>44</x:v>
      </x:c>
      <x:c r="K55" s="340" t="n">
        <x:f>XLOOKUP($D55&amp;"|"&amp;$E55&amp;"|"&amp;$F55,'PET_STAT_RULES'!$A$5:$A$88,'PET_STAT_RULES'!$D$5:$D$88)</x:f>
        <x:v>14</x:v>
      </x:c>
      <x:c r="L55" s="340" t="n">
        <x:f>XLOOKUP($D55&amp;"|"&amp;$E55&amp;"|"&amp;$F55,'PET_STAT_RULES'!$A$5:$A$88,'PET_STAT_RULES'!$F$5:$F$88)</x:f>
        <x:v>0</x:v>
      </x:c>
      <x:c r="M55" s="340" t="n">
        <x:f>XLOOKUP($D55&amp;"|"&amp;$E55&amp;"|"&amp;$F55,'PET_STAT_RULES'!$A$5:$A$88,'PET_STAT_RULES'!$G$5:$G$88)</x:f>
        <x:v>4</x:v>
      </x:c>
      <x:c r="N55" s="38" t="n">
        <x:v>3</x:v>
      </x:c>
      <x:c r="O55" s="38" t="str">
        <x:v>mech_death_explosion</x:v>
      </x:c>
      <x:c r="P55" s="38" t="str">
        <x:v>17 形状17</x:v>
      </x:c>
      <x:c r="Q55" s="38" t="str">
        <x:v>Obsidian</x:v>
      </x:c>
      <x:c r="R55" s="38" t="str">
        <x:v>item confirmed；来源=Harpoon；攻击3格；仅保留来源商人/训练师关系。</x:v>
      </x:c>
      <x:c r="S55" s="38" t="n">
        <x:v>4</x:v>
      </x:c>
      <x:c r="T55" s="38" t="n">
        <x:v>2</x:v>
      </x:c>
      <x:c r="U55" s="15" t="str">
        <x:v>skill_vanguard,skill_flank,skill_pierce,skill_revolve,skill_chase,skill_break,skill_suppress,skill_finale</x:v>
      </x:c>
      <x:c r="V55" s="15" t="str">
        <x:v>trait_element_affinity</x:v>
      </x:c>
      <x:c r="W55" s="332" t="n">
        <x:f>XLOOKUP($D55&amp;"|"&amp;$E55&amp;"|"&amp;$F55,'PET_STAT_RULES'!$A$5:$A$88,'PET_STAT_RULES'!$E$5:$E$88)</x:f>
        <x:v>0</x:v>
      </x:c>
    </x:row>
    <x:row r="56">
      <x:c r="A56" s="38" t="str">
        <x:v>pal_055</x:v>
      </x:c>
      <x:c r="B56" s="38" t="str">
        <x:v>寒风幼螭</x:v>
      </x:c>
      <x:c r="C56" s="38" t="str">
        <x:v>火</x:v>
      </x:c>
      <x:c r="D56" s="265" t="str">
        <x:v>白银</x:v>
      </x:c>
      <x:c r="E56" s="38" t="str">
        <x:v>机动</x:v>
      </x:c>
      <x:c r="F56" s="38" t="str">
        <x:v>一格</x:v>
      </x:c>
      <x:c r="G56" s="38" t="str">
        <x:v>bz_van_055</x:v>
      </x:c>
      <x:c r="H56" s="38" t="str">
        <x:v>elem_火, elem_雷, elem_冰, elem_地, role_召唤, role_坦克, role_控制, special_merchant, elite_high, role_重甲抗压</x:v>
      </x:c>
      <x:c r="I56" s="38" t="n">
        <x:v>10</x:v>
      </x:c>
      <x:c r="J56" s="340" t="n">
        <x:f>XLOOKUP($D56&amp;"|"&amp;$E56&amp;"|"&amp;$F56,'PET_STAT_RULES'!$A$5:$A$88,'PET_STAT_RULES'!$C$5:$C$88)</x:f>
        <x:v>34</x:v>
      </x:c>
      <x:c r="K56" s="340" t="n">
        <x:f>XLOOKUP($D56&amp;"|"&amp;$E56&amp;"|"&amp;$F56,'PET_STAT_RULES'!$A$5:$A$88,'PET_STAT_RULES'!$D$5:$D$88)</x:f>
        <x:v>14</x:v>
      </x:c>
      <x:c r="L56" s="340" t="n">
        <x:f>XLOOKUP($D56&amp;"|"&amp;$E56&amp;"|"&amp;$F56,'PET_STAT_RULES'!$A$5:$A$88,'PET_STAT_RULES'!$F$5:$F$88)</x:f>
        <x:v>0</x:v>
      </x:c>
      <x:c r="M56" s="340" t="n">
        <x:f>XLOOKUP($D56&amp;"|"&amp;$E56&amp;"|"&amp;$F56,'PET_STAT_RULES'!$A$5:$A$88,'PET_STAT_RULES'!$G$5:$G$88)</x:f>
        <x:v>5</x:v>
      </x:c>
      <x:c r="N56" s="38" t="n">
        <x:v>3</x:v>
      </x:c>
      <x:c r="O56" s="38" t="str">
        <x:v>none</x:v>
      </x:c>
      <x:c r="P56" s="38" t="str">
        <x:v>13 形状13</x:v>
      </x:c>
      <x:c r="Q56" s="38" t="str">
        <x:v>Turbo</x:v>
      </x:c>
      <x:c r="R56" s="38" t="str">
        <x:v>item confirmed；来源=Holsters；攻击3格；仅保留来源商人/训练师关系。</x:v>
      </x:c>
      <x:c r="S56" s="38" t="n">
        <x:v>5</x:v>
      </x:c>
      <x:c r="T56" s="38" t="n">
        <x:v>2</x:v>
      </x:c>
      <x:c r="U56" s="15" t="str">
        <x:v>skill_vanguard,skill_flank,skill_pierce,skill_revolve,skill_chase,skill_break,skill_suppress,skill_finale</x:v>
      </x:c>
      <x:c r="V56" s="15" t="str">
        <x:v>trait_relentless</x:v>
      </x:c>
      <x:c r="W56" s="332" t="n">
        <x:f>XLOOKUP($D56&amp;"|"&amp;$E56&amp;"|"&amp;$F56,'PET_STAT_RULES'!$A$5:$A$88,'PET_STAT_RULES'!$E$5:$E$88)</x:f>
        <x:v>0</x:v>
      </x:c>
    </x:row>
    <x:row r="57">
      <x:c r="A57" s="38" t="str">
        <x:v>pal_056</x:v>
      </x:c>
      <x:c r="B57" s="38" t="str">
        <x:v>震角雷牛</x:v>
      </x:c>
      <x:c r="C57" s="38" t="str">
        <x:v>无</x:v>
      </x:c>
      <x:c r="D57" s="259" t="str">
        <x:v>青铜</x:v>
      </x:c>
      <x:c r="E57" s="38" t="str">
        <x:v>输出</x:v>
      </x:c>
      <x:c r="F57" s="38" t="str">
        <x:v>一格</x:v>
      </x:c>
      <x:c r="G57" s="38" t="str">
        <x:v>bz_van_056</x:v>
      </x:c>
      <x:c r="H57" s="38" t="str">
        <x:v>elem_火, elem_雷, elem_冰, elem_地, role_召唤, role_坦克, role_控制, role_治疗, role_经济, role_远点压制</x:v>
      </x:c>
      <x:c r="I57" s="38" t="n">
        <x:v>10</x:v>
      </x:c>
      <x:c r="J57" s="340" t="n">
        <x:f>XLOOKUP($D57&amp;"|"&amp;$E57&amp;"|"&amp;$F57,'PET_STAT_RULES'!$A$5:$A$88,'PET_STAT_RULES'!$C$5:$C$88)</x:f>
        <x:v>22</x:v>
      </x:c>
      <x:c r="K57" s="340" t="n">
        <x:f>XLOOKUP($D57&amp;"|"&amp;$E57&amp;"|"&amp;$F57,'PET_STAT_RULES'!$A$5:$A$88,'PET_STAT_RULES'!$D$5:$D$88)</x:f>
        <x:v>14</x:v>
      </x:c>
      <x:c r="L57" s="340" t="n">
        <x:f>XLOOKUP($D57&amp;"|"&amp;$E57&amp;"|"&amp;$F57,'PET_STAT_RULES'!$A$5:$A$88,'PET_STAT_RULES'!$F$5:$F$88)</x:f>
        <x:v>0</x:v>
      </x:c>
      <x:c r="M57" s="340" t="n">
        <x:f>XLOOKUP($D57&amp;"|"&amp;$E57&amp;"|"&amp;$F57,'PET_STAT_RULES'!$A$5:$A$88,'PET_STAT_RULES'!$G$5:$G$88)</x:f>
        <x:v>3</x:v>
      </x:c>
      <x:c r="N57" s="38" t="n">
        <x:v>1</x:v>
      </x:c>
      <x:c r="O57" s="38" t="str">
        <x:v>mech_grow_atk_each_round</x:v>
      </x:c>
      <x:c r="P57" s="38" t="str">
        <x:v>01 形状01</x:v>
      </x:c>
      <x:c r="Q57" s="38" t="str">
        <x:v>Deadly</x:v>
      </x:c>
      <x:c r="R57" s="38" t="str">
        <x:v>item confirmed；来源=Honing Steel；攻击1格；仅保留来源商人/训练师关系。</x:v>
      </x:c>
      <x:c r="S57" s="38" t="n">
        <x:v>3</x:v>
      </x:c>
      <x:c r="T57" s="38" t="n">
        <x:v>1</x:v>
      </x:c>
      <x:c r="U57" s="15" t="str">
        <x:v>skill_vanguard,skill_flank,skill_pierce,skill_revolve,skill_chase,skill_break,skill_suppress,skill_finale</x:v>
      </x:c>
      <x:c r="V57" s="15" t="str">
        <x:v>trait_relentless</x:v>
      </x:c>
      <x:c r="W57" s="332" t="n">
        <x:f>XLOOKUP($D57&amp;"|"&amp;$E57&amp;"|"&amp;$F57,'PET_STAT_RULES'!$A$5:$A$88,'PET_STAT_RULES'!$E$5:$E$88)</x:f>
        <x:v>0</x:v>
      </x:c>
    </x:row>
    <x:row r="58">
      <x:c r="A58" s="38" t="str">
        <x:v>pal_057</x:v>
      </x:c>
      <x:c r="B58" s="38" t="str">
        <x:v>吹雪银狐</x:v>
      </x:c>
      <x:c r="C58" s="38" t="str">
        <x:v>冰</x:v>
      </x:c>
      <x:c r="D58" s="265" t="str">
        <x:v>白银</x:v>
      </x:c>
      <x:c r="E58" s="38" t="str">
        <x:v>控制</x:v>
      </x:c>
      <x:c r="F58" s="38" t="str">
        <x:v>一格</x:v>
      </x:c>
      <x:c r="G58" s="38" t="str">
        <x:v>bz_van_057</x:v>
      </x:c>
      <x:c r="H58" s="38" t="str">
        <x:v>night_base, elem_火, elem_雷, elem_地, role_召唤, role_坦克, role_控制, role_治疗, role_远点压制, role_风系牵制</x:v>
      </x:c>
      <x:c r="I58" s="38" t="n">
        <x:v>10</x:v>
      </x:c>
      <x:c r="J58" s="340" t="n">
        <x:f>XLOOKUP($D58&amp;"|"&amp;$E58&amp;"|"&amp;$F58,'PET_STAT_RULES'!$A$5:$A$88,'PET_STAT_RULES'!$C$5:$C$88)</x:f>
        <x:v>38</x:v>
      </x:c>
      <x:c r="K58" s="340" t="n">
        <x:f>XLOOKUP($D58&amp;"|"&amp;$E58&amp;"|"&amp;$F58,'PET_STAT_RULES'!$A$5:$A$88,'PET_STAT_RULES'!$D$5:$D$88)</x:f>
        <x:v>16</x:v>
      </x:c>
      <x:c r="L58" s="340" t="n">
        <x:f>XLOOKUP($D58&amp;"|"&amp;$E58&amp;"|"&amp;$F58,'PET_STAT_RULES'!$A$5:$A$88,'PET_STAT_RULES'!$F$5:$F$88)</x:f>
        <x:v>0</x:v>
      </x:c>
      <x:c r="M58" s="340" t="n">
        <x:f>XLOOKUP($D58&amp;"|"&amp;$E58&amp;"|"&amp;$F58,'PET_STAT_RULES'!$A$5:$A$88,'PET_STAT_RULES'!$G$5:$G$88)</x:f>
        <x:v>4</x:v>
      </x:c>
      <x:c r="N58" s="38" t="n">
        <x:v>2</x:v>
      </x:c>
      <x:c r="O58" s="38" t="str">
        <x:v>mech_counter_damage</x:v>
      </x:c>
      <x:c r="P58" s="38" t="str">
        <x:v>07 形状07</x:v>
      </x:c>
      <x:c r="Q58" s="38" t="str">
        <x:v>Icy</x:v>
      </x:c>
      <x:c r="R58" s="38" t="str">
        <x:v>item confirmed；来源=Ice Pick；攻击2格；仅保留来源商人/训练师关系。</x:v>
      </x:c>
      <x:c r="S58" s="38" t="n">
        <x:v>4</x:v>
      </x:c>
      <x:c r="T58" s="38" t="n">
        <x:v>2</x:v>
      </x:c>
      <x:c r="U58" s="15" t="str">
        <x:v>skill_vanguard,skill_flank,skill_pierce,skill_revolve,skill_chase,skill_break,skill_suppress,skill_finale</x:v>
      </x:c>
      <x:c r="V58" s="15" t="str">
        <x:v>trait_element_affinity</x:v>
      </x:c>
      <x:c r="W58" s="332" t="n">
        <x:f>XLOOKUP($D58&amp;"|"&amp;$E58&amp;"|"&amp;$F58,'PET_STAT_RULES'!$A$5:$A$88,'PET_STAT_RULES'!$E$5:$E$88)</x:f>
        <x:v>0</x:v>
      </x:c>
    </x:row>
    <x:row r="59">
      <x:c r="A59" s="38" t="str">
        <x:v>pal_058</x:v>
      </x:c>
      <x:c r="B59" s="38" t="str">
        <x:v>丹角火麟</x:v>
      </x:c>
      <x:c r="C59" s="38" t="str">
        <x:v>冰、水</x:v>
      </x:c>
      <x:c r="D59" s="268" t="str">
        <x:v>钻石</x:v>
      </x:c>
      <x:c r="E59" s="38" t="str">
        <x:v>控制</x:v>
      </x:c>
      <x:c r="F59" s="38" t="str">
        <x:v>三格</x:v>
      </x:c>
      <x:c r="G59" s="38" t="str">
        <x:v>bz_van_058</x:v>
      </x:c>
      <x:c r="H59" s="38" t="str">
        <x:v>elem_水, elem_雷, elem_冰, elem_地, elem_暗, role_控制, role_治疗, role_输出, role_风系铺场, role_风系牵制</x:v>
      </x:c>
      <x:c r="I59" s="38" t="n">
        <x:v>10</x:v>
      </x:c>
      <x:c r="J59" s="340" t="n">
        <x:f>XLOOKUP($D59&amp;"|"&amp;$E59&amp;"|"&amp;$F59,'PET_STAT_RULES'!$A$5:$A$88,'PET_STAT_RULES'!$C$5:$C$88)</x:f>
        <x:v>74</x:v>
      </x:c>
      <x:c r="K59" s="340" t="n">
        <x:f>XLOOKUP($D59&amp;"|"&amp;$E59&amp;"|"&amp;$F59,'PET_STAT_RULES'!$A$5:$A$88,'PET_STAT_RULES'!$D$5:$D$88)</x:f>
        <x:v>24</x:v>
      </x:c>
      <x:c r="L59" s="340" t="n">
        <x:f>XLOOKUP($D59&amp;"|"&amp;$E59&amp;"|"&amp;$F59,'PET_STAT_RULES'!$A$5:$A$88,'PET_STAT_RULES'!$F$5:$F$88)</x:f>
        <x:v>0</x:v>
      </x:c>
      <x:c r="M59" s="340" t="n">
        <x:f>XLOOKUP($D59&amp;"|"&amp;$E59&amp;"|"&amp;$F59,'PET_STAT_RULES'!$A$5:$A$88,'PET_STAT_RULES'!$G$5:$G$88)</x:f>
        <x:v>4</x:v>
      </x:c>
      <x:c r="N59" s="38" t="n">
        <x:v>2</x:v>
      </x:c>
      <x:c r="O59" s="38" t="str">
        <x:v>mech_counter_damage</x:v>
      </x:c>
      <x:c r="P59" s="38" t="str">
        <x:v>07 形状07</x:v>
      </x:c>
      <x:c r="Q59" s="38" t="str">
        <x:v>Icy</x:v>
      </x:c>
      <x:c r="R59" s="38" t="str">
        <x:v>item confirmed；来源=Iceberg；攻击2格；仅保留来源商人/训练师关系。</x:v>
      </x:c>
      <x:c r="S59" s="38" t="n">
        <x:v>4</x:v>
      </x:c>
      <x:c r="T59" s="38" t="n">
        <x:v>3</x:v>
      </x:c>
      <x:c r="U59" s="15" t="str">
        <x:v>skill_vanguard,skill_flank,skill_pierce,skill_revolve,skill_chase,skill_break,skill_suppress,skill_finale</x:v>
      </x:c>
      <x:c r="V59" s="15" t="str">
        <x:v>trait_element_affinity</x:v>
      </x:c>
      <x:c r="W59" s="332" t="n">
        <x:f>XLOOKUP($D59&amp;"|"&amp;$E59&amp;"|"&amp;$F59,'PET_STAT_RULES'!$A$5:$A$88,'PET_STAT_RULES'!$E$5:$E$88)</x:f>
        <x:v>0</x:v>
      </x:c>
    </x:row>
    <x:row r="60">
      <x:c r="A60" s="38" t="str">
        <x:v>pal_059</x:v>
      </x:c>
      <x:c r="B60" s="38" t="str">
        <x:v>冰角白鹿</x:v>
      </x:c>
      <x:c r="C60" s="38" t="str">
        <x:v>水、龙</x:v>
      </x:c>
      <x:c r="D60" s="259" t="str">
        <x:v>青铜</x:v>
      </x:c>
      <x:c r="E60" s="38" t="str">
        <x:v>控制</x:v>
      </x:c>
      <x:c r="F60" s="38" t="str">
        <x:v>一格</x:v>
      </x:c>
      <x:c r="G60" s="38" t="str">
        <x:v>bz_van_059</x:v>
      </x:c>
      <x:c r="H60" s="38" t="str">
        <x:v>elem_火, elem_雷, elem_冰, elem_地, role_坦克, role_控制, role_输出, special_merchant, role_召唤铺场, role_机动压制</x:v>
      </x:c>
      <x:c r="I60" s="38" t="n">
        <x:v>10</x:v>
      </x:c>
      <x:c r="J60" s="340" t="n">
        <x:f>XLOOKUP($D60&amp;"|"&amp;$E60&amp;"|"&amp;$F60,'PET_STAT_RULES'!$A$5:$A$88,'PET_STAT_RULES'!$C$5:$C$88)</x:f>
        <x:v>26</x:v>
      </x:c>
      <x:c r="K60" s="340" t="n">
        <x:f>XLOOKUP($D60&amp;"|"&amp;$E60&amp;"|"&amp;$F60,'PET_STAT_RULES'!$A$5:$A$88,'PET_STAT_RULES'!$D$5:$D$88)</x:f>
        <x:v>10</x:v>
      </x:c>
      <x:c r="L60" s="340" t="n">
        <x:f>XLOOKUP($D60&amp;"|"&amp;$E60&amp;"|"&amp;$F60,'PET_STAT_RULES'!$A$5:$A$88,'PET_STAT_RULES'!$F$5:$F$88)</x:f>
        <x:v>0</x:v>
      </x:c>
      <x:c r="M60" s="340" t="n">
        <x:f>XLOOKUP($D60&amp;"|"&amp;$E60&amp;"|"&amp;$F60,'PET_STAT_RULES'!$A$5:$A$88,'PET_STAT_RULES'!$G$5:$G$88)</x:f>
        <x:v>4</x:v>
      </x:c>
      <x:c r="N60" s="38" t="n">
        <x:v>2</x:v>
      </x:c>
      <x:c r="O60" s="38" t="str">
        <x:v>mech_counter_damage</x:v>
      </x:c>
      <x:c r="P60" s="38" t="str">
        <x:v>12 形状12</x:v>
      </x:c>
      <x:c r="Q60" s="38" t="str">
        <x:v>Icy</x:v>
      </x:c>
      <x:c r="R60" s="38" t="str">
        <x:v>item confirmed；来源=IllusoRay；攻击2格；仅保留来源商人/训练师关系。</x:v>
      </x:c>
      <x:c r="S60" s="38" t="n">
        <x:v>4</x:v>
      </x:c>
      <x:c r="T60" s="38" t="n">
        <x:v>1</x:v>
      </x:c>
      <x:c r="U60" s="15" t="str">
        <x:v>skill_vanguard,skill_flank,skill_pierce,skill_revolve,skill_chase,skill_break,skill_suppress,skill_finale</x:v>
      </x:c>
      <x:c r="V60" s="15" t="str">
        <x:v>trait_element_affinity</x:v>
      </x:c>
      <x:c r="W60" s="332" t="n">
        <x:f>XLOOKUP($D60&amp;"|"&amp;$E60&amp;"|"&amp;$F60,'PET_STAT_RULES'!$A$5:$A$88,'PET_STAT_RULES'!$E$5:$E$88)</x:f>
        <x:v>0</x:v>
      </x:c>
    </x:row>
    <x:row r="61">
      <x:c r="A61" s="38" t="str">
        <x:v>pal_060</x:v>
      </x:c>
      <x:c r="B61" s="38" t="str">
        <x:v>霹雳战獒</x:v>
      </x:c>
      <x:c r="C61" s="38" t="str">
        <x:v>火</x:v>
      </x:c>
      <x:c r="D61" s="265" t="str">
        <x:v>白银</x:v>
      </x:c>
      <x:c r="E61" s="38" t="str">
        <x:v>输出</x:v>
      </x:c>
      <x:c r="F61" s="38" t="str">
        <x:v>一格</x:v>
      </x:c>
      <x:c r="G61" s="38" t="str">
        <x:v>bz_van_060</x:v>
      </x:c>
      <x:c r="H61" s="38" t="str">
        <x:v>elem_火, elem_雷, elem_冰, elem_地, role_召唤, role_坦克, role_控制, role_治疗, role_经济, tier_pT2</x:v>
      </x:c>
      <x:c r="I61" s="38" t="n">
        <x:v>10</x:v>
      </x:c>
      <x:c r="J61" s="340" t="n">
        <x:f>XLOOKUP($D61&amp;"|"&amp;$E61&amp;"|"&amp;$F61,'PET_STAT_RULES'!$A$5:$A$88,'PET_STAT_RULES'!$C$5:$C$88)</x:f>
        <x:v>34</x:v>
      </x:c>
      <x:c r="K61" s="340" t="n">
        <x:f>XLOOKUP($D61&amp;"|"&amp;$E61&amp;"|"&amp;$F61,'PET_STAT_RULES'!$A$5:$A$88,'PET_STAT_RULES'!$D$5:$D$88)</x:f>
        <x:v>22</x:v>
      </x:c>
      <x:c r="L61" s="340" t="n">
        <x:f>XLOOKUP($D61&amp;"|"&amp;$E61&amp;"|"&amp;$F61,'PET_STAT_RULES'!$A$5:$A$88,'PET_STAT_RULES'!$F$5:$F$88)</x:f>
        <x:v>0</x:v>
      </x:c>
      <x:c r="M61" s="340" t="n">
        <x:f>XLOOKUP($D61&amp;"|"&amp;$E61&amp;"|"&amp;$F61,'PET_STAT_RULES'!$A$5:$A$88,'PET_STAT_RULES'!$G$5:$G$88)</x:f>
        <x:v>3</x:v>
      </x:c>
      <x:c r="N61" s="38" t="n">
        <x:v>2</x:v>
      </x:c>
      <x:c r="O61" s="38" t="str">
        <x:v>mech_fire_ignite_bonus</x:v>
      </x:c>
      <x:c r="P61" s="38" t="str">
        <x:v>08 形状08</x:v>
      </x:c>
      <x:c r="Q61" s="38" t="str">
        <x:v>Fiery</x:v>
      </x:c>
      <x:c r="R61" s="38" t="str">
        <x:v>item confirmed；来源=Incendiary Rounds；攻击2格；仅保留来源商人/训练师关系。</x:v>
      </x:c>
      <x:c r="S61" s="38" t="n">
        <x:v>3</x:v>
      </x:c>
      <x:c r="T61" s="38" t="n">
        <x:v>2</x:v>
      </x:c>
      <x:c r="U61" s="15" t="str">
        <x:v>skill_vanguard,skill_flank,skill_pierce,skill_revolve,skill_chase,skill_break,skill_suppress,skill_finale</x:v>
      </x:c>
      <x:c r="V61" s="15" t="str">
        <x:v>trait_relentless</x:v>
      </x:c>
      <x:c r="W61" s="332" t="n">
        <x:f>XLOOKUP($D61&amp;"|"&amp;$E61&amp;"|"&amp;$F61,'PET_STAT_RULES'!$A$5:$A$88,'PET_STAT_RULES'!$E$5:$E$88)</x:f>
        <x:v>0</x:v>
      </x:c>
    </x:row>
    <x:row r="62">
      <x:c r="A62" s="38" t="str">
        <x:v>pal_061</x:v>
      </x:c>
      <x:c r="B62" s="38" t="str">
        <x:v>苍焰赤豺</x:v>
      </x:c>
      <x:c r="C62" s="38" t="str">
        <x:v>雷</x:v>
      </x:c>
      <x:c r="D62" s="265" t="str">
        <x:v>白银</x:v>
      </x:c>
      <x:c r="E62" s="38" t="str">
        <x:v>控制</x:v>
      </x:c>
      <x:c r="F62" s="38" t="str">
        <x:v>一格</x:v>
      </x:c>
      <x:c r="G62" s="38" t="str">
        <x:v>bz_van_061</x:v>
      </x:c>
      <x:c r="H62" s="38" t="str">
        <x:v>elem_火, elem_雷, elem_冰, role_坦克, role_控制, special_merchant, tier_pT1, role_召唤铺场, role_抗压承伤, role_重甲抗压</x:v>
      </x:c>
      <x:c r="I62" s="38" t="n">
        <x:v>10</x:v>
      </x:c>
      <x:c r="J62" s="340" t="n">
        <x:f>XLOOKUP($D62&amp;"|"&amp;$E62&amp;"|"&amp;$F62,'PET_STAT_RULES'!$A$5:$A$88,'PET_STAT_RULES'!$C$5:$C$88)</x:f>
        <x:v>38</x:v>
      </x:c>
      <x:c r="K62" s="340" t="n">
        <x:f>XLOOKUP($D62&amp;"|"&amp;$E62&amp;"|"&amp;$F62,'PET_STAT_RULES'!$A$5:$A$88,'PET_STAT_RULES'!$D$5:$D$88)</x:f>
        <x:v>16</x:v>
      </x:c>
      <x:c r="L62" s="340" t="n">
        <x:f>XLOOKUP($D62&amp;"|"&amp;$E62&amp;"|"&amp;$F62,'PET_STAT_RULES'!$A$5:$A$88,'PET_STAT_RULES'!$F$5:$F$88)</x:f>
        <x:v>0</x:v>
      </x:c>
      <x:c r="M62" s="340" t="n">
        <x:f>XLOOKUP($D62&amp;"|"&amp;$E62&amp;"|"&amp;$F62,'PET_STAT_RULES'!$A$5:$A$88,'PET_STAT_RULES'!$G$5:$G$88)</x:f>
        <x:v>4</x:v>
      </x:c>
      <x:c r="N62" s="38" t="n">
        <x:v>2</x:v>
      </x:c>
      <x:c r="O62" s="38" t="str">
        <x:v>mech_counter_damage</x:v>
      </x:c>
      <x:c r="P62" s="38" t="str">
        <x:v>05 形状05</x:v>
      </x:c>
      <x:c r="Q62" s="38" t="str">
        <x:v>Icy</x:v>
      </x:c>
      <x:c r="R62" s="38" t="str">
        <x:v>item confirmed；来源=Integrated HUD；攻击2格；仅保留来源商人/训练师关系。</x:v>
      </x:c>
      <x:c r="S62" s="38" t="n">
        <x:v>4</x:v>
      </x:c>
      <x:c r="T62" s="38" t="n">
        <x:v>2</x:v>
      </x:c>
      <x:c r="U62" s="15" t="str">
        <x:v>skill_vanguard,skill_flank,skill_pierce,skill_revolve,skill_chase,skill_break,skill_suppress,skill_finale</x:v>
      </x:c>
      <x:c r="V62" s="15" t="str">
        <x:v>trait_element_affinity</x:v>
      </x:c>
      <x:c r="W62" s="332" t="n">
        <x:f>XLOOKUP($D62&amp;"|"&amp;$E62&amp;"|"&amp;$F62,'PET_STAT_RULES'!$A$5:$A$88,'PET_STAT_RULES'!$E$5:$E$88)</x:f>
        <x:v>0</x:v>
      </x:c>
    </x:row>
    <x:row r="63">
      <x:c r="A63" s="38" t="str">
        <x:v>pal_062</x:v>
      </x:c>
      <x:c r="B63" s="38" t="str">
        <x:v>雷纹巨猿</x:v>
      </x:c>
      <x:c r="C63" s="38" t="str">
        <x:v>雷</x:v>
      </x:c>
      <x:c r="D63" s="265" t="str">
        <x:v>白银</x:v>
      </x:c>
      <x:c r="E63" s="38" t="str">
        <x:v>机动</x:v>
      </x:c>
      <x:c r="F63" s="38" t="str">
        <x:v>两格</x:v>
      </x:c>
      <x:c r="G63" s="38" t="str">
        <x:v>bz_van_062</x:v>
      </x:c>
      <x:c r="H63" s="38" t="str">
        <x:v>night_base, elem_水, elem_雷, elem_无, role_召唤, role_坦克, role_控制, role_机动, special_merchant, elite_high</x:v>
      </x:c>
      <x:c r="I63" s="38" t="n">
        <x:v>10</x:v>
      </x:c>
      <x:c r="J63" s="340" t="n">
        <x:f>XLOOKUP($D63&amp;"|"&amp;$E63&amp;"|"&amp;$F63,'PET_STAT_RULES'!$A$5:$A$88,'PET_STAT_RULES'!$C$5:$C$88)</x:f>
        <x:v>40</x:v>
      </x:c>
      <x:c r="K63" s="340" t="n">
        <x:f>XLOOKUP($D63&amp;"|"&amp;$E63&amp;"|"&amp;$F63,'PET_STAT_RULES'!$A$5:$A$88,'PET_STAT_RULES'!$D$5:$D$88)</x:f>
        <x:v>12</x:v>
      </x:c>
      <x:c r="L63" s="340" t="n">
        <x:f>XLOOKUP($D63&amp;"|"&amp;$E63&amp;"|"&amp;$F63,'PET_STAT_RULES'!$A$5:$A$88,'PET_STAT_RULES'!$F$5:$F$88)</x:f>
        <x:v>0</x:v>
      </x:c>
      <x:c r="M63" s="340" t="n">
        <x:f>XLOOKUP($D63&amp;"|"&amp;$E63&amp;"|"&amp;$F63,'PET_STAT_RULES'!$A$5:$A$88,'PET_STAT_RULES'!$G$5:$G$88)</x:f>
        <x:v>5</x:v>
      </x:c>
      <x:c r="N63" s="38" t="n">
        <x:v>2</x:v>
      </x:c>
      <x:c r="O63" s="38" t="str">
        <x:v>none</x:v>
      </x:c>
      <x:c r="P63" s="38" t="str">
        <x:v>09 形状09</x:v>
      </x:c>
      <x:c r="Q63" s="38" t="str">
        <x:v>Turbo</x:v>
      </x:c>
      <x:c r="R63" s="38" t="str">
        <x:v>item confirmed；来源=Javelin；攻击2格；仅保留来源商人/训练师关系。</x:v>
      </x:c>
      <x:c r="S63" s="38" t="n">
        <x:v>5</x:v>
      </x:c>
      <x:c r="T63" s="38" t="n">
        <x:v>2</x:v>
      </x:c>
      <x:c r="U63" s="15" t="str">
        <x:v>skill_vanguard,skill_flank,skill_pierce,skill_revolve,skill_chase,skill_break,skill_suppress,skill_finale</x:v>
      </x:c>
      <x:c r="V63" s="15" t="str">
        <x:v>trait_relentless</x:v>
      </x:c>
      <x:c r="W63" s="332" t="n">
        <x:f>XLOOKUP($D63&amp;"|"&amp;$E63&amp;"|"&amp;$F63,'PET_STAT_RULES'!$A$5:$A$88,'PET_STAT_RULES'!$E$5:$E$88)</x:f>
        <x:v>0</x:v>
      </x:c>
    </x:row>
    <x:row r="64">
      <x:c r="A64" s="38" t="str">
        <x:v>pal_063</x:v>
      </x:c>
      <x:c r="B64" s="38" t="str">
        <x:v>蜃雾白鹿</x:v>
      </x:c>
      <x:c r="C64" s="38" t="str">
        <x:v>草、水</x:v>
      </x:c>
      <x:c r="D64" s="259" t="str">
        <x:v>青铜</x:v>
      </x:c>
      <x:c r="E64" s="38" t="str">
        <x:v>控制</x:v>
      </x:c>
      <x:c r="F64" s="38" t="str">
        <x:v>一格</x:v>
      </x:c>
      <x:c r="G64" s="38" t="str">
        <x:v>bz_van_063</x:v>
      </x:c>
      <x:c r="H64" s="38" t="str">
        <x:v>elem_火, elem_雷, elem_冰, role_坦克, role_控制, role_输出, special_merchant, elite_high, role_机动压制, role_火系压制</x:v>
      </x:c>
      <x:c r="I64" s="38" t="n">
        <x:v>10</x:v>
      </x:c>
      <x:c r="J64" s="340" t="n">
        <x:f>XLOOKUP($D64&amp;"|"&amp;$E64&amp;"|"&amp;$F64,'PET_STAT_RULES'!$A$5:$A$88,'PET_STAT_RULES'!$C$5:$C$88)</x:f>
        <x:v>26</x:v>
      </x:c>
      <x:c r="K64" s="340" t="n">
        <x:f>XLOOKUP($D64&amp;"|"&amp;$E64&amp;"|"&amp;$F64,'PET_STAT_RULES'!$A$5:$A$88,'PET_STAT_RULES'!$D$5:$D$88)</x:f>
        <x:v>10</x:v>
      </x:c>
      <x:c r="L64" s="340" t="n">
        <x:f>XLOOKUP($D64&amp;"|"&amp;$E64&amp;"|"&amp;$F64,'PET_STAT_RULES'!$A$5:$A$88,'PET_STAT_RULES'!$F$5:$F$88)</x:f>
        <x:v>0</x:v>
      </x:c>
      <x:c r="M64" s="340" t="n">
        <x:f>XLOOKUP($D64&amp;"|"&amp;$E64&amp;"|"&amp;$F64,'PET_STAT_RULES'!$A$5:$A$88,'PET_STAT_RULES'!$G$5:$G$88)</x:f>
        <x:v>4</x:v>
      </x:c>
      <x:c r="N64" s="38" t="n">
        <x:v>2</x:v>
      </x:c>
      <x:c r="O64" s="38" t="str">
        <x:v>mech_counter_damage</x:v>
      </x:c>
      <x:c r="P64" s="38" t="str">
        <x:v>06 形状06</x:v>
      </x:c>
      <x:c r="Q64" s="38" t="str">
        <x:v>Toxic</x:v>
      </x:c>
      <x:c r="R64" s="38" t="str">
        <x:v>item confirmed；来源=Jellyfish；攻击2格；仅保留来源商人/训练师关系。</x:v>
      </x:c>
      <x:c r="S64" s="38" t="n">
        <x:v>4</x:v>
      </x:c>
      <x:c r="T64" s="38" t="n">
        <x:v>1</x:v>
      </x:c>
      <x:c r="U64" s="15" t="str">
        <x:v>skill_vanguard,skill_flank,skill_pierce,skill_revolve,skill_chase,skill_break,skill_suppress,skill_finale</x:v>
      </x:c>
      <x:c r="V64" s="15" t="str">
        <x:v>trait_element_affinity</x:v>
      </x:c>
      <x:c r="W64" s="332" t="n">
        <x:f>XLOOKUP($D64&amp;"|"&amp;$E64&amp;"|"&amp;$F64,'PET_STAT_RULES'!$A$5:$A$88,'PET_STAT_RULES'!$E$5:$E$88)</x:f>
        <x:v>0</x:v>
      </x:c>
    </x:row>
    <x:row r="65">
      <x:c r="A65" s="38" t="str">
        <x:v>pal_064</x:v>
      </x:c>
      <x:c r="B65" s="38" t="str">
        <x:v>翠冠花螭</x:v>
      </x:c>
      <x:c r="C65" s="38" t="str">
        <x:v>雷、龙</x:v>
      </x:c>
      <x:c r="D65" s="265" t="str">
        <x:v>白银</x:v>
      </x:c>
      <x:c r="E65" s="38" t="str">
        <x:v>机动</x:v>
      </x:c>
      <x:c r="F65" s="38" t="str">
        <x:v>三格</x:v>
      </x:c>
      <x:c r="G65" s="38" t="str">
        <x:v>bz_van_064</x:v>
      </x:c>
      <x:c r="H65" s="38" t="str">
        <x:v>night_base, elem_火, elem_水, elem_草, elem_雷, elem_地, role_坦克, role_控制, role_治疗, role_风系铺场</x:v>
      </x:c>
      <x:c r="I65" s="38" t="n">
        <x:v>10</x:v>
      </x:c>
      <x:c r="J65" s="340" t="n">
        <x:f>XLOOKUP($D65&amp;"|"&amp;$E65&amp;"|"&amp;$F65,'PET_STAT_RULES'!$A$5:$A$88,'PET_STAT_RULES'!$C$5:$C$88)</x:f>
        <x:v>46</x:v>
      </x:c>
      <x:c r="K65" s="340" t="n">
        <x:f>XLOOKUP($D65&amp;"|"&amp;$E65&amp;"|"&amp;$F65,'PET_STAT_RULES'!$A$5:$A$88,'PET_STAT_RULES'!$D$5:$D$88)</x:f>
        <x:v>10</x:v>
      </x:c>
      <x:c r="L65" s="340" t="n">
        <x:f>XLOOKUP($D65&amp;"|"&amp;$E65&amp;"|"&amp;$F65,'PET_STAT_RULES'!$A$5:$A$88,'PET_STAT_RULES'!$F$5:$F$88)</x:f>
        <x:v>0</x:v>
      </x:c>
      <x:c r="M65" s="340" t="n">
        <x:f>XLOOKUP($D65&amp;"|"&amp;$E65&amp;"|"&amp;$F65,'PET_STAT_RULES'!$A$5:$A$88,'PET_STAT_RULES'!$G$5:$G$88)</x:f>
        <x:v>5</x:v>
      </x:c>
      <x:c r="N65" s="38" t="n">
        <x:v>2</x:v>
      </x:c>
      <x:c r="O65" s="38" t="str">
        <x:v>none</x:v>
      </x:c>
      <x:c r="P65" s="38" t="str">
        <x:v>06 形状06</x:v>
      </x:c>
      <x:c r="Q65" s="38" t="str">
        <x:v>Turbo</x:v>
      </x:c>
      <x:c r="R65" s="38" t="str">
        <x:v>item confirmed；来源=Jetbike；攻击2格；仅保留来源商人/训练师关系。</x:v>
      </x:c>
      <x:c r="S65" s="38" t="n">
        <x:v>5</x:v>
      </x:c>
      <x:c r="T65" s="38" t="n">
        <x:v>2</x:v>
      </x:c>
      <x:c r="U65" s="15" t="str">
        <x:v>skill_vanguard,skill_flank,skill_pierce,skill_revolve,skill_chase,skill_break,skill_suppress,skill_finale</x:v>
      </x:c>
      <x:c r="V65" s="15" t="str">
        <x:v>trait_relentless</x:v>
      </x:c>
      <x:c r="W65" s="332" t="n">
        <x:f>XLOOKUP($D65&amp;"|"&amp;$E65&amp;"|"&amp;$F65,'PET_STAT_RULES'!$A$5:$A$88,'PET_STAT_RULES'!$E$5:$E$88)</x:f>
        <x:v>0</x:v>
      </x:c>
    </x:row>
    <x:row r="66">
      <x:c r="A66" s="38" t="str">
        <x:v>pal_065</x:v>
      </x:c>
      <x:c r="B66" s="38" t="str">
        <x:v>霆角龙犀</x:v>
      </x:c>
      <x:c r="C66" s="38" t="str">
        <x:v>暗</x:v>
      </x:c>
      <x:c r="D66" s="265" t="str">
        <x:v>白银</x:v>
      </x:c>
      <x:c r="E66" s="38" t="str">
        <x:v>控制</x:v>
      </x:c>
      <x:c r="F66" s="38" t="str">
        <x:v>一格</x:v>
      </x:c>
      <x:c r="G66" s="38" t="str">
        <x:v>bz_van_065</x:v>
      </x:c>
      <x:c r="H66" s="38" t="str">
        <x:v>night_base, elem_火, elem_雷, elem_地, role_召唤, role_坦克, role_控制, role_治疗, special_merchant, role_召唤铺场</x:v>
      </x:c>
      <x:c r="I66" s="38" t="n">
        <x:v>10</x:v>
      </x:c>
      <x:c r="J66" s="340" t="n">
        <x:f>XLOOKUP($D66&amp;"|"&amp;$E66&amp;"|"&amp;$F66,'PET_STAT_RULES'!$A$5:$A$88,'PET_STAT_RULES'!$C$5:$C$88)</x:f>
        <x:v>38</x:v>
      </x:c>
      <x:c r="K66" s="340" t="n">
        <x:f>XLOOKUP($D66&amp;"|"&amp;$E66&amp;"|"&amp;$F66,'PET_STAT_RULES'!$A$5:$A$88,'PET_STAT_RULES'!$D$5:$D$88)</x:f>
        <x:v>16</x:v>
      </x:c>
      <x:c r="L66" s="340" t="n">
        <x:f>XLOOKUP($D66&amp;"|"&amp;$E66&amp;"|"&amp;$F66,'PET_STAT_RULES'!$A$5:$A$88,'PET_STAT_RULES'!$F$5:$F$88)</x:f>
        <x:v>0</x:v>
      </x:c>
      <x:c r="M66" s="340" t="n">
        <x:f>XLOOKUP($D66&amp;"|"&amp;$E66&amp;"|"&amp;$F66,'PET_STAT_RULES'!$A$5:$A$88,'PET_STAT_RULES'!$G$5:$G$88)</x:f>
        <x:v>4</x:v>
      </x:c>
      <x:c r="N66" s="38" t="n">
        <x:v>2</x:v>
      </x:c>
      <x:c r="O66" s="38" t="str">
        <x:v>mech_counter_damage</x:v>
      </x:c>
      <x:c r="P66" s="38" t="str">
        <x:v>08 形状08</x:v>
      </x:c>
      <x:c r="Q66" s="38" t="str">
        <x:v>Icy</x:v>
      </x:c>
      <x:c r="R66" s="38" t="str">
        <x:v>item confirmed；来源=Jitte；攻击2格；仅保留来源商人/训练师关系。</x:v>
      </x:c>
      <x:c r="S66" s="38" t="n">
        <x:v>4</x:v>
      </x:c>
      <x:c r="T66" s="38" t="n">
        <x:v>2</x:v>
      </x:c>
      <x:c r="U66" s="15" t="str">
        <x:v>skill_vanguard,skill_flank,skill_pierce,skill_revolve,skill_chase,skill_break,skill_suppress,skill_finale</x:v>
      </x:c>
      <x:c r="V66" s="15" t="str">
        <x:v>trait_element_affinity</x:v>
      </x:c>
      <x:c r="W66" s="332" t="n">
        <x:f>XLOOKUP($D66&amp;"|"&amp;$E66&amp;"|"&amp;$F66,'PET_STAT_RULES'!$A$5:$A$88,'PET_STAT_RULES'!$E$5:$E$88)</x:f>
        <x:v>0</x:v>
      </x:c>
    </x:row>
    <x:row r="67">
      <x:c r="A67" s="38" t="str">
        <x:v>pal_066</x:v>
      </x:c>
      <x:c r="B67" s="38" t="str">
        <x:v>浪鳞水蛇</x:v>
      </x:c>
      <x:c r="C67" s="38" t="str">
        <x:v>地</x:v>
      </x:c>
      <x:c r="D67" s="259" t="str">
        <x:v>青铜</x:v>
      </x:c>
      <x:c r="E67" s="38" t="str">
        <x:v>输出</x:v>
      </x:c>
      <x:c r="F67" s="38" t="str">
        <x:v>两格</x:v>
      </x:c>
      <x:c r="G67" s="38" t="str">
        <x:v>bz_van_066</x:v>
      </x:c>
      <x:c r="H67" s="38" t="str">
        <x:v>night_base, elem_水, elem_雷, elem_暗, elem_无, role_召唤, role_坦克, role_控制, role_治疗, role_经济</x:v>
      </x:c>
      <x:c r="I67" s="38" t="n">
        <x:v>10</x:v>
      </x:c>
      <x:c r="J67" s="340" t="n">
        <x:f>XLOOKUP($D67&amp;"|"&amp;$E67&amp;"|"&amp;$F67,'PET_STAT_RULES'!$A$5:$A$88,'PET_STAT_RULES'!$C$5:$C$88)</x:f>
        <x:v>28</x:v>
      </x:c>
      <x:c r="K67" s="340" t="n">
        <x:f>XLOOKUP($D67&amp;"|"&amp;$E67&amp;"|"&amp;$F67,'PET_STAT_RULES'!$A$5:$A$88,'PET_STAT_RULES'!$D$5:$D$88)</x:f>
        <x:v>12</x:v>
      </x:c>
      <x:c r="L67" s="340" t="n">
        <x:f>XLOOKUP($D67&amp;"|"&amp;$E67&amp;"|"&amp;$F67,'PET_STAT_RULES'!$A$5:$A$88,'PET_STAT_RULES'!$F$5:$F$88)</x:f>
        <x:v>0</x:v>
      </x:c>
      <x:c r="M67" s="340" t="n">
        <x:f>XLOOKUP($D67&amp;"|"&amp;$E67&amp;"|"&amp;$F67,'PET_STAT_RULES'!$A$5:$A$88,'PET_STAT_RULES'!$G$5:$G$88)</x:f>
        <x:v>3</x:v>
      </x:c>
      <x:c r="N67" s="38" t="n">
        <x:v>1</x:v>
      </x:c>
      <x:c r="O67" s="38" t="str">
        <x:v>mech_grow_atk_each_round</x:v>
      </x:c>
      <x:c r="P67" s="38" t="str">
        <x:v>04 形状04</x:v>
      </x:c>
      <x:c r="Q67" s="38" t="str">
        <x:v>Deadly</x:v>
      </x:c>
      <x:c r="R67" s="38" t="str">
        <x:v>item confirmed；来源=Katana；攻击1格；仅保留来源商人/训练师关系。</x:v>
      </x:c>
      <x:c r="S67" s="38" t="n">
        <x:v>3</x:v>
      </x:c>
      <x:c r="T67" s="38" t="n">
        <x:v>1</x:v>
      </x:c>
      <x:c r="U67" s="15" t="str">
        <x:v>skill_vanguard,skill_flank,skill_pierce,skill_revolve,skill_chase,skill_break,skill_suppress,skill_finale</x:v>
      </x:c>
      <x:c r="V67" s="15" t="str">
        <x:v>trait_relentless</x:v>
      </x:c>
      <x:c r="W67" s="332" t="n">
        <x:f>XLOOKUP($D67&amp;"|"&amp;$E67&amp;"|"&amp;$F67,'PET_STAT_RULES'!$A$5:$A$88,'PET_STAT_RULES'!$E$5:$E$88)</x:f>
        <x:v>0</x:v>
      </x:c>
    </x:row>
    <x:row r="68">
      <x:c r="A68" s="38" t="str">
        <x:v>pal_067</x:v>
      </x:c>
      <x:c r="B68" s="38" t="str">
        <x:v>沙鳞巨蟒</x:v>
      </x:c>
      <x:c r="C68" s="38" t="str">
        <x:v>雷、龙</x:v>
      </x:c>
      <x:c r="D68" s="265" t="str">
        <x:v>白银</x:v>
      </x:c>
      <x:c r="E68" s="38" t="str">
        <x:v>输出</x:v>
      </x:c>
      <x:c r="F68" s="38" t="str">
        <x:v>一格</x:v>
      </x:c>
      <x:c r="G68" s="38" t="str">
        <x:v>bz_van_067</x:v>
      </x:c>
      <x:c r="H68" s="38" t="str">
        <x:v>elem_火, elem_雷, elem_冰, elem_地, role_召唤, role_坦克, role_控制, role_治疗, tier_pT1, role_重甲抗压</x:v>
      </x:c>
      <x:c r="I68" s="38" t="n">
        <x:v>10</x:v>
      </x:c>
      <x:c r="J68" s="340" t="n">
        <x:f>XLOOKUP($D68&amp;"|"&amp;$E68&amp;"|"&amp;$F68,'PET_STAT_RULES'!$A$5:$A$88,'PET_STAT_RULES'!$C$5:$C$88)</x:f>
        <x:v>34</x:v>
      </x:c>
      <x:c r="K68" s="340" t="n">
        <x:f>XLOOKUP($D68&amp;"|"&amp;$E68&amp;"|"&amp;$F68,'PET_STAT_RULES'!$A$5:$A$88,'PET_STAT_RULES'!$D$5:$D$88)</x:f>
        <x:v>22</x:v>
      </x:c>
      <x:c r="L68" s="340" t="n">
        <x:f>XLOOKUP($D68&amp;"|"&amp;$E68&amp;"|"&amp;$F68,'PET_STAT_RULES'!$A$5:$A$88,'PET_STAT_RULES'!$F$5:$F$88)</x:f>
        <x:v>0</x:v>
      </x:c>
      <x:c r="M68" s="340" t="n">
        <x:f>XLOOKUP($D68&amp;"|"&amp;$E68&amp;"|"&amp;$F68,'PET_STAT_RULES'!$A$5:$A$88,'PET_STAT_RULES'!$G$5:$G$88)</x:f>
        <x:v>3</x:v>
      </x:c>
      <x:c r="N68" s="38" t="n">
        <x:v>2</x:v>
      </x:c>
      <x:c r="O68" s="38" t="str">
        <x:v>mech_grow_atk_each_round</x:v>
      </x:c>
      <x:c r="P68" s="38" t="str">
        <x:v>12 形状12</x:v>
      </x:c>
      <x:c r="Q68" s="38" t="str">
        <x:v>Deadly</x:v>
      </x:c>
      <x:c r="R68" s="38" t="str">
        <x:v>item confirmed；来源=Korxena Crest；攻击2格；仅保留来源商人/训练师关系。</x:v>
      </x:c>
      <x:c r="S68" s="38" t="n">
        <x:v>3</x:v>
      </x:c>
      <x:c r="T68" s="38" t="n">
        <x:v>2</x:v>
      </x:c>
      <x:c r="U68" s="15" t="str">
        <x:v>skill_vanguard,skill_flank,skill_pierce,skill_revolve,skill_chase,skill_break,skill_suppress,skill_finale</x:v>
      </x:c>
      <x:c r="V68" s="15" t="str">
        <x:v>trait_relentless</x:v>
      </x:c>
      <x:c r="W68" s="332" t="n">
        <x:f>XLOOKUP($D68&amp;"|"&amp;$E68&amp;"|"&amp;$F68,'PET_STAT_RULES'!$A$5:$A$88,'PET_STAT_RULES'!$E$5:$E$88)</x:f>
        <x:v>0</x:v>
      </x:c>
    </x:row>
    <x:row r="69">
      <x:c r="A69" s="38" t="str">
        <x:v>pal_068</x:v>
      </x:c>
      <x:c r="B69" s="38" t="str">
        <x:v>食梦黑貘</x:v>
      </x:c>
      <x:c r="C69" s="38" t="str">
        <x:v>雷</x:v>
      </x:c>
      <x:c r="D69" s="265" t="str">
        <x:v>白银</x:v>
      </x:c>
      <x:c r="E69" s="38" t="str">
        <x:v>控制</x:v>
      </x:c>
      <x:c r="F69" s="38" t="str">
        <x:v>一格</x:v>
      </x:c>
      <x:c r="G69" s="38" t="str">
        <x:v>bz_van_068</x:v>
      </x:c>
      <x:c r="H69" s="38" t="str">
        <x:v>night_base, elem_火, elem_雷, elem_地, role_坦克, role_控制, special_merchant, tier_pT1, role_召唤铺场, role_抗压承伤</x:v>
      </x:c>
      <x:c r="I69" s="38" t="n">
        <x:v>10</x:v>
      </x:c>
      <x:c r="J69" s="340" t="n">
        <x:f>XLOOKUP($D69&amp;"|"&amp;$E69&amp;"|"&amp;$F69,'PET_STAT_RULES'!$A$5:$A$88,'PET_STAT_RULES'!$C$5:$C$88)</x:f>
        <x:v>38</x:v>
      </x:c>
      <x:c r="K69" s="340" t="n">
        <x:f>XLOOKUP($D69&amp;"|"&amp;$E69&amp;"|"&amp;$F69,'PET_STAT_RULES'!$A$5:$A$88,'PET_STAT_RULES'!$D$5:$D$88)</x:f>
        <x:v>16</x:v>
      </x:c>
      <x:c r="L69" s="340" t="n">
        <x:f>XLOOKUP($D69&amp;"|"&amp;$E69&amp;"|"&amp;$F69,'PET_STAT_RULES'!$A$5:$A$88,'PET_STAT_RULES'!$F$5:$F$88)</x:f>
        <x:v>0</x:v>
      </x:c>
      <x:c r="M69" s="340" t="n">
        <x:f>XLOOKUP($D69&amp;"|"&amp;$E69&amp;"|"&amp;$F69,'PET_STAT_RULES'!$A$5:$A$88,'PET_STAT_RULES'!$G$5:$G$88)</x:f>
        <x:v>4</x:v>
      </x:c>
      <x:c r="N69" s="38" t="n">
        <x:v>2</x:v>
      </x:c>
      <x:c r="O69" s="38" t="str">
        <x:v>mech_counter_damage</x:v>
      </x:c>
      <x:c r="P69" s="38" t="str">
        <x:v>11 形状11</x:v>
      </x:c>
      <x:c r="Q69" s="38" t="str">
        <x:v>Icy</x:v>
      </x:c>
      <x:c r="R69" s="38" t="str">
        <x:v>item confirmed；来源=Kusarigama；攻击2格；仅保留来源商人/训练师关系。</x:v>
      </x:c>
      <x:c r="S69" s="38" t="n">
        <x:v>4</x:v>
      </x:c>
      <x:c r="T69" s="38" t="n">
        <x:v>2</x:v>
      </x:c>
      <x:c r="U69" s="15" t="str">
        <x:v>skill_vanguard,skill_flank,skill_pierce,skill_revolve,skill_chase,skill_break,skill_suppress,skill_finale</x:v>
      </x:c>
      <x:c r="V69" s="15" t="str">
        <x:v>trait_element_affinity</x:v>
      </x:c>
      <x:c r="W69" s="332" t="n">
        <x:f>XLOOKUP($D69&amp;"|"&amp;$E69&amp;"|"&amp;$F69,'PET_STAT_RULES'!$A$5:$A$88,'PET_STAT_RULES'!$E$5:$E$88)</x:f>
        <x:v>0</x:v>
      </x:c>
    </x:row>
    <x:row r="70">
      <x:c r="A70" s="38" t="str">
        <x:v>pal_069</x:v>
      </x:c>
      <x:c r="B70" s="38" t="str">
        <x:v>碎岩巨龟</x:v>
      </x:c>
      <x:c r="C70" s="38" t="str">
        <x:v>龙</x:v>
      </x:c>
      <x:c r="D70" s="259" t="str">
        <x:v>青铜</x:v>
      </x:c>
      <x:c r="E70" s="38" t="str">
        <x:v>输出</x:v>
      </x:c>
      <x:c r="F70" s="38" t="str">
        <x:v>两格</x:v>
      </x:c>
      <x:c r="G70" s="38" t="str">
        <x:v>bz_van_069</x:v>
      </x:c>
      <x:c r="H70" s="38" t="str">
        <x:v>night_base, elem_水, elem_雷, elem_冰, elem_无, role_召唤, role_坦克, role_控制, role_治疗, role_经济</x:v>
      </x:c>
      <x:c r="I70" s="38" t="n">
        <x:v>10</x:v>
      </x:c>
      <x:c r="J70" s="340" t="n">
        <x:f>XLOOKUP($D70&amp;"|"&amp;$E70&amp;"|"&amp;$F70,'PET_STAT_RULES'!$A$5:$A$88,'PET_STAT_RULES'!$C$5:$C$88)</x:f>
        <x:v>28</x:v>
      </x:c>
      <x:c r="K70" s="340" t="n">
        <x:f>XLOOKUP($D70&amp;"|"&amp;$E70&amp;"|"&amp;$F70,'PET_STAT_RULES'!$A$5:$A$88,'PET_STAT_RULES'!$D$5:$D$88)</x:f>
        <x:v>12</x:v>
      </x:c>
      <x:c r="L70" s="340" t="n">
        <x:f>XLOOKUP($D70&amp;"|"&amp;$E70&amp;"|"&amp;$F70,'PET_STAT_RULES'!$A$5:$A$88,'PET_STAT_RULES'!$F$5:$F$88)</x:f>
        <x:v>0</x:v>
      </x:c>
      <x:c r="M70" s="340" t="n">
        <x:f>XLOOKUP($D70&amp;"|"&amp;$E70&amp;"|"&amp;$F70,'PET_STAT_RULES'!$A$5:$A$88,'PET_STAT_RULES'!$G$5:$G$88)</x:f>
        <x:v>3</x:v>
      </x:c>
      <x:c r="N70" s="38" t="n">
        <x:v>1</x:v>
      </x:c>
      <x:c r="O70" s="38" t="str">
        <x:v>mech_grow_atk_each_round</x:v>
      </x:c>
      <x:c r="P70" s="38" t="str">
        <x:v>02 形状02</x:v>
      </x:c>
      <x:c r="Q70" s="38" t="str">
        <x:v>Deadly</x:v>
      </x:c>
      <x:c r="R70" s="38" t="str">
        <x:v>item confirmed；来源=Langxian；攻击1格；仅保留来源商人/训练师关系。</x:v>
      </x:c>
      <x:c r="S70" s="38" t="n">
        <x:v>3</x:v>
      </x:c>
      <x:c r="T70" s="38" t="n">
        <x:v>1</x:v>
      </x:c>
      <x:c r="U70" s="15" t="str">
        <x:v>skill_vanguard,skill_flank,skill_pierce,skill_revolve,skill_chase,skill_break,skill_suppress,skill_finale</x:v>
      </x:c>
      <x:c r="V70" s="15" t="str">
        <x:v>trait_relentless</x:v>
      </x:c>
      <x:c r="W70" s="332" t="n">
        <x:f>XLOOKUP($D70&amp;"|"&amp;$E70&amp;"|"&amp;$F70,'PET_STAT_RULES'!$A$5:$A$88,'PET_STAT_RULES'!$E$5:$E$88)</x:f>
        <x:v>0</x:v>
      </x:c>
    </x:row>
    <x:row r="71">
      <x:c r="A71" s="38" t="str">
        <x:v>pal_070</x:v>
      </x:c>
      <x:c r="B71" s="38" t="str">
        <x:v>猫翼夜蝠</x:v>
      </x:c>
      <x:c r="C71" s="38" t="str">
        <x:v>水、地</x:v>
      </x:c>
      <x:c r="D71" s="259" t="str">
        <x:v>青铜</x:v>
      </x:c>
      <x:c r="E71" s="38" t="str">
        <x:v>治疗</x:v>
      </x:c>
      <x:c r="F71" s="38" t="str">
        <x:v>两格</x:v>
      </x:c>
      <x:c r="G71" s="38" t="str">
        <x:v>bz_van_070</x:v>
      </x:c>
      <x:c r="H71" s="38" t="str">
        <x:v>night_base, elem_水, elem_雷, elem_冰, elem_龙, elem_无, role_坦克, role_控制, role_输出, tier_pT3</x:v>
      </x:c>
      <x:c r="I71" s="38" t="n">
        <x:v>10</x:v>
      </x:c>
      <x:c r="J71" s="340" t="n">
        <x:f>XLOOKUP($D71&amp;"|"&amp;$E71&amp;"|"&amp;$F71,'PET_STAT_RULES'!$A$5:$A$88,'PET_STAT_RULES'!$C$5:$C$88)</x:f>
        <x:v>34</x:v>
      </x:c>
      <x:c r="K71" s="340" t="n">
        <x:f>XLOOKUP($D71&amp;"|"&amp;$E71&amp;"|"&amp;$F71,'PET_STAT_RULES'!$A$5:$A$88,'PET_STAT_RULES'!$D$5:$D$88)</x:f>
        <x:v>6</x:v>
      </x:c>
      <x:c r="L71" s="340" t="n">
        <x:f>XLOOKUP($D71&amp;"|"&amp;$E71&amp;"|"&amp;$F71,'PET_STAT_RULES'!$A$5:$A$88,'PET_STAT_RULES'!$F$5:$F$88)</x:f>
        <x:v>2</x:v>
      </x:c>
      <x:c r="M71" s="340" t="n">
        <x:f>XLOOKUP($D71&amp;"|"&amp;$E71&amp;"|"&amp;$F71,'PET_STAT_RULES'!$A$5:$A$88,'PET_STAT_RULES'!$G$5:$G$88)</x:f>
        <x:v>3</x:v>
      </x:c>
      <x:c r="N71" s="38" t="n">
        <x:v>1</x:v>
      </x:c>
      <x:c r="O71" s="38" t="str">
        <x:v>mech_shield_regen</x:v>
      </x:c>
      <x:c r="P71" s="38" t="str">
        <x:v>01 形状01</x:v>
      </x:c>
      <x:c r="Q71" s="38" t="str">
        <x:v>Restorative</x:v>
      </x:c>
      <x:c r="R71" s="38" t="str">
        <x:v>item confirmed；来源=Life Preserver；攻击1格；仅保留来源商人/训练师关系。</x:v>
      </x:c>
      <x:c r="S71" s="38" t="n">
        <x:v>3</x:v>
      </x:c>
      <x:c r="T71" s="38" t="n">
        <x:v>1</x:v>
      </x:c>
      <x:c r="U71" s="15" t="str">
        <x:v>skill_vanguard,skill_flank,skill_pierce,skill_revolve,skill_chase,skill_break,skill_suppress,skill_finale</x:v>
      </x:c>
      <x:c r="V71" s="15" t="str">
        <x:v>trait_element_affinity</x:v>
      </x:c>
      <x:c r="W71" s="332" t="n">
        <x:f>XLOOKUP($D71&amp;"|"&amp;$E71&amp;"|"&amp;$F71,'PET_STAT_RULES'!$A$5:$A$88,'PET_STAT_RULES'!$E$5:$E$88)</x:f>
        <x:v>0</x:v>
      </x:c>
    </x:row>
    <x:row r="72">
      <x:c r="A72" s="38" t="str">
        <x:v>pal_071</x:v>
      </x:c>
      <x:c r="B72" s="38" t="str">
        <x:v>甘露壁虎</x:v>
      </x:c>
      <x:c r="C72" s="38" t="str">
        <x:v>火</x:v>
      </x:c>
      <x:c r="D72" s="259" t="str">
        <x:v>青铜</x:v>
      </x:c>
      <x:c r="E72" s="38" t="str">
        <x:v>输出</x:v>
      </x:c>
      <x:c r="F72" s="38" t="str">
        <x:v>一格</x:v>
      </x:c>
      <x:c r="G72" s="38" t="str">
        <x:v>bz_van_071</x:v>
      </x:c>
      <x:c r="H72" s="38" t="str">
        <x:v>elem_火, elem_雷, elem_冰, elem_地, role_召唤, role_坦克, role_控制, role_治疗, tier_pT2, role_远点压制</x:v>
      </x:c>
      <x:c r="I72" s="38" t="n">
        <x:v>10</x:v>
      </x:c>
      <x:c r="J72" s="340" t="n">
        <x:f>XLOOKUP($D72&amp;"|"&amp;$E72&amp;"|"&amp;$F72,'PET_STAT_RULES'!$A$5:$A$88,'PET_STAT_RULES'!$C$5:$C$88)</x:f>
        <x:v>22</x:v>
      </x:c>
      <x:c r="K72" s="340" t="n">
        <x:f>XLOOKUP($D72&amp;"|"&amp;$E72&amp;"|"&amp;$F72,'PET_STAT_RULES'!$A$5:$A$88,'PET_STAT_RULES'!$D$5:$D$88)</x:f>
        <x:v>14</x:v>
      </x:c>
      <x:c r="L72" s="340" t="n">
        <x:f>XLOOKUP($D72&amp;"|"&amp;$E72&amp;"|"&amp;$F72,'PET_STAT_RULES'!$A$5:$A$88,'PET_STAT_RULES'!$F$5:$F$88)</x:f>
        <x:v>0</x:v>
      </x:c>
      <x:c r="M72" s="340" t="n">
        <x:f>XLOOKUP($D72&amp;"|"&amp;$E72&amp;"|"&amp;$F72,'PET_STAT_RULES'!$A$5:$A$88,'PET_STAT_RULES'!$G$5:$G$88)</x:f>
        <x:v>3</x:v>
      </x:c>
      <x:c r="N72" s="38" t="n">
        <x:v>1</x:v>
      </x:c>
      <x:c r="O72" s="38" t="str">
        <x:v>mech_fire_ignite_bonus</x:v>
      </x:c>
      <x:c r="P72" s="38" t="str">
        <x:v>01 形状01</x:v>
      </x:c>
      <x:c r="Q72" s="38" t="str">
        <x:v>Fiery</x:v>
      </x:c>
      <x:c r="R72" s="38" t="str">
        <x:v>item confirmed；来源=Lighter；攻击1格；仅保留来源商人/训练师关系。</x:v>
      </x:c>
      <x:c r="S72" s="38" t="n">
        <x:v>3</x:v>
      </x:c>
      <x:c r="T72" s="38" t="n">
        <x:v>1</x:v>
      </x:c>
      <x:c r="U72" s="15" t="str">
        <x:v>skill_vanguard,skill_flank,skill_pierce,skill_revolve,skill_chase,skill_break,skill_suppress,skill_finale</x:v>
      </x:c>
      <x:c r="V72" s="15" t="str">
        <x:v>trait_relentless</x:v>
      </x:c>
      <x:c r="W72" s="332" t="n">
        <x:f>XLOOKUP($D72&amp;"|"&amp;$E72&amp;"|"&amp;$F72,'PET_STAT_RULES'!$A$5:$A$88,'PET_STAT_RULES'!$E$5:$E$88)</x:f>
        <x:v>0</x:v>
      </x:c>
    </x:row>
    <x:row r="73">
      <x:c r="A73" s="38" t="str">
        <x:v>pal_072</x:v>
      </x:c>
      <x:c r="B73" s="38" t="str">
        <x:v>赤巢火蚁</x:v>
      </x:c>
      <x:c r="C73" s="38" t="str">
        <x:v>火、水</x:v>
      </x:c>
      <x:c r="D73" s="262" t="str">
        <x:v>黄金</x:v>
      </x:c>
      <x:c r="E73" s="38" t="str">
        <x:v>控制</x:v>
      </x:c>
      <x:c r="F73" s="38" t="str">
        <x:v>三格</x:v>
      </x:c>
      <x:c r="G73" s="38" t="str">
        <x:v>bz_van_072</x:v>
      </x:c>
      <x:c r="H73" s="38" t="str">
        <x:v>elem_水, elem_雷, elem_冰, elem_地, role_坦克, role_控制, role_输出, special_merchant, tier_pT2, role_召唤铺场</x:v>
      </x:c>
      <x:c r="I73" s="38" t="n">
        <x:v>10</x:v>
      </x:c>
      <x:c r="J73" s="340" t="n">
        <x:f>XLOOKUP($D73&amp;"|"&amp;$E73&amp;"|"&amp;$F73,'PET_STAT_RULES'!$A$5:$A$88,'PET_STAT_RULES'!$C$5:$C$88)</x:f>
        <x:v>62</x:v>
      </x:c>
      <x:c r="K73" s="340" t="n">
        <x:f>XLOOKUP($D73&amp;"|"&amp;$E73&amp;"|"&amp;$F73,'PET_STAT_RULES'!$A$5:$A$88,'PET_STAT_RULES'!$D$5:$D$88)</x:f>
        <x:v>18</x:v>
      </x:c>
      <x:c r="L73" s="340" t="n">
        <x:f>XLOOKUP($D73&amp;"|"&amp;$E73&amp;"|"&amp;$F73,'PET_STAT_RULES'!$A$5:$A$88,'PET_STAT_RULES'!$F$5:$F$88)</x:f>
        <x:v>0</x:v>
      </x:c>
      <x:c r="M73" s="340" t="n">
        <x:f>XLOOKUP($D73&amp;"|"&amp;$E73&amp;"|"&amp;$F73,'PET_STAT_RULES'!$A$5:$A$88,'PET_STAT_RULES'!$G$5:$G$88)</x:f>
        <x:v>4</x:v>
      </x:c>
      <x:c r="N73" s="38" t="n">
        <x:v>2</x:v>
      </x:c>
      <x:c r="O73" s="38" t="str">
        <x:v>mech_fire_ignite_bonus</x:v>
      </x:c>
      <x:c r="P73" s="38" t="str">
        <x:v>06 形状06</x:v>
      </x:c>
      <x:c r="Q73" s="38" t="str">
        <x:v>Fiery</x:v>
      </x:c>
      <x:c r="R73" s="38" t="str">
        <x:v>item confirmed；来源=Lighthouse；攻击2格；仅保留来源商人/训练师关系。</x:v>
      </x:c>
      <x:c r="S73" s="38" t="n">
        <x:v>4</x:v>
      </x:c>
      <x:c r="T73" s="38" t="n">
        <x:v>2</x:v>
      </x:c>
      <x:c r="U73" s="15" t="str">
        <x:v>skill_vanguard,skill_flank,skill_pierce,skill_revolve,skill_chase,skill_break,skill_suppress,skill_finale</x:v>
      </x:c>
      <x:c r="V73" s="15" t="str">
        <x:v>trait_element_affinity</x:v>
      </x:c>
      <x:c r="W73" s="332" t="n">
        <x:f>XLOOKUP($D73&amp;"|"&amp;$E73&amp;"|"&amp;$F73,'PET_STAT_RULES'!$A$5:$A$88,'PET_STAT_RULES'!$E$5:$E$88)</x:f>
        <x:v>0</x:v>
      </x:c>
    </x:row>
    <x:row r="74">
      <x:c r="A74" s="38" t="str">
        <x:v>pal_073</x:v>
      </x:c>
      <x:c r="B74" s="38" t="str">
        <x:v>烽翼火龙</x:v>
      </x:c>
      <x:c r="C74" s="38" t="str">
        <x:v>龙</x:v>
      </x:c>
      <x:c r="D74" s="265" t="str">
        <x:v>白银</x:v>
      </x:c>
      <x:c r="E74" s="38" t="str">
        <x:v>经济</x:v>
      </x:c>
      <x:c r="F74" s="38" t="str">
        <x:v>两格</x:v>
      </x:c>
      <x:c r="G74" s="38" t="str">
        <x:v>bz_van_073</x:v>
      </x:c>
      <x:c r="H74" s="38" t="str">
        <x:v>elem_水, elem_雷, elem_冰, elem_无, role_召唤, role_坦克, role_控制, role_治疗, role_经济, role_机动</x:v>
      </x:c>
      <x:c r="I74" s="38" t="n">
        <x:v>10</x:v>
      </x:c>
      <x:c r="J74" s="340" t="n">
        <x:f>XLOOKUP($D74&amp;"|"&amp;$E74&amp;"|"&amp;$F74,'PET_STAT_RULES'!$A$5:$A$88,'PET_STAT_RULES'!$C$5:$C$88)</x:f>
        <x:v>40</x:v>
      </x:c>
      <x:c r="K74" s="340" t="n">
        <x:f>XLOOKUP($D74&amp;"|"&amp;$E74&amp;"|"&amp;$F74,'PET_STAT_RULES'!$A$5:$A$88,'PET_STAT_RULES'!$D$5:$D$88)</x:f>
        <x:v>12</x:v>
      </x:c>
      <x:c r="L74" s="340" t="n">
        <x:f>XLOOKUP($D74&amp;"|"&amp;$E74&amp;"|"&amp;$F74,'PET_STAT_RULES'!$A$5:$A$88,'PET_STAT_RULES'!$F$5:$F$88)</x:f>
        <x:v>0</x:v>
      </x:c>
      <x:c r="M74" s="340" t="n">
        <x:f>XLOOKUP($D74&amp;"|"&amp;$E74&amp;"|"&amp;$F74,'PET_STAT_RULES'!$A$5:$A$88,'PET_STAT_RULES'!$G$5:$G$88)</x:f>
        <x:v>3</x:v>
      </x:c>
      <x:c r="N74" s="38" t="n">
        <x:v>2</x:v>
      </x:c>
      <x:c r="O74" s="38" t="str">
        <x:v>none</x:v>
      </x:c>
      <x:c r="P74" s="38" t="str">
        <x:v>12 形状12</x:v>
      </x:c>
      <x:c r="Q74" s="38" t="str">
        <x:v>Golden</x:v>
      </x:c>
      <x:c r="R74" s="38" t="str">
        <x:v>item confirmed；来源=Lockbox；攻击2格；仅保留来源商人/训练师关系。</x:v>
      </x:c>
      <x:c r="S74" s="38" t="n">
        <x:v>3</x:v>
      </x:c>
      <x:c r="T74" s="38" t="n">
        <x:v>2</x:v>
      </x:c>
      <x:c r="U74" s="15" t="str">
        <x:v>skill_vanguard,skill_flank,skill_pierce,skill_revolve,skill_chase,skill_break,skill_suppress,skill_finale</x:v>
      </x:c>
      <x:c r="V74" s="15" t="str">
        <x:v>trait_combo_resonance</x:v>
      </x:c>
      <x:c r="W74" s="332" t="n">
        <x:f>XLOOKUP($D74&amp;"|"&amp;$E74&amp;"|"&amp;$F74,'PET_STAT_RULES'!$A$5:$A$88,'PET_STAT_RULES'!$E$5:$E$88)</x:f>
        <x:v>0</x:v>
      </x:c>
    </x:row>
    <x:row r="75">
      <x:c r="A75" s="38" t="str">
        <x:v>pal_074</x:v>
      </x:c>
      <x:c r="B75" s="38" t="str">
        <x:v>霜翼冥龙</x:v>
      </x:c>
      <x:c r="C75" s="38" t="str">
        <x:v>火、水</x:v>
      </x:c>
      <x:c r="D75" s="259" t="str">
        <x:v>青铜</x:v>
      </x:c>
      <x:c r="E75" s="38" t="str">
        <x:v>控制</x:v>
      </x:c>
      <x:c r="F75" s="38" t="str">
        <x:v>一格</x:v>
      </x:c>
      <x:c r="G75" s="38" t="str">
        <x:v>bz_van_074</x:v>
      </x:c>
      <x:c r="H75" s="38" t="str">
        <x:v>night_base, elem_火, elem_雷, role_坦克, role_输出, role_机动, special_merchant, tier_pT2, role_召唤铺场, role_机动压制</x:v>
      </x:c>
      <x:c r="I75" s="38" t="n">
        <x:v>10</x:v>
      </x:c>
      <x:c r="J75" s="340" t="n">
        <x:f>XLOOKUP($D75&amp;"|"&amp;$E75&amp;"|"&amp;$F75,'PET_STAT_RULES'!$A$5:$A$88,'PET_STAT_RULES'!$C$5:$C$88)</x:f>
        <x:v>26</x:v>
      </x:c>
      <x:c r="K75" s="340" t="n">
        <x:f>XLOOKUP($D75&amp;"|"&amp;$E75&amp;"|"&amp;$F75,'PET_STAT_RULES'!$A$5:$A$88,'PET_STAT_RULES'!$D$5:$D$88)</x:f>
        <x:v>10</x:v>
      </x:c>
      <x:c r="L75" s="340" t="n">
        <x:f>XLOOKUP($D75&amp;"|"&amp;$E75&amp;"|"&amp;$F75,'PET_STAT_RULES'!$A$5:$A$88,'PET_STAT_RULES'!$F$5:$F$88)</x:f>
        <x:v>0</x:v>
      </x:c>
      <x:c r="M75" s="340" t="n">
        <x:f>XLOOKUP($D75&amp;"|"&amp;$E75&amp;"|"&amp;$F75,'PET_STAT_RULES'!$A$5:$A$88,'PET_STAT_RULES'!$G$5:$G$88)</x:f>
        <x:v>4</x:v>
      </x:c>
      <x:c r="N75" s="38" t="n">
        <x:v>2</x:v>
      </x:c>
      <x:c r="O75" s="38" t="str">
        <x:v>mech_fire_ignite_bonus</x:v>
      </x:c>
      <x:c r="P75" s="38" t="str">
        <x:v>12 形状12</x:v>
      </x:c>
      <x:c r="Q75" s="38" t="str">
        <x:v>Fiery</x:v>
      </x:c>
      <x:c r="R75" s="38" t="str">
        <x:v>item confirmed；来源=Mantis Shrimp；攻击2格；仅保留来源商人/训练师关系。</x:v>
      </x:c>
      <x:c r="S75" s="38" t="n">
        <x:v>4</x:v>
      </x:c>
      <x:c r="T75" s="38" t="n">
        <x:v>1</x:v>
      </x:c>
      <x:c r="U75" s="15" t="str">
        <x:v>skill_vanguard,skill_flank,skill_pierce,skill_revolve,skill_chase,skill_break,skill_suppress,skill_finale</x:v>
      </x:c>
      <x:c r="V75" s="15" t="str">
        <x:v>trait_element_affinity</x:v>
      </x:c>
      <x:c r="W75" s="332" t="n">
        <x:f>XLOOKUP($D75&amp;"|"&amp;$E75&amp;"|"&amp;$F75,'PET_STAT_RULES'!$A$5:$A$88,'PET_STAT_RULES'!$E$5:$E$88)</x:f>
        <x:v>0</x:v>
      </x:c>
    </x:row>
    <x:row r="76">
      <x:c r="A76" s="38" t="str">
        <x:v>pal_075</x:v>
      </x:c>
      <x:c r="B76" s="38" t="str">
        <x:v>赤刃螳螂</x:v>
      </x:c>
      <x:c r="C76" s="38" t="str">
        <x:v>水、雷</x:v>
      </x:c>
      <x:c r="D76" s="259" t="str">
        <x:v>青铜</x:v>
      </x:c>
      <x:c r="E76" s="38" t="str">
        <x:v>机动</x:v>
      </x:c>
      <x:c r="F76" s="38" t="str">
        <x:v>两格</x:v>
      </x:c>
      <x:c r="G76" s="38" t="str">
        <x:v>bz_van_075</x:v>
      </x:c>
      <x:c r="H76" s="38" t="str">
        <x:v>night_base, elem_水, elem_草, elem_雷, elem_无, role_坦克, role_控制, role_输出, tier_pT1, role_机动压制</x:v>
      </x:c>
      <x:c r="I76" s="38" t="n">
        <x:v>10</x:v>
      </x:c>
      <x:c r="J76" s="340" t="n">
        <x:f>XLOOKUP($D76&amp;"|"&amp;$E76&amp;"|"&amp;$F76,'PET_STAT_RULES'!$A$5:$A$88,'PET_STAT_RULES'!$C$5:$C$88)</x:f>
        <x:v>28</x:v>
      </x:c>
      <x:c r="K76" s="340" t="n">
        <x:f>XLOOKUP($D76&amp;"|"&amp;$E76&amp;"|"&amp;$F76,'PET_STAT_RULES'!$A$5:$A$88,'PET_STAT_RULES'!$D$5:$D$88)</x:f>
        <x:v>6</x:v>
      </x:c>
      <x:c r="L76" s="340" t="n">
        <x:f>XLOOKUP($D76&amp;"|"&amp;$E76&amp;"|"&amp;$F76,'PET_STAT_RULES'!$A$5:$A$88,'PET_STAT_RULES'!$F$5:$F$88)</x:f>
        <x:v>0</x:v>
      </x:c>
      <x:c r="M76" s="340" t="n">
        <x:f>XLOOKUP($D76&amp;"|"&amp;$E76&amp;"|"&amp;$F76,'PET_STAT_RULES'!$A$5:$A$88,'PET_STAT_RULES'!$G$5:$G$88)</x:f>
        <x:v>5</x:v>
      </x:c>
      <x:c r="N76" s="38" t="n">
        <x:v>1</x:v>
      </x:c>
      <x:c r="O76" s="38" t="str">
        <x:v>none</x:v>
      </x:c>
      <x:c r="P76" s="38" t="str">
        <x:v>01 形状01</x:v>
      </x:c>
      <x:c r="Q76" s="38" t="str">
        <x:v>Deadly</x:v>
      </x:c>
      <x:c r="R76" s="38" t="str">
        <x:v>item confirmed；来源=Marlon；攻击1格；仅保留来源商人/训练师关系。</x:v>
      </x:c>
      <x:c r="S76" s="38" t="n">
        <x:v>5</x:v>
      </x:c>
      <x:c r="T76" s="38" t="n">
        <x:v>1</x:v>
      </x:c>
      <x:c r="U76" s="15" t="str">
        <x:v>skill_vanguard,skill_flank,skill_pierce,skill_revolve,skill_chase,skill_break,skill_suppress,skill_finale</x:v>
      </x:c>
      <x:c r="V76" s="15" t="str">
        <x:v>trait_relentless</x:v>
      </x:c>
      <x:c r="W76" s="332" t="n">
        <x:f>XLOOKUP($D76&amp;"|"&amp;$E76&amp;"|"&amp;$F76,'PET_STAT_RULES'!$A$5:$A$88,'PET_STAT_RULES'!$E$5:$E$88)</x:f>
        <x:v>0</x:v>
      </x:c>
    </x:row>
    <x:row r="77">
      <x:c r="A77" s="38" t="str">
        <x:v>pal_076</x:v>
      </x:c>
      <x:c r="B77" s="38" t="str">
        <x:v>迅雷金雕</x:v>
      </x:c>
      <x:c r="C77" s="38" t="str">
        <x:v>水、地</x:v>
      </x:c>
      <x:c r="D77" s="265" t="str">
        <x:v>白银</x:v>
      </x:c>
      <x:c r="E77" s="38" t="str">
        <x:v>坦克</x:v>
      </x:c>
      <x:c r="F77" s="38" t="str">
        <x:v>一格</x:v>
      </x:c>
      <x:c r="G77" s="38" t="str">
        <x:v>bz_van_076</x:v>
      </x:c>
      <x:c r="H77" s="38" t="str">
        <x:v>elem_火, elem_雷, elem_冰, role_坦克, role_输出, special_merchant, elite_high, tier_pT3, role_召唤铺场, role_机动压制</x:v>
      </x:c>
      <x:c r="I77" s="38" t="n">
        <x:v>10</x:v>
      </x:c>
      <x:c r="J77" s="340" t="n">
        <x:f>XLOOKUP($D77&amp;"|"&amp;$E77&amp;"|"&amp;$F77,'PET_STAT_RULES'!$A$5:$A$88,'PET_STAT_RULES'!$C$5:$C$88)</x:f>
        <x:v>48</x:v>
      </x:c>
      <x:c r="K77" s="340" t="n">
        <x:f>XLOOKUP($D77&amp;"|"&amp;$E77&amp;"|"&amp;$F77,'PET_STAT_RULES'!$A$5:$A$88,'PET_STAT_RULES'!$D$5:$D$88)</x:f>
        <x:v>14</x:v>
      </x:c>
      <x:c r="L77" s="340" t="n">
        <x:f>XLOOKUP($D77&amp;"|"&amp;$E77&amp;"|"&amp;$F77,'PET_STAT_RULES'!$A$5:$A$88,'PET_STAT_RULES'!$F$5:$F$88)</x:f>
        <x:v>10</x:v>
      </x:c>
      <x:c r="M77" s="340" t="n">
        <x:f>XLOOKUP($D77&amp;"|"&amp;$E77&amp;"|"&amp;$F77,'PET_STAT_RULES'!$A$5:$A$88,'PET_STAT_RULES'!$G$5:$G$88)</x:f>
        <x:v>3</x:v>
      </x:c>
      <x:c r="N77" s="38" t="n">
        <x:v>2</x:v>
      </x:c>
      <x:c r="O77" s="38" t="str">
        <x:v>mech_armor_flat</x:v>
      </x:c>
      <x:c r="P77" s="38" t="str">
        <x:v>09 形状09</x:v>
      </x:c>
      <x:c r="Q77" s="38" t="str">
        <x:v>Icy</x:v>
      </x:c>
      <x:c r="R77" s="38" t="str">
        <x:v>item confirmed；来源=Mr. Richardson；攻击2格；仅保留来源商人/训练师关系。</x:v>
      </x:c>
      <x:c r="S77" s="38" t="n">
        <x:v>3</x:v>
      </x:c>
      <x:c r="T77" s="38" t="n">
        <x:v>2</x:v>
      </x:c>
      <x:c r="U77" s="15" t="str">
        <x:v>skill_vanguard,skill_flank,skill_pierce,skill_revolve,skill_chase,skill_break,skill_suppress,skill_finale</x:v>
      </x:c>
      <x:c r="V77" s="15" t="str">
        <x:v>trait_combo_mastery</x:v>
      </x:c>
      <x:c r="W77" s="332" t="n">
        <x:f>XLOOKUP($D77&amp;"|"&amp;$E77&amp;"|"&amp;$F77,'PET_STAT_RULES'!$A$5:$A$88,'PET_STAT_RULES'!$E$5:$E$88)</x:f>
        <x:v>0</x:v>
      </x:c>
    </x:row>
    <x:row r="78">
      <x:c r="A78" s="38" t="str">
        <x:v>pal_077</x:v>
      </x:c>
      <x:c r="B78" s="38" t="str">
        <x:v>燧火黑乌</x:v>
      </x:c>
      <x:c r="C78" s="38" t="str">
        <x:v>火、雷</x:v>
      </x:c>
      <x:c r="D78" s="265" t="str">
        <x:v>白银</x:v>
      </x:c>
      <x:c r="E78" s="38" t="str">
        <x:v>输出</x:v>
      </x:c>
      <x:c r="F78" s="38" t="str">
        <x:v>两格</x:v>
      </x:c>
      <x:c r="G78" s="38" t="str">
        <x:v>bz_van_077</x:v>
      </x:c>
      <x:c r="H78" s="38" t="str">
        <x:v>night_base, elem_水, elem_雷, elem_无, role_召唤, role_坦克, role_控制, role_治疗, role_机动, tier_pT2</x:v>
      </x:c>
      <x:c r="I78" s="38" t="n">
        <x:v>10</x:v>
      </x:c>
      <x:c r="J78" s="340" t="n">
        <x:f>XLOOKUP($D78&amp;"|"&amp;$E78&amp;"|"&amp;$F78,'PET_STAT_RULES'!$A$5:$A$88,'PET_STAT_RULES'!$C$5:$C$88)</x:f>
        <x:v>40</x:v>
      </x:c>
      <x:c r="K78" s="340" t="n">
        <x:f>XLOOKUP($D78&amp;"|"&amp;$E78&amp;"|"&amp;$F78,'PET_STAT_RULES'!$A$5:$A$88,'PET_STAT_RULES'!$D$5:$D$88)</x:f>
        <x:v>20</x:v>
      </x:c>
      <x:c r="L78" s="340" t="n">
        <x:f>XLOOKUP($D78&amp;"|"&amp;$E78&amp;"|"&amp;$F78,'PET_STAT_RULES'!$A$5:$A$88,'PET_STAT_RULES'!$F$5:$F$88)</x:f>
        <x:v>0</x:v>
      </x:c>
      <x:c r="M78" s="340" t="n">
        <x:f>XLOOKUP($D78&amp;"|"&amp;$E78&amp;"|"&amp;$F78,'PET_STAT_RULES'!$A$5:$A$88,'PET_STAT_RULES'!$G$5:$G$88)</x:f>
        <x:v>3</x:v>
      </x:c>
      <x:c r="N78" s="38" t="n">
        <x:v>2</x:v>
      </x:c>
      <x:c r="O78" s="38" t="str">
        <x:v>mech_fire_ignite_bonus</x:v>
      </x:c>
      <x:c r="P78" s="38" t="str">
        <x:v>09 形状09</x:v>
      </x:c>
      <x:c r="Q78" s="38" t="str">
        <x:v>Fiery</x:v>
      </x:c>
      <x:c r="R78" s="38" t="str">
        <x:v>item confirmed；来源=Musket；攻击2格；仅保留来源商人/训练师关系。</x:v>
      </x:c>
      <x:c r="S78" s="38" t="n">
        <x:v>3</x:v>
      </x:c>
      <x:c r="T78" s="38" t="n">
        <x:v>2</x:v>
      </x:c>
      <x:c r="U78" s="15" t="str">
        <x:v>skill_vanguard,skill_flank,skill_pierce,skill_revolve,skill_chase,skill_break,skill_suppress,skill_finale</x:v>
      </x:c>
      <x:c r="V78" s="15" t="str">
        <x:v>trait_relentless</x:v>
      </x:c>
      <x:c r="W78" s="332" t="n">
        <x:f>XLOOKUP($D78&amp;"|"&amp;$E78&amp;"|"&amp;$F78,'PET_STAT_RULES'!$A$5:$A$88,'PET_STAT_RULES'!$E$5:$E$88)</x:f>
        <x:v>0</x:v>
      </x:c>
    </x:row>
    <x:row r="79">
      <x:c r="A79" s="38" t="str">
        <x:v>pal_078</x:v>
      </x:c>
      <x:c r="B79" s="38" t="str">
        <x:v>幽泉灵猫</x:v>
      </x:c>
      <x:c r="C79" s="38" t="str">
        <x:v>水、龙</x:v>
      </x:c>
      <x:c r="D79" s="259" t="str">
        <x:v>青铜</x:v>
      </x:c>
      <x:c r="E79" s="38" t="str">
        <x:v>召唤</x:v>
      </x:c>
      <x:c r="F79" s="38" t="str">
        <x:v>一格</x:v>
      </x:c>
      <x:c r="G79" s="38" t="str">
        <x:v>bz_van_078</x:v>
      </x:c>
      <x:c r="H79" s="38" t="str">
        <x:v>night_base, elem_火, elem_雷, elem_地, role_召唤, role_坦克, role_控制, role_治疗, role_输出, role_机动压制</x:v>
      </x:c>
      <x:c r="I79" s="38" t="n">
        <x:v>10</x:v>
      </x:c>
      <x:c r="J79" s="340" t="n">
        <x:f>XLOOKUP($D79&amp;"|"&amp;$E79&amp;"|"&amp;$F79,'PET_STAT_RULES'!$A$5:$A$88,'PET_STAT_RULES'!$C$5:$C$88)</x:f>
        <x:v>30</x:v>
      </x:c>
      <x:c r="K79" s="340" t="n">
        <x:f>XLOOKUP($D79&amp;"|"&amp;$E79&amp;"|"&amp;$F79,'PET_STAT_RULES'!$A$5:$A$88,'PET_STAT_RULES'!$D$5:$D$88)</x:f>
        <x:v>8</x:v>
      </x:c>
      <x:c r="L79" s="340" t="n">
        <x:f>XLOOKUP($D79&amp;"|"&amp;$E79&amp;"|"&amp;$F79,'PET_STAT_RULES'!$A$5:$A$88,'PET_STAT_RULES'!$F$5:$F$88)</x:f>
        <x:v>0</x:v>
      </x:c>
      <x:c r="M79" s="340" t="n">
        <x:f>XLOOKUP($D79&amp;"|"&amp;$E79&amp;"|"&amp;$F79,'PET_STAT_RULES'!$A$5:$A$88,'PET_STAT_RULES'!$G$5:$G$88)</x:f>
        <x:v>3</x:v>
      </x:c>
      <x:c r="N79" s="38" t="n">
        <x:v>2</x:v>
      </x:c>
      <x:c r="O79" s="38" t="str">
        <x:v>mech_grow_shield_each_round</x:v>
      </x:c>
      <x:c r="P79" s="38" t="str">
        <x:v>09 形状09</x:v>
      </x:c>
      <x:c r="Q79" s="38" t="str">
        <x:v>Deadly</x:v>
      </x:c>
      <x:c r="R79" s="38" t="str">
        <x:v>item confirmed；来源=Narwhal；攻击2格；仅保留来源商人/训练师关系。</x:v>
      </x:c>
      <x:c r="S79" s="38" t="n">
        <x:v>3</x:v>
      </x:c>
      <x:c r="T79" s="38" t="n">
        <x:v>1</x:v>
      </x:c>
      <x:c r="U79" s="15" t="str">
        <x:v>skill_vanguard,skill_flank,skill_pierce,skill_revolve,skill_chase,skill_break,skill_suppress,skill_finale</x:v>
      </x:c>
      <x:c r="V79" s="15" t="str">
        <x:v>trait_combo_resonance</x:v>
      </x:c>
      <x:c r="W79" s="332" t="n">
        <x:f>XLOOKUP($D79&amp;"|"&amp;$E79&amp;"|"&amp;$F79,'PET_STAT_RULES'!$A$5:$A$88,'PET_STAT_RULES'!$E$5:$E$88)</x:f>
        <x:v>0</x:v>
      </x:c>
    </x:row>
    <x:row r="80">
      <x:c r="A80" s="38" t="str">
        <x:v>pal_079</x:v>
      </x:c>
      <x:c r="B80" s="38" t="str">
        <x:v>焰尾山狐</x:v>
      </x:c>
      <x:c r="C80" s="38" t="str">
        <x:v>雷、地</x:v>
      </x:c>
      <x:c r="D80" s="265" t="str">
        <x:v>白银</x:v>
      </x:c>
      <x:c r="E80" s="38" t="str">
        <x:v>坦克</x:v>
      </x:c>
      <x:c r="F80" s="38" t="str">
        <x:v>一格</x:v>
      </x:c>
      <x:c r="G80" s="38" t="str">
        <x:v>bz_van_079</x:v>
      </x:c>
      <x:c r="H80" s="38" t="str">
        <x:v>elem_火, elem_雷, elem_冰, elem_地, elem_龙, role_召唤, role_坦克, role_控制, role_机动, tier_pT3</x:v>
      </x:c>
      <x:c r="I80" s="38" t="n">
        <x:v>10</x:v>
      </x:c>
      <x:c r="J80" s="340" t="n">
        <x:f>XLOOKUP($D80&amp;"|"&amp;$E80&amp;"|"&amp;$F80,'PET_STAT_RULES'!$A$5:$A$88,'PET_STAT_RULES'!$C$5:$C$88)</x:f>
        <x:v>48</x:v>
      </x:c>
      <x:c r="K80" s="340" t="n">
        <x:f>XLOOKUP($D80&amp;"|"&amp;$E80&amp;"|"&amp;$F80,'PET_STAT_RULES'!$A$5:$A$88,'PET_STAT_RULES'!$D$5:$D$88)</x:f>
        <x:v>14</x:v>
      </x:c>
      <x:c r="L80" s="340" t="n">
        <x:f>XLOOKUP($D80&amp;"|"&amp;$E80&amp;"|"&amp;$F80,'PET_STAT_RULES'!$A$5:$A$88,'PET_STAT_RULES'!$F$5:$F$88)</x:f>
        <x:v>10</x:v>
      </x:c>
      <x:c r="M80" s="340" t="n">
        <x:f>XLOOKUP($D80&amp;"|"&amp;$E80&amp;"|"&amp;$F80,'PET_STAT_RULES'!$A$5:$A$88,'PET_STAT_RULES'!$G$5:$G$88)</x:f>
        <x:v>3</x:v>
      </x:c>
      <x:c r="N80" s="38" t="n">
        <x:v>2</x:v>
      </x:c>
      <x:c r="O80" s="38" t="str">
        <x:v>mech_shield_regen</x:v>
      </x:c>
      <x:c r="P80" s="38" t="str">
        <x:v>06 形状06</x:v>
      </x:c>
      <x:c r="Q80" s="38" t="str">
        <x:v>Shielded</x:v>
      </x:c>
      <x:c r="R80" s="38" t="str">
        <x:v>item confirmed；来源=Nesting Doll；攻击2格；仅保留来源商人/训练师关系。</x:v>
      </x:c>
      <x:c r="S80" s="38" t="n">
        <x:v>3</x:v>
      </x:c>
      <x:c r="T80" s="38" t="n">
        <x:v>2</x:v>
      </x:c>
      <x:c r="U80" s="15" t="str">
        <x:v>skill_vanguard,skill_flank,skill_pierce,skill_revolve,skill_chase,skill_break,skill_suppress,skill_finale</x:v>
      </x:c>
      <x:c r="V80" s="15" t="str">
        <x:v>trait_combo_mastery</x:v>
      </x:c>
      <x:c r="W80" s="332" t="n">
        <x:f>XLOOKUP($D80&amp;"|"&amp;$E80&amp;"|"&amp;$F80,'PET_STAT_RULES'!$A$5:$A$88,'PET_STAT_RULES'!$E$5:$E$88)</x:f>
        <x:v>0</x:v>
      </x:c>
    </x:row>
    <x:row r="81">
      <x:c r="A81" s="38" t="str">
        <x:v>pal_080</x:v>
      </x:c>
      <x:c r="B81" s="38" t="str">
        <x:v>踏春白兔</x:v>
      </x:c>
      <x:c r="C81" s="38" t="str">
        <x:v>水、龙</x:v>
      </x:c>
      <x:c r="D81" s="265" t="str">
        <x:v>白银</x:v>
      </x:c>
      <x:c r="E81" s="38" t="str">
        <x:v>控制</x:v>
      </x:c>
      <x:c r="F81" s="38" t="str">
        <x:v>一格</x:v>
      </x:c>
      <x:c r="G81" s="38" t="str">
        <x:v>bz_van_080</x:v>
      </x:c>
      <x:c r="H81" s="38" t="str">
        <x:v>night_base, elem_火, elem_雷, role_坦克, role_控制, role_输出, special_merchant, elite_high, role_召唤铺场, role_机动压制</x:v>
      </x:c>
      <x:c r="I81" s="38" t="n">
        <x:v>10</x:v>
      </x:c>
      <x:c r="J81" s="340" t="n">
        <x:f>XLOOKUP($D81&amp;"|"&amp;$E81&amp;"|"&amp;$F81,'PET_STAT_RULES'!$A$5:$A$88,'PET_STAT_RULES'!$C$5:$C$88)</x:f>
        <x:v>38</x:v>
      </x:c>
      <x:c r="K81" s="340" t="n">
        <x:f>XLOOKUP($D81&amp;"|"&amp;$E81&amp;"|"&amp;$F81,'PET_STAT_RULES'!$A$5:$A$88,'PET_STAT_RULES'!$D$5:$D$88)</x:f>
        <x:v>16</x:v>
      </x:c>
      <x:c r="L81" s="340" t="n">
        <x:f>XLOOKUP($D81&amp;"|"&amp;$E81&amp;"|"&amp;$F81,'PET_STAT_RULES'!$A$5:$A$88,'PET_STAT_RULES'!$F$5:$F$88)</x:f>
        <x:v>0</x:v>
      </x:c>
      <x:c r="M81" s="340" t="n">
        <x:f>XLOOKUP($D81&amp;"|"&amp;$E81&amp;"|"&amp;$F81,'PET_STAT_RULES'!$A$5:$A$88,'PET_STAT_RULES'!$G$5:$G$88)</x:f>
        <x:v>4</x:v>
      </x:c>
      <x:c r="N81" s="38" t="n">
        <x:v>2</x:v>
      </x:c>
      <x:c r="O81" s="38" t="str">
        <x:v>mech_counter_damage</x:v>
      </x:c>
      <x:c r="P81" s="38" t="str">
        <x:v>07 形状07</x:v>
      </x:c>
      <x:c r="Q81" s="38" t="str">
        <x:v>Icy</x:v>
      </x:c>
      <x:c r="R81" s="38" t="str">
        <x:v>item confirmed；来源=Old Saltclaw；攻击2格；仅保留来源商人/训练师关系。</x:v>
      </x:c>
      <x:c r="S81" s="38" t="n">
        <x:v>4</x:v>
      </x:c>
      <x:c r="T81" s="38" t="n">
        <x:v>2</x:v>
      </x:c>
      <x:c r="U81" s="15" t="str">
        <x:v>skill_vanguard,skill_flank,skill_pierce,skill_revolve,skill_chase,skill_break,skill_suppress,skill_finale</x:v>
      </x:c>
      <x:c r="V81" s="15" t="str">
        <x:v>trait_element_affinity</x:v>
      </x:c>
      <x:c r="W81" s="332" t="n">
        <x:f>XLOOKUP($D81&amp;"|"&amp;$E81&amp;"|"&amp;$F81,'PET_STAT_RULES'!$A$5:$A$88,'PET_STAT_RULES'!$E$5:$E$88)</x:f>
        <x:v>0</x:v>
      </x:c>
    </x:row>
    <x:row r="82">
      <x:c r="A82" s="38" t="str">
        <x:v>pal_081</x:v>
      </x:c>
      <x:c r="B82" s="38" t="str">
        <x:v>药香花鹿</x:v>
      </x:c>
      <x:c r="C82" s="38" t="str">
        <x:v>火、雷</x:v>
      </x:c>
      <x:c r="D82" s="265" t="str">
        <x:v>白银</x:v>
      </x:c>
      <x:c r="E82" s="38" t="str">
        <x:v>输出</x:v>
      </x:c>
      <x:c r="F82" s="38" t="str">
        <x:v>两格</x:v>
      </x:c>
      <x:c r="G82" s="38" t="str">
        <x:v>bz_van_081</x:v>
      </x:c>
      <x:c r="H82" s="38" t="str">
        <x:v>elem_水, elem_雷, elem_冰, elem_无, role_坦克, role_控制, tier_pT1, tier_pT2, role_抗压承伤, role_重甲抗压</x:v>
      </x:c>
      <x:c r="I82" s="38" t="n">
        <x:v>10</x:v>
      </x:c>
      <x:c r="J82" s="340" t="n">
        <x:f>XLOOKUP($D82&amp;"|"&amp;$E82&amp;"|"&amp;$F82,'PET_STAT_RULES'!$A$5:$A$88,'PET_STAT_RULES'!$C$5:$C$88)</x:f>
        <x:v>40</x:v>
      </x:c>
      <x:c r="K82" s="340" t="n">
        <x:f>XLOOKUP($D82&amp;"|"&amp;$E82&amp;"|"&amp;$F82,'PET_STAT_RULES'!$A$5:$A$88,'PET_STAT_RULES'!$D$5:$D$88)</x:f>
        <x:v>20</x:v>
      </x:c>
      <x:c r="L82" s="340" t="n">
        <x:f>XLOOKUP($D82&amp;"|"&amp;$E82&amp;"|"&amp;$F82,'PET_STAT_RULES'!$A$5:$A$88,'PET_STAT_RULES'!$F$5:$F$88)</x:f>
        <x:v>0</x:v>
      </x:c>
      <x:c r="M82" s="340" t="n">
        <x:f>XLOOKUP($D82&amp;"|"&amp;$E82&amp;"|"&amp;$F82,'PET_STAT_RULES'!$A$5:$A$88,'PET_STAT_RULES'!$G$5:$G$88)</x:f>
        <x:v>3</x:v>
      </x:c>
      <x:c r="N82" s="38" t="n">
        <x:v>2</x:v>
      </x:c>
      <x:c r="O82" s="38" t="str">
        <x:v>mech_fire_ignite_bonus</x:v>
      </x:c>
      <x:c r="P82" s="38" t="str">
        <x:v>07 形状07</x:v>
      </x:c>
      <x:c r="Q82" s="38" t="str">
        <x:v>Fiery</x:v>
      </x:c>
      <x:c r="R82" s="38" t="str">
        <x:v>item confirmed；来源=Oni Mask；攻击2格；仅保留来源商人/训练师关系。</x:v>
      </x:c>
      <x:c r="S82" s="38" t="n">
        <x:v>3</x:v>
      </x:c>
      <x:c r="T82" s="38" t="n">
        <x:v>2</x:v>
      </x:c>
      <x:c r="U82" s="15" t="str">
        <x:v>skill_vanguard,skill_flank,skill_pierce,skill_revolve,skill_chase,skill_break,skill_suppress,skill_finale</x:v>
      </x:c>
      <x:c r="V82" s="15" t="str">
        <x:v>trait_relentless</x:v>
      </x:c>
      <x:c r="W82" s="332" t="n">
        <x:f>XLOOKUP($D82&amp;"|"&amp;$E82&amp;"|"&amp;$F82,'PET_STAT_RULES'!$A$5:$A$88,'PET_STAT_RULES'!$E$5:$E$88)</x:f>
        <x:v>0</x:v>
      </x:c>
    </x:row>
    <x:row r="83">
      <x:c r="A83" s="38" t="str">
        <x:v>pal_082</x:v>
      </x:c>
      <x:c r="B83" s="38" t="str">
        <x:v>冰丝巨蛾</x:v>
      </x:c>
      <x:c r="C83" s="38" t="str">
        <x:v>龙</x:v>
      </x:c>
      <x:c r="D83" s="265" t="str">
        <x:v>白银</x:v>
      </x:c>
      <x:c r="E83" s="38" t="str">
        <x:v>经济</x:v>
      </x:c>
      <x:c r="F83" s="38" t="str">
        <x:v>两格</x:v>
      </x:c>
      <x:c r="G83" s="38" t="str">
        <x:v>bz_van_082</x:v>
      </x:c>
      <x:c r="H83" s="38" t="str">
        <x:v>elem_水, elem_雷, elem_冰, elem_无, role_召唤, role_坦克, role_控制, role_治疗, role_机动, role_机动压制</x:v>
      </x:c>
      <x:c r="I83" s="38" t="n">
        <x:v>10</x:v>
      </x:c>
      <x:c r="J83" s="340" t="n">
        <x:f>XLOOKUP($D83&amp;"|"&amp;$E83&amp;"|"&amp;$F83,'PET_STAT_RULES'!$A$5:$A$88,'PET_STAT_RULES'!$C$5:$C$88)</x:f>
        <x:v>40</x:v>
      </x:c>
      <x:c r="K83" s="340" t="n">
        <x:f>XLOOKUP($D83&amp;"|"&amp;$E83&amp;"|"&amp;$F83,'PET_STAT_RULES'!$A$5:$A$88,'PET_STAT_RULES'!$D$5:$D$88)</x:f>
        <x:v>12</x:v>
      </x:c>
      <x:c r="L83" s="340" t="n">
        <x:f>XLOOKUP($D83&amp;"|"&amp;$E83&amp;"|"&amp;$F83,'PET_STAT_RULES'!$A$5:$A$88,'PET_STAT_RULES'!$F$5:$F$88)</x:f>
        <x:v>0</x:v>
      </x:c>
      <x:c r="M83" s="340" t="n">
        <x:f>XLOOKUP($D83&amp;"|"&amp;$E83&amp;"|"&amp;$F83,'PET_STAT_RULES'!$A$5:$A$88,'PET_STAT_RULES'!$G$5:$G$88)</x:f>
        <x:v>3</x:v>
      </x:c>
      <x:c r="N83" s="38" t="n">
        <x:v>2</x:v>
      </x:c>
      <x:c r="O83" s="38" t="str">
        <x:v>none</x:v>
      </x:c>
      <x:c r="P83" s="38" t="str">
        <x:v>12 形状12</x:v>
      </x:c>
      <x:c r="Q83" s="38" t="str">
        <x:v>Golden</x:v>
      </x:c>
      <x:c r="R83" s="38" t="str">
        <x:v>item confirmed；来源=Orange Julian；攻击2格；仅保留来源商人/训练师关系。</x:v>
      </x:c>
      <x:c r="S83" s="38" t="n">
        <x:v>3</x:v>
      </x:c>
      <x:c r="T83" s="38" t="n">
        <x:v>2</x:v>
      </x:c>
      <x:c r="U83" s="15" t="str">
        <x:v>skill_vanguard,skill_flank,skill_pierce,skill_revolve,skill_chase,skill_break,skill_suppress,skill_finale</x:v>
      </x:c>
      <x:c r="V83" s="15" t="str">
        <x:v>trait_combo_resonance</x:v>
      </x:c>
      <x:c r="W83" s="332" t="n">
        <x:f>XLOOKUP($D83&amp;"|"&amp;$E83&amp;"|"&amp;$F83,'PET_STAT_RULES'!$A$5:$A$88,'PET_STAT_RULES'!$E$5:$E$88)</x:f>
        <x:v>0</x:v>
      </x:c>
    </x:row>
    <x:row r="84">
      <x:c r="A84" s="38" t="str">
        <x:v>pal_083</x:v>
      </x:c>
      <x:c r="B84" s="38" t="str">
        <x:v>云鳞幼螭</x:v>
      </x:c>
      <x:c r="C84" s="38" t="str">
        <x:v>水、雷</x:v>
      </x:c>
      <x:c r="D84" s="259" t="str">
        <x:v>青铜</x:v>
      </x:c>
      <x:c r="E84" s="38" t="str">
        <x:v>坦克</x:v>
      </x:c>
      <x:c r="F84" s="38" t="str">
        <x:v>一格</x:v>
      </x:c>
      <x:c r="G84" s="38" t="str">
        <x:v>bz_van_083</x:v>
      </x:c>
      <x:c r="H84" s="38" t="str">
        <x:v>elem_火, elem_雷, elem_冰, elem_地, elem_龙, role_召唤, role_坦克, role_控制, role_输出, tier_pT3</x:v>
      </x:c>
      <x:c r="I84" s="38" t="n">
        <x:v>10</x:v>
      </x:c>
      <x:c r="J84" s="340" t="n">
        <x:f>XLOOKUP($D84&amp;"|"&amp;$E84&amp;"|"&amp;$F84,'PET_STAT_RULES'!$A$5:$A$88,'PET_STAT_RULES'!$C$5:$C$88)</x:f>
        <x:v>36</x:v>
      </x:c>
      <x:c r="K84" s="340" t="n">
        <x:f>XLOOKUP($D84&amp;"|"&amp;$E84&amp;"|"&amp;$F84,'PET_STAT_RULES'!$A$5:$A$88,'PET_STAT_RULES'!$D$5:$D$88)</x:f>
        <x:v>8</x:v>
      </x:c>
      <x:c r="L84" s="340" t="n">
        <x:f>XLOOKUP($D84&amp;"|"&amp;$E84&amp;"|"&amp;$F84,'PET_STAT_RULES'!$A$5:$A$88,'PET_STAT_RULES'!$F$5:$F$88)</x:f>
        <x:v>6</x:v>
      </x:c>
      <x:c r="M84" s="340" t="n">
        <x:f>XLOOKUP($D84&amp;"|"&amp;$E84&amp;"|"&amp;$F84,'PET_STAT_RULES'!$A$5:$A$88,'PET_STAT_RULES'!$G$5:$G$88)</x:f>
        <x:v>3</x:v>
      </x:c>
      <x:c r="N84" s="38" t="n">
        <x:v>1</x:v>
      </x:c>
      <x:c r="O84" s="38" t="str">
        <x:v>mech_shield_flat</x:v>
      </x:c>
      <x:c r="P84" s="38" t="str">
        <x:v>04 形状04</x:v>
      </x:c>
      <x:c r="Q84" s="38" t="str">
        <x:v>Turbo</x:v>
      </x:c>
      <x:c r="R84" s="38" t="str">
        <x:v>item confirmed；来源=Pearl；攻击1格；仅保留来源商人/训练师关系。</x:v>
      </x:c>
      <x:c r="S84" s="38" t="n">
        <x:v>3</x:v>
      </x:c>
      <x:c r="T84" s="38" t="n">
        <x:v>1</x:v>
      </x:c>
      <x:c r="U84" s="15" t="str">
        <x:v>skill_vanguard,skill_flank,skill_pierce,skill_revolve,skill_chase,skill_break,skill_suppress,skill_finale</x:v>
      </x:c>
      <x:c r="V84" s="15" t="str">
        <x:v>trait_combo_mastery</x:v>
      </x:c>
      <x:c r="W84" s="332" t="n">
        <x:f>XLOOKUP($D84&amp;"|"&amp;$E84&amp;"|"&amp;$F84,'PET_STAT_RULES'!$A$5:$A$88,'PET_STAT_RULES'!$E$5:$E$88)</x:f>
        <x:v>0</x:v>
      </x:c>
    </x:row>
    <x:row r="85">
      <x:c r="A85" s="38" t="str">
        <x:v>pal_084</x:v>
      </x:c>
      <x:c r="B85" s="38" t="str">
        <x:v>沧浪青蛟</x:v>
      </x:c>
      <x:c r="C85" s="38" t="str">
        <x:v>火、龙</x:v>
      </x:c>
      <x:c r="D85" s="259" t="str">
        <x:v>青铜</x:v>
      </x:c>
      <x:c r="E85" s="38" t="str">
        <x:v>机动</x:v>
      </x:c>
      <x:c r="F85" s="38" t="str">
        <x:v>一格</x:v>
      </x:c>
      <x:c r="G85" s="38" t="str">
        <x:v>bz_van_084</x:v>
      </x:c>
      <x:c r="H85" s="38" t="str">
        <x:v>elem_火, elem_草, elem_雷, elem_冰, elem_地, role_召唤, role_坦克, role_控制, tier_pT2, role_机动压制</x:v>
      </x:c>
      <x:c r="I85" s="38" t="n">
        <x:v>10</x:v>
      </x:c>
      <x:c r="J85" s="340" t="n">
        <x:f>XLOOKUP($D85&amp;"|"&amp;$E85&amp;"|"&amp;$F85,'PET_STAT_RULES'!$A$5:$A$88,'PET_STAT_RULES'!$C$5:$C$88)</x:f>
        <x:v>22</x:v>
      </x:c>
      <x:c r="K85" s="340" t="n">
        <x:f>XLOOKUP($D85&amp;"|"&amp;$E85&amp;"|"&amp;$F85,'PET_STAT_RULES'!$A$5:$A$88,'PET_STAT_RULES'!$D$5:$D$88)</x:f>
        <x:v>8</x:v>
      </x:c>
      <x:c r="L85" s="340" t="n">
        <x:f>XLOOKUP($D85&amp;"|"&amp;$E85&amp;"|"&amp;$F85,'PET_STAT_RULES'!$A$5:$A$88,'PET_STAT_RULES'!$F$5:$F$88)</x:f>
        <x:v>0</x:v>
      </x:c>
      <x:c r="M85" s="340" t="n">
        <x:f>XLOOKUP($D85&amp;"|"&amp;$E85&amp;"|"&amp;$F85,'PET_STAT_RULES'!$A$5:$A$88,'PET_STAT_RULES'!$G$5:$G$88)</x:f>
        <x:v>5</x:v>
      </x:c>
      <x:c r="N85" s="38" t="n">
        <x:v>2</x:v>
      </x:c>
      <x:c r="O85" s="38" t="str">
        <x:v>mech_fire_ignite_bonus</x:v>
      </x:c>
      <x:c r="P85" s="38" t="str">
        <x:v>07 形状07</x:v>
      </x:c>
      <x:c r="Q85" s="38" t="str">
        <x:v>Fiery</x:v>
      </x:c>
      <x:c r="R85" s="38" t="str">
        <x:v>item confirmed；来源=Pesky Pete；攻击2格；仅保留来源商人/训练师关系。</x:v>
      </x:c>
      <x:c r="S85" s="38" t="n">
        <x:v>5</x:v>
      </x:c>
      <x:c r="T85" s="38" t="n">
        <x:v>1</x:v>
      </x:c>
      <x:c r="U85" s="15" t="str">
        <x:v>skill_vanguard,skill_flank,skill_pierce,skill_revolve,skill_chase,skill_break,skill_suppress,skill_finale</x:v>
      </x:c>
      <x:c r="V85" s="15" t="str">
        <x:v>trait_relentless</x:v>
      </x:c>
      <x:c r="W85" s="332" t="n">
        <x:f>XLOOKUP($D85&amp;"|"&amp;$E85&amp;"|"&amp;$F85,'PET_STAT_RULES'!$A$5:$A$88,'PET_STAT_RULES'!$E$5:$E$88)</x:f>
        <x:v>0</x:v>
      </x:c>
    </x:row>
    <x:row r="86">
      <x:c r="A86" s="38" t="str">
        <x:v>pal_085</x:v>
      </x:c>
      <x:c r="B86" s="38" t="str">
        <x:v>涌泉水獭</x:v>
      </x:c>
      <x:c r="C86" s="38" t="str">
        <x:v>雷、地</x:v>
      </x:c>
      <x:c r="D86" s="259" t="str">
        <x:v>青铜</x:v>
      </x:c>
      <x:c r="E86" s="38" t="str">
        <x:v>召唤</x:v>
      </x:c>
      <x:c r="F86" s="38" t="str">
        <x:v>一格</x:v>
      </x:c>
      <x:c r="G86" s="38" t="str">
        <x:v>bz_van_085</x:v>
      </x:c>
      <x:c r="H86" s="38" t="str">
        <x:v>night_base, elem_火, elem_雷, elem_地, role_召唤, role_坦克, role_控制, role_治疗, tier_pT1, role_机动压制</x:v>
      </x:c>
      <x:c r="I86" s="38" t="n">
        <x:v>10</x:v>
      </x:c>
      <x:c r="J86" s="340" t="n">
        <x:f>XLOOKUP($D86&amp;"|"&amp;$E86&amp;"|"&amp;$F86,'PET_STAT_RULES'!$A$5:$A$88,'PET_STAT_RULES'!$C$5:$C$88)</x:f>
        <x:v>30</x:v>
      </x:c>
      <x:c r="K86" s="340" t="n">
        <x:f>XLOOKUP($D86&amp;"|"&amp;$E86&amp;"|"&amp;$F86,'PET_STAT_RULES'!$A$5:$A$88,'PET_STAT_RULES'!$D$5:$D$88)</x:f>
        <x:v>8</x:v>
      </x:c>
      <x:c r="L86" s="340" t="n">
        <x:f>XLOOKUP($D86&amp;"|"&amp;$E86&amp;"|"&amp;$F86,'PET_STAT_RULES'!$A$5:$A$88,'PET_STAT_RULES'!$F$5:$F$88)</x:f>
        <x:v>0</x:v>
      </x:c>
      <x:c r="M86" s="340" t="n">
        <x:f>XLOOKUP($D86&amp;"|"&amp;$E86&amp;"|"&amp;$F86,'PET_STAT_RULES'!$A$5:$A$88,'PET_STAT_RULES'!$G$5:$G$88)</x:f>
        <x:v>3</x:v>
      </x:c>
      <x:c r="N86" s="38" t="n">
        <x:v>2</x:v>
      </x:c>
      <x:c r="O86" s="38" t="str">
        <x:v>mech_grow_shield_each_round</x:v>
      </x:c>
      <x:c r="P86" s="38" t="str">
        <x:v>05 形状05</x:v>
      </x:c>
      <x:c r="Q86" s="38" t="str">
        <x:v>Deadly</x:v>
      </x:c>
      <x:c r="R86" s="38" t="str">
        <x:v>item confirmed；来源=Pet Rock；攻击2格；仅保留来源商人/训练师关系。</x:v>
      </x:c>
      <x:c r="S86" s="38" t="n">
        <x:v>3</x:v>
      </x:c>
      <x:c r="T86" s="38" t="n">
        <x:v>1</x:v>
      </x:c>
      <x:c r="U86" s="15" t="str">
        <x:v>skill_vanguard,skill_flank,skill_pierce,skill_revolve,skill_chase,skill_break,skill_suppress,skill_finale</x:v>
      </x:c>
      <x:c r="V86" s="15" t="str">
        <x:v>trait_combo_resonance</x:v>
      </x:c>
      <x:c r="W86" s="332" t="n">
        <x:f>XLOOKUP($D86&amp;"|"&amp;$E86&amp;"|"&amp;$F86,'PET_STAT_RULES'!$A$5:$A$88,'PET_STAT_RULES'!$E$5:$E$88)</x:f>
        <x:v>0</x:v>
      </x:c>
    </x:row>
    <x:row r="87">
      <x:c r="A87" s="38" t="str">
        <x:v>pal_086</x:v>
      </x:c>
      <x:c r="B87" s="38" t="str">
        <x:v>赤炎狻猊</x:v>
      </x:c>
      <x:c r="C87" s="38" t="str">
        <x:v>龙</x:v>
      </x:c>
      <x:c r="D87" s="262" t="str">
        <x:v>黄金</x:v>
      </x:c>
      <x:c r="E87" s="38" t="str">
        <x:v>机动</x:v>
      </x:c>
      <x:c r="F87" s="38" t="str">
        <x:v>两格</x:v>
      </x:c>
      <x:c r="G87" s="38" t="str">
        <x:v>bz_van_086</x:v>
      </x:c>
      <x:c r="H87" s="38" t="str">
        <x:v>elem_水, elem_雷, elem_冰, elem_无, role_召唤, role_坦克, role_控制, role_治疗, special_merchant, elite_high</x:v>
      </x:c>
      <x:c r="I87" s="38" t="n">
        <x:v>10</x:v>
      </x:c>
      <x:c r="J87" s="340" t="n">
        <x:f>XLOOKUP($D87&amp;"|"&amp;$E87&amp;"|"&amp;$F87,'PET_STAT_RULES'!$A$5:$A$88,'PET_STAT_RULES'!$C$5:$C$88)</x:f>
        <x:v>52</x:v>
      </x:c>
      <x:c r="K87" s="340" t="n">
        <x:f>XLOOKUP($D87&amp;"|"&amp;$E87&amp;"|"&amp;$F87,'PET_STAT_RULES'!$A$5:$A$88,'PET_STAT_RULES'!$D$5:$D$88)</x:f>
        <x:v>18</x:v>
      </x:c>
      <x:c r="L87" s="340" t="n">
        <x:f>XLOOKUP($D87&amp;"|"&amp;$E87&amp;"|"&amp;$F87,'PET_STAT_RULES'!$A$5:$A$88,'PET_STAT_RULES'!$F$5:$F$88)</x:f>
        <x:v>0</x:v>
      </x:c>
      <x:c r="M87" s="340" t="n">
        <x:f>XLOOKUP($D87&amp;"|"&amp;$E87&amp;"|"&amp;$F87,'PET_STAT_RULES'!$A$5:$A$88,'PET_STAT_RULES'!$G$5:$G$88)</x:f>
        <x:v>5</x:v>
      </x:c>
      <x:c r="N87" s="38" t="n">
        <x:v>2</x:v>
      </x:c>
      <x:c r="O87" s="38" t="str">
        <x:v>none</x:v>
      </x:c>
      <x:c r="P87" s="38" t="str">
        <x:v>11 形状11</x:v>
      </x:c>
      <x:c r="Q87" s="38" t="str">
        <x:v>Turbo</x:v>
      </x:c>
      <x:c r="R87" s="38" t="str">
        <x:v>item confirmed；来源=Piano；攻击2格；仅保留来源商人/训练师关系。</x:v>
      </x:c>
      <x:c r="S87" s="38" t="n">
        <x:v>5</x:v>
      </x:c>
      <x:c r="T87" s="38" t="n">
        <x:v>2</x:v>
      </x:c>
      <x:c r="U87" s="15" t="str">
        <x:v>skill_vanguard,skill_flank,skill_pierce,skill_revolve,skill_chase,skill_break,skill_suppress,skill_finale</x:v>
      </x:c>
      <x:c r="V87" s="15" t="str">
        <x:v>trait_relentless</x:v>
      </x:c>
      <x:c r="W87" s="332" t="n">
        <x:f>XLOOKUP($D87&amp;"|"&amp;$E87&amp;"|"&amp;$F87,'PET_STAT_RULES'!$A$5:$A$88,'PET_STAT_RULES'!$E$5:$E$88)</x:f>
        <x:v>0</x:v>
      </x:c>
    </x:row>
    <x:row r="88">
      <x:c r="A88" s="38" t="str">
        <x:v>pal_087</x:v>
      </x:c>
      <x:c r="B88" s="38" t="str">
        <x:v>碧海青蛟</x:v>
      </x:c>
      <x:c r="C88" s="38" t="str">
        <x:v>草、水</x:v>
      </x:c>
      <x:c r="D88" s="259" t="str">
        <x:v>青铜</x:v>
      </x:c>
      <x:c r="E88" s="38" t="str">
        <x:v>机动</x:v>
      </x:c>
      <x:c r="F88" s="38" t="str">
        <x:v>一格</x:v>
      </x:c>
      <x:c r="G88" s="38" t="str">
        <x:v>bz_van_087</x:v>
      </x:c>
      <x:c r="H88" s="38" t="str">
        <x:v>night_base, elem_火, elem_雷, elem_地, role_召唤, role_坦克, role_控制, role_治疗, role_输出, role_机动压制</x:v>
      </x:c>
      <x:c r="I88" s="38" t="n">
        <x:v>10</x:v>
      </x:c>
      <x:c r="J88" s="340" t="n">
        <x:f>XLOOKUP($D88&amp;"|"&amp;$E88&amp;"|"&amp;$F88,'PET_STAT_RULES'!$A$5:$A$88,'PET_STAT_RULES'!$C$5:$C$88)</x:f>
        <x:v>22</x:v>
      </x:c>
      <x:c r="K88" s="340" t="n">
        <x:f>XLOOKUP($D88&amp;"|"&amp;$E88&amp;"|"&amp;$F88,'PET_STAT_RULES'!$A$5:$A$88,'PET_STAT_RULES'!$D$5:$D$88)</x:f>
        <x:v>8</x:v>
      </x:c>
      <x:c r="L88" s="340" t="n">
        <x:f>XLOOKUP($D88&amp;"|"&amp;$E88&amp;"|"&amp;$F88,'PET_STAT_RULES'!$A$5:$A$88,'PET_STAT_RULES'!$F$5:$F$88)</x:f>
        <x:v>0</x:v>
      </x:c>
      <x:c r="M88" s="340" t="n">
        <x:f>XLOOKUP($D88&amp;"|"&amp;$E88&amp;"|"&amp;$F88,'PET_STAT_RULES'!$A$5:$A$88,'PET_STAT_RULES'!$G$5:$G$88)</x:f>
        <x:v>5</x:v>
      </x:c>
      <x:c r="N88" s="38" t="n">
        <x:v>1</x:v>
      </x:c>
      <x:c r="O88" s="38" t="str">
        <x:v>none</x:v>
      </x:c>
      <x:c r="P88" s="38" t="str">
        <x:v>01 形状01</x:v>
      </x:c>
      <x:c r="Q88" s="38" t="str">
        <x:v>Turbo</x:v>
      </x:c>
      <x:c r="R88" s="38" t="str">
        <x:v>item confirmed；来源=Piranha；攻击1格；仅保留来源商人/训练师关系。</x:v>
      </x:c>
      <x:c r="S88" s="38" t="n">
        <x:v>5</x:v>
      </x:c>
      <x:c r="T88" s="38" t="n">
        <x:v>1</x:v>
      </x:c>
      <x:c r="U88" s="15" t="str">
        <x:v>skill_vanguard,skill_flank,skill_pierce,skill_revolve,skill_chase,skill_break,skill_suppress,skill_finale</x:v>
      </x:c>
      <x:c r="V88" s="15" t="str">
        <x:v>trait_relentless</x:v>
      </x:c>
      <x:c r="W88" s="332" t="n">
        <x:f>XLOOKUP($D88&amp;"|"&amp;$E88&amp;"|"&amp;$F88,'PET_STAT_RULES'!$A$5:$A$88,'PET_STAT_RULES'!$E$5:$E$88)</x:f>
        <x:v>0</x:v>
      </x:c>
    </x:row>
    <x:row r="89">
      <x:c r="A89" s="38" t="str">
        <x:v>pal_088</x:v>
      </x:c>
      <x:c r="B89" s="38" t="str">
        <x:v>冰棘豪猪</x:v>
      </x:c>
      <x:c r="C89" s="38" t="str">
        <x:v>雷</x:v>
      </x:c>
      <x:c r="D89" s="262" t="str">
        <x:v>黄金</x:v>
      </x:c>
      <x:c r="E89" s="38" t="str">
        <x:v>输出</x:v>
      </x:c>
      <x:c r="F89" s="38" t="str">
        <x:v>两格</x:v>
      </x:c>
      <x:c r="G89" s="38" t="str">
        <x:v>bz_van_088</x:v>
      </x:c>
      <x:c r="H89" s="38" t="str">
        <x:v>night_base, elem_水, elem_雷, elem_暗, elem_无, role_召唤, role_坦克, role_控制, role_治疗, role_机动</x:v>
      </x:c>
      <x:c r="I89" s="38" t="n">
        <x:v>10</x:v>
      </x:c>
      <x:c r="J89" s="340" t="n">
        <x:f>XLOOKUP($D89&amp;"|"&amp;$E89&amp;"|"&amp;$F89,'PET_STAT_RULES'!$A$5:$A$88,'PET_STAT_RULES'!$C$5:$C$88)</x:f>
        <x:v>52</x:v>
      </x:c>
      <x:c r="K89" s="340" t="n">
        <x:f>XLOOKUP($D89&amp;"|"&amp;$E89&amp;"|"&amp;$F89,'PET_STAT_RULES'!$A$5:$A$88,'PET_STAT_RULES'!$D$5:$D$88)</x:f>
        <x:v>28</x:v>
      </x:c>
      <x:c r="L89" s="340" t="n">
        <x:f>XLOOKUP($D89&amp;"|"&amp;$E89&amp;"|"&amp;$F89,'PET_STAT_RULES'!$A$5:$A$88,'PET_STAT_RULES'!$F$5:$F$88)</x:f>
        <x:v>0</x:v>
      </x:c>
      <x:c r="M89" s="340" t="n">
        <x:f>XLOOKUP($D89&amp;"|"&amp;$E89&amp;"|"&amp;$F89,'PET_STAT_RULES'!$A$5:$A$88,'PET_STAT_RULES'!$G$5:$G$88)</x:f>
        <x:v>3</x:v>
      </x:c>
      <x:c r="N89" s="38" t="n">
        <x:v>3</x:v>
      </x:c>
      <x:c r="O89" s="38" t="str">
        <x:v>mech_grow_atk_each_round</x:v>
      </x:c>
      <x:c r="P89" s="38" t="str">
        <x:v>19 形状19</x:v>
      </x:c>
      <x:c r="Q89" s="38" t="str">
        <x:v>Deadly</x:v>
      </x:c>
      <x:c r="R89" s="38" t="str">
        <x:v>item confirmed；来源=Pistol Sword；攻击3格；仅保留来源商人/训练师关系。</x:v>
      </x:c>
      <x:c r="S89" s="38" t="n">
        <x:v>3</x:v>
      </x:c>
      <x:c r="T89" s="38" t="n">
        <x:v>2</x:v>
      </x:c>
      <x:c r="U89" s="15" t="str">
        <x:v>skill_vanguard,skill_flank,skill_pierce,skill_revolve,skill_chase,skill_break,skill_suppress,skill_finale</x:v>
      </x:c>
      <x:c r="V89" s="15" t="str">
        <x:v>trait_relentless</x:v>
      </x:c>
      <x:c r="W89" s="332" t="n">
        <x:f>XLOOKUP($D89&amp;"|"&amp;$E89&amp;"|"&amp;$F89,'PET_STAT_RULES'!$A$5:$A$88,'PET_STAT_RULES'!$E$5:$E$88)</x:f>
        <x:v>0</x:v>
      </x:c>
    </x:row>
    <x:row r="90">
      <x:c r="A90" s="38" t="str">
        <x:v>pal_089</x:v>
      </x:c>
      <x:c r="B90" s="38" t="str">
        <x:v>狱火凶獒</x:v>
      </x:c>
      <x:c r="C90" s="38" t="str">
        <x:v>火、雷</x:v>
      </x:c>
      <x:c r="D90" s="259" t="str">
        <x:v>青铜</x:v>
      </x:c>
      <x:c r="E90" s="38" t="str">
        <x:v>输出</x:v>
      </x:c>
      <x:c r="F90" s="38" t="str">
        <x:v>一格</x:v>
      </x:c>
      <x:c r="G90" s="38" t="str">
        <x:v>bz_van_089</x:v>
      </x:c>
      <x:c r="H90" s="38" t="str">
        <x:v>elem_火, elem_雷, elem_冰, elem_地, role_召唤, role_坦克, role_控制, role_治疗, role_机动, tier_pT2</x:v>
      </x:c>
      <x:c r="I90" s="38" t="n">
        <x:v>10</x:v>
      </x:c>
      <x:c r="J90" s="340" t="n">
        <x:f>XLOOKUP($D90&amp;"|"&amp;$E90&amp;"|"&amp;$F90,'PET_STAT_RULES'!$A$5:$A$88,'PET_STAT_RULES'!$C$5:$C$88)</x:f>
        <x:v>22</x:v>
      </x:c>
      <x:c r="K90" s="340" t="n">
        <x:f>XLOOKUP($D90&amp;"|"&amp;$E90&amp;"|"&amp;$F90,'PET_STAT_RULES'!$A$5:$A$88,'PET_STAT_RULES'!$D$5:$D$88)</x:f>
        <x:v>14</x:v>
      </x:c>
      <x:c r="L90" s="340" t="n">
        <x:f>XLOOKUP($D90&amp;"|"&amp;$E90&amp;"|"&amp;$F90,'PET_STAT_RULES'!$A$5:$A$88,'PET_STAT_RULES'!$F$5:$F$88)</x:f>
        <x:v>0</x:v>
      </x:c>
      <x:c r="M90" s="340" t="n">
        <x:f>XLOOKUP($D90&amp;"|"&amp;$E90&amp;"|"&amp;$F90,'PET_STAT_RULES'!$A$5:$A$88,'PET_STAT_RULES'!$G$5:$G$88)</x:f>
        <x:v>3</x:v>
      </x:c>
      <x:c r="N90" s="38" t="n">
        <x:v>1</x:v>
      </x:c>
      <x:c r="O90" s="38" t="str">
        <x:v>mech_fire_ignite_bonus</x:v>
      </x:c>
      <x:c r="P90" s="38" t="str">
        <x:v>04 形状04</x:v>
      </x:c>
      <x:c r="Q90" s="38" t="str">
        <x:v>Fiery</x:v>
      </x:c>
      <x:c r="R90" s="38" t="str">
        <x:v>item confirmed；来源=Pop Snappers；攻击1格；仅保留来源商人/训练师关系。</x:v>
      </x:c>
      <x:c r="S90" s="38" t="n">
        <x:v>3</x:v>
      </x:c>
      <x:c r="T90" s="38" t="n">
        <x:v>1</x:v>
      </x:c>
      <x:c r="U90" s="15" t="str">
        <x:v>skill_vanguard,skill_flank,skill_pierce,skill_revolve,skill_chase,skill_break,skill_suppress,skill_finale</x:v>
      </x:c>
      <x:c r="V90" s="15" t="str">
        <x:v>trait_relentless</x:v>
      </x:c>
      <x:c r="W90" s="332" t="n">
        <x:f>XLOOKUP($D90&amp;"|"&amp;$E90&amp;"|"&amp;$F90,'PET_STAT_RULES'!$A$5:$A$88,'PET_STAT_RULES'!$E$5:$E$88)</x:f>
        <x:v>0</x:v>
      </x:c>
    </x:row>
    <x:row r="91">
      <x:c r="A91" s="38" t="str">
        <x:v>pal_090</x:v>
      </x:c>
      <x:c r="B91" s="38" t="str">
        <x:v>三首火犬</x:v>
      </x:c>
      <x:c r="C91" s="38" t="str">
        <x:v>水、雷</x:v>
      </x:c>
      <x:c r="D91" s="265" t="str">
        <x:v>白银</x:v>
      </x:c>
      <x:c r="E91" s="38" t="str">
        <x:v>机动</x:v>
      </x:c>
      <x:c r="F91" s="38" t="str">
        <x:v>三格</x:v>
      </x:c>
      <x:c r="G91" s="38" t="str">
        <x:v>bz_van_090</x:v>
      </x:c>
      <x:c r="H91" s="38" t="str">
        <x:v>elem_水, elem_雷, elem_冰, elem_地, elem_暗, role_坦克, role_控制, role_输出, role_机动, role_风系铺场</x:v>
      </x:c>
      <x:c r="I91" s="38" t="n">
        <x:v>10</x:v>
      </x:c>
      <x:c r="J91" s="340" t="n">
        <x:f>XLOOKUP($D91&amp;"|"&amp;$E91&amp;"|"&amp;$F91,'PET_STAT_RULES'!$A$5:$A$88,'PET_STAT_RULES'!$C$5:$C$88)</x:f>
        <x:v>46</x:v>
      </x:c>
      <x:c r="K91" s="340" t="n">
        <x:f>XLOOKUP($D91&amp;"|"&amp;$E91&amp;"|"&amp;$F91,'PET_STAT_RULES'!$A$5:$A$88,'PET_STAT_RULES'!$D$5:$D$88)</x:f>
        <x:v>10</x:v>
      </x:c>
      <x:c r="L91" s="340" t="n">
        <x:f>XLOOKUP($D91&amp;"|"&amp;$E91&amp;"|"&amp;$F91,'PET_STAT_RULES'!$A$5:$A$88,'PET_STAT_RULES'!$F$5:$F$88)</x:f>
        <x:v>0</x:v>
      </x:c>
      <x:c r="M91" s="340" t="n">
        <x:f>XLOOKUP($D91&amp;"|"&amp;$E91&amp;"|"&amp;$F91,'PET_STAT_RULES'!$A$5:$A$88,'PET_STAT_RULES'!$G$5:$G$88)</x:f>
        <x:v>5</x:v>
      </x:c>
      <x:c r="N91" s="38" t="n">
        <x:v>3</x:v>
      </x:c>
      <x:c r="O91" s="38" t="str">
        <x:v>none</x:v>
      </x:c>
      <x:c r="P91" s="38" t="str">
        <x:v>18 形状18</x:v>
      </x:c>
      <x:c r="Q91" s="38" t="str">
        <x:v>Turbo</x:v>
      </x:c>
      <x:c r="R91" s="38" t="str">
        <x:v>item confirmed；来源=Port；攻击3格；仅保留来源商人/训练师关系。</x:v>
      </x:c>
      <x:c r="S91" s="38" t="n">
        <x:v>5</x:v>
      </x:c>
      <x:c r="T91" s="38" t="n">
        <x:v>2</x:v>
      </x:c>
      <x:c r="U91" s="15" t="str">
        <x:v>skill_vanguard,skill_flank,skill_pierce,skill_revolve,skill_chase,skill_break,skill_suppress,skill_finale</x:v>
      </x:c>
      <x:c r="V91" s="15" t="str">
        <x:v>trait_relentless</x:v>
      </x:c>
      <x:c r="W91" s="332" t="n">
        <x:f>XLOOKUP($D91&amp;"|"&amp;$E91&amp;"|"&amp;$F91,'PET_STAT_RULES'!$A$5:$A$88,'PET_STAT_RULES'!$E$5:$E$88)</x:f>
        <x:v>0</x:v>
      </x:c>
    </x:row>
    <x:row r="92">
      <x:c r="A92" s="38" t="str">
        <x:v>pal_091</x:v>
      </x:c>
      <x:c r="B92" s="38" t="str">
        <x:v>覆水龙龟</x:v>
      </x:c>
      <x:c r="C92" s="38" t="str">
        <x:v>雷</x:v>
      </x:c>
      <x:c r="D92" s="259" t="str">
        <x:v>青铜</x:v>
      </x:c>
      <x:c r="E92" s="38" t="str">
        <x:v>输出</x:v>
      </x:c>
      <x:c r="F92" s="38" t="str">
        <x:v>一格</x:v>
      </x:c>
      <x:c r="G92" s="38" t="str">
        <x:v>bz_van_091</x:v>
      </x:c>
      <x:c r="H92" s="38" t="str">
        <x:v>elem_火, elem_雷, elem_冰, elem_地, role_召唤, role_坦克, role_控制, role_治疗, role_机动, role_远点压制</x:v>
      </x:c>
      <x:c r="I92" s="38" t="n">
        <x:v>10</x:v>
      </x:c>
      <x:c r="J92" s="340" t="n">
        <x:f>XLOOKUP($D92&amp;"|"&amp;$E92&amp;"|"&amp;$F92,'PET_STAT_RULES'!$A$5:$A$88,'PET_STAT_RULES'!$C$5:$C$88)</x:f>
        <x:v>22</x:v>
      </x:c>
      <x:c r="K92" s="340" t="n">
        <x:f>XLOOKUP($D92&amp;"|"&amp;$E92&amp;"|"&amp;$F92,'PET_STAT_RULES'!$A$5:$A$88,'PET_STAT_RULES'!$D$5:$D$88)</x:f>
        <x:v>14</x:v>
      </x:c>
      <x:c r="L92" s="340" t="n">
        <x:f>XLOOKUP($D92&amp;"|"&amp;$E92&amp;"|"&amp;$F92,'PET_STAT_RULES'!$A$5:$A$88,'PET_STAT_RULES'!$F$5:$F$88)</x:f>
        <x:v>0</x:v>
      </x:c>
      <x:c r="M92" s="340" t="n">
        <x:f>XLOOKUP($D92&amp;"|"&amp;$E92&amp;"|"&amp;$F92,'PET_STAT_RULES'!$A$5:$A$88,'PET_STAT_RULES'!$G$5:$G$88)</x:f>
        <x:v>3</x:v>
      </x:c>
      <x:c r="N92" s="38" t="n">
        <x:v>1</x:v>
      </x:c>
      <x:c r="O92" s="38" t="str">
        <x:v>mech_grow_atk_each_round</x:v>
      </x:c>
      <x:c r="P92" s="38" t="str">
        <x:v>03 形状03</x:v>
      </x:c>
      <x:c r="Q92" s="38" t="str">
        <x:v>Deadly</x:v>
      </x:c>
      <x:c r="R92" s="38" t="str">
        <x:v>item confirmed；来源=Powder Horn；攻击1格；仅保留来源商人/训练师关系。</x:v>
      </x:c>
      <x:c r="S92" s="38" t="n">
        <x:v>3</x:v>
      </x:c>
      <x:c r="T92" s="38" t="n">
        <x:v>1</x:v>
      </x:c>
      <x:c r="U92" s="15" t="str">
        <x:v>skill_vanguard,skill_flank,skill_pierce,skill_revolve,skill_chase,skill_break,skill_suppress,skill_finale</x:v>
      </x:c>
      <x:c r="V92" s="15" t="str">
        <x:v>trait_relentless</x:v>
      </x:c>
      <x:c r="W92" s="332" t="n">
        <x:f>XLOOKUP($D92&amp;"|"&amp;$E92&amp;"|"&amp;$F92,'PET_STAT_RULES'!$A$5:$A$88,'PET_STAT_RULES'!$E$5:$E$88)</x:f>
        <x:v>0</x:v>
      </x:c>
    </x:row>
    <x:row r="93">
      <x:c r="A93" s="38" t="str">
        <x:v>pal_092</x:v>
      </x:c>
      <x:c r="B93" s="38" t="str">
        <x:v>雷泽青蛟</x:v>
      </x:c>
      <x:c r="C93" s="38" t="str">
        <x:v>火、水</x:v>
      </x:c>
      <x:c r="D93" s="262" t="str">
        <x:v>黄金</x:v>
      </x:c>
      <x:c r="E93" s="38" t="str">
        <x:v>治疗</x:v>
      </x:c>
      <x:c r="F93" s="38" t="str">
        <x:v>两格</x:v>
      </x:c>
      <x:c r="G93" s="38" t="str">
        <x:v>bz_van_092</x:v>
      </x:c>
      <x:c r="H93" s="38" t="str">
        <x:v>night_base, elem_水, elem_雷, elem_暗, elem_无, role_召唤, role_坦克, role_控制, role_治疗, tier_pT2</x:v>
      </x:c>
      <x:c r="I93" s="38" t="n">
        <x:v>10</x:v>
      </x:c>
      <x:c r="J93" s="340" t="n">
        <x:f>XLOOKUP($D93&amp;"|"&amp;$E93&amp;"|"&amp;$F93,'PET_STAT_RULES'!$A$5:$A$88,'PET_STAT_RULES'!$C$5:$C$88)</x:f>
        <x:v>58</x:v>
      </x:c>
      <x:c r="K93" s="340" t="n">
        <x:f>XLOOKUP($D93&amp;"|"&amp;$E93&amp;"|"&amp;$F93,'PET_STAT_RULES'!$A$5:$A$88,'PET_STAT_RULES'!$D$5:$D$88)</x:f>
        <x:v>18</x:v>
      </x:c>
      <x:c r="L93" s="340" t="n">
        <x:f>XLOOKUP($D93&amp;"|"&amp;$E93&amp;"|"&amp;$F93,'PET_STAT_RULES'!$A$5:$A$88,'PET_STAT_RULES'!$F$5:$F$88)</x:f>
        <x:v>6</x:v>
      </x:c>
      <x:c r="M93" s="340" t="n">
        <x:f>XLOOKUP($D93&amp;"|"&amp;$E93&amp;"|"&amp;$F93,'PET_STAT_RULES'!$A$5:$A$88,'PET_STAT_RULES'!$G$5:$G$88)</x:f>
        <x:v>3</x:v>
      </x:c>
      <x:c r="N93" s="38" t="n">
        <x:v>2</x:v>
      </x:c>
      <x:c r="O93" s="38" t="str">
        <x:v>mech_fire_ignite_bonus</x:v>
      </x:c>
      <x:c r="P93" s="38" t="str">
        <x:v>09 形状09</x:v>
      </x:c>
      <x:c r="Q93" s="38" t="str">
        <x:v>Fiery</x:v>
      </x:c>
      <x:c r="R93" s="38" t="str">
        <x:v>item confirmed；来源=Powder Keg；攻击2格；仅保留来源商人/训练师关系。</x:v>
      </x:c>
      <x:c r="S93" s="38" t="n">
        <x:v>3</x:v>
      </x:c>
      <x:c r="T93" s="38" t="n">
        <x:v>2</x:v>
      </x:c>
      <x:c r="U93" s="15" t="str">
        <x:v>skill_vanguard,skill_flank,skill_pierce,skill_revolve,skill_chase,skill_break,skill_suppress,skill_finale</x:v>
      </x:c>
      <x:c r="V93" s="15" t="str">
        <x:v>trait_element_affinity</x:v>
      </x:c>
      <x:c r="W93" s="332" t="n">
        <x:f>XLOOKUP($D93&amp;"|"&amp;$E93&amp;"|"&amp;$F93,'PET_STAT_RULES'!$A$5:$A$88,'PET_STAT_RULES'!$E$5:$E$88)</x:f>
        <x:v>0</x:v>
      </x:c>
    </x:row>
    <x:row r="94">
      <x:c r="A94" s="38" t="str">
        <x:v>pal_093</x:v>
      </x:c>
      <x:c r="B94" s="38" t="str">
        <x:v>连理双鹿</x:v>
      </x:c>
      <x:c r="C94" s="38" t="str">
        <x:v>草、水</x:v>
      </x:c>
      <x:c r="D94" s="265" t="str">
        <x:v>白银</x:v>
      </x:c>
      <x:c r="E94" s="38" t="str">
        <x:v>控制</x:v>
      </x:c>
      <x:c r="F94" s="38" t="str">
        <x:v>两格</x:v>
      </x:c>
      <x:c r="G94" s="38" t="str">
        <x:v>bz_van_093</x:v>
      </x:c>
      <x:c r="H94" s="38" t="str">
        <x:v>elem_水, elem_雷, elem_冰, role_坦克, role_控制, role_输出, special_merchant, elite_high, role_机动压制, role_火系压制</x:v>
      </x:c>
      <x:c r="I94" s="38" t="n">
        <x:v>10</x:v>
      </x:c>
      <x:c r="J94" s="340" t="n">
        <x:f>XLOOKUP($D94&amp;"|"&amp;$E94&amp;"|"&amp;$F94,'PET_STAT_RULES'!$A$5:$A$88,'PET_STAT_RULES'!$C$5:$C$88)</x:f>
        <x:v>44</x:v>
      </x:c>
      <x:c r="K94" s="340" t="n">
        <x:f>XLOOKUP($D94&amp;"|"&amp;$E94&amp;"|"&amp;$F94,'PET_STAT_RULES'!$A$5:$A$88,'PET_STAT_RULES'!$D$5:$D$88)</x:f>
        <x:v>14</x:v>
      </x:c>
      <x:c r="L94" s="340" t="n">
        <x:f>XLOOKUP($D94&amp;"|"&amp;$E94&amp;"|"&amp;$F94,'PET_STAT_RULES'!$A$5:$A$88,'PET_STAT_RULES'!$F$5:$F$88)</x:f>
        <x:v>0</x:v>
      </x:c>
      <x:c r="M94" s="340" t="n">
        <x:f>XLOOKUP($D94&amp;"|"&amp;$E94&amp;"|"&amp;$F94,'PET_STAT_RULES'!$A$5:$A$88,'PET_STAT_RULES'!$G$5:$G$88)</x:f>
        <x:v>4</x:v>
      </x:c>
      <x:c r="N94" s="38" t="n">
        <x:v>2</x:v>
      </x:c>
      <x:c r="O94" s="38" t="str">
        <x:v>mech_counter_damage</x:v>
      </x:c>
      <x:c r="P94" s="38" t="str">
        <x:v>08 形状08</x:v>
      </x:c>
      <x:c r="Q94" s="38" t="str">
        <x:v>Toxic</x:v>
      </x:c>
      <x:c r="R94" s="38" t="str">
        <x:v>item confirmed；来源=Pufferfish；攻击2格；仅保留来源商人/训练师关系。</x:v>
      </x:c>
      <x:c r="S94" s="38" t="n">
        <x:v>4</x:v>
      </x:c>
      <x:c r="T94" s="38" t="n">
        <x:v>2</x:v>
      </x:c>
      <x:c r="U94" s="15" t="str">
        <x:v>skill_vanguard,skill_flank,skill_pierce,skill_revolve,skill_chase,skill_break,skill_suppress,skill_finale</x:v>
      </x:c>
      <x:c r="V94" s="15" t="str">
        <x:v>trait_element_affinity</x:v>
      </x:c>
      <x:c r="W94" s="332" t="n">
        <x:f>XLOOKUP($D94&amp;"|"&amp;$E94&amp;"|"&amp;$F94,'PET_STAT_RULES'!$A$5:$A$88,'PET_STAT_RULES'!$E$5:$E$88)</x:f>
        <x:v>0</x:v>
      </x:c>
    </x:row>
    <x:row r="95">
      <x:c r="A95" s="38" t="str">
        <x:v>pal_094</x:v>
      </x:c>
      <x:c r="B95" s="38" t="str">
        <x:v>海棠水鹿</x:v>
      </x:c>
      <x:c r="C95" s="38" t="str">
        <x:v>雷</x:v>
      </x:c>
      <x:c r="D95" s="259" t="str">
        <x:v>青铜</x:v>
      </x:c>
      <x:c r="E95" s="38" t="str">
        <x:v>输出</x:v>
      </x:c>
      <x:c r="F95" s="38" t="str">
        <x:v>两格</x:v>
      </x:c>
      <x:c r="G95" s="38" t="str">
        <x:v>bz_van_094</x:v>
      </x:c>
      <x:c r="H95" s="38" t="str">
        <x:v>elem_水, elem_雷, elem_冰, elem_无, role_召唤, role_坦克, role_控制, role_机动, tier_pT1, role_远点压制</x:v>
      </x:c>
      <x:c r="I95" s="38" t="n">
        <x:v>10</x:v>
      </x:c>
      <x:c r="J95" s="340" t="n">
        <x:f>XLOOKUP($D95&amp;"|"&amp;$E95&amp;"|"&amp;$F95,'PET_STAT_RULES'!$A$5:$A$88,'PET_STAT_RULES'!$C$5:$C$88)</x:f>
        <x:v>28</x:v>
      </x:c>
      <x:c r="K95" s="340" t="n">
        <x:f>XLOOKUP($D95&amp;"|"&amp;$E95&amp;"|"&amp;$F95,'PET_STAT_RULES'!$A$5:$A$88,'PET_STAT_RULES'!$D$5:$D$88)</x:f>
        <x:v>12</x:v>
      </x:c>
      <x:c r="L95" s="340" t="n">
        <x:f>XLOOKUP($D95&amp;"|"&amp;$E95&amp;"|"&amp;$F95,'PET_STAT_RULES'!$A$5:$A$88,'PET_STAT_RULES'!$F$5:$F$88)</x:f>
        <x:v>0</x:v>
      </x:c>
      <x:c r="M95" s="340" t="n">
        <x:f>XLOOKUP($D95&amp;"|"&amp;$E95&amp;"|"&amp;$F95,'PET_STAT_RULES'!$A$5:$A$88,'PET_STAT_RULES'!$G$5:$G$88)</x:f>
        <x:v>3</x:v>
      </x:c>
      <x:c r="N95" s="38" t="n">
        <x:v>2</x:v>
      </x:c>
      <x:c r="O95" s="38" t="str">
        <x:v>mech_grow_atk_each_round</x:v>
      </x:c>
      <x:c r="P95" s="38" t="str">
        <x:v>05 形状05</x:v>
      </x:c>
      <x:c r="Q95" s="38" t="str">
        <x:v>Deadly</x:v>
      </x:c>
      <x:c r="R95" s="38" t="str">
        <x:v>item confirmed；来源=Ramrod；攻击2格；仅保留来源商人/训练师关系。</x:v>
      </x:c>
      <x:c r="S95" s="38" t="n">
        <x:v>3</x:v>
      </x:c>
      <x:c r="T95" s="38" t="n">
        <x:v>1</x:v>
      </x:c>
      <x:c r="U95" s="15" t="str">
        <x:v>skill_vanguard,skill_flank,skill_pierce,skill_revolve,skill_chase,skill_break,skill_suppress,skill_finale</x:v>
      </x:c>
      <x:c r="V95" s="15" t="str">
        <x:v>trait_relentless</x:v>
      </x:c>
      <x:c r="W95" s="332" t="n">
        <x:f>XLOOKUP($D95&amp;"|"&amp;$E95&amp;"|"&amp;$F95,'PET_STAT_RULES'!$A$5:$A$88,'PET_STAT_RULES'!$E$5:$E$88)</x:f>
        <x:v>0</x:v>
      </x:c>
    </x:row>
    <x:row r="96">
      <x:c r="A96" s="38" t="str">
        <x:v>pal_095</x:v>
      </x:c>
      <x:c r="B96" s="38" t="str">
        <x:v>百花灵鹿</x:v>
      </x:c>
      <x:c r="C96" s="38" t="str">
        <x:v>雷</x:v>
      </x:c>
      <x:c r="D96" s="265" t="str">
        <x:v>白银</x:v>
      </x:c>
      <x:c r="E96" s="38" t="str">
        <x:v>输出</x:v>
      </x:c>
      <x:c r="F96" s="38" t="str">
        <x:v>两格</x:v>
      </x:c>
      <x:c r="G96" s="38" t="str">
        <x:v>bz_van_095</x:v>
      </x:c>
      <x:c r="H96" s="38" t="str">
        <x:v>night_base, elem_水, elem_雷, elem_无, role_召唤, role_坦克, role_控制, role_治疗, role_经济, role_机动</x:v>
      </x:c>
      <x:c r="I96" s="38" t="n">
        <x:v>10</x:v>
      </x:c>
      <x:c r="J96" s="340" t="n">
        <x:f>XLOOKUP($D96&amp;"|"&amp;$E96&amp;"|"&amp;$F96,'PET_STAT_RULES'!$A$5:$A$88,'PET_STAT_RULES'!$C$5:$C$88)</x:f>
        <x:v>40</x:v>
      </x:c>
      <x:c r="K96" s="340" t="n">
        <x:f>XLOOKUP($D96&amp;"|"&amp;$E96&amp;"|"&amp;$F96,'PET_STAT_RULES'!$A$5:$A$88,'PET_STAT_RULES'!$D$5:$D$88)</x:f>
        <x:v>20</x:v>
      </x:c>
      <x:c r="L96" s="340" t="n">
        <x:f>XLOOKUP($D96&amp;"|"&amp;$E96&amp;"|"&amp;$F96,'PET_STAT_RULES'!$A$5:$A$88,'PET_STAT_RULES'!$F$5:$F$88)</x:f>
        <x:v>0</x:v>
      </x:c>
      <x:c r="M96" s="340" t="n">
        <x:f>XLOOKUP($D96&amp;"|"&amp;$E96&amp;"|"&amp;$F96,'PET_STAT_RULES'!$A$5:$A$88,'PET_STAT_RULES'!$G$5:$G$88)</x:f>
        <x:v>3</x:v>
      </x:c>
      <x:c r="N96" s="38" t="n">
        <x:v>2</x:v>
      </x:c>
      <x:c r="O96" s="38" t="str">
        <x:v>mech_grow_atk_each_round</x:v>
      </x:c>
      <x:c r="P96" s="38" t="str">
        <x:v>10 形状10</x:v>
      </x:c>
      <x:c r="Q96" s="38" t="str">
        <x:v>Deadly</x:v>
      </x:c>
      <x:c r="R96" s="38" t="str">
        <x:v>item confirmed；来源=Repeater；攻击2格；仅保留来源商人/训练师关系。</x:v>
      </x:c>
      <x:c r="S96" s="38" t="n">
        <x:v>3</x:v>
      </x:c>
      <x:c r="T96" s="38" t="n">
        <x:v>2</x:v>
      </x:c>
      <x:c r="U96" s="15" t="str">
        <x:v>skill_vanguard,skill_flank,skill_pierce,skill_revolve,skill_chase,skill_break,skill_suppress,skill_finale</x:v>
      </x:c>
      <x:c r="V96" s="15" t="str">
        <x:v>trait_relentless</x:v>
      </x:c>
      <x:c r="W96" s="332" t="n">
        <x:f>XLOOKUP($D96&amp;"|"&amp;$E96&amp;"|"&amp;$F96,'PET_STAT_RULES'!$A$5:$A$88,'PET_STAT_RULES'!$E$5:$E$88)</x:f>
        <x:v>0</x:v>
      </x:c>
    </x:row>
    <x:row r="97">
      <x:c r="A97" s="38" t="str">
        <x:v>pal_096</x:v>
      </x:c>
      <x:c r="B97" s="38" t="str">
        <x:v>熔岩巨兽</x:v>
      </x:c>
      <x:c r="C97" s="38" t="str">
        <x:v>雷</x:v>
      </x:c>
      <x:c r="D97" s="259" t="str">
        <x:v>青铜</x:v>
      </x:c>
      <x:c r="E97" s="38" t="str">
        <x:v>输出</x:v>
      </x:c>
      <x:c r="F97" s="38" t="str">
        <x:v>一格</x:v>
      </x:c>
      <x:c r="G97" s="38" t="str">
        <x:v>bz_van_096</x:v>
      </x:c>
      <x:c r="H97" s="38" t="str">
        <x:v>night_base, elem_火, elem_雷, elem_地, role_召唤, role_坦克, role_控制, role_治疗, role_经济, role_机动</x:v>
      </x:c>
      <x:c r="I97" s="38" t="n">
        <x:v>10</x:v>
      </x:c>
      <x:c r="J97" s="340" t="n">
        <x:f>XLOOKUP($D97&amp;"|"&amp;$E97&amp;"|"&amp;$F97,'PET_STAT_RULES'!$A$5:$A$88,'PET_STAT_RULES'!$C$5:$C$88)</x:f>
        <x:v>22</x:v>
      </x:c>
      <x:c r="K97" s="340" t="n">
        <x:f>XLOOKUP($D97&amp;"|"&amp;$E97&amp;"|"&amp;$F97,'PET_STAT_RULES'!$A$5:$A$88,'PET_STAT_RULES'!$D$5:$D$88)</x:f>
        <x:v>14</x:v>
      </x:c>
      <x:c r="L97" s="340" t="n">
        <x:f>XLOOKUP($D97&amp;"|"&amp;$E97&amp;"|"&amp;$F97,'PET_STAT_RULES'!$A$5:$A$88,'PET_STAT_RULES'!$F$5:$F$88)</x:f>
        <x:v>0</x:v>
      </x:c>
      <x:c r="M97" s="340" t="n">
        <x:f>XLOOKUP($D97&amp;"|"&amp;$E97&amp;"|"&amp;$F97,'PET_STAT_RULES'!$A$5:$A$88,'PET_STAT_RULES'!$G$5:$G$88)</x:f>
        <x:v>3</x:v>
      </x:c>
      <x:c r="N97" s="38" t="n">
        <x:v>1</x:v>
      </x:c>
      <x:c r="O97" s="38" t="str">
        <x:v>mech_grow_atk_each_round</x:v>
      </x:c>
      <x:c r="P97" s="38" t="str">
        <x:v>03 形状03</x:v>
      </x:c>
      <x:c r="Q97" s="38" t="str">
        <x:v>Deadly</x:v>
      </x:c>
      <x:c r="R97" s="38" t="str">
        <x:v>item confirmed；来源=Revolver；攻击1格；仅保留来源商人/训练师关系。</x:v>
      </x:c>
      <x:c r="S97" s="38" t="n">
        <x:v>3</x:v>
      </x:c>
      <x:c r="T97" s="38" t="n">
        <x:v>1</x:v>
      </x:c>
      <x:c r="U97" s="15" t="str">
        <x:v>skill_vanguard,skill_flank,skill_pierce,skill_revolve,skill_chase,skill_break,skill_suppress,skill_finale</x:v>
      </x:c>
      <x:c r="V97" s="15" t="str">
        <x:v>trait_relentless</x:v>
      </x:c>
      <x:c r="W97" s="332" t="n">
        <x:f>XLOOKUP($D97&amp;"|"&amp;$E97&amp;"|"&amp;$F97,'PET_STAT_RULES'!$A$5:$A$88,'PET_STAT_RULES'!$E$5:$E$88)</x:f>
        <x:v>0</x:v>
      </x:c>
    </x:row>
    <x:row r="98">
      <x:c r="A98" s="38" t="str">
        <x:v>pal_097</x:v>
      </x:c>
      <x:c r="B98" s="38" t="str">
        <x:v>寒岩巨兽</x:v>
      </x:c>
      <x:c r="C98" s="38" t="str">
        <x:v>雷</x:v>
      </x:c>
      <x:c r="D98" s="259" t="str">
        <x:v>青铜</x:v>
      </x:c>
      <x:c r="E98" s="38" t="str">
        <x:v>输出</x:v>
      </x:c>
      <x:c r="F98" s="38" t="str">
        <x:v>两格</x:v>
      </x:c>
      <x:c r="G98" s="38" t="str">
        <x:v>bz_van_097</x:v>
      </x:c>
      <x:c r="H98" s="38" t="str">
        <x:v>night_base, elem_水, elem_雷, elem_无, role_召唤, role_坦克, role_控制, role_治疗, role_经济, role_机动</x:v>
      </x:c>
      <x:c r="I98" s="38" t="n">
        <x:v>10</x:v>
      </x:c>
      <x:c r="J98" s="340" t="n">
        <x:f>XLOOKUP($D98&amp;"|"&amp;$E98&amp;"|"&amp;$F98,'PET_STAT_RULES'!$A$5:$A$88,'PET_STAT_RULES'!$C$5:$C$88)</x:f>
        <x:v>28</x:v>
      </x:c>
      <x:c r="K98" s="340" t="n">
        <x:f>XLOOKUP($D98&amp;"|"&amp;$E98&amp;"|"&amp;$F98,'PET_STAT_RULES'!$A$5:$A$88,'PET_STAT_RULES'!$D$5:$D$88)</x:f>
        <x:v>12</x:v>
      </x:c>
      <x:c r="L98" s="340" t="n">
        <x:f>XLOOKUP($D98&amp;"|"&amp;$E98&amp;"|"&amp;$F98,'PET_STAT_RULES'!$A$5:$A$88,'PET_STAT_RULES'!$F$5:$F$88)</x:f>
        <x:v>0</x:v>
      </x:c>
      <x:c r="M98" s="340" t="n">
        <x:f>XLOOKUP($D98&amp;"|"&amp;$E98&amp;"|"&amp;$F98,'PET_STAT_RULES'!$A$5:$A$88,'PET_STAT_RULES'!$G$5:$G$88)</x:f>
        <x:v>3</x:v>
      </x:c>
      <x:c r="N98" s="38" t="n">
        <x:v>1</x:v>
      </x:c>
      <x:c r="O98" s="38" t="str">
        <x:v>mech_grow_atk_each_round</x:v>
      </x:c>
      <x:c r="P98" s="38" t="str">
        <x:v>02 形状02</x:v>
      </x:c>
      <x:c r="Q98" s="38" t="str">
        <x:v>Deadly</x:v>
      </x:c>
      <x:c r="R98" s="38" t="str">
        <x:v>item confirmed；来源=Rifle；攻击1格；仅保留来源商人/训练师关系。</x:v>
      </x:c>
      <x:c r="S98" s="38" t="n">
        <x:v>3</x:v>
      </x:c>
      <x:c r="T98" s="38" t="n">
        <x:v>1</x:v>
      </x:c>
      <x:c r="U98" s="15" t="str">
        <x:v>skill_vanguard,skill_flank,skill_pierce,skill_revolve,skill_chase,skill_break,skill_suppress,skill_finale</x:v>
      </x:c>
      <x:c r="V98" s="15" t="str">
        <x:v>trait_relentless</x:v>
      </x:c>
      <x:c r="W98" s="332" t="n">
        <x:f>XLOOKUP($D98&amp;"|"&amp;$E98&amp;"|"&amp;$F98,'PET_STAT_RULES'!$A$5:$A$88,'PET_STAT_RULES'!$E$5:$E$88)</x:f>
        <x:v>0</x:v>
      </x:c>
    </x:row>
    <x:row r="99">
      <x:c r="A99" s="38" t="str">
        <x:v>pal_098</x:v>
      </x:c>
      <x:c r="B99" s="38" t="str">
        <x:v>云顶巨驼</x:v>
      </x:c>
      <x:c r="C99" s="38" t="str">
        <x:v>水、雷</x:v>
      </x:c>
      <x:c r="D99" s="262" t="str">
        <x:v>黄金</x:v>
      </x:c>
      <x:c r="E99" s="38" t="str">
        <x:v>机动</x:v>
      </x:c>
      <x:c r="F99" s="38" t="str">
        <x:v>两格</x:v>
      </x:c>
      <x:c r="G99" s="38" t="str">
        <x:v>bz_van_098</x:v>
      </x:c>
      <x:c r="H99" s="38" t="str">
        <x:v>elem_火, elem_水, elem_雷, elem_冰, elem_无, role_召唤, role_坦克, role_控制, role_输出, special_merchant</x:v>
      </x:c>
      <x:c r="I99" s="38" t="n">
        <x:v>10</x:v>
      </x:c>
      <x:c r="J99" s="340" t="n">
        <x:f>XLOOKUP($D99&amp;"|"&amp;$E99&amp;"|"&amp;$F99,'PET_STAT_RULES'!$A$5:$A$88,'PET_STAT_RULES'!$C$5:$C$88)</x:f>
        <x:v>52</x:v>
      </x:c>
      <x:c r="K99" s="340" t="n">
        <x:f>XLOOKUP($D99&amp;"|"&amp;$E99&amp;"|"&amp;$F99,'PET_STAT_RULES'!$A$5:$A$88,'PET_STAT_RULES'!$D$5:$D$88)</x:f>
        <x:v>18</x:v>
      </x:c>
      <x:c r="L99" s="340" t="n">
        <x:f>XLOOKUP($D99&amp;"|"&amp;$E99&amp;"|"&amp;$F99,'PET_STAT_RULES'!$A$5:$A$88,'PET_STAT_RULES'!$F$5:$F$88)</x:f>
        <x:v>0</x:v>
      </x:c>
      <x:c r="M99" s="340" t="n">
        <x:f>XLOOKUP($D99&amp;"|"&amp;$E99&amp;"|"&amp;$F99,'PET_STAT_RULES'!$A$5:$A$88,'PET_STAT_RULES'!$G$5:$G$88)</x:f>
        <x:v>5</x:v>
      </x:c>
      <x:c r="N99" s="38" t="n">
        <x:v>2</x:v>
      </x:c>
      <x:c r="O99" s="38" t="str">
        <x:v>none</x:v>
      </x:c>
      <x:c r="P99" s="38" t="str">
        <x:v>06 形状06</x:v>
      </x:c>
      <x:c r="Q99" s="38" t="str">
        <x:v>Turbo</x:v>
      </x:c>
      <x:c r="R99" s="38" t="str">
        <x:v>item confirmed；来源=Rowboat；攻击2格；仅保留来源商人/训练师关系。</x:v>
      </x:c>
      <x:c r="S99" s="38" t="n">
        <x:v>5</x:v>
      </x:c>
      <x:c r="T99" s="38" t="n">
        <x:v>2</x:v>
      </x:c>
      <x:c r="U99" s="15" t="str">
        <x:v>skill_vanguard,skill_flank,skill_pierce,skill_revolve,skill_chase,skill_break,skill_suppress,skill_finale</x:v>
      </x:c>
      <x:c r="V99" s="15" t="str">
        <x:v>trait_relentless</x:v>
      </x:c>
      <x:c r="W99" s="332" t="n">
        <x:f>XLOOKUP($D99&amp;"|"&amp;$E99&amp;"|"&amp;$F99,'PET_STAT_RULES'!$A$5:$A$88,'PET_STAT_RULES'!$E$5:$E$88)</x:f>
        <x:v>0</x:v>
      </x:c>
    </x:row>
    <x:row r="100">
      <x:c r="A100" s="38" t="str">
        <x:v>pal_099</x:v>
      </x:c>
      <x:c r="B100" s="38" t="str">
        <x:v>冰峰巨驼</x:v>
      </x:c>
      <x:c r="C100" s="38" t="str">
        <x:v>草、水</x:v>
      </x:c>
      <x:c r="D100" s="265" t="str">
        <x:v>白银</x:v>
      </x:c>
      <x:c r="E100" s="38" t="str">
        <x:v>控制</x:v>
      </x:c>
      <x:c r="F100" s="38" t="str">
        <x:v>两格</x:v>
      </x:c>
      <x:c r="G100" s="38" t="str">
        <x:v>bz_van_099</x:v>
      </x:c>
      <x:c r="H100" s="38" t="str">
        <x:v>night_base, elem_水, elem_雷, role_坦克, role_控制, role_输出, special_merchant, elite_high, tier_pT1, role_火系压制</x:v>
      </x:c>
      <x:c r="I100" s="38" t="n">
        <x:v>10</x:v>
      </x:c>
      <x:c r="J100" s="340" t="n">
        <x:f>XLOOKUP($D100&amp;"|"&amp;$E100&amp;"|"&amp;$F100,'PET_STAT_RULES'!$A$5:$A$88,'PET_STAT_RULES'!$C$5:$C$88)</x:f>
        <x:v>44</x:v>
      </x:c>
      <x:c r="K100" s="340" t="n">
        <x:f>XLOOKUP($D100&amp;"|"&amp;$E100&amp;"|"&amp;$F100,'PET_STAT_RULES'!$A$5:$A$88,'PET_STAT_RULES'!$D$5:$D$88)</x:f>
        <x:v>14</x:v>
      </x:c>
      <x:c r="L100" s="340" t="n">
        <x:f>XLOOKUP($D100&amp;"|"&amp;$E100&amp;"|"&amp;$F100,'PET_STAT_RULES'!$A$5:$A$88,'PET_STAT_RULES'!$F$5:$F$88)</x:f>
        <x:v>0</x:v>
      </x:c>
      <x:c r="M100" s="340" t="n">
        <x:f>XLOOKUP($D100&amp;"|"&amp;$E100&amp;"|"&amp;$F100,'PET_STAT_RULES'!$A$5:$A$88,'PET_STAT_RULES'!$G$5:$G$88)</x:f>
        <x:v>4</x:v>
      </x:c>
      <x:c r="N100" s="38" t="n">
        <x:v>2</x:v>
      </x:c>
      <x:c r="O100" s="38" t="str">
        <x:v>mech_counter_damage</x:v>
      </x:c>
      <x:c r="P100" s="38" t="str">
        <x:v>11 形状11</x:v>
      </x:c>
      <x:c r="Q100" s="38" t="str">
        <x:v>Toxic</x:v>
      </x:c>
      <x:c r="R100" s="38" t="str">
        <x:v>item confirmed；来源=Scimitar of the Deep；攻击2格；仅保留来源商人/训练师关系。</x:v>
      </x:c>
      <x:c r="S100" s="38" t="n">
        <x:v>4</x:v>
      </x:c>
      <x:c r="T100" s="38" t="n">
        <x:v>2</x:v>
      </x:c>
      <x:c r="U100" s="15" t="str">
        <x:v>skill_vanguard,skill_flank,skill_pierce,skill_revolve,skill_chase,skill_break,skill_suppress,skill_finale</x:v>
      </x:c>
      <x:c r="V100" s="15" t="str">
        <x:v>trait_element_affinity</x:v>
      </x:c>
      <x:c r="W100" s="332" t="n">
        <x:f>XLOOKUP($D100&amp;"|"&amp;$E100&amp;"|"&amp;$F100,'PET_STAT_RULES'!$A$5:$A$88,'PET_STAT_RULES'!$E$5:$E$88)</x:f>
        <x:v>0</x:v>
      </x:c>
    </x:row>
    <x:row r="101">
      <x:c r="A101" s="38" t="str">
        <x:v>pal_100</x:v>
      </x:c>
      <x:c r="B101" s="38" t="str">
        <x:v>青林巨象</x:v>
      </x:c>
      <x:c r="C101" s="38" t="str">
        <x:v>水、地</x:v>
      </x:c>
      <x:c r="D101" s="259" t="str">
        <x:v>青铜</x:v>
      </x:c>
      <x:c r="E101" s="38" t="str">
        <x:v>坦克</x:v>
      </x:c>
      <x:c r="F101" s="38" t="str">
        <x:v>一格</x:v>
      </x:c>
      <x:c r="G101" s="38" t="str">
        <x:v>bz_van_100</x:v>
      </x:c>
      <x:c r="H101" s="38" t="str">
        <x:v>elem_火, elem_雷, elem_冰, elem_地, elem_龙, role_召唤, role_坦克, role_控制, role_输出, tier_pT3</x:v>
      </x:c>
      <x:c r="I101" s="38" t="n">
        <x:v>10</x:v>
      </x:c>
      <x:c r="J101" s="340" t="n">
        <x:f>XLOOKUP($D101&amp;"|"&amp;$E101&amp;"|"&amp;$F101,'PET_STAT_RULES'!$A$5:$A$88,'PET_STAT_RULES'!$C$5:$C$88)</x:f>
        <x:v>36</x:v>
      </x:c>
      <x:c r="K101" s="340" t="n">
        <x:f>XLOOKUP($D101&amp;"|"&amp;$E101&amp;"|"&amp;$F101,'PET_STAT_RULES'!$A$5:$A$88,'PET_STAT_RULES'!$D$5:$D$88)</x:f>
        <x:v>8</x:v>
      </x:c>
      <x:c r="L101" s="340" t="n">
        <x:f>XLOOKUP($D101&amp;"|"&amp;$E101&amp;"|"&amp;$F101,'PET_STAT_RULES'!$A$5:$A$88,'PET_STAT_RULES'!$F$5:$F$88)</x:f>
        <x:v>6</x:v>
      </x:c>
      <x:c r="M101" s="340" t="n">
        <x:f>XLOOKUP($D101&amp;"|"&amp;$E101&amp;"|"&amp;$F101,'PET_STAT_RULES'!$A$5:$A$88,'PET_STAT_RULES'!$G$5:$G$88)</x:f>
        <x:v>3</x:v>
      </x:c>
      <x:c r="N101" s="38" t="n">
        <x:v>1</x:v>
      </x:c>
      <x:c r="O101" s="38" t="str">
        <x:v>mech_shield_regen</x:v>
      </x:c>
      <x:c r="P101" s="38" t="str">
        <x:v>04 形状04</x:v>
      </x:c>
      <x:c r="Q101" s="38" t="str">
        <x:v>Shielded</x:v>
      </x:c>
      <x:c r="R101" s="38" t="str">
        <x:v>item confirmed；来源=Sea Shell；攻击1格；仅保留来源商人/训练师关系。</x:v>
      </x:c>
      <x:c r="S101" s="38" t="n">
        <x:v>3</x:v>
      </x:c>
      <x:c r="T101" s="38" t="n">
        <x:v>1</x:v>
      </x:c>
      <x:c r="U101" s="15" t="str">
        <x:v>skill_vanguard,skill_flank,skill_pierce,skill_revolve,skill_chase,skill_break,skill_suppress,skill_finale</x:v>
      </x:c>
      <x:c r="V101" s="15" t="str">
        <x:v>trait_combo_mastery</x:v>
      </x:c>
      <x:c r="W101" s="332" t="n">
        <x:f>XLOOKUP($D101&amp;"|"&amp;$E101&amp;"|"&amp;$F101,'PET_STAT_RULES'!$A$5:$A$88,'PET_STAT_RULES'!$E$5:$E$88)</x:f>
        <x:v>0</x:v>
      </x:c>
    </x:row>
    <x:row r="102">
      <x:c r="A102" s="38" t="str">
        <x:v>pal_101</x:v>
      </x:c>
      <x:c r="B102" s="38" t="str">
        <x:v>白牙雪象</x:v>
      </x:c>
      <x:c r="C102" s="38" t="str">
        <x:v>水、龙</x:v>
      </x:c>
      <x:c r="D102" s="265" t="str">
        <x:v>白银</x:v>
      </x:c>
      <x:c r="E102" s="38" t="str">
        <x:v>控制</x:v>
      </x:c>
      <x:c r="F102" s="38" t="str">
        <x:v>三格</x:v>
      </x:c>
      <x:c r="G102" s="38" t="str">
        <x:v>bz_van_101</x:v>
      </x:c>
      <x:c r="H102" s="38" t="str">
        <x:v>elem_水, elem_雷, elem_冰, elem_地, role_坦克, role_控制, role_输出, special_merchant, elite_high, role_召唤铺场</x:v>
      </x:c>
      <x:c r="I102" s="38" t="n">
        <x:v>10</x:v>
      </x:c>
      <x:c r="J102" s="340" t="n">
        <x:f>XLOOKUP($D102&amp;"|"&amp;$E102&amp;"|"&amp;$F102,'PET_STAT_RULES'!$A$5:$A$88,'PET_STAT_RULES'!$C$5:$C$88)</x:f>
        <x:v>50</x:v>
      </x:c>
      <x:c r="K102" s="340" t="n">
        <x:f>XLOOKUP($D102&amp;"|"&amp;$E102&amp;"|"&amp;$F102,'PET_STAT_RULES'!$A$5:$A$88,'PET_STAT_RULES'!$D$5:$D$88)</x:f>
        <x:v>12</x:v>
      </x:c>
      <x:c r="L102" s="340" t="n">
        <x:f>XLOOKUP($D102&amp;"|"&amp;$E102&amp;"|"&amp;$F102,'PET_STAT_RULES'!$A$5:$A$88,'PET_STAT_RULES'!$F$5:$F$88)</x:f>
        <x:v>0</x:v>
      </x:c>
      <x:c r="M102" s="340" t="n">
        <x:f>XLOOKUP($D102&amp;"|"&amp;$E102&amp;"|"&amp;$F102,'PET_STAT_RULES'!$A$5:$A$88,'PET_STAT_RULES'!$G$5:$G$88)</x:f>
        <x:v>4</x:v>
      </x:c>
      <x:c r="N102" s="38" t="n">
        <x:v>2</x:v>
      </x:c>
      <x:c r="O102" s="38" t="str">
        <x:v>mech_counter_damage</x:v>
      </x:c>
      <x:c r="P102" s="38" t="str">
        <x:v>10 形状10</x:v>
      </x:c>
      <x:c r="Q102" s="38" t="str">
        <x:v>Icy</x:v>
      </x:c>
      <x:c r="R102" s="38" t="str">
        <x:v>item confirmed；来源=Seadog's Saloon；攻击2格；仅保留来源商人/训练师关系。</x:v>
      </x:c>
      <x:c r="S102" s="38" t="n">
        <x:v>4</x:v>
      </x:c>
      <x:c r="T102" s="38" t="n">
        <x:v>2</x:v>
      </x:c>
      <x:c r="U102" s="15" t="str">
        <x:v>skill_vanguard,skill_flank,skill_pierce,skill_revolve,skill_chase,skill_break,skill_suppress,skill_finale</x:v>
      </x:c>
      <x:c r="V102" s="15" t="str">
        <x:v>trait_element_affinity</x:v>
      </x:c>
      <x:c r="W102" s="332" t="n">
        <x:f>XLOOKUP($D102&amp;"|"&amp;$E102&amp;"|"&amp;$F102,'PET_STAT_RULES'!$A$5:$A$88,'PET_STAT_RULES'!$E$5:$E$88)</x:f>
        <x:v>0</x:v>
      </x:c>
    </x:row>
    <x:row r="103">
      <x:c r="A103" s="38" t="str">
        <x:v>pal_102</x:v>
      </x:c>
      <x:c r="B103" s="38" t="str">
        <x:v>白绒雪猿</x:v>
      </x:c>
      <x:c r="C103" s="38" t="str">
        <x:v>暗、龙</x:v>
      </x:c>
      <x:c r="D103" s="265" t="str">
        <x:v>白银</x:v>
      </x:c>
      <x:c r="E103" s="38" t="str">
        <x:v>机动</x:v>
      </x:c>
      <x:c r="F103" s="38" t="str">
        <x:v>两格</x:v>
      </x:c>
      <x:c r="G103" s="38" t="str">
        <x:v>bz_van_102</x:v>
      </x:c>
      <x:c r="H103" s="38" t="str">
        <x:v>elem_火, elem_水, elem_雷, elem_冰, elem_无, role_召唤, role_坦克, role_控制, special_merchant, role_机动压制</x:v>
      </x:c>
      <x:c r="I103" s="38" t="n">
        <x:v>10</x:v>
      </x:c>
      <x:c r="J103" s="340" t="n">
        <x:f>XLOOKUP($D103&amp;"|"&amp;$E103&amp;"|"&amp;$F103,'PET_STAT_RULES'!$A$5:$A$88,'PET_STAT_RULES'!$C$5:$C$88)</x:f>
        <x:v>40</x:v>
      </x:c>
      <x:c r="K103" s="340" t="n">
        <x:f>XLOOKUP($D103&amp;"|"&amp;$E103&amp;"|"&amp;$F103,'PET_STAT_RULES'!$A$5:$A$88,'PET_STAT_RULES'!$D$5:$D$88)</x:f>
        <x:v>12</x:v>
      </x:c>
      <x:c r="L103" s="340" t="n">
        <x:f>XLOOKUP($D103&amp;"|"&amp;$E103&amp;"|"&amp;$F103,'PET_STAT_RULES'!$A$5:$A$88,'PET_STAT_RULES'!$F$5:$F$88)</x:f>
        <x:v>0</x:v>
      </x:c>
      <x:c r="M103" s="340" t="n">
        <x:f>XLOOKUP($D103&amp;"|"&amp;$E103&amp;"|"&amp;$F103,'PET_STAT_RULES'!$A$5:$A$88,'PET_STAT_RULES'!$G$5:$G$88)</x:f>
        <x:v>5</x:v>
      </x:c>
      <x:c r="N103" s="38" t="n">
        <x:v>2</x:v>
      </x:c>
      <x:c r="O103" s="38" t="str">
        <x:v>none</x:v>
      </x:c>
      <x:c r="P103" s="38" t="str">
        <x:v>05 形状05</x:v>
      </x:c>
      <x:c r="Q103" s="38" t="str">
        <x:v>Turbo</x:v>
      </x:c>
      <x:c r="R103" s="38" t="str">
        <x:v>item confirmed；来源=Seashadow；攻击2格；仅保留来源商人/训练师关系。</x:v>
      </x:c>
      <x:c r="S103" s="38" t="n">
        <x:v>5</x:v>
      </x:c>
      <x:c r="T103" s="38" t="n">
        <x:v>2</x:v>
      </x:c>
      <x:c r="U103" s="15" t="str">
        <x:v>skill_vanguard,skill_flank,skill_pierce,skill_revolve,skill_chase,skill_break,skill_suppress,skill_finale</x:v>
      </x:c>
      <x:c r="V103" s="15" t="str">
        <x:v>trait_relentless</x:v>
      </x:c>
      <x:c r="W103" s="332" t="n">
        <x:f>XLOOKUP($D103&amp;"|"&amp;$E103&amp;"|"&amp;$F103,'PET_STAT_RULES'!$A$5:$A$88,'PET_STAT_RULES'!$E$5:$E$88)</x:f>
        <x:v>0</x:v>
      </x:c>
    </x:row>
    <x:row r="104">
      <x:c r="A104" s="38" t="str">
        <x:v>pal_103</x:v>
      </x:c>
      <x:c r="B104" s="38" t="str">
        <x:v>绿苔巨猿</x:v>
      </x:c>
      <x:c r="C104" s="38" t="str">
        <x:v>水</x:v>
      </x:c>
      <x:c r="D104" s="259" t="str">
        <x:v>青铜</x:v>
      </x:c>
      <x:c r="E104" s="38" t="str">
        <x:v>治疗</x:v>
      </x:c>
      <x:c r="F104" s="38" t="str">
        <x:v>一格</x:v>
      </x:c>
      <x:c r="G104" s="38" t="str">
        <x:v>bz_van_103</x:v>
      </x:c>
      <x:c r="H104" s="38" t="str">
        <x:v>night_base, elem_火, elem_雷, elem_冰, elem_地, role_召唤, role_坦克, role_控制, role_治疗, role_输出</x:v>
      </x:c>
      <x:c r="I104" s="38" t="n">
        <x:v>10</x:v>
      </x:c>
      <x:c r="J104" s="340" t="n">
        <x:f>XLOOKUP($D104&amp;"|"&amp;$E104&amp;"|"&amp;$F104,'PET_STAT_RULES'!$A$5:$A$88,'PET_STAT_RULES'!$C$5:$C$88)</x:f>
        <x:v>28</x:v>
      </x:c>
      <x:c r="K104" s="340" t="n">
        <x:f>XLOOKUP($D104&amp;"|"&amp;$E104&amp;"|"&amp;$F104,'PET_STAT_RULES'!$A$5:$A$88,'PET_STAT_RULES'!$D$5:$D$88)</x:f>
        <x:v>8</x:v>
      </x:c>
      <x:c r="L104" s="340" t="n">
        <x:f>XLOOKUP($D104&amp;"|"&amp;$E104&amp;"|"&amp;$F104,'PET_STAT_RULES'!$A$5:$A$88,'PET_STAT_RULES'!$F$5:$F$88)</x:f>
        <x:v>2</x:v>
      </x:c>
      <x:c r="M104" s="340" t="n">
        <x:f>XLOOKUP($D104&amp;"|"&amp;$E104&amp;"|"&amp;$F104,'PET_STAT_RULES'!$A$5:$A$88,'PET_STAT_RULES'!$G$5:$G$88)</x:f>
        <x:v>3</x:v>
      </x:c>
      <x:c r="N104" s="38" t="n">
        <x:v>1</x:v>
      </x:c>
      <x:c r="O104" s="38" t="str">
        <x:v>mech_shield_regen</x:v>
      </x:c>
      <x:c r="P104" s="38" t="str">
        <x:v>02 形状02</x:v>
      </x:c>
      <x:c r="Q104" s="38" t="str">
        <x:v>Restorative</x:v>
      </x:c>
      <x:c r="R104" s="38" t="str">
        <x:v>item confirmed；来源=Seaweed；攻击1格；仅保留来源商人/训练师关系。</x:v>
      </x:c>
      <x:c r="S104" s="38" t="n">
        <x:v>3</x:v>
      </x:c>
      <x:c r="T104" s="38" t="n">
        <x:v>1</x:v>
      </x:c>
      <x:c r="U104" s="15" t="str">
        <x:v>skill_vanguard,skill_flank,skill_pierce,skill_revolve,skill_chase,skill_break,skill_suppress,skill_finale</x:v>
      </x:c>
      <x:c r="V104" s="15" t="str">
        <x:v>trait_element_affinity</x:v>
      </x:c>
      <x:c r="W104" s="332" t="n">
        <x:f>XLOOKUP($D104&amp;"|"&amp;$E104&amp;"|"&amp;$F104,'PET_STAT_RULES'!$A$5:$A$88,'PET_STAT_RULES'!$E$5:$E$88)</x:f>
        <x:v>0</x:v>
      </x:c>
    </x:row>
    <x:row r="105">
      <x:c r="A105" s="38" t="str">
        <x:v>pal_104</x:v>
      </x:c>
      <x:c r="B105" s="38" t="str">
        <x:v>铁甲巨兕</x:v>
      </x:c>
      <x:c r="C105" s="38" t="str">
        <x:v>水、雷</x:v>
      </x:c>
      <x:c r="D105" s="265" t="str">
        <x:v>白银</x:v>
      </x:c>
      <x:c r="E105" s="38" t="str">
        <x:v>机动</x:v>
      </x:c>
      <x:c r="F105" s="38" t="str">
        <x:v>两格</x:v>
      </x:c>
      <x:c r="G105" s="38" t="str">
        <x:v>bz_van_104</x:v>
      </x:c>
      <x:c r="H105" s="38" t="str">
        <x:v>elem_水, elem_雷, elem_冰, elem_无, role_坦克, role_控制, role_输出, special_merchant, elite_high, tier_pT1</x:v>
      </x:c>
      <x:c r="I105" s="38" t="n">
        <x:v>10</x:v>
      </x:c>
      <x:c r="J105" s="340" t="n">
        <x:f>XLOOKUP($D105&amp;"|"&amp;$E105&amp;"|"&amp;$F105,'PET_STAT_RULES'!$A$5:$A$88,'PET_STAT_RULES'!$C$5:$C$88)</x:f>
        <x:v>40</x:v>
      </x:c>
      <x:c r="K105" s="340" t="n">
        <x:f>XLOOKUP($D105&amp;"|"&amp;$E105&amp;"|"&amp;$F105,'PET_STAT_RULES'!$A$5:$A$88,'PET_STAT_RULES'!$D$5:$D$88)</x:f>
        <x:v>12</x:v>
      </x:c>
      <x:c r="L105" s="340" t="n">
        <x:f>XLOOKUP($D105&amp;"|"&amp;$E105&amp;"|"&amp;$F105,'PET_STAT_RULES'!$A$5:$A$88,'PET_STAT_RULES'!$F$5:$F$88)</x:f>
        <x:v>0</x:v>
      </x:c>
      <x:c r="M105" s="340" t="n">
        <x:f>XLOOKUP($D105&amp;"|"&amp;$E105&amp;"|"&amp;$F105,'PET_STAT_RULES'!$A$5:$A$88,'PET_STAT_RULES'!$G$5:$G$88)</x:f>
        <x:v>5</x:v>
      </x:c>
      <x:c r="N105" s="38" t="n">
        <x:v>2</x:v>
      </x:c>
      <x:c r="O105" s="38" t="str">
        <x:v>none</x:v>
      </x:c>
      <x:c r="P105" s="38" t="str">
        <x:v>07 形状07</x:v>
      </x:c>
      <x:c r="Q105" s="38" t="str">
        <x:v>Turbo</x:v>
      </x:c>
      <x:c r="R105" s="38" t="str">
        <x:v>item confirmed；来源=Sextant；攻击2格；仅保留来源商人/训练师关系。</x:v>
      </x:c>
      <x:c r="S105" s="38" t="n">
        <x:v>5</x:v>
      </x:c>
      <x:c r="T105" s="38" t="n">
        <x:v>2</x:v>
      </x:c>
      <x:c r="U105" s="15" t="str">
        <x:v>skill_vanguard,skill_flank,skill_pierce,skill_revolve,skill_chase,skill_break,skill_suppress,skill_finale</x:v>
      </x:c>
      <x:c r="V105" s="15" t="str">
        <x:v>trait_relentless</x:v>
      </x:c>
      <x:c r="W105" s="332" t="n">
        <x:f>XLOOKUP($D105&amp;"|"&amp;$E105&amp;"|"&amp;$F105,'PET_STAT_RULES'!$A$5:$A$88,'PET_STAT_RULES'!$E$5:$E$88)</x:f>
        <x:v>0</x:v>
      </x:c>
    </x:row>
    <x:row r="106">
      <x:c r="A106" s="38" t="str">
        <x:v>pal_105</x:v>
      </x:c>
      <x:c r="B106" s="38" t="str">
        <x:v>云海白鹿</x:v>
      </x:c>
      <x:c r="C106" s="38" t="str">
        <x:v>水</x:v>
      </x:c>
      <x:c r="D106" s="259" t="str">
        <x:v>青铜</x:v>
      </x:c>
      <x:c r="E106" s="38" t="str">
        <x:v>输出</x:v>
      </x:c>
      <x:c r="F106" s="38" t="str">
        <x:v>两格</x:v>
      </x:c>
      <x:c r="G106" s="38" t="str">
        <x:v>bz_van_105</x:v>
      </x:c>
      <x:c r="H106" s="38" t="str">
        <x:v>night_base, elem_水, elem_雷, elem_无, role_召唤, role_坦克, role_控制, role_治疗, role_输出, role_经济</x:v>
      </x:c>
      <x:c r="I106" s="38" t="n">
        <x:v>10</x:v>
      </x:c>
      <x:c r="J106" s="340" t="n">
        <x:f>XLOOKUP($D106&amp;"|"&amp;$E106&amp;"|"&amp;$F106,'PET_STAT_RULES'!$A$5:$A$88,'PET_STAT_RULES'!$C$5:$C$88)</x:f>
        <x:v>28</x:v>
      </x:c>
      <x:c r="K106" s="340" t="n">
        <x:f>XLOOKUP($D106&amp;"|"&amp;$E106&amp;"|"&amp;$F106,'PET_STAT_RULES'!$A$5:$A$88,'PET_STAT_RULES'!$D$5:$D$88)</x:f>
        <x:v>12</x:v>
      </x:c>
      <x:c r="L106" s="340" t="n">
        <x:f>XLOOKUP($D106&amp;"|"&amp;$E106&amp;"|"&amp;$F106,'PET_STAT_RULES'!$A$5:$A$88,'PET_STAT_RULES'!$F$5:$F$88)</x:f>
        <x:v>0</x:v>
      </x:c>
      <x:c r="M106" s="340" t="n">
        <x:f>XLOOKUP($D106&amp;"|"&amp;$E106&amp;"|"&amp;$F106,'PET_STAT_RULES'!$A$5:$A$88,'PET_STAT_RULES'!$G$5:$G$88)</x:f>
        <x:v>3</x:v>
      </x:c>
      <x:c r="N106" s="38" t="n">
        <x:v>1</x:v>
      </x:c>
      <x:c r="O106" s="38" t="str">
        <x:v>mech_grow_atk_each_round</x:v>
      </x:c>
      <x:c r="P106" s="38" t="str">
        <x:v>03 形状03</x:v>
      </x:c>
      <x:c r="Q106" s="38" t="str">
        <x:v>Deadly</x:v>
      </x:c>
      <x:c r="R106" s="38" t="str">
        <x:v>item confirmed；来源=Sharkclaws；攻击1格；仅保留来源商人/训练师关系。</x:v>
      </x:c>
      <x:c r="S106" s="38" t="n">
        <x:v>3</x:v>
      </x:c>
      <x:c r="T106" s="38" t="n">
        <x:v>1</x:v>
      </x:c>
      <x:c r="U106" s="15" t="str">
        <x:v>skill_vanguard,skill_flank,skill_pierce,skill_revolve,skill_chase,skill_break,skill_suppress,skill_finale</x:v>
      </x:c>
      <x:c r="V106" s="15" t="str">
        <x:v>trait_relentless</x:v>
      </x:c>
      <x:c r="W106" s="332" t="n">
        <x:f>XLOOKUP($D106&amp;"|"&amp;$E106&amp;"|"&amp;$F106,'PET_STAT_RULES'!$A$5:$A$88,'PET_STAT_RULES'!$E$5:$E$88)</x:f>
        <x:v>0</x:v>
      </x:c>
    </x:row>
    <x:row r="107">
      <x:c r="A107" s="38" t="str">
        <x:v>pal_106</x:v>
      </x:c>
      <x:c r="B107" s="38" t="str">
        <x:v>夜幕巨蝠</x:v>
      </x:c>
      <x:c r="C107" s="38" t="str">
        <x:v>草、水</x:v>
      </x:c>
      <x:c r="D107" s="265" t="str">
        <x:v>白银</x:v>
      </x:c>
      <x:c r="E107" s="38" t="str">
        <x:v>控制</x:v>
      </x:c>
      <x:c r="F107" s="38" t="str">
        <x:v>两格</x:v>
      </x:c>
      <x:c r="G107" s="38" t="str">
        <x:v>bz_van_106</x:v>
      </x:c>
      <x:c r="H107" s="38" t="str">
        <x:v>night_base, elem_水, elem_雷, role_坦克, role_控制, role_输出, special_merchant, elite_high, role_机动压制, role_火系压制</x:v>
      </x:c>
      <x:c r="I107" s="38" t="n">
        <x:v>10</x:v>
      </x:c>
      <x:c r="J107" s="340" t="n">
        <x:f>XLOOKUP($D107&amp;"|"&amp;$E107&amp;"|"&amp;$F107,'PET_STAT_RULES'!$A$5:$A$88,'PET_STAT_RULES'!$C$5:$C$88)</x:f>
        <x:v>44</x:v>
      </x:c>
      <x:c r="K107" s="340" t="n">
        <x:f>XLOOKUP($D107&amp;"|"&amp;$E107&amp;"|"&amp;$F107,'PET_STAT_RULES'!$A$5:$A$88,'PET_STAT_RULES'!$D$5:$D$88)</x:f>
        <x:v>14</x:v>
      </x:c>
      <x:c r="L107" s="340" t="n">
        <x:f>XLOOKUP($D107&amp;"|"&amp;$E107&amp;"|"&amp;$F107,'PET_STAT_RULES'!$A$5:$A$88,'PET_STAT_RULES'!$F$5:$F$88)</x:f>
        <x:v>0</x:v>
      </x:c>
      <x:c r="M107" s="340" t="n">
        <x:f>XLOOKUP($D107&amp;"|"&amp;$E107&amp;"|"&amp;$F107,'PET_STAT_RULES'!$A$5:$A$88,'PET_STAT_RULES'!$G$5:$G$88)</x:f>
        <x:v>4</x:v>
      </x:c>
      <x:c r="N107" s="38" t="n">
        <x:v>2</x:v>
      </x:c>
      <x:c r="O107" s="38" t="str">
        <x:v>mech_counter_damage</x:v>
      </x:c>
      <x:c r="P107" s="38" t="str">
        <x:v>11 形状11</x:v>
      </x:c>
      <x:c r="Q107" s="38" t="str">
        <x:v>Toxic</x:v>
      </x:c>
      <x:c r="R107" s="38" t="str">
        <x:v>item confirmed；来源=Sharkray；攻击2格；仅保留来源商人/训练师关系。</x:v>
      </x:c>
      <x:c r="S107" s="38" t="n">
        <x:v>4</x:v>
      </x:c>
      <x:c r="T107" s="38" t="n">
        <x:v>2</x:v>
      </x:c>
      <x:c r="U107" s="15" t="str">
        <x:v>skill_vanguard,skill_flank,skill_pierce,skill_revolve,skill_chase,skill_break,skill_suppress,skill_finale</x:v>
      </x:c>
      <x:c r="V107" s="15" t="str">
        <x:v>trait_element_affinity</x:v>
      </x:c>
      <x:c r="W107" s="332" t="n">
        <x:f>XLOOKUP($D107&amp;"|"&amp;$E107&amp;"|"&amp;$F107,'PET_STAT_RULES'!$A$5:$A$88,'PET_STAT_RULES'!$E$5:$E$88)</x:f>
        <x:v>0</x:v>
      </x:c>
    </x:row>
    <x:row r="108">
      <x:c r="A108" s="38" t="str">
        <x:v>pal_107</x:v>
      </x:c>
      <x:c r="B108" s="38" t="str">
        <x:v>天羽云螭</x:v>
      </x:c>
      <x:c r="C108" s="38" t="str">
        <x:v>水、龙</x:v>
      </x:c>
      <x:c r="D108" s="268" t="str">
        <x:v>钻石</x:v>
      </x:c>
      <x:c r="E108" s="38" t="str">
        <x:v>召唤</x:v>
      </x:c>
      <x:c r="F108" s="38" t="str">
        <x:v>三格</x:v>
      </x:c>
      <x:c r="G108" s="38" t="str">
        <x:v>bz_van_107</x:v>
      </x:c>
      <x:c r="H108" s="38" t="str">
        <x:v>elem_火, elem_水, elem_雷, elem_冰, elem_地, elem_暗, role_控制, role_治疗, role_输出, role_风系铺场</x:v>
      </x:c>
      <x:c r="I108" s="38" t="n">
        <x:v>10</x:v>
      </x:c>
      <x:c r="J108" s="340" t="n">
        <x:f>XLOOKUP($D108&amp;"|"&amp;$E108&amp;"|"&amp;$F108,'PET_STAT_RULES'!$A$5:$A$88,'PET_STAT_RULES'!$C$5:$C$88)</x:f>
        <x:v>78</x:v>
      </x:c>
      <x:c r="K108" s="340" t="n">
        <x:f>XLOOKUP($D108&amp;"|"&amp;$E108&amp;"|"&amp;$F108,'PET_STAT_RULES'!$A$5:$A$88,'PET_STAT_RULES'!$D$5:$D$88)</x:f>
        <x:v>22</x:v>
      </x:c>
      <x:c r="L108" s="340" t="n">
        <x:f>XLOOKUP($D108&amp;"|"&amp;$E108&amp;"|"&amp;$F108,'PET_STAT_RULES'!$A$5:$A$88,'PET_STAT_RULES'!$F$5:$F$88)</x:f>
        <x:v>0</x:v>
      </x:c>
      <x:c r="M108" s="340" t="n">
        <x:f>XLOOKUP($D108&amp;"|"&amp;$E108&amp;"|"&amp;$F108,'PET_STAT_RULES'!$A$5:$A$88,'PET_STAT_RULES'!$G$5:$G$88)</x:f>
        <x:v>2</x:v>
      </x:c>
      <x:c r="N108" s="38" t="n">
        <x:v>2</x:v>
      </x:c>
      <x:c r="O108" s="38" t="str">
        <x:v>mech_grow_shield_each_round</x:v>
      </x:c>
      <x:c r="P108" s="38" t="str">
        <x:v>12 形状12</x:v>
      </x:c>
      <x:c r="Q108" s="38" t="str">
        <x:v>Radiant</x:v>
      </x:c>
      <x:c r="R108" s="38" t="str">
        <x:v>item confirmed；来源=Shipwreck；攻击2格；仅保留来源商人/训练师关系。</x:v>
      </x:c>
      <x:c r="S108" s="38" t="n">
        <x:v>2</x:v>
      </x:c>
      <x:c r="T108" s="38" t="n">
        <x:v>3</x:v>
      </x:c>
      <x:c r="U108" s="15" t="str">
        <x:v>skill_vanguard,skill_flank,skill_pierce,skill_revolve,skill_chase,skill_break,skill_suppress,skill_finale</x:v>
      </x:c>
      <x:c r="V108" s="15" t="str">
        <x:v>trait_combo_resonance</x:v>
      </x:c>
      <x:c r="W108" s="332" t="n">
        <x:f>XLOOKUP($D108&amp;"|"&amp;$E108&amp;"|"&amp;$F108,'PET_STAT_RULES'!$A$5:$A$88,'PET_STAT_RULES'!$E$5:$E$88)</x:f>
        <x:v>0</x:v>
      </x:c>
    </x:row>
    <x:row r="109">
      <x:c r="A109" s="38" t="str">
        <x:v>pal_108</x:v>
      </x:c>
      <x:c r="B109" s="38" t="str">
        <x:v>焰羽赤雕</x:v>
      </x:c>
      <x:c r="C109" s="38" t="str">
        <x:v>雷</x:v>
      </x:c>
      <x:c r="D109" s="259" t="str">
        <x:v>青铜</x:v>
      </x:c>
      <x:c r="E109" s="38" t="str">
        <x:v>输出</x:v>
      </x:c>
      <x:c r="F109" s="38" t="str">
        <x:v>一格</x:v>
      </x:c>
      <x:c r="G109" s="38" t="str">
        <x:v>bz_van_108</x:v>
      </x:c>
      <x:c r="H109" s="38" t="str">
        <x:v>night_base, elem_火, elem_雷, elem_地, role_召唤, role_坦克, role_控制, role_治疗, tier_pT1, role_重甲抗压</x:v>
      </x:c>
      <x:c r="I109" s="38" t="n">
        <x:v>10</x:v>
      </x:c>
      <x:c r="J109" s="340" t="n">
        <x:f>XLOOKUP($D109&amp;"|"&amp;$E109&amp;"|"&amp;$F109,'PET_STAT_RULES'!$A$5:$A$88,'PET_STAT_RULES'!$C$5:$C$88)</x:f>
        <x:v>22</x:v>
      </x:c>
      <x:c r="K109" s="340" t="n">
        <x:f>XLOOKUP($D109&amp;"|"&amp;$E109&amp;"|"&amp;$F109,'PET_STAT_RULES'!$A$5:$A$88,'PET_STAT_RULES'!$D$5:$D$88)</x:f>
        <x:v>14</x:v>
      </x:c>
      <x:c r="L109" s="340" t="n">
        <x:f>XLOOKUP($D109&amp;"|"&amp;$E109&amp;"|"&amp;$F109,'PET_STAT_RULES'!$A$5:$A$88,'PET_STAT_RULES'!$F$5:$F$88)</x:f>
        <x:v>0</x:v>
      </x:c>
      <x:c r="M109" s="340" t="n">
        <x:f>XLOOKUP($D109&amp;"|"&amp;$E109&amp;"|"&amp;$F109,'PET_STAT_RULES'!$A$5:$A$88,'PET_STAT_RULES'!$G$5:$G$88)</x:f>
        <x:v>3</x:v>
      </x:c>
      <x:c r="N109" s="38" t="n">
        <x:v>1</x:v>
      </x:c>
      <x:c r="O109" s="38" t="str">
        <x:v>mech_grow_atk_each_round</x:v>
      </x:c>
      <x:c r="P109" s="38" t="str">
        <x:v>02 形状02</x:v>
      </x:c>
      <x:c r="Q109" s="38" t="str">
        <x:v>Deadly</x:v>
      </x:c>
      <x:c r="R109" s="38" t="str">
        <x:v>item confirmed；来源=Shoe Blade；攻击1格；仅保留来源商人/训练师关系。</x:v>
      </x:c>
      <x:c r="S109" s="38" t="n">
        <x:v>3</x:v>
      </x:c>
      <x:c r="T109" s="38" t="n">
        <x:v>1</x:v>
      </x:c>
      <x:c r="U109" s="15" t="str">
        <x:v>skill_vanguard,skill_flank,skill_pierce,skill_revolve,skill_chase,skill_break,skill_suppress,skill_finale</x:v>
      </x:c>
      <x:c r="V109" s="15" t="str">
        <x:v>trait_relentless</x:v>
      </x:c>
      <x:c r="W109" s="332" t="n">
        <x:f>XLOOKUP($D109&amp;"|"&amp;$E109&amp;"|"&amp;$F109,'PET_STAT_RULES'!$A$5:$A$88,'PET_STAT_RULES'!$E$5:$E$88)</x:f>
        <x:v>0</x:v>
      </x:c>
    </x:row>
    <x:row r="110">
      <x:c r="A110" s="38" t="str">
        <x:v>pal_109</x:v>
      </x:c>
      <x:c r="B110" s="38" t="str">
        <x:v>冥羽黑乌</x:v>
      </x:c>
      <x:c r="C110" s="38" t="str">
        <x:v>雷</x:v>
      </x:c>
      <x:c r="D110" s="265" t="str">
        <x:v>白银</x:v>
      </x:c>
      <x:c r="E110" s="38" t="str">
        <x:v>控制</x:v>
      </x:c>
      <x:c r="F110" s="38" t="str">
        <x:v>一格</x:v>
      </x:c>
      <x:c r="G110" s="38" t="str">
        <x:v>bz_van_109</x:v>
      </x:c>
      <x:c r="H110" s="38" t="str">
        <x:v>elem_火, elem_雷, elem_冰, elem_地, role_坦克, role_控制, role_机动, special_merchant, elite_high, role_召唤铺场</x:v>
      </x:c>
      <x:c r="I110" s="38" t="n">
        <x:v>10</x:v>
      </x:c>
      <x:c r="J110" s="340" t="n">
        <x:f>XLOOKUP($D110&amp;"|"&amp;$E110&amp;"|"&amp;$F110,'PET_STAT_RULES'!$A$5:$A$88,'PET_STAT_RULES'!$C$5:$C$88)</x:f>
        <x:v>38</x:v>
      </x:c>
      <x:c r="K110" s="340" t="n">
        <x:f>XLOOKUP($D110&amp;"|"&amp;$E110&amp;"|"&amp;$F110,'PET_STAT_RULES'!$A$5:$A$88,'PET_STAT_RULES'!$D$5:$D$88)</x:f>
        <x:v>16</x:v>
      </x:c>
      <x:c r="L110" s="340" t="n">
        <x:f>XLOOKUP($D110&amp;"|"&amp;$E110&amp;"|"&amp;$F110,'PET_STAT_RULES'!$A$5:$A$88,'PET_STAT_RULES'!$F$5:$F$88)</x:f>
        <x:v>0</x:v>
      </x:c>
      <x:c r="M110" s="340" t="n">
        <x:f>XLOOKUP($D110&amp;"|"&amp;$E110&amp;"|"&amp;$F110,'PET_STAT_RULES'!$A$5:$A$88,'PET_STAT_RULES'!$G$5:$G$88)</x:f>
        <x:v>4</x:v>
      </x:c>
      <x:c r="N110" s="38" t="n">
        <x:v>2</x:v>
      </x:c>
      <x:c r="O110" s="38" t="str">
        <x:v>mech_counter_damage</x:v>
      </x:c>
      <x:c r="P110" s="38" t="str">
        <x:v>05 形状05</x:v>
      </x:c>
      <x:c r="Q110" s="38" t="str">
        <x:v>Icy</x:v>
      </x:c>
      <x:c r="R110" s="38" t="str">
        <x:v>item confirmed；来源=Shot Glasses；攻击2格；仅保留来源商人/训练师关系。</x:v>
      </x:c>
      <x:c r="S110" s="38" t="n">
        <x:v>4</x:v>
      </x:c>
      <x:c r="T110" s="38" t="n">
        <x:v>2</x:v>
      </x:c>
      <x:c r="U110" s="15" t="str">
        <x:v>skill_vanguard,skill_flank,skill_pierce,skill_revolve,skill_chase,skill_break,skill_suppress,skill_finale</x:v>
      </x:c>
      <x:c r="V110" s="15" t="str">
        <x:v>trait_element_affinity</x:v>
      </x:c>
      <x:c r="W110" s="332" t="n">
        <x:f>XLOOKUP($D110&amp;"|"&amp;$E110&amp;"|"&amp;$F110,'PET_STAT_RULES'!$A$5:$A$88,'PET_STAT_RULES'!$E$5:$E$88)</x:f>
        <x:v>0</x:v>
      </x:c>
    </x:row>
    <x:row r="111">
      <x:c r="A111" s="38" t="str">
        <x:v>pal_110</x:v>
      </x:c>
      <x:c r="B111" s="38" t="str">
        <x:v>渊鳞黑蛟</x:v>
      </x:c>
      <x:c r="C111" s="38" t="str">
        <x:v>雷</x:v>
      </x:c>
      <x:c r="D111" s="259" t="str">
        <x:v>青铜</x:v>
      </x:c>
      <x:c r="E111" s="38" t="str">
        <x:v>输出</x:v>
      </x:c>
      <x:c r="F111" s="38" t="str">
        <x:v>两格</x:v>
      </x:c>
      <x:c r="G111" s="38" t="str">
        <x:v>bz_van_110</x:v>
      </x:c>
      <x:c r="H111" s="38" t="str">
        <x:v>night_base, elem_水, elem_雷, elem_无, role_召唤, role_坦克, role_控制, role_治疗, role_经济, role_远点压制</x:v>
      </x:c>
      <x:c r="I111" s="38" t="n">
        <x:v>10</x:v>
      </x:c>
      <x:c r="J111" s="340" t="n">
        <x:f>XLOOKUP($D111&amp;"|"&amp;$E111&amp;"|"&amp;$F111,'PET_STAT_RULES'!$A$5:$A$88,'PET_STAT_RULES'!$C$5:$C$88)</x:f>
        <x:v>28</x:v>
      </x:c>
      <x:c r="K111" s="340" t="n">
        <x:f>XLOOKUP($D111&amp;"|"&amp;$E111&amp;"|"&amp;$F111,'PET_STAT_RULES'!$A$5:$A$88,'PET_STAT_RULES'!$D$5:$D$88)</x:f>
        <x:v>12</x:v>
      </x:c>
      <x:c r="L111" s="340" t="n">
        <x:f>XLOOKUP($D111&amp;"|"&amp;$E111&amp;"|"&amp;$F111,'PET_STAT_RULES'!$A$5:$A$88,'PET_STAT_RULES'!$F$5:$F$88)</x:f>
        <x:v>0</x:v>
      </x:c>
      <x:c r="M111" s="340" t="n">
        <x:f>XLOOKUP($D111&amp;"|"&amp;$E111&amp;"|"&amp;$F111,'PET_STAT_RULES'!$A$5:$A$88,'PET_STAT_RULES'!$G$5:$G$88)</x:f>
        <x:v>3</x:v>
      </x:c>
      <x:c r="N111" s="38" t="n">
        <x:v>3</x:v>
      </x:c>
      <x:c r="O111" s="38" t="str">
        <x:v>mech_grow_atk_each_round</x:v>
      </x:c>
      <x:c r="P111" s="38" t="str">
        <x:v>16 形状16</x:v>
      </x:c>
      <x:c r="Q111" s="38" t="str">
        <x:v>Deadly</x:v>
      </x:c>
      <x:c r="R111" s="38" t="str">
        <x:v>item confirmed；来源=Shovel；攻击3格；仅保留来源商人/训练师关系。</x:v>
      </x:c>
      <x:c r="S111" s="38" t="n">
        <x:v>3</x:v>
      </x:c>
      <x:c r="T111" s="38" t="n">
        <x:v>1</x:v>
      </x:c>
      <x:c r="U111" s="15" t="str">
        <x:v>skill_vanguard,skill_flank,skill_pierce,skill_revolve,skill_chase,skill_break,skill_suppress,skill_finale</x:v>
      </x:c>
      <x:c r="V111" s="15" t="str">
        <x:v>trait_relentless</x:v>
      </x:c>
      <x:c r="W111" s="332" t="n">
        <x:f>XLOOKUP($D111&amp;"|"&amp;$E111&amp;"|"&amp;$F111,'PET_STAT_RULES'!$A$5:$A$88,'PET_STAT_RULES'!$E$5:$E$88)</x:f>
        <x:v>0</x:v>
      </x:c>
    </x:row>
    <x:row r="112">
      <x:c r="A112" s="38" t="str">
        <x:v>pal_111</x:v>
      </x:c>
      <x:c r="B112" s="38" t="str">
        <x:v>毒甲蝎将</x:v>
      </x:c>
      <x:c r="C112" s="38" t="str">
        <x:v>雷</x:v>
      </x:c>
      <x:c r="D112" s="259" t="str">
        <x:v>青铜</x:v>
      </x:c>
      <x:c r="E112" s="38" t="str">
        <x:v>输出</x:v>
      </x:c>
      <x:c r="F112" s="38" t="str">
        <x:v>一格</x:v>
      </x:c>
      <x:c r="G112" s="38" t="str">
        <x:v>bz_van_111</x:v>
      </x:c>
      <x:c r="H112" s="38" t="str">
        <x:v>night_base, elem_火, elem_雷, elem_地, role_召唤, role_坦克, role_控制, role_治疗, role_经济, role_机动</x:v>
      </x:c>
      <x:c r="I112" s="38" t="n">
        <x:v>10</x:v>
      </x:c>
      <x:c r="J112" s="340" t="n">
        <x:f>XLOOKUP($D112&amp;"|"&amp;$E112&amp;"|"&amp;$F112,'PET_STAT_RULES'!$A$5:$A$88,'PET_STAT_RULES'!$C$5:$C$88)</x:f>
        <x:v>22</x:v>
      </x:c>
      <x:c r="K112" s="340" t="n">
        <x:f>XLOOKUP($D112&amp;"|"&amp;$E112&amp;"|"&amp;$F112,'PET_STAT_RULES'!$A$5:$A$88,'PET_STAT_RULES'!$D$5:$D$88)</x:f>
        <x:v>14</x:v>
      </x:c>
      <x:c r="L112" s="340" t="n">
        <x:f>XLOOKUP($D112&amp;"|"&amp;$E112&amp;"|"&amp;$F112,'PET_STAT_RULES'!$A$5:$A$88,'PET_STAT_RULES'!$F$5:$F$88)</x:f>
        <x:v>0</x:v>
      </x:c>
      <x:c r="M112" s="340" t="n">
        <x:f>XLOOKUP($D112&amp;"|"&amp;$E112&amp;"|"&amp;$F112,'PET_STAT_RULES'!$A$5:$A$88,'PET_STAT_RULES'!$G$5:$G$88)</x:f>
        <x:v>3</x:v>
      </x:c>
      <x:c r="N112" s="38" t="n">
        <x:v>3</x:v>
      </x:c>
      <x:c r="O112" s="38" t="str">
        <x:v>mech_grow_atk_each_round</x:v>
      </x:c>
      <x:c r="P112" s="38" t="str">
        <x:v>16 形状16</x:v>
      </x:c>
      <x:c r="Q112" s="38" t="str">
        <x:v>Deadly</x:v>
      </x:c>
      <x:c r="R112" s="38" t="str">
        <x:v>item confirmed；来源=Shuriken；攻击3格；仅保留来源商人/训练师关系。</x:v>
      </x:c>
      <x:c r="S112" s="38" t="n">
        <x:v>3</x:v>
      </x:c>
      <x:c r="T112" s="38" t="n">
        <x:v>1</x:v>
      </x:c>
      <x:c r="U112" s="15" t="str">
        <x:v>skill_vanguard,skill_flank,skill_pierce,skill_revolve,skill_chase,skill_break,skill_suppress,skill_finale</x:v>
      </x:c>
      <x:c r="V112" s="15" t="str">
        <x:v>trait_relentless</x:v>
      </x:c>
      <x:c r="W112" s="332" t="n">
        <x:f>XLOOKUP($D112&amp;"|"&amp;$E112&amp;"|"&amp;$F112,'PET_STAT_RULES'!$A$5:$A$88,'PET_STAT_RULES'!$E$5:$E$88)</x:f>
        <x:v>0</x:v>
      </x:c>
    </x:row>
    <x:row r="113">
      <x:c r="A113" s="38" t="str">
        <x:v>pal_112</x:v>
      </x:c>
      <x:c r="B113" s="38" t="str">
        <x:v>石猿战将</x:v>
      </x:c>
      <x:c r="C113" s="38" t="str">
        <x:v>火、冰</x:v>
      </x:c>
      <x:c r="D113" s="262" t="str">
        <x:v>黄金</x:v>
      </x:c>
      <x:c r="E113" s="38" t="str">
        <x:v>控制</x:v>
      </x:c>
      <x:c r="F113" s="38" t="str">
        <x:v>三格</x:v>
      </x:c>
      <x:c r="G113" s="38" t="str">
        <x:v>bz_van_112</x:v>
      </x:c>
      <x:c r="H113" s="38" t="str">
        <x:v>night_base, elem_水, elem_雷, role_坦克, role_控制, role_输出, tier_pT2, role_机动压制, role_风系牵制, role_火系压制</x:v>
      </x:c>
      <x:c r="I113" s="38" t="n">
        <x:v>10</x:v>
      </x:c>
      <x:c r="J113" s="340" t="n">
        <x:f>XLOOKUP($D113&amp;"|"&amp;$E113&amp;"|"&amp;$F113,'PET_STAT_RULES'!$A$5:$A$88,'PET_STAT_RULES'!$C$5:$C$88)</x:f>
        <x:v>62</x:v>
      </x:c>
      <x:c r="K113" s="340" t="n">
        <x:f>XLOOKUP($D113&amp;"|"&amp;$E113&amp;"|"&amp;$F113,'PET_STAT_RULES'!$A$5:$A$88,'PET_STAT_RULES'!$D$5:$D$88)</x:f>
        <x:v>18</x:v>
      </x:c>
      <x:c r="L113" s="340" t="n">
        <x:f>XLOOKUP($D113&amp;"|"&amp;$E113&amp;"|"&amp;$F113,'PET_STAT_RULES'!$A$5:$A$88,'PET_STAT_RULES'!$F$5:$F$88)</x:f>
        <x:v>0</x:v>
      </x:c>
      <x:c r="M113" s="340" t="n">
        <x:f>XLOOKUP($D113&amp;"|"&amp;$E113&amp;"|"&amp;$F113,'PET_STAT_RULES'!$A$5:$A$88,'PET_STAT_RULES'!$G$5:$G$88)</x:f>
        <x:v>4</x:v>
      </x:c>
      <x:c r="N113" s="38" t="n">
        <x:v>2</x:v>
      </x:c>
      <x:c r="O113" s="38" t="str">
        <x:v>mech_fire_ignite_bonus</x:v>
      </x:c>
      <x:c r="P113" s="38" t="str">
        <x:v>10 形状10</x:v>
      </x:c>
      <x:c r="Q113" s="38" t="str">
        <x:v>Fiery</x:v>
      </x:c>
      <x:c r="R113" s="38" t="str">
        <x:v>item confirmed；来源=Slumbering Primordial；攻击2格；仅保留来源商人/训练师关系。</x:v>
      </x:c>
      <x:c r="S113" s="38" t="n">
        <x:v>4</x:v>
      </x:c>
      <x:c r="T113" s="38" t="n">
        <x:v>2</x:v>
      </x:c>
      <x:c r="U113" s="15" t="str">
        <x:v>skill_vanguard,skill_flank,skill_pierce,skill_revolve,skill_chase,skill_break,skill_suppress,skill_finale</x:v>
      </x:c>
      <x:c r="V113" s="15" t="str">
        <x:v>trait_element_affinity</x:v>
      </x:c>
      <x:c r="W113" s="332" t="n">
        <x:f>XLOOKUP($D113&amp;"|"&amp;$E113&amp;"|"&amp;$F113,'PET_STAT_RULES'!$A$5:$A$88,'PET_STAT_RULES'!$E$5:$E$88)</x:f>
        <x:v>0</x:v>
      </x:c>
    </x:row>
    <x:row r="114">
      <x:c r="A114" s="38" t="str">
        <x:v>pal_113</x:v>
      </x:c>
      <x:c r="B114" s="38" t="str">
        <x:v>覆海蛟王</x:v>
      </x:c>
      <x:c r="C114" s="38" t="str">
        <x:v>水</x:v>
      </x:c>
      <x:c r="D114" s="262" t="str">
        <x:v>黄金</x:v>
      </x:c>
      <x:c r="E114" s="38" t="str">
        <x:v>输出</x:v>
      </x:c>
      <x:c r="F114" s="38" t="str">
        <x:v>两格</x:v>
      </x:c>
      <x:c r="G114" s="38" t="str">
        <x:v>bz_van_113</x:v>
      </x:c>
      <x:c r="H114" s="38" t="str">
        <x:v>night_base, elem_水, elem_雷, elem_暗, elem_无, role_召唤, role_坦克, role_控制, role_治疗, elite_high</x:v>
      </x:c>
      <x:c r="I114" s="38" t="n">
        <x:v>10</x:v>
      </x:c>
      <x:c r="J114" s="340" t="n">
        <x:f>XLOOKUP($D114&amp;"|"&amp;$E114&amp;"|"&amp;$F114,'PET_STAT_RULES'!$A$5:$A$88,'PET_STAT_RULES'!$C$5:$C$88)</x:f>
        <x:v>52</x:v>
      </x:c>
      <x:c r="K114" s="340" t="n">
        <x:f>XLOOKUP($D114&amp;"|"&amp;$E114&amp;"|"&amp;$F114,'PET_STAT_RULES'!$A$5:$A$88,'PET_STAT_RULES'!$D$5:$D$88)</x:f>
        <x:v>28</x:v>
      </x:c>
      <x:c r="L114" s="340" t="n">
        <x:f>XLOOKUP($D114&amp;"|"&amp;$E114&amp;"|"&amp;$F114,'PET_STAT_RULES'!$A$5:$A$88,'PET_STAT_RULES'!$F$5:$F$88)</x:f>
        <x:v>0</x:v>
      </x:c>
      <x:c r="M114" s="340" t="n">
        <x:f>XLOOKUP($D114&amp;"|"&amp;$E114&amp;"|"&amp;$F114,'PET_STAT_RULES'!$A$5:$A$88,'PET_STAT_RULES'!$G$5:$G$88)</x:f>
        <x:v>3</x:v>
      </x:c>
      <x:c r="N114" s="38" t="n">
        <x:v>3</x:v>
      </x:c>
      <x:c r="O114" s="38" t="str">
        <x:v>mech_grow_atk_each_round</x:v>
      </x:c>
      <x:c r="P114" s="38" t="str">
        <x:v>17 形状17</x:v>
      </x:c>
      <x:c r="Q114" s="38" t="str">
        <x:v>Deadly</x:v>
      </x:c>
      <x:c r="R114" s="38" t="str">
        <x:v>item confirmed；来源=Sniper Rifle；攻击3格；仅保留来源商人/训练师关系。</x:v>
      </x:c>
      <x:c r="S114" s="38" t="n">
        <x:v>3</x:v>
      </x:c>
      <x:c r="T114" s="38" t="n">
        <x:v>2</x:v>
      </x:c>
      <x:c r="U114" s="15" t="str">
        <x:v>skill_vanguard,skill_flank,skill_pierce,skill_revolve,skill_chase,skill_break,skill_suppress,skill_finale</x:v>
      </x:c>
      <x:c r="V114" s="15" t="str">
        <x:v>trait_relentless</x:v>
      </x:c>
      <x:c r="W114" s="332" t="n">
        <x:f>XLOOKUP($D114&amp;"|"&amp;$E114&amp;"|"&amp;$F114,'PET_STAT_RULES'!$A$5:$A$88,'PET_STAT_RULES'!$E$5:$E$88)</x:f>
        <x:v>0</x:v>
      </x:c>
    </x:row>
    <x:row r="115">
      <x:c r="A115" s="38" t="str">
        <x:v>pal_114</x:v>
      </x:c>
      <x:c r="B115" s="38" t="str">
        <x:v>赤焰龙君</x:v>
      </x:c>
      <x:c r="C115" s="38" t="str">
        <x:v>雷</x:v>
      </x:c>
      <x:c r="D115" s="262" t="str">
        <x:v>黄金</x:v>
      </x:c>
      <x:c r="E115" s="38" t="str">
        <x:v>控制</x:v>
      </x:c>
      <x:c r="F115" s="38" t="str">
        <x:v>两格</x:v>
      </x:c>
      <x:c r="G115" s="38" t="str">
        <x:v>bz_van_114</x:v>
      </x:c>
      <x:c r="H115" s="38" t="str">
        <x:v>elem_水, elem_雷, elem_冰, elem_无, role_坦克, role_控制, special_merchant, tier_pT1, role_召唤铺场, role_远点压制</x:v>
      </x:c>
      <x:c r="I115" s="38" t="n">
        <x:v>10</x:v>
      </x:c>
      <x:c r="J115" s="340" t="n">
        <x:f>XLOOKUP($D115&amp;"|"&amp;$E115&amp;"|"&amp;$F115,'PET_STAT_RULES'!$A$5:$A$88,'PET_STAT_RULES'!$C$5:$C$88)</x:f>
        <x:v>56</x:v>
      </x:c>
      <x:c r="K115" s="340" t="n">
        <x:f>XLOOKUP($D115&amp;"|"&amp;$E115&amp;"|"&amp;$F115,'PET_STAT_RULES'!$A$5:$A$88,'PET_STAT_RULES'!$D$5:$D$88)</x:f>
        <x:v>20</x:v>
      </x:c>
      <x:c r="L115" s="340" t="n">
        <x:f>XLOOKUP($D115&amp;"|"&amp;$E115&amp;"|"&amp;$F115,'PET_STAT_RULES'!$A$5:$A$88,'PET_STAT_RULES'!$F$5:$F$88)</x:f>
        <x:v>0</x:v>
      </x:c>
      <x:c r="M115" s="340" t="n">
        <x:f>XLOOKUP($D115&amp;"|"&amp;$E115&amp;"|"&amp;$F115,'PET_STAT_RULES'!$A$5:$A$88,'PET_STAT_RULES'!$G$5:$G$88)</x:f>
        <x:v>4</x:v>
      </x:c>
      <x:c r="N115" s="38" t="n">
        <x:v>3</x:v>
      </x:c>
      <x:c r="O115" s="38" t="str">
        <x:v>mech_counter_damage</x:v>
      </x:c>
      <x:c r="P115" s="38" t="str">
        <x:v>15 形状15</x:v>
      </x:c>
      <x:c r="Q115" s="38" t="str">
        <x:v>Icy</x:v>
      </x:c>
      <x:c r="R115" s="38" t="str">
        <x:v>item confirmed；来源=Spyglass；攻击3格；仅保留来源商人/训练师关系。</x:v>
      </x:c>
      <x:c r="S115" s="38" t="n">
        <x:v>4</x:v>
      </x:c>
      <x:c r="T115" s="38" t="n">
        <x:v>2</x:v>
      </x:c>
      <x:c r="U115" s="15" t="str">
        <x:v>skill_vanguard,skill_flank,skill_pierce,skill_revolve,skill_chase,skill_break,skill_suppress,skill_finale</x:v>
      </x:c>
      <x:c r="V115" s="15" t="str">
        <x:v>trait_element_affinity</x:v>
      </x:c>
      <x:c r="W115" s="332" t="n">
        <x:f>XLOOKUP($D115&amp;"|"&amp;$E115&amp;"|"&amp;$F115,'PET_STAT_RULES'!$A$5:$A$88,'PET_STAT_RULES'!$E$5:$E$88)</x:f>
        <x:v>0</x:v>
      </x:c>
    </x:row>
    <x:row r="116">
      <x:c r="A116" s="38" t="str">
        <x:v>pal_115</x:v>
      </x:c>
      <x:c r="B116" s="38" t="str">
        <x:v>南明朱雀</x:v>
      </x:c>
      <x:c r="C116" s="38" t="str">
        <x:v>雷、龙</x:v>
      </x:c>
      <x:c r="D116" s="259" t="str">
        <x:v>青铜</x:v>
      </x:c>
      <x:c r="E116" s="38" t="str">
        <x:v>机动</x:v>
      </x:c>
      <x:c r="F116" s="38" t="str">
        <x:v>两格</x:v>
      </x:c>
      <x:c r="G116" s="38" t="str">
        <x:v>bz_van_115</x:v>
      </x:c>
      <x:c r="H116" s="38" t="str">
        <x:v>elem_水, elem_雷, elem_冰, elem_无, role_召唤, role_坦克, role_控制, special_merchant, tier_pT1, role_远点压制</x:v>
      </x:c>
      <x:c r="I116" s="38" t="n">
        <x:v>10</x:v>
      </x:c>
      <x:c r="J116" s="340" t="n">
        <x:f>XLOOKUP($D116&amp;"|"&amp;$E116&amp;"|"&amp;$F116,'PET_STAT_RULES'!$A$5:$A$88,'PET_STAT_RULES'!$C$5:$C$88)</x:f>
        <x:v>28</x:v>
      </x:c>
      <x:c r="K116" s="340" t="n">
        <x:f>XLOOKUP($D116&amp;"|"&amp;$E116&amp;"|"&amp;$F116,'PET_STAT_RULES'!$A$5:$A$88,'PET_STAT_RULES'!$D$5:$D$88)</x:f>
        <x:v>6</x:v>
      </x:c>
      <x:c r="L116" s="340" t="n">
        <x:f>XLOOKUP($D116&amp;"|"&amp;$E116&amp;"|"&amp;$F116,'PET_STAT_RULES'!$A$5:$A$88,'PET_STAT_RULES'!$F$5:$F$88)</x:f>
        <x:v>0</x:v>
      </x:c>
      <x:c r="M116" s="340" t="n">
        <x:f>XLOOKUP($D116&amp;"|"&amp;$E116&amp;"|"&amp;$F116,'PET_STAT_RULES'!$A$5:$A$88,'PET_STAT_RULES'!$G$5:$G$88)</x:f>
        <x:v>5</x:v>
      </x:c>
      <x:c r="N116" s="38" t="n">
        <x:v>2</x:v>
      </x:c>
      <x:c r="O116" s="38" t="str">
        <x:v>none</x:v>
      </x:c>
      <x:c r="P116" s="38" t="str">
        <x:v>09 形状09</x:v>
      </x:c>
      <x:c r="Q116" s="38" t="str">
        <x:v>Turbo</x:v>
      </x:c>
      <x:c r="R116" s="38" t="str">
        <x:v>item confirmed；来源=Star Chart；攻击2格；仅保留来源商人/训练师关系。</x:v>
      </x:c>
      <x:c r="S116" s="38" t="n">
        <x:v>5</x:v>
      </x:c>
      <x:c r="T116" s="38" t="n">
        <x:v>1</x:v>
      </x:c>
      <x:c r="U116" s="15" t="str">
        <x:v>skill_vanguard,skill_flank,skill_pierce,skill_revolve,skill_chase,skill_break,skill_suppress,skill_finale</x:v>
      </x:c>
      <x:c r="V116" s="15" t="str">
        <x:v>trait_relentless</x:v>
      </x:c>
      <x:c r="W116" s="332" t="n">
        <x:f>XLOOKUP($D116&amp;"|"&amp;$E116&amp;"|"&amp;$F116,'PET_STAT_RULES'!$A$5:$A$88,'PET_STAT_RULES'!$E$5:$E$88)</x:f>
        <x:v>0</x:v>
      </x:c>
    </x:row>
    <x:row r="117">
      <x:c r="A117" s="38" t="str">
        <x:v>pal_116</x:v>
      </x:c>
      <x:c r="B117" s="38" t="str">
        <x:v>净瓶青鸾</x:v>
      </x:c>
      <x:c r="C117" s="38" t="str">
        <x:v>龙</x:v>
      </x:c>
      <x:c r="D117" s="265" t="str">
        <x:v>白银</x:v>
      </x:c>
      <x:c r="E117" s="38" t="str">
        <x:v>机动</x:v>
      </x:c>
      <x:c r="F117" s="38" t="str">
        <x:v>三格</x:v>
      </x:c>
      <x:c r="G117" s="38" t="str">
        <x:v>bz_van_116</x:v>
      </x:c>
      <x:c r="H117" s="38" t="str">
        <x:v>elem_火, elem_水, elem_草, elem_雷, elem_冰, elem_地, role_坦克, role_控制, role_抗压承伤, role_风系铺场</x:v>
      </x:c>
      <x:c r="I117" s="38" t="n">
        <x:v>10</x:v>
      </x:c>
      <x:c r="J117" s="340" t="n">
        <x:f>XLOOKUP($D117&amp;"|"&amp;$E117&amp;"|"&amp;$F117,'PET_STAT_RULES'!$A$5:$A$88,'PET_STAT_RULES'!$C$5:$C$88)</x:f>
        <x:v>46</x:v>
      </x:c>
      <x:c r="K117" s="340" t="n">
        <x:f>XLOOKUP($D117&amp;"|"&amp;$E117&amp;"|"&amp;$F117,'PET_STAT_RULES'!$A$5:$A$88,'PET_STAT_RULES'!$D$5:$D$88)</x:f>
        <x:v>10</x:v>
      </x:c>
      <x:c r="L117" s="340" t="n">
        <x:f>XLOOKUP($D117&amp;"|"&amp;$E117&amp;"|"&amp;$F117,'PET_STAT_RULES'!$A$5:$A$88,'PET_STAT_RULES'!$F$5:$F$88)</x:f>
        <x:v>0</x:v>
      </x:c>
      <x:c r="M117" s="340" t="n">
        <x:f>XLOOKUP($D117&amp;"|"&amp;$E117&amp;"|"&amp;$F117,'PET_STAT_RULES'!$A$5:$A$88,'PET_STAT_RULES'!$G$5:$G$88)</x:f>
        <x:v>5</x:v>
      </x:c>
      <x:c r="N117" s="38" t="n">
        <x:v>2</x:v>
      </x:c>
      <x:c r="O117" s="38" t="str">
        <x:v>none</x:v>
      </x:c>
      <x:c r="P117" s="38" t="str">
        <x:v>11 形状11</x:v>
      </x:c>
      <x:c r="Q117" s="38" t="str">
        <x:v>Deadly</x:v>
      </x:c>
      <x:c r="R117" s="38" t="str">
        <x:v>item confirmed；来源=Stealth Glider；攻击2格；仅保留来源商人/训练师关系。</x:v>
      </x:c>
      <x:c r="S117" s="38" t="n">
        <x:v>5</x:v>
      </x:c>
      <x:c r="T117" s="38" t="n">
        <x:v>2</x:v>
      </x:c>
      <x:c r="U117" s="15" t="str">
        <x:v>skill_vanguard,skill_flank,skill_pierce,skill_revolve,skill_chase,skill_break,skill_suppress,skill_finale</x:v>
      </x:c>
      <x:c r="V117" s="15" t="str">
        <x:v>trait_relentless</x:v>
      </x:c>
      <x:c r="W117" s="332" t="n">
        <x:f>XLOOKUP($D117&amp;"|"&amp;$E117&amp;"|"&amp;$F117,'PET_STAT_RULES'!$A$5:$A$88,'PET_STAT_RULES'!$E$5:$E$88)</x:f>
        <x:v>0</x:v>
      </x:c>
    </x:row>
    <x:row r="118">
      <x:c r="A118" s="38" t="str">
        <x:v>pal_117</x:v>
      </x:c>
      <x:c r="B118" s="38" t="str">
        <x:v>九霄熊王</x:v>
      </x:c>
      <x:c r="C118" s="38" t="str">
        <x:v>冰、水</x:v>
      </x:c>
      <x:c r="D118" s="265" t="str">
        <x:v>白银</x:v>
      </x:c>
      <x:c r="E118" s="38" t="str">
        <x:v>坦克</x:v>
      </x:c>
      <x:c r="F118" s="38" t="str">
        <x:v>三格</x:v>
      </x:c>
      <x:c r="G118" s="38" t="str">
        <x:v>bz_van_117</x:v>
      </x:c>
      <x:c r="H118" s="38" t="str">
        <x:v>night_base, elem_火, elem_水, elem_雷, elem_地, role_坦克, role_控制, role_输出, tier_pT3, role_抗压承伤</x:v>
      </x:c>
      <x:c r="I118" s="38" t="n">
        <x:v>10</x:v>
      </x:c>
      <x:c r="J118" s="340" t="n">
        <x:f>XLOOKUP($D118&amp;"|"&amp;$E118&amp;"|"&amp;$F118,'PET_STAT_RULES'!$A$5:$A$88,'PET_STAT_RULES'!$C$5:$C$88)</x:f>
        <x:v>60</x:v>
      </x:c>
      <x:c r="K118" s="340" t="n">
        <x:f>XLOOKUP($D118&amp;"|"&amp;$E118&amp;"|"&amp;$F118,'PET_STAT_RULES'!$A$5:$A$88,'PET_STAT_RULES'!$D$5:$D$88)</x:f>
        <x:v>10</x:v>
      </x:c>
      <x:c r="L118" s="340" t="n">
        <x:f>XLOOKUP($D118&amp;"|"&amp;$E118&amp;"|"&amp;$F118,'PET_STAT_RULES'!$A$5:$A$88,'PET_STAT_RULES'!$F$5:$F$88)</x:f>
        <x:v>10</x:v>
      </x:c>
      <x:c r="M118" s="340" t="n">
        <x:f>XLOOKUP($D118&amp;"|"&amp;$E118&amp;"|"&amp;$F118,'PET_STAT_RULES'!$A$5:$A$88,'PET_STAT_RULES'!$G$5:$G$88)</x:f>
        <x:v>2</x:v>
      </x:c>
      <x:c r="N118" s="38" t="n">
        <x:v>2</x:v>
      </x:c>
      <x:c r="O118" s="38" t="str">
        <x:v>mech_shield_flat</x:v>
      </x:c>
      <x:c r="P118" s="38" t="str">
        <x:v>12 形状12</x:v>
      </x:c>
      <x:c r="Q118" s="38" t="str">
        <x:v>Icy</x:v>
      </x:c>
      <x:c r="R118" s="38" t="str">
        <x:v>item confirmed；来源=Submarine；攻击2格；仅保留来源商人/训练师关系。</x:v>
      </x:c>
      <x:c r="S118" s="38" t="n">
        <x:v>2</x:v>
      </x:c>
      <x:c r="T118" s="38" t="n">
        <x:v>2</x:v>
      </x:c>
      <x:c r="U118" s="15" t="str">
        <x:v>skill_vanguard,skill_flank,skill_pierce,skill_revolve,skill_chase,skill_break,skill_suppress,skill_finale</x:v>
      </x:c>
      <x:c r="V118" s="15" t="str">
        <x:v>trait_combo_mastery</x:v>
      </x:c>
      <x:c r="W118" s="332" t="n">
        <x:f>XLOOKUP($D118&amp;"|"&amp;$E118&amp;"|"&amp;$F118,'PET_STAT_RULES'!$A$5:$A$88,'PET_STAT_RULES'!$E$5:$E$88)</x:f>
        <x:v>0</x:v>
      </x:c>
    </x:row>
    <x:row r="119">
      <x:c r="A119" s="38" t="str">
        <x:v>pal_118</x:v>
      </x:c>
      <x:c r="B119" s="38" t="str">
        <x:v>百花鹿仙</x:v>
      </x:c>
      <x:c r="C119" s="38" t="str">
        <x:v>水、地</x:v>
      </x:c>
      <x:c r="D119" s="265" t="str">
        <x:v>白银</x:v>
      </x:c>
      <x:c r="E119" s="38" t="str">
        <x:v>坦克</x:v>
      </x:c>
      <x:c r="F119" s="38" t="str">
        <x:v>两格</x:v>
      </x:c>
      <x:c r="G119" s="38" t="str">
        <x:v>bz_van_118</x:v>
      </x:c>
      <x:c r="H119" s="38" t="str">
        <x:v>elem_火, elem_水, elem_雷, elem_冰, elem_无, role_坦克, role_控制, role_输出, tier_pT3, role_抗压承伤</x:v>
      </x:c>
      <x:c r="I119" s="38" t="n">
        <x:v>10</x:v>
      </x:c>
      <x:c r="J119" s="340" t="n">
        <x:f>XLOOKUP($D119&amp;"|"&amp;$E119&amp;"|"&amp;$F119,'PET_STAT_RULES'!$A$5:$A$88,'PET_STAT_RULES'!$C$5:$C$88)</x:f>
        <x:v>54</x:v>
      </x:c>
      <x:c r="K119" s="340" t="n">
        <x:f>XLOOKUP($D119&amp;"|"&amp;$E119&amp;"|"&amp;$F119,'PET_STAT_RULES'!$A$5:$A$88,'PET_STAT_RULES'!$D$5:$D$88)</x:f>
        <x:v>12</x:v>
      </x:c>
      <x:c r="L119" s="340" t="n">
        <x:f>XLOOKUP($D119&amp;"|"&amp;$E119&amp;"|"&amp;$F119,'PET_STAT_RULES'!$A$5:$A$88,'PET_STAT_RULES'!$F$5:$F$88)</x:f>
        <x:v>10</x:v>
      </x:c>
      <x:c r="M119" s="340" t="n">
        <x:f>XLOOKUP($D119&amp;"|"&amp;$E119&amp;"|"&amp;$F119,'PET_STAT_RULES'!$A$5:$A$88,'PET_STAT_RULES'!$G$5:$G$88)</x:f>
        <x:v>3</x:v>
      </x:c>
      <x:c r="N119" s="38" t="n">
        <x:v>2</x:v>
      </x:c>
      <x:c r="O119" s="38" t="str">
        <x:v>mech_armor_flat</x:v>
      </x:c>
      <x:c r="P119" s="38" t="str">
        <x:v>09 形状09</x:v>
      </x:c>
      <x:c r="Q119" s="38" t="str">
        <x:v>Turbo</x:v>
      </x:c>
      <x:c r="R119" s="38" t="str">
        <x:v>item confirmed；来源=Submersible；攻击2格；仅保留来源商人/训练师关系。</x:v>
      </x:c>
      <x:c r="S119" s="38" t="n">
        <x:v>3</x:v>
      </x:c>
      <x:c r="T119" s="38" t="n">
        <x:v>2</x:v>
      </x:c>
      <x:c r="U119" s="15" t="str">
        <x:v>skill_vanguard,skill_flank,skill_pierce,skill_revolve,skill_chase,skill_break,skill_suppress,skill_finale</x:v>
      </x:c>
      <x:c r="V119" s="15" t="str">
        <x:v>trait_combo_mastery</x:v>
      </x:c>
      <x:c r="W119" s="332" t="n">
        <x:f>XLOOKUP($D119&amp;"|"&amp;$E119&amp;"|"&amp;$F119,'PET_STAT_RULES'!$A$5:$A$88,'PET_STAT_RULES'!$E$5:$E$88)</x:f>
        <x:v>0</x:v>
      </x:c>
    </x:row>
    <x:row r="120">
      <x:c r="A120" s="38" t="str">
        <x:v>pal_119</x:v>
      </x:c>
      <x:c r="B120" s="38" t="str">
        <x:v>黑月狐姬</x:v>
      </x:c>
      <x:c r="C120" s="38" t="str">
        <x:v>水</x:v>
      </x:c>
      <x:c r="D120" s="265" t="str">
        <x:v>白银</x:v>
      </x:c>
      <x:c r="E120" s="38" t="str">
        <x:v>机动</x:v>
      </x:c>
      <x:c r="F120" s="38" t="str">
        <x:v>一格</x:v>
      </x:c>
      <x:c r="G120" s="38" t="str">
        <x:v>bz_van_119</x:v>
      </x:c>
      <x:c r="H120" s="38" t="str">
        <x:v>elem_火, elem_雷, elem_冰, elem_地, role_召唤, role_坦克, role_控制, role_治疗, special_merchant, role_抗压承伤</x:v>
      </x:c>
      <x:c r="I120" s="38" t="n">
        <x:v>10</x:v>
      </x:c>
      <x:c r="J120" s="340" t="n">
        <x:f>XLOOKUP($D120&amp;"|"&amp;$E120&amp;"|"&amp;$F120,'PET_STAT_RULES'!$A$5:$A$88,'PET_STAT_RULES'!$C$5:$C$88)</x:f>
        <x:v>34</x:v>
      </x:c>
      <x:c r="K120" s="340" t="n">
        <x:f>XLOOKUP($D120&amp;"|"&amp;$E120&amp;"|"&amp;$F120,'PET_STAT_RULES'!$A$5:$A$88,'PET_STAT_RULES'!$D$5:$D$88)</x:f>
        <x:v>14</x:v>
      </x:c>
      <x:c r="L120" s="340" t="n">
        <x:f>XLOOKUP($D120&amp;"|"&amp;$E120&amp;"|"&amp;$F120,'PET_STAT_RULES'!$A$5:$A$88,'PET_STAT_RULES'!$F$5:$F$88)</x:f>
        <x:v>0</x:v>
      </x:c>
      <x:c r="M120" s="340" t="n">
        <x:f>XLOOKUP($D120&amp;"|"&amp;$E120&amp;"|"&amp;$F120,'PET_STAT_RULES'!$A$5:$A$88,'PET_STAT_RULES'!$G$5:$G$88)</x:f>
        <x:v>5</x:v>
      </x:c>
      <x:c r="N120" s="38" t="n">
        <x:v>2</x:v>
      </x:c>
      <x:c r="O120" s="38" t="str">
        <x:v>none</x:v>
      </x:c>
      <x:c r="P120" s="38" t="str">
        <x:v>08 形状08</x:v>
      </x:c>
      <x:c r="Q120" s="38" t="str">
        <x:v>Turbo</x:v>
      </x:c>
      <x:c r="R120" s="38" t="str">
        <x:v>item confirmed；来源=Suppressor；攻击2格；仅保留来源商人/训练师关系。</x:v>
      </x:c>
      <x:c r="S120" s="38" t="n">
        <x:v>5</x:v>
      </x:c>
      <x:c r="T120" s="38" t="n">
        <x:v>2</x:v>
      </x:c>
      <x:c r="U120" s="15" t="str">
        <x:v>skill_vanguard,skill_flank,skill_pierce,skill_revolve,skill_chase,skill_break,skill_suppress,skill_finale</x:v>
      </x:c>
      <x:c r="V120" s="15" t="str">
        <x:v>trait_relentless</x:v>
      </x:c>
      <x:c r="W120" s="332" t="n">
        <x:f>XLOOKUP($D120&amp;"|"&amp;$E120&amp;"|"&amp;$F120,'PET_STAT_RULES'!$A$5:$A$88,'PET_STAT_RULES'!$E$5:$E$88)</x:f>
        <x:v>0</x:v>
      </x:c>
    </x:row>
    <x:row r="121">
      <x:c r="A121" s="38" t="str">
        <x:v>pal_120</x:v>
      </x:c>
      <x:c r="B121" s="38" t="str">
        <x:v>火云鹏王</x:v>
      </x:c>
      <x:c r="C121" s="38" t="str">
        <x:v>水、雷</x:v>
      </x:c>
      <x:c r="D121" s="262" t="str">
        <x:v>黄金</x:v>
      </x:c>
      <x:c r="E121" s="38" t="str">
        <x:v>治疗</x:v>
      </x:c>
      <x:c r="F121" s="38" t="str">
        <x:v>两格</x:v>
      </x:c>
      <x:c r="G121" s="38" t="str">
        <x:v>bz_van_120</x:v>
      </x:c>
      <x:c r="H121" s="38" t="str">
        <x:v>night_base, elem_水, elem_雷, elem_冰, elem_无, role_坦克, role_控制, tier_pT1, tier_pT3, role_重甲抗压</x:v>
      </x:c>
      <x:c r="I121" s="38" t="n">
        <x:v>10</x:v>
      </x:c>
      <x:c r="J121" s="340" t="n">
        <x:f>XLOOKUP($D121&amp;"|"&amp;$E121&amp;"|"&amp;$F121,'PET_STAT_RULES'!$A$5:$A$88,'PET_STAT_RULES'!$C$5:$C$88)</x:f>
        <x:v>58</x:v>
      </x:c>
      <x:c r="K121" s="340" t="n">
        <x:f>XLOOKUP($D121&amp;"|"&amp;$E121&amp;"|"&amp;$F121,'PET_STAT_RULES'!$A$5:$A$88,'PET_STAT_RULES'!$D$5:$D$88)</x:f>
        <x:v>18</x:v>
      </x:c>
      <x:c r="L121" s="340" t="n">
        <x:f>XLOOKUP($D121&amp;"|"&amp;$E121&amp;"|"&amp;$F121,'PET_STAT_RULES'!$A$5:$A$88,'PET_STAT_RULES'!$F$5:$F$88)</x:f>
        <x:v>6</x:v>
      </x:c>
      <x:c r="M121" s="340" t="n">
        <x:f>XLOOKUP($D121&amp;"|"&amp;$E121&amp;"|"&amp;$F121,'PET_STAT_RULES'!$A$5:$A$88,'PET_STAT_RULES'!$G$5:$G$88)</x:f>
        <x:v>3</x:v>
      </x:c>
      <x:c r="N121" s="38" t="n">
        <x:v>2</x:v>
      </x:c>
      <x:c r="O121" s="38" t="str">
        <x:v>mech_shield_regen</x:v>
      </x:c>
      <x:c r="P121" s="38" t="str">
        <x:v>05 形状05</x:v>
      </x:c>
      <x:c r="Q121" s="38" t="str">
        <x:v>Restorative</x:v>
      </x:c>
      <x:c r="R121" s="38" t="str">
        <x:v>item confirmed；来源=Swash Buckle；攻击2格；仅保留来源商人/训练师关系。</x:v>
      </x:c>
      <x:c r="S121" s="38" t="n">
        <x:v>3</x:v>
      </x:c>
      <x:c r="T121" s="38" t="n">
        <x:v>2</x:v>
      </x:c>
      <x:c r="U121" s="15" t="str">
        <x:v>skill_vanguard,skill_flank,skill_pierce,skill_revolve,skill_chase,skill_break,skill_suppress,skill_finale</x:v>
      </x:c>
      <x:c r="V121" s="15" t="str">
        <x:v>trait_element_affinity</x:v>
      </x:c>
      <x:c r="W121" s="332" t="n">
        <x:f>XLOOKUP($D121&amp;"|"&amp;$E121&amp;"|"&amp;$F121,'PET_STAT_RULES'!$A$5:$A$88,'PET_STAT_RULES'!$E$5:$E$88)</x:f>
        <x:v>0</x:v>
      </x:c>
    </x:row>
    <x:row r="122">
      <x:c r="A122" s="38" t="str">
        <x:v>pal_121</x:v>
      </x:c>
      <x:c r="B122" s="38" t="str">
        <x:v>雷泽龙王</x:v>
      </x:c>
      <x:c r="C122" s="38" t="str">
        <x:v>暗</x:v>
      </x:c>
      <x:c r="D122" s="259" t="str">
        <x:v>青铜</x:v>
      </x:c>
      <x:c r="E122" s="38" t="str">
        <x:v>输出</x:v>
      </x:c>
      <x:c r="F122" s="38" t="str">
        <x:v>一格</x:v>
      </x:c>
      <x:c r="G122" s="38" t="str">
        <x:v>bz_van_121</x:v>
      </x:c>
      <x:c r="H122" s="38" t="str">
        <x:v>night_base, elem_火, elem_雷, elem_地, elem_暗, role_召唤, role_坦克, role_控制, role_治疗, role_经济</x:v>
      </x:c>
      <x:c r="I122" s="38" t="n">
        <x:v>10</x:v>
      </x:c>
      <x:c r="J122" s="340" t="n">
        <x:f>XLOOKUP($D122&amp;"|"&amp;$E122&amp;"|"&amp;$F122,'PET_STAT_RULES'!$A$5:$A$88,'PET_STAT_RULES'!$C$5:$C$88)</x:f>
        <x:v>22</x:v>
      </x:c>
      <x:c r="K122" s="340" t="n">
        <x:f>XLOOKUP($D122&amp;"|"&amp;$E122&amp;"|"&amp;$F122,'PET_STAT_RULES'!$A$5:$A$88,'PET_STAT_RULES'!$D$5:$D$88)</x:f>
        <x:v>14</x:v>
      </x:c>
      <x:c r="L122" s="340" t="n">
        <x:f>XLOOKUP($D122&amp;"|"&amp;$E122&amp;"|"&amp;$F122,'PET_STAT_RULES'!$A$5:$A$88,'PET_STAT_RULES'!$F$5:$F$88)</x:f>
        <x:v>0</x:v>
      </x:c>
      <x:c r="M122" s="340" t="n">
        <x:f>XLOOKUP($D122&amp;"|"&amp;$E122&amp;"|"&amp;$F122,'PET_STAT_RULES'!$A$5:$A$88,'PET_STAT_RULES'!$G$5:$G$88)</x:f>
        <x:v>3</x:v>
      </x:c>
      <x:c r="N122" s="38" t="n">
        <x:v>2</x:v>
      </x:c>
      <x:c r="O122" s="38" t="str">
        <x:v>mech_grow_atk_each_round</x:v>
      </x:c>
      <x:c r="P122" s="38" t="str">
        <x:v>10 形状10</x:v>
      </x:c>
      <x:c r="Q122" s="38" t="str">
        <x:v>Deadly</x:v>
      </x:c>
      <x:c r="R122" s="38" t="str">
        <x:v>item confirmed；来源=Switchblade；攻击2格；仅保留来源商人/训练师关系。</x:v>
      </x:c>
      <x:c r="S122" s="38" t="n">
        <x:v>3</x:v>
      </x:c>
      <x:c r="T122" s="38" t="n">
        <x:v>1</x:v>
      </x:c>
      <x:c r="U122" s="15" t="str">
        <x:v>skill_vanguard,skill_flank,skill_pierce,skill_revolve,skill_chase,skill_break,skill_suppress,skill_finale</x:v>
      </x:c>
      <x:c r="V122" s="15" t="str">
        <x:v>trait_relentless</x:v>
      </x:c>
      <x:c r="W122" s="332" t="n">
        <x:f>XLOOKUP($D122&amp;"|"&amp;$E122&amp;"|"&amp;$F122,'PET_STAT_RULES'!$A$5:$A$88,'PET_STAT_RULES'!$E$5:$E$88)</x:f>
        <x:v>0</x:v>
      </x:c>
    </x:row>
    <x:row r="123">
      <x:c r="A123" s="38" t="str">
        <x:v>pal_122</x:v>
      </x:c>
      <x:c r="B123" s="38" t="str">
        <x:v>玄羽雕尊</x:v>
      </x:c>
      <x:c r="C123" s="38" t="str">
        <x:v>水、雷</x:v>
      </x:c>
      <x:c r="D123" s="262" t="str">
        <x:v>黄金</x:v>
      </x:c>
      <x:c r="E123" s="38" t="str">
        <x:v>治疗</x:v>
      </x:c>
      <x:c r="F123" s="38" t="str">
        <x:v>三格</x:v>
      </x:c>
      <x:c r="G123" s="38" t="str">
        <x:v>bz_van_122</x:v>
      </x:c>
      <x:c r="H123" s="38" t="str">
        <x:v>night_base, elem_水, elem_雷, elem_冰, elem_地, role_坦克, role_控制, role_治疗, role_机动, role_风系铺场</x:v>
      </x:c>
      <x:c r="I123" s="38" t="n">
        <x:v>10</x:v>
      </x:c>
      <x:c r="J123" s="340" t="n">
        <x:f>XLOOKUP($D123&amp;"|"&amp;$E123&amp;"|"&amp;$F123,'PET_STAT_RULES'!$A$5:$A$88,'PET_STAT_RULES'!$C$5:$C$88)</x:f>
        <x:v>64</x:v>
      </x:c>
      <x:c r="K123" s="340" t="n">
        <x:f>XLOOKUP($D123&amp;"|"&amp;$E123&amp;"|"&amp;$F123,'PET_STAT_RULES'!$A$5:$A$88,'PET_STAT_RULES'!$D$5:$D$88)</x:f>
        <x:v>16</x:v>
      </x:c>
      <x:c r="L123" s="340" t="n">
        <x:f>XLOOKUP($D123&amp;"|"&amp;$E123&amp;"|"&amp;$F123,'PET_STAT_RULES'!$A$5:$A$88,'PET_STAT_RULES'!$F$5:$F$88)</x:f>
        <x:v>6</x:v>
      </x:c>
      <x:c r="M123" s="340" t="n">
        <x:f>XLOOKUP($D123&amp;"|"&amp;$E123&amp;"|"&amp;$F123,'PET_STAT_RULES'!$A$5:$A$88,'PET_STAT_RULES'!$G$5:$G$88)</x:f>
        <x:v>2</x:v>
      </x:c>
      <x:c r="N123" s="38" t="n">
        <x:v>2</x:v>
      </x:c>
      <x:c r="O123" s="38" t="str">
        <x:v>mech_shield_regen</x:v>
      </x:c>
      <x:c r="P123" s="38" t="str">
        <x:v>05 形状05</x:v>
      </x:c>
      <x:c r="Q123" s="38" t="str">
        <x:v>Restorative</x:v>
      </x:c>
      <x:c r="R123" s="38" t="str">
        <x:v>item confirmed；来源=The Boulder；攻击2格；仅保留来源商人/训练师关系。</x:v>
      </x:c>
      <x:c r="S123" s="38" t="n">
        <x:v>2</x:v>
      </x:c>
      <x:c r="T123" s="38" t="n">
        <x:v>2</x:v>
      </x:c>
      <x:c r="U123" s="15" t="str">
        <x:v>skill_vanguard,skill_flank,skill_pierce,skill_revolve,skill_chase,skill_break,skill_suppress,skill_finale</x:v>
      </x:c>
      <x:c r="V123" s="15" t="str">
        <x:v>trait_element_affinity</x:v>
      </x:c>
      <x:c r="W123" s="332" t="n">
        <x:f>XLOOKUP($D123&amp;"|"&amp;$E123&amp;"|"&amp;$F123,'PET_STAT_RULES'!$A$5:$A$88,'PET_STAT_RULES'!$E$5:$E$88)</x:f>
        <x:v>0</x:v>
      </x:c>
    </x:row>
    <x:row r="124">
      <x:c r="A124" s="38" t="str">
        <x:v>pal_123</x:v>
      </x:c>
      <x:c r="B124" s="38" t="str">
        <x:v>白象护法</x:v>
      </x:c>
      <x:c r="C124" s="38" t="str">
        <x:v>雷</x:v>
      </x:c>
      <x:c r="D124" s="262" t="str">
        <x:v>黄金</x:v>
      </x:c>
      <x:c r="E124" s="38" t="str">
        <x:v>输出</x:v>
      </x:c>
      <x:c r="F124" s="38" t="str">
        <x:v>一格</x:v>
      </x:c>
      <x:c r="G124" s="38" t="str">
        <x:v>bz_van_123</x:v>
      </x:c>
      <x:c r="H124" s="38" t="str">
        <x:v>night_base, elem_火, elem_雷, elem_地, role_召唤, role_坦克, role_控制, role_治疗, role_机动, tier_pT1</x:v>
      </x:c>
      <x:c r="I124" s="38" t="n">
        <x:v>10</x:v>
      </x:c>
      <x:c r="J124" s="340" t="n">
        <x:f>XLOOKUP($D124&amp;"|"&amp;$E124&amp;"|"&amp;$F124,'PET_STAT_RULES'!$A$5:$A$88,'PET_STAT_RULES'!$C$5:$C$88)</x:f>
        <x:v>46</x:v>
      </x:c>
      <x:c r="K124" s="340" t="n">
        <x:f>XLOOKUP($D124&amp;"|"&amp;$E124&amp;"|"&amp;$F124,'PET_STAT_RULES'!$A$5:$A$88,'PET_STAT_RULES'!$D$5:$D$88)</x:f>
        <x:v>30</x:v>
      </x:c>
      <x:c r="L124" s="340" t="n">
        <x:f>XLOOKUP($D124&amp;"|"&amp;$E124&amp;"|"&amp;$F124,'PET_STAT_RULES'!$A$5:$A$88,'PET_STAT_RULES'!$F$5:$F$88)</x:f>
        <x:v>0</x:v>
      </x:c>
      <x:c r="M124" s="340" t="n">
        <x:f>XLOOKUP($D124&amp;"|"&amp;$E124&amp;"|"&amp;$F124,'PET_STAT_RULES'!$A$5:$A$88,'PET_STAT_RULES'!$G$5:$G$88)</x:f>
        <x:v>3</x:v>
      </x:c>
      <x:c r="N124" s="38" t="n">
        <x:v>3</x:v>
      </x:c>
      <x:c r="O124" s="38" t="str">
        <x:v>mech_grow_atk_each_round</x:v>
      </x:c>
      <x:c r="P124" s="38" t="str">
        <x:v>13 形状13</x:v>
      </x:c>
      <x:c r="Q124" s="38" t="str">
        <x:v>Deadly</x:v>
      </x:c>
      <x:c r="R124" s="38" t="str">
        <x:v>item confirmed；来源=Throwing Knives；攻击3格；仅保留来源商人/训练师关系。</x:v>
      </x:c>
      <x:c r="S124" s="38" t="n">
        <x:v>3</x:v>
      </x:c>
      <x:c r="T124" s="38" t="n">
        <x:v>2</x:v>
      </x:c>
      <x:c r="U124" s="15" t="str">
        <x:v>skill_vanguard,skill_flank,skill_pierce,skill_revolve,skill_chase,skill_break,skill_suppress,skill_finale</x:v>
      </x:c>
      <x:c r="V124" s="15" t="str">
        <x:v>trait_relentless</x:v>
      </x:c>
      <x:c r="W124" s="332" t="n">
        <x:f>XLOOKUP($D124&amp;"|"&amp;$E124&amp;"|"&amp;$F124,'PET_STAT_RULES'!$A$5:$A$88,'PET_STAT_RULES'!$E$5:$E$88)</x:f>
        <x:v>0</x:v>
      </x:c>
    </x:row>
    <x:row r="125">
      <x:c r="A125" s="38" t="str">
        <x:v>pal_124</x:v>
      </x:c>
      <x:c r="B125" s="38" t="str">
        <x:v>混世魔猿</x:v>
      </x:c>
      <x:c r="C125" s="38" t="str">
        <x:v>雷</x:v>
      </x:c>
      <x:c r="D125" s="259" t="str">
        <x:v>青铜</x:v>
      </x:c>
      <x:c r="E125" s="38" t="str">
        <x:v>输出</x:v>
      </x:c>
      <x:c r="F125" s="38" t="str">
        <x:v>一格</x:v>
      </x:c>
      <x:c r="G125" s="38" t="str">
        <x:v>bz_van_124</x:v>
      </x:c>
      <x:c r="H125" s="38" t="str">
        <x:v>elite_high</x:v>
      </x:c>
      <x:c r="I125" s="38" t="n">
        <x:v>1</x:v>
      </x:c>
      <x:c r="J125" s="340" t="n">
        <x:f>XLOOKUP($D125&amp;"|"&amp;$E125&amp;"|"&amp;$F125,'PET_STAT_RULES'!$A$5:$A$88,'PET_STAT_RULES'!$C$5:$C$88)</x:f>
        <x:v>22</x:v>
      </x:c>
      <x:c r="K125" s="340" t="n">
        <x:f>XLOOKUP($D125&amp;"|"&amp;$E125&amp;"|"&amp;$F125,'PET_STAT_RULES'!$A$5:$A$88,'PET_STAT_RULES'!$D$5:$D$88)</x:f>
        <x:v>14</x:v>
      </x:c>
      <x:c r="L125" s="340" t="n">
        <x:f>XLOOKUP($D125&amp;"|"&amp;$E125&amp;"|"&amp;$F125,'PET_STAT_RULES'!$A$5:$A$88,'PET_STAT_RULES'!$F$5:$F$88)</x:f>
        <x:v>0</x:v>
      </x:c>
      <x:c r="M125" s="340" t="n">
        <x:f>XLOOKUP($D125&amp;"|"&amp;$E125&amp;"|"&amp;$F125,'PET_STAT_RULES'!$A$5:$A$88,'PET_STAT_RULES'!$G$5:$G$88)</x:f>
        <x:v>3</x:v>
      </x:c>
      <x:c r="N125" s="38" t="n">
        <x:v>1</x:v>
      </x:c>
      <x:c r="O125" s="38" t="str">
        <x:v>mech_grow_atk_each_round</x:v>
      </x:c>
      <x:c r="P125" s="38" t="str">
        <x:v>04 形状04</x:v>
      </x:c>
      <x:c r="Q125" s="38" t="str">
        <x:v>Deadly</x:v>
      </x:c>
      <x:c r="R125" s="38" t="str">
        <x:v>item confirmed；来源=Tiny Cutlass；攻击1格；仅保留来源商人/训练师关系。</x:v>
      </x:c>
      <x:c r="S125" s="38" t="n">
        <x:v>3</x:v>
      </x:c>
      <x:c r="T125" s="38" t="n">
        <x:v>1</x:v>
      </x:c>
      <x:c r="U125" s="15" t="str">
        <x:v>skill_vanguard,skill_flank,skill_pierce,skill_revolve,skill_chase,skill_break,skill_suppress,skill_finale</x:v>
      </x:c>
      <x:c r="V125" s="15" t="str">
        <x:v>trait_relentless</x:v>
      </x:c>
      <x:c r="W125" s="332" t="n">
        <x:f>XLOOKUP($D125&amp;"|"&amp;$E125&amp;"|"&amp;$F125,'PET_STAT_RULES'!$A$5:$A$88,'PET_STAT_RULES'!$E$5:$E$88)</x:f>
        <x:v>0</x:v>
      </x:c>
    </x:row>
    <x:row r="126">
      <x:c r="A126" s="38" t="str">
        <x:v>pal_125</x:v>
      </x:c>
      <x:c r="B126" s="38" t="str">
        <x:v>寒狮妖王</x:v>
      </x:c>
      <x:c r="C126" s="38" t="str">
        <x:v>水、雷</x:v>
      </x:c>
      <x:c r="D126" s="265" t="str">
        <x:v>白银</x:v>
      </x:c>
      <x:c r="E126" s="38" t="str">
        <x:v>输出</x:v>
      </x:c>
      <x:c r="F126" s="38" t="str">
        <x:v>两格</x:v>
      </x:c>
      <x:c r="G126" s="38" t="str">
        <x:v>bz_van_125</x:v>
      </x:c>
      <x:c r="H126" s="38" t="str">
        <x:v>night_base, elem_水, elem_雷, elem_无, role_召唤, role_坦克, role_控制, role_输出, role_机动, role_抗压承伤</x:v>
      </x:c>
      <x:c r="I126" s="38" t="n">
        <x:v>10</x:v>
      </x:c>
      <x:c r="J126" s="340" t="n">
        <x:f>XLOOKUP($D126&amp;"|"&amp;$E126&amp;"|"&amp;$F126,'PET_STAT_RULES'!$A$5:$A$88,'PET_STAT_RULES'!$C$5:$C$88)</x:f>
        <x:v>40</x:v>
      </x:c>
      <x:c r="K126" s="340" t="n">
        <x:f>XLOOKUP($D126&amp;"|"&amp;$E126&amp;"|"&amp;$F126,'PET_STAT_RULES'!$A$5:$A$88,'PET_STAT_RULES'!$D$5:$D$88)</x:f>
        <x:v>20</x:v>
      </x:c>
      <x:c r="L126" s="340" t="n">
        <x:f>XLOOKUP($D126&amp;"|"&amp;$E126&amp;"|"&amp;$F126,'PET_STAT_RULES'!$A$5:$A$88,'PET_STAT_RULES'!$F$5:$F$88)</x:f>
        <x:v>0</x:v>
      </x:c>
      <x:c r="M126" s="340" t="n">
        <x:f>XLOOKUP($D126&amp;"|"&amp;$E126&amp;"|"&amp;$F126,'PET_STAT_RULES'!$A$5:$A$88,'PET_STAT_RULES'!$G$5:$G$88)</x:f>
        <x:v>3</x:v>
      </x:c>
      <x:c r="N126" s="38" t="n">
        <x:v>2</x:v>
      </x:c>
      <x:c r="O126" s="38" t="str">
        <x:v>mech_grow_atk_each_round</x:v>
      </x:c>
      <x:c r="P126" s="38" t="str">
        <x:v>05 形状05</x:v>
      </x:c>
      <x:c r="Q126" s="38" t="str">
        <x:v>Deadly</x:v>
      </x:c>
      <x:c r="R126" s="38" t="str">
        <x:v>item confirmed；来源=Torpedo；攻击2格；仅保留来源商人/训练师关系。</x:v>
      </x:c>
      <x:c r="S126" s="38" t="n">
        <x:v>3</x:v>
      </x:c>
      <x:c r="T126" s="38" t="n">
        <x:v>2</x:v>
      </x:c>
      <x:c r="U126" s="15" t="str">
        <x:v>skill_vanguard,skill_flank,skill_pierce,skill_revolve,skill_chase,skill_break,skill_suppress,skill_finale</x:v>
      </x:c>
      <x:c r="V126" s="15" t="str">
        <x:v>trait_relentless</x:v>
      </x:c>
      <x:c r="W126" s="332" t="n">
        <x:f>XLOOKUP($D126&amp;"|"&amp;$E126&amp;"|"&amp;$F126,'PET_STAT_RULES'!$A$5:$A$88,'PET_STAT_RULES'!$E$5:$E$88)</x:f>
        <x:v>0</x:v>
      </x:c>
    </x:row>
    <x:row r="127">
      <x:c r="A127" s="38" t="str">
        <x:v>pal_126</x:v>
      </x:c>
      <x:c r="B127" s="38" t="str">
        <x:v>幽冥獒王</x:v>
      </x:c>
      <x:c r="C127" s="38" t="str">
        <x:v>水、雷</x:v>
      </x:c>
      <x:c r="D127" s="262" t="str">
        <x:v>黄金</x:v>
      </x:c>
      <x:c r="E127" s="38" t="str">
        <x:v>机动</x:v>
      </x:c>
      <x:c r="F127" s="38" t="str">
        <x:v>三格</x:v>
      </x:c>
      <x:c r="G127" s="38" t="str">
        <x:v>bz_van_126</x:v>
      </x:c>
      <x:c r="H127" s="38" t="str">
        <x:v>night_base, elem_火, elem_水, elem_雷, role_坦克, role_控制, role_输出, special_merchant, elite_high, role_机动压制</x:v>
      </x:c>
      <x:c r="I127" s="38" t="n">
        <x:v>10</x:v>
      </x:c>
      <x:c r="J127" s="340" t="n">
        <x:f>XLOOKUP($D127&amp;"|"&amp;$E127&amp;"|"&amp;$F127,'PET_STAT_RULES'!$A$5:$A$88,'PET_STAT_RULES'!$C$5:$C$88)</x:f>
        <x:v>58</x:v>
      </x:c>
      <x:c r="K127" s="340" t="n">
        <x:f>XLOOKUP($D127&amp;"|"&amp;$E127&amp;"|"&amp;$F127,'PET_STAT_RULES'!$A$5:$A$88,'PET_STAT_RULES'!$D$5:$D$88)</x:f>
        <x:v>16</x:v>
      </x:c>
      <x:c r="L127" s="340" t="n">
        <x:f>XLOOKUP($D127&amp;"|"&amp;$E127&amp;"|"&amp;$F127,'PET_STAT_RULES'!$A$5:$A$88,'PET_STAT_RULES'!$F$5:$F$88)</x:f>
        <x:v>0</x:v>
      </x:c>
      <x:c r="M127" s="340" t="n">
        <x:f>XLOOKUP($D127&amp;"|"&amp;$E127&amp;"|"&amp;$F127,'PET_STAT_RULES'!$A$5:$A$88,'PET_STAT_RULES'!$G$5:$G$88)</x:f>
        <x:v>5</x:v>
      </x:c>
      <x:c r="N127" s="38" t="n">
        <x:v>2</x:v>
      </x:c>
      <x:c r="O127" s="38" t="str">
        <x:v>none</x:v>
      </x:c>
      <x:c r="P127" s="38" t="str">
        <x:v>10 形状10</x:v>
      </x:c>
      <x:c r="Q127" s="38" t="str">
        <x:v>Turbo</x:v>
      </x:c>
      <x:c r="R127" s="38" t="str">
        <x:v>item confirmed；来源=Tortuga；攻击2格；仅保留来源商人/训练师关系。</x:v>
      </x:c>
      <x:c r="S127" s="38" t="n">
        <x:v>5</x:v>
      </x:c>
      <x:c r="T127" s="38" t="n">
        <x:v>2</x:v>
      </x:c>
      <x:c r="U127" s="15" t="str">
        <x:v>skill_vanguard,skill_flank,skill_pierce,skill_revolve,skill_chase,skill_break,skill_suppress,skill_finale</x:v>
      </x:c>
      <x:c r="V127" s="15" t="str">
        <x:v>trait_relentless</x:v>
      </x:c>
      <x:c r="W127" s="332" t="n">
        <x:f>XLOOKUP($D127&amp;"|"&amp;$E127&amp;"|"&amp;$F127,'PET_STAT_RULES'!$A$5:$A$88,'PET_STAT_RULES'!$E$5:$E$88)</x:f>
        <x:v>0</x:v>
      </x:c>
    </x:row>
    <x:row r="128">
      <x:c r="A128" s="38" t="str">
        <x:v>pal_127</x:v>
      </x:c>
      <x:c r="B128" s="38" t="str">
        <x:v>九天龙君</x:v>
      </x:c>
      <x:c r="C128" s="38" t="str">
        <x:v>火、雷</x:v>
      </x:c>
      <x:c r="D128" s="265" t="str">
        <x:v>白银</x:v>
      </x:c>
      <x:c r="E128" s="38" t="str">
        <x:v>机动</x:v>
      </x:c>
      <x:c r="F128" s="38" t="str">
        <x:v>三格</x:v>
      </x:c>
      <x:c r="G128" s="38" t="str">
        <x:v>bz_van_127</x:v>
      </x:c>
      <x:c r="H128" s="38" t="str">
        <x:v>night_base, elem_水, elem_雷, elem_地, role_坦克, role_控制, special_merchant, elite_high, tier_pT2, role_风系铺场</x:v>
      </x:c>
      <x:c r="I128" s="38" t="n">
        <x:v>10</x:v>
      </x:c>
      <x:c r="J128" s="340" t="n">
        <x:f>XLOOKUP($D128&amp;"|"&amp;$E128&amp;"|"&amp;$F128,'PET_STAT_RULES'!$A$5:$A$88,'PET_STAT_RULES'!$C$5:$C$88)</x:f>
        <x:v>46</x:v>
      </x:c>
      <x:c r="K128" s="340" t="n">
        <x:f>XLOOKUP($D128&amp;"|"&amp;$E128&amp;"|"&amp;$F128,'PET_STAT_RULES'!$A$5:$A$88,'PET_STAT_RULES'!$D$5:$D$88)</x:f>
        <x:v>10</x:v>
      </x:c>
      <x:c r="L128" s="340" t="n">
        <x:f>XLOOKUP($D128&amp;"|"&amp;$E128&amp;"|"&amp;$F128,'PET_STAT_RULES'!$A$5:$A$88,'PET_STAT_RULES'!$F$5:$F$88)</x:f>
        <x:v>0</x:v>
      </x:c>
      <x:c r="M128" s="340" t="n">
        <x:f>XLOOKUP($D128&amp;"|"&amp;$E128&amp;"|"&amp;$F128,'PET_STAT_RULES'!$A$5:$A$88,'PET_STAT_RULES'!$G$5:$G$88)</x:f>
        <x:v>5</x:v>
      </x:c>
      <x:c r="N128" s="38" t="n">
        <x:v>2</x:v>
      </x:c>
      <x:c r="O128" s="38" t="str">
        <x:v>mech_fire_ignite_bonus</x:v>
      </x:c>
      <x:c r="P128" s="38" t="str">
        <x:v>10 形状10</x:v>
      </x:c>
      <x:c r="Q128" s="38" t="str">
        <x:v>Fiery</x:v>
      </x:c>
      <x:c r="R128" s="38" t="str">
        <x:v>item confirmed；来源=Trebuchet；攻击2格；仅保留来源商人/训练师关系。</x:v>
      </x:c>
      <x:c r="S128" s="38" t="n">
        <x:v>5</x:v>
      </x:c>
      <x:c r="T128" s="38" t="n">
        <x:v>2</x:v>
      </x:c>
      <x:c r="U128" s="15" t="str">
        <x:v>skill_vanguard,skill_flank,skill_pierce,skill_revolve,skill_chase,skill_break,skill_suppress,skill_finale</x:v>
      </x:c>
      <x:c r="V128" s="15" t="str">
        <x:v>trait_relentless</x:v>
      </x:c>
      <x:c r="W128" s="332" t="n">
        <x:f>XLOOKUP($D128&amp;"|"&amp;$E128&amp;"|"&amp;$F128,'PET_STAT_RULES'!$A$5:$A$88,'PET_STAT_RULES'!$E$5:$E$88)</x:f>
        <x:v>0</x:v>
      </x:c>
    </x:row>
    <x:row r="129">
      <x:c r="A129" s="38" t="str">
        <x:v>pal_128</x:v>
      </x:c>
      <x:c r="B129" s="38" t="str">
        <x:v>星貂王</x:v>
      </x:c>
      <x:c r="C129" s="38" t="str">
        <x:v>无</x:v>
      </x:c>
      <x:c r="D129" s="262" t="str">
        <x:v>黄金</x:v>
      </x:c>
      <x:c r="E129" s="38" t="str">
        <x:v>控制</x:v>
      </x:c>
      <x:c r="F129" s="38" t="str">
        <x:v>两格</x:v>
      </x:c>
      <x:c r="G129" s="38" t="str">
        <x:v>bz_van_128</x:v>
      </x:c>
      <x:c r="H129" s="38" t="str">
        <x:v>elem_水, elem_雷, elem_冰, elem_无, role_召唤, role_坦克, role_控制, role_治疗, special_merchant, role_召唤铺场</x:v>
      </x:c>
      <x:c r="I129" s="38" t="n">
        <x:v>10</x:v>
      </x:c>
      <x:c r="J129" s="340" t="n">
        <x:f>XLOOKUP($D129&amp;"|"&amp;$E129&amp;"|"&amp;$F129,'PET_STAT_RULES'!$A$5:$A$88,'PET_STAT_RULES'!$C$5:$C$88)</x:f>
        <x:v>56</x:v>
      </x:c>
      <x:c r="K129" s="340" t="n">
        <x:f>XLOOKUP($D129&amp;"|"&amp;$E129&amp;"|"&amp;$F129,'PET_STAT_RULES'!$A$5:$A$88,'PET_STAT_RULES'!$D$5:$D$88)</x:f>
        <x:v>20</x:v>
      </x:c>
      <x:c r="L129" s="340" t="n">
        <x:f>XLOOKUP($D129&amp;"|"&amp;$E129&amp;"|"&amp;$F129,'PET_STAT_RULES'!$A$5:$A$88,'PET_STAT_RULES'!$F$5:$F$88)</x:f>
        <x:v>0</x:v>
      </x:c>
      <x:c r="M129" s="340" t="n">
        <x:f>XLOOKUP($D129&amp;"|"&amp;$E129&amp;"|"&amp;$F129,'PET_STAT_RULES'!$A$5:$A$88,'PET_STAT_RULES'!$G$5:$G$88)</x:f>
        <x:v>4</x:v>
      </x:c>
      <x:c r="N129" s="38" t="n">
        <x:v>2</x:v>
      </x:c>
      <x:c r="O129" s="38" t="str">
        <x:v>mech_counter_damage</x:v>
      </x:c>
      <x:c r="P129" s="38" t="str">
        <x:v>12 形状12</x:v>
      </x:c>
      <x:c r="Q129" s="38" t="str">
        <x:v>Icy</x:v>
      </x:c>
      <x:c r="R129" s="38" t="str">
        <x:v>item confirmed；来源=Tripwire；攻击2格；仅保留来源商人/训练师关系。</x:v>
      </x:c>
      <x:c r="S129" s="38" t="n">
        <x:v>4</x:v>
      </x:c>
      <x:c r="T129" s="38" t="n">
        <x:v>2</x:v>
      </x:c>
      <x:c r="U129" s="15" t="str">
        <x:v>skill_vanguard,skill_flank,skill_pierce,skill_revolve,skill_chase,skill_break,skill_suppress,skill_finale</x:v>
      </x:c>
      <x:c r="V129" s="15" t="str">
        <x:v>trait_element_affinity</x:v>
      </x:c>
      <x:c r="W129" s="332" t="n">
        <x:f>XLOOKUP($D129&amp;"|"&amp;$E129&amp;"|"&amp;$F129,'PET_STAT_RULES'!$A$5:$A$88,'PET_STAT_RULES'!$E$5:$E$88)</x:f>
        <x:v>0</x:v>
      </x:c>
    </x:row>
    <x:row r="130">
      <x:c r="A130" s="38" t="str">
        <x:v>pal_129</x:v>
      </x:c>
      <x:c r="B130" s="38" t="str">
        <x:v>渊鹤王</x:v>
      </x:c>
      <x:c r="C130" s="38" t="str">
        <x:v>水</x:v>
      </x:c>
      <x:c r="D130" s="262" t="str">
        <x:v>黄金</x:v>
      </x:c>
      <x:c r="E130" s="38" t="str">
        <x:v>治疗</x:v>
      </x:c>
      <x:c r="F130" s="38" t="str">
        <x:v>三格</x:v>
      </x:c>
      <x:c r="G130" s="38" t="str">
        <x:v>bz_van_129</x:v>
      </x:c>
      <x:c r="H130" s="38" t="str">
        <x:v>night_base, elem_水, elem_雷, elem_冰, elem_地, role_坦克, role_控制, role_输出, special_merchant, role_召唤铺场</x:v>
      </x:c>
      <x:c r="I130" s="38" t="n">
        <x:v>10</x:v>
      </x:c>
      <x:c r="J130" s="340" t="n">
        <x:f>XLOOKUP($D130&amp;"|"&amp;$E130&amp;"|"&amp;$F130,'PET_STAT_RULES'!$A$5:$A$88,'PET_STAT_RULES'!$C$5:$C$88)</x:f>
        <x:v>64</x:v>
      </x:c>
      <x:c r="K130" s="340" t="n">
        <x:f>XLOOKUP($D130&amp;"|"&amp;$E130&amp;"|"&amp;$F130,'PET_STAT_RULES'!$A$5:$A$88,'PET_STAT_RULES'!$D$5:$D$88)</x:f>
        <x:v>16</x:v>
      </x:c>
      <x:c r="L130" s="340" t="n">
        <x:f>XLOOKUP($D130&amp;"|"&amp;$E130&amp;"|"&amp;$F130,'PET_STAT_RULES'!$A$5:$A$88,'PET_STAT_RULES'!$F$5:$F$88)</x:f>
        <x:v>6</x:v>
      </x:c>
      <x:c r="M130" s="340" t="n">
        <x:f>XLOOKUP($D130&amp;"|"&amp;$E130&amp;"|"&amp;$F130,'PET_STAT_RULES'!$A$5:$A$88,'PET_STAT_RULES'!$G$5:$G$88)</x:f>
        <x:v>2</x:v>
      </x:c>
      <x:c r="N130" s="38" t="n">
        <x:v>2</x:v>
      </x:c>
      <x:c r="O130" s="38" t="str">
        <x:v>mech_shield_regen</x:v>
      </x:c>
      <x:c r="P130" s="38" t="str">
        <x:v>06 形状06</x:v>
      </x:c>
      <x:c r="Q130" s="38" t="str">
        <x:v>Icy</x:v>
      </x:c>
      <x:c r="R130" s="38" t="str">
        <x:v>item confirmed；来源=Tropical Island；攻击2格；仅保留来源商人/训练师关系。</x:v>
      </x:c>
      <x:c r="S130" s="38" t="n">
        <x:v>2</x:v>
      </x:c>
      <x:c r="T130" s="38" t="n">
        <x:v>2</x:v>
      </x:c>
      <x:c r="U130" s="15" t="str">
        <x:v>skill_vanguard,skill_flank,skill_pierce,skill_revolve,skill_chase,skill_break,skill_suppress,skill_finale</x:v>
      </x:c>
      <x:c r="V130" s="15" t="str">
        <x:v>trait_element_affinity</x:v>
      </x:c>
      <x:c r="W130" s="332" t="n">
        <x:f>XLOOKUP($D130&amp;"|"&amp;$E130&amp;"|"&amp;$F130,'PET_STAT_RULES'!$A$5:$A$88,'PET_STAT_RULES'!$E$5:$E$88)</x:f>
        <x:v>0</x:v>
      </x:c>
    </x:row>
    <x:row r="131">
      <x:c r="A131" s="38" t="str">
        <x:v>pal_130</x:v>
      </x:c>
      <x:c r="B131" s="38" t="str">
        <x:v>潮甲君</x:v>
      </x:c>
      <x:c r="C131" s="38" t="str">
        <x:v>水、雷</x:v>
      </x:c>
      <x:c r="D131" s="262" t="str">
        <x:v>黄金</x:v>
      </x:c>
      <x:c r="E131" s="38" t="str">
        <x:v>坦克</x:v>
      </x:c>
      <x:c r="F131" s="38" t="str">
        <x:v>两格</x:v>
      </x:c>
      <x:c r="G131" s="38" t="str">
        <x:v>bz_van_130</x:v>
      </x:c>
      <x:c r="H131" s="38" t="str">
        <x:v>elem_水, elem_雷, elem_冰, elem_龙, elem_无, role_召唤, role_坦克, role_控制, role_输出, tier_pT3</x:v>
      </x:c>
      <x:c r="I131" s="38" t="n">
        <x:v>10</x:v>
      </x:c>
      <x:c r="J131" s="340" t="n">
        <x:f>XLOOKUP($D131&amp;"|"&amp;$E131&amp;"|"&amp;$F131,'PET_STAT_RULES'!$A$5:$A$88,'PET_STAT_RULES'!$C$5:$C$88)</x:f>
        <x:v>66</x:v>
      </x:c>
      <x:c r="K131" s="340" t="n">
        <x:f>XLOOKUP($D131&amp;"|"&amp;$E131&amp;"|"&amp;$F131,'PET_STAT_RULES'!$A$5:$A$88,'PET_STAT_RULES'!$D$5:$D$88)</x:f>
        <x:v>18</x:v>
      </x:c>
      <x:c r="L131" s="340" t="n">
        <x:f>XLOOKUP($D131&amp;"|"&amp;$E131&amp;"|"&amp;$F131,'PET_STAT_RULES'!$A$5:$A$88,'PET_STAT_RULES'!$F$5:$F$88)</x:f>
        <x:v>14</x:v>
      </x:c>
      <x:c r="M131" s="340" t="n">
        <x:f>XLOOKUP($D131&amp;"|"&amp;$E131&amp;"|"&amp;$F131,'PET_STAT_RULES'!$A$5:$A$88,'PET_STAT_RULES'!$G$5:$G$88)</x:f>
        <x:v>3</x:v>
      </x:c>
      <x:c r="N131" s="38" t="n">
        <x:v>2</x:v>
      </x:c>
      <x:c r="O131" s="38" t="str">
        <x:v>mech_shield_flat</x:v>
      </x:c>
      <x:c r="P131" s="38" t="str">
        <x:v>05 形状05</x:v>
      </x:c>
      <x:c r="Q131" s="38" t="str">
        <x:v>Turbo</x:v>
      </x:c>
      <x:c r="R131" s="38" t="str">
        <x:v>item confirmed；来源=Turtle Shell；攻击2格；仅保留来源商人/训练师关系。</x:v>
      </x:c>
      <x:c r="S131" s="38" t="n">
        <x:v>3</x:v>
      </x:c>
      <x:c r="T131" s="38" t="n">
        <x:v>2</x:v>
      </x:c>
      <x:c r="U131" s="15" t="str">
        <x:v>skill_vanguard,skill_flank,skill_pierce,skill_revolve,skill_chase,skill_break,skill_suppress,skill_finale</x:v>
      </x:c>
      <x:c r="V131" s="15" t="str">
        <x:v>trait_combo_mastery</x:v>
      </x:c>
      <x:c r="W131" s="332" t="n">
        <x:f>XLOOKUP($D131&amp;"|"&amp;$E131&amp;"|"&amp;$F131,'PET_STAT_RULES'!$A$5:$A$88,'PET_STAT_RULES'!$E$5:$E$88)</x:f>
        <x:v>0</x:v>
      </x:c>
    </x:row>
    <x:row r="132">
      <x:c r="A132" s="38" t="str">
        <x:v>pal_131</x:v>
      </x:c>
      <x:c r="B132" s="38" t="str">
        <x:v>碧蜂妖</x:v>
      </x:c>
      <x:c r="C132" s="38" t="str">
        <x:v>水、雷</x:v>
      </x:c>
      <x:c r="D132" s="265" t="str">
        <x:v>白银</x:v>
      </x:c>
      <x:c r="E132" s="38" t="str">
        <x:v>召唤</x:v>
      </x:c>
      <x:c r="F132" s="38" t="str">
        <x:v>一格</x:v>
      </x:c>
      <x:c r="G132" s="38" t="str">
        <x:v>bz_van_131</x:v>
      </x:c>
      <x:c r="H132" s="38" t="str">
        <x:v>night_base, elem_火, elem_雷, elem_地, role_召唤, role_坦克, role_控制, role_输出, tier_pT1, role_机动压制</x:v>
      </x:c>
      <x:c r="I132" s="38" t="n">
        <x:v>10</x:v>
      </x:c>
      <x:c r="J132" s="340" t="n">
        <x:f>XLOOKUP($D132&amp;"|"&amp;$E132&amp;"|"&amp;$F132,'PET_STAT_RULES'!$A$5:$A$88,'PET_STAT_RULES'!$C$5:$C$88)</x:f>
        <x:v>42</x:v>
      </x:c>
      <x:c r="K132" s="340" t="n">
        <x:f>XLOOKUP($D132&amp;"|"&amp;$E132&amp;"|"&amp;$F132,'PET_STAT_RULES'!$A$5:$A$88,'PET_STAT_RULES'!$D$5:$D$88)</x:f>
        <x:v>14</x:v>
      </x:c>
      <x:c r="L132" s="340" t="n">
        <x:f>XLOOKUP($D132&amp;"|"&amp;$E132&amp;"|"&amp;$F132,'PET_STAT_RULES'!$A$5:$A$88,'PET_STAT_RULES'!$F$5:$F$88)</x:f>
        <x:v>0</x:v>
      </x:c>
      <x:c r="M132" s="340" t="n">
        <x:f>XLOOKUP($D132&amp;"|"&amp;$E132&amp;"|"&amp;$F132,'PET_STAT_RULES'!$A$5:$A$88,'PET_STAT_RULES'!$G$5:$G$88)</x:f>
        <x:v>3</x:v>
      </x:c>
      <x:c r="N132" s="38" t="n">
        <x:v>2</x:v>
      </x:c>
      <x:c r="O132" s="38" t="str">
        <x:v>mech_grow_shield_each_round</x:v>
      </x:c>
      <x:c r="P132" s="38" t="str">
        <x:v>07 形状07</x:v>
      </x:c>
      <x:c r="Q132" s="38" t="str">
        <x:v>Deadly</x:v>
      </x:c>
      <x:c r="R132" s="38" t="str">
        <x:v>item confirmed；来源=Vampire Squid；攻击2格；仅保留来源商人/训练师关系。</x:v>
      </x:c>
      <x:c r="S132" s="38" t="n">
        <x:v>3</x:v>
      </x:c>
      <x:c r="T132" s="38" t="n">
        <x:v>2</x:v>
      </x:c>
      <x:c r="U132" s="15" t="str">
        <x:v>skill_vanguard,skill_flank,skill_pierce,skill_revolve,skill_chase,skill_break,skill_suppress,skill_finale</x:v>
      </x:c>
      <x:c r="V132" s="15" t="str">
        <x:v>trait_combo_resonance</x:v>
      </x:c>
      <x:c r="W132" s="332" t="n">
        <x:f>XLOOKUP($D132&amp;"|"&amp;$E132&amp;"|"&amp;$F132,'PET_STAT_RULES'!$A$5:$A$88,'PET_STAT_RULES'!$E$5:$E$88)</x:f>
        <x:v>0</x:v>
      </x:c>
    </x:row>
    <x:row r="133">
      <x:c r="A133" s="38" t="str">
        <x:v>pal_132</x:v>
      </x:c>
      <x:c r="B133" s="38" t="str">
        <x:v>烬隼童</x:v>
      </x:c>
      <x:c r="C133" s="38" t="str">
        <x:v>火、水</x:v>
      </x:c>
      <x:c r="D133" s="259" t="str">
        <x:v>青铜</x:v>
      </x:c>
      <x:c r="E133" s="38" t="str">
        <x:v>输出</x:v>
      </x:c>
      <x:c r="F133" s="38" t="str">
        <x:v>两格</x:v>
      </x:c>
      <x:c r="G133" s="38" t="str">
        <x:v>bz_van_132</x:v>
      </x:c>
      <x:c r="H133" s="38" t="str">
        <x:v>elem_水, elem_雷, elem_冰, elem_无, role_召唤, role_坦克, role_控制, role_治疗, role_输出, tier_pT2</x:v>
      </x:c>
      <x:c r="I133" s="38" t="n">
        <x:v>10</x:v>
      </x:c>
      <x:c r="J133" s="340" t="n">
        <x:f>XLOOKUP($D133&amp;"|"&amp;$E133&amp;"|"&amp;$F133,'PET_STAT_RULES'!$A$5:$A$88,'PET_STAT_RULES'!$C$5:$C$88)</x:f>
        <x:v>28</x:v>
      </x:c>
      <x:c r="K133" s="340" t="n">
        <x:f>XLOOKUP($D133&amp;"|"&amp;$E133&amp;"|"&amp;$F133,'PET_STAT_RULES'!$A$5:$A$88,'PET_STAT_RULES'!$D$5:$D$88)</x:f>
        <x:v>12</x:v>
      </x:c>
      <x:c r="L133" s="340" t="n">
        <x:f>XLOOKUP($D133&amp;"|"&amp;$E133&amp;"|"&amp;$F133,'PET_STAT_RULES'!$A$5:$A$88,'PET_STAT_RULES'!$F$5:$F$88)</x:f>
        <x:v>0</x:v>
      </x:c>
      <x:c r="M133" s="340" t="n">
        <x:f>XLOOKUP($D133&amp;"|"&amp;$E133&amp;"|"&amp;$F133,'PET_STAT_RULES'!$A$5:$A$88,'PET_STAT_RULES'!$G$5:$G$88)</x:f>
        <x:v>3</x:v>
      </x:c>
      <x:c r="N133" s="38" t="n">
        <x:v>1</x:v>
      </x:c>
      <x:c r="O133" s="38" t="str">
        <x:v>mech_fire_ignite_bonus</x:v>
      </x:c>
      <x:c r="P133" s="38" t="str">
        <x:v>02 形状02</x:v>
      </x:c>
      <x:c r="Q133" s="38" t="str">
        <x:v>Fiery</x:v>
      </x:c>
      <x:c r="R133" s="38" t="str">
        <x:v>item confirmed；来源=Volcanic Vents；攻击1格；仅保留来源商人/训练师关系。</x:v>
      </x:c>
      <x:c r="S133" s="38" t="n">
        <x:v>3</x:v>
      </x:c>
      <x:c r="T133" s="38" t="n">
        <x:v>1</x:v>
      </x:c>
      <x:c r="U133" s="15" t="str">
        <x:v>skill_vanguard,skill_flank,skill_pierce,skill_revolve,skill_chase,skill_break,skill_suppress,skill_finale</x:v>
      </x:c>
      <x:c r="V133" s="15" t="str">
        <x:v>trait_relentless</x:v>
      </x:c>
      <x:c r="W133" s="332" t="n">
        <x:f>XLOOKUP($D133&amp;"|"&amp;$E133&amp;"|"&amp;$F133,'PET_STAT_RULES'!$A$5:$A$88,'PET_STAT_RULES'!$E$5:$E$88)</x:f>
        <x:v>0</x:v>
      </x:c>
    </x:row>
    <x:row r="134">
      <x:c r="A134" s="38" t="str">
        <x:v>pal_133</x:v>
      </x:c>
      <x:c r="B134" s="38" t="str">
        <x:v>雷貉卫</x:v>
      </x:c>
      <x:c r="C134" s="38" t="str">
        <x:v>雷</x:v>
      </x:c>
      <x:c r="D134" s="265" t="str">
        <x:v>白银</x:v>
      </x:c>
      <x:c r="E134" s="38" t="str">
        <x:v>经济</x:v>
      </x:c>
      <x:c r="F134" s="38" t="str">
        <x:v>两格</x:v>
      </x:c>
      <x:c r="G134" s="38" t="str">
        <x:v>bz_van_133</x:v>
      </x:c>
      <x:c r="H134" s="38" t="str">
        <x:v>elem_水, elem_雷, elem_冰, elem_无, role_召唤, role_坦克, role_控制, role_治疗, role_经济, tier_pT1</x:v>
      </x:c>
      <x:c r="I134" s="38" t="n">
        <x:v>10</x:v>
      </x:c>
      <x:c r="J134" s="340" t="n">
        <x:f>XLOOKUP($D134&amp;"|"&amp;$E134&amp;"|"&amp;$F134,'PET_STAT_RULES'!$A$5:$A$88,'PET_STAT_RULES'!$C$5:$C$88)</x:f>
        <x:v>40</x:v>
      </x:c>
      <x:c r="K134" s="340" t="n">
        <x:f>XLOOKUP($D134&amp;"|"&amp;$E134&amp;"|"&amp;$F134,'PET_STAT_RULES'!$A$5:$A$88,'PET_STAT_RULES'!$D$5:$D$88)</x:f>
        <x:v>12</x:v>
      </x:c>
      <x:c r="L134" s="340" t="n">
        <x:f>XLOOKUP($D134&amp;"|"&amp;$E134&amp;"|"&amp;$F134,'PET_STAT_RULES'!$A$5:$A$88,'PET_STAT_RULES'!$F$5:$F$88)</x:f>
        <x:v>0</x:v>
      </x:c>
      <x:c r="M134" s="340" t="n">
        <x:f>XLOOKUP($D134&amp;"|"&amp;$E134&amp;"|"&amp;$F134,'PET_STAT_RULES'!$A$5:$A$88,'PET_STAT_RULES'!$G$5:$G$88)</x:f>
        <x:v>3</x:v>
      </x:c>
      <x:c r="N134" s="38" t="n">
        <x:v>2</x:v>
      </x:c>
      <x:c r="O134" s="38" t="str">
        <x:v>none</x:v>
      </x:c>
      <x:c r="P134" s="38" t="str">
        <x:v>05 形状05</x:v>
      </x:c>
      <x:c r="Q134" s="38" t="str">
        <x:v>Deadly</x:v>
      </x:c>
      <x:c r="R134" s="38" t="str">
        <x:v>item confirmed；来源=Wanted Poster；攻击2格；仅保留来源商人/训练师关系。</x:v>
      </x:c>
      <x:c r="S134" s="38" t="n">
        <x:v>3</x:v>
      </x:c>
      <x:c r="T134" s="38" t="n">
        <x:v>2</x:v>
      </x:c>
      <x:c r="U134" s="15" t="str">
        <x:v>skill_vanguard,skill_flank,skill_pierce,skill_revolve,skill_chase,skill_break,skill_suppress,skill_finale</x:v>
      </x:c>
      <x:c r="V134" s="15" t="str">
        <x:v>trait_combo_resonance</x:v>
      </x:c>
      <x:c r="W134" s="332" t="n">
        <x:f>XLOOKUP($D134&amp;"|"&amp;$E134&amp;"|"&amp;$F134,'PET_STAT_RULES'!$A$5:$A$88,'PET_STAT_RULES'!$E$5:$E$88)</x:f>
        <x:v>0</x:v>
      </x:c>
    </x:row>
    <x:row r="135">
      <x:c r="A135" s="38" t="str">
        <x:v>pal_134</x:v>
      </x:c>
      <x:c r="B135" s="38" t="str">
        <x:v>沧雀卫</x:v>
      </x:c>
      <x:c r="C135" s="38" t="str">
        <x:v>水、雷</x:v>
      </x:c>
      <x:c r="D135" s="265" t="str">
        <x:v>白银</x:v>
      </x:c>
      <x:c r="E135" s="38" t="str">
        <x:v>机动</x:v>
      </x:c>
      <x:c r="F135" s="38" t="str">
        <x:v>三格</x:v>
      </x:c>
      <x:c r="G135" s="38" t="str">
        <x:v>bz_van_134</x:v>
      </x:c>
      <x:c r="H135" s="38" t="str">
        <x:v>elem_水, elem_雷, elem_冰, elem_地, elem_暗, role_坦克, role_控制, role_输出, special_merchant, elite_high</x:v>
      </x:c>
      <x:c r="I135" s="38" t="n">
        <x:v>10</x:v>
      </x:c>
      <x:c r="J135" s="340" t="n">
        <x:f>XLOOKUP($D135&amp;"|"&amp;$E135&amp;"|"&amp;$F135,'PET_STAT_RULES'!$A$5:$A$88,'PET_STAT_RULES'!$C$5:$C$88)</x:f>
        <x:v>46</x:v>
      </x:c>
      <x:c r="K135" s="340" t="n">
        <x:f>XLOOKUP($D135&amp;"|"&amp;$E135&amp;"|"&amp;$F135,'PET_STAT_RULES'!$A$5:$A$88,'PET_STAT_RULES'!$D$5:$D$88)</x:f>
        <x:v>10</x:v>
      </x:c>
      <x:c r="L135" s="340" t="n">
        <x:f>XLOOKUP($D135&amp;"|"&amp;$E135&amp;"|"&amp;$F135,'PET_STAT_RULES'!$A$5:$A$88,'PET_STAT_RULES'!$F$5:$F$88)</x:f>
        <x:v>0</x:v>
      </x:c>
      <x:c r="M135" s="340" t="n">
        <x:f>XLOOKUP($D135&amp;"|"&amp;$E135&amp;"|"&amp;$F135,'PET_STAT_RULES'!$A$5:$A$88,'PET_STAT_RULES'!$G$5:$G$88)</x:f>
        <x:v>5</x:v>
      </x:c>
      <x:c r="N135" s="38" t="n">
        <x:v>2</x:v>
      </x:c>
      <x:c r="O135" s="38" t="str">
        <x:v>none</x:v>
      </x:c>
      <x:c r="P135" s="38" t="str">
        <x:v>11 形状11</x:v>
      </x:c>
      <x:c r="Q135" s="38" t="str">
        <x:v>Turbo</x:v>
      </x:c>
      <x:c r="R135" s="38" t="str">
        <x:v>item confirmed；来源=Water Wheel；攻击2格；仅保留来源商人/训练师关系。</x:v>
      </x:c>
      <x:c r="S135" s="38" t="n">
        <x:v>5</x:v>
      </x:c>
      <x:c r="T135" s="38" t="n">
        <x:v>2</x:v>
      </x:c>
      <x:c r="U135" s="15" t="str">
        <x:v>skill_vanguard,skill_flank,skill_pierce,skill_revolve,skill_chase,skill_break,skill_suppress,skill_finale</x:v>
      </x:c>
      <x:c r="V135" s="15" t="str">
        <x:v>trait_relentless</x:v>
      </x:c>
      <x:c r="W135" s="332" t="n">
        <x:f>XLOOKUP($D135&amp;"|"&amp;$E135&amp;"|"&amp;$F135,'PET_STAT_RULES'!$A$5:$A$88,'PET_STAT_RULES'!$E$5:$E$88)</x:f>
        <x:v>0</x:v>
      </x:c>
    </x:row>
    <x:row r="136">
      <x:c r="A136" s="38" t="str">
        <x:v>pal_135</x:v>
      </x:c>
      <x:c r="B136" s="38" t="str">
        <x:v>赤蝎精</x:v>
      </x:c>
      <x:c r="C136" s="38" t="str">
        <x:v>火、冰</x:v>
      </x:c>
      <x:c r="D136" s="265" t="str">
        <x:v>白银</x:v>
      </x:c>
      <x:c r="E136" s="38" t="str">
        <x:v>控制</x:v>
      </x:c>
      <x:c r="F136" s="38" t="str">
        <x:v>两格</x:v>
      </x:c>
      <x:c r="G136" s="38" t="str">
        <x:v>bz_van_135</x:v>
      </x:c>
      <x:c r="H136" s="38" t="str">
        <x:v>elem_水, elem_雷, elem_冰, role_坦克, role_控制, special_merchant, tier_pT2, role_召唤铺场, role_风系牵制, role_火系压制</x:v>
      </x:c>
      <x:c r="I136" s="38" t="n">
        <x:v>10</x:v>
      </x:c>
      <x:c r="J136" s="340" t="n">
        <x:f>XLOOKUP($D136&amp;"|"&amp;$E136&amp;"|"&amp;$F136,'PET_STAT_RULES'!$A$5:$A$88,'PET_STAT_RULES'!$C$5:$C$88)</x:f>
        <x:v>44</x:v>
      </x:c>
      <x:c r="K136" s="340" t="n">
        <x:f>XLOOKUP($D136&amp;"|"&amp;$E136&amp;"|"&amp;$F136,'PET_STAT_RULES'!$A$5:$A$88,'PET_STAT_RULES'!$D$5:$D$88)</x:f>
        <x:v>14</x:v>
      </x:c>
      <x:c r="L136" s="340" t="n">
        <x:f>XLOOKUP($D136&amp;"|"&amp;$E136&amp;"|"&amp;$F136,'PET_STAT_RULES'!$A$5:$A$88,'PET_STAT_RULES'!$F$5:$F$88)</x:f>
        <x:v>0</x:v>
      </x:c>
      <x:c r="M136" s="340" t="n">
        <x:f>XLOOKUP($D136&amp;"|"&amp;$E136&amp;"|"&amp;$F136,'PET_STAT_RULES'!$A$5:$A$88,'PET_STAT_RULES'!$G$5:$G$88)</x:f>
        <x:v>4</x:v>
      </x:c>
      <x:c r="N136" s="38" t="n">
        <x:v>2</x:v>
      </x:c>
      <x:c r="O136" s="38" t="str">
        <x:v>mech_fire_ignite_bonus</x:v>
      </x:c>
      <x:c r="P136" s="38" t="str">
        <x:v>11 形状11</x:v>
      </x:c>
      <x:c r="Q136" s="38" t="str">
        <x:v>Fiery</x:v>
      </x:c>
      <x:c r="R136" s="38" t="str">
        <x:v>item confirmed；来源=Weather Glass；攻击2格；仅保留来源商人/训练师关系。</x:v>
      </x:c>
      <x:c r="S136" s="38" t="n">
        <x:v>4</x:v>
      </x:c>
      <x:c r="T136" s="38" t="n">
        <x:v>2</x:v>
      </x:c>
      <x:c r="U136" s="15" t="str">
        <x:v>skill_vanguard,skill_flank,skill_pierce,skill_revolve,skill_chase,skill_break,skill_suppress,skill_finale</x:v>
      </x:c>
      <x:c r="V136" s="15" t="str">
        <x:v>trait_element_affinity</x:v>
      </x:c>
      <x:c r="W136" s="332" t="n">
        <x:f>XLOOKUP($D136&amp;"|"&amp;$E136&amp;"|"&amp;$F136,'PET_STAT_RULES'!$A$5:$A$88,'PET_STAT_RULES'!$E$5:$E$88)</x:f>
        <x:v>0</x:v>
      </x:c>
    </x:row>
    <x:row r="137">
      <x:c r="A137" s="38" t="str">
        <x:v>pal_136</x:v>
      </x:c>
      <x:c r="B137" s="38" t="str">
        <x:v>沧熊童</x:v>
      </x:c>
      <x:c r="C137" s="38" t="str">
        <x:v>水、地</x:v>
      </x:c>
      <x:c r="D137" s="259" t="str">
        <x:v>青铜</x:v>
      </x:c>
      <x:c r="E137" s="38" t="str">
        <x:v>坦克</x:v>
      </x:c>
      <x:c r="F137" s="38" t="str">
        <x:v>两格</x:v>
      </x:c>
      <x:c r="G137" s="38" t="str">
        <x:v>bz_van_136</x:v>
      </x:c>
      <x:c r="H137" s="38" t="str">
        <x:v>elem_水, elem_雷, elem_冰, elem_无, role_坦克, role_控制, role_输出, tier_pT3, role_抗压承伤, role_重甲抗压</x:v>
      </x:c>
      <x:c r="I137" s="38" t="n">
        <x:v>10</x:v>
      </x:c>
      <x:c r="J137" s="340" t="n">
        <x:f>XLOOKUP($D137&amp;"|"&amp;$E137&amp;"|"&amp;$F137,'PET_STAT_RULES'!$A$5:$A$88,'PET_STAT_RULES'!$C$5:$C$88)</x:f>
        <x:v>42</x:v>
      </x:c>
      <x:c r="K137" s="340" t="n">
        <x:f>XLOOKUP($D137&amp;"|"&amp;$E137&amp;"|"&amp;$F137,'PET_STAT_RULES'!$A$5:$A$88,'PET_STAT_RULES'!$D$5:$D$88)</x:f>
        <x:v>6</x:v>
      </x:c>
      <x:c r="L137" s="340" t="n">
        <x:f>XLOOKUP($D137&amp;"|"&amp;$E137&amp;"|"&amp;$F137,'PET_STAT_RULES'!$A$5:$A$88,'PET_STAT_RULES'!$F$5:$F$88)</x:f>
        <x:v>6</x:v>
      </x:c>
      <x:c r="M137" s="340" t="n">
        <x:f>XLOOKUP($D137&amp;"|"&amp;$E137&amp;"|"&amp;$F137,'PET_STAT_RULES'!$A$5:$A$88,'PET_STAT_RULES'!$G$5:$G$88)</x:f>
        <x:v>3</x:v>
      </x:c>
      <x:c r="N137" s="38" t="n">
        <x:v>1</x:v>
      </x:c>
      <x:c r="O137" s="38" t="str">
        <x:v>mech_shield_regen</x:v>
      </x:c>
      <x:c r="P137" s="38" t="str">
        <x:v>03 形状03</x:v>
      </x:c>
      <x:c r="Q137" s="38" t="str">
        <x:v>Turbo</x:v>
      </x:c>
      <x:c r="R137" s="38" t="str">
        <x:v>item confirmed；来源=Wetware；攻击1格；仅保留来源商人/训练师关系。</x:v>
      </x:c>
      <x:c r="S137" s="38" t="n">
        <x:v>3</x:v>
      </x:c>
      <x:c r="T137" s="38" t="n">
        <x:v>1</x:v>
      </x:c>
      <x:c r="U137" s="15" t="str">
        <x:v>skill_vanguard,skill_flank,skill_pierce,skill_revolve,skill_chase,skill_break,skill_suppress,skill_finale</x:v>
      </x:c>
      <x:c r="V137" s="15" t="str">
        <x:v>trait_combo_mastery</x:v>
      </x:c>
      <x:c r="W137" s="332" t="n">
        <x:f>XLOOKUP($D137&amp;"|"&amp;$E137&amp;"|"&amp;$F137,'PET_STAT_RULES'!$A$5:$A$88,'PET_STAT_RULES'!$E$5:$E$88)</x:f>
        <x:v>0</x:v>
      </x:c>
    </x:row>
    <x:row r="138">
      <x:c r="A138" s="38" t="str">
        <x:v>pal_137</x:v>
      </x:c>
      <x:c r="B138" s="38" t="str">
        <x:v>雪貂童</x:v>
      </x:c>
      <x:c r="C138" s="38" t="str">
        <x:v>冰、草</x:v>
      </x:c>
      <x:c r="D138" s="259" t="str">
        <x:v>青铜</x:v>
      </x:c>
      <x:c r="E138" s="38" t="str">
        <x:v>控制</x:v>
      </x:c>
      <x:c r="F138" s="38" t="str">
        <x:v>一格</x:v>
      </x:c>
      <x:c r="G138" s="38" t="str">
        <x:v>bz_van_137</x:v>
      </x:c>
      <x:c r="H138" s="38" t="str">
        <x:v>elem_火, elem_雷, elem_冰, elem_地, role_坦克, role_控制, role_输出, role_机动压制, role_风系牵制, role_火系压制</x:v>
      </x:c>
      <x:c r="I138" s="38" t="n">
        <x:v>10</x:v>
      </x:c>
      <x:c r="J138" s="340" t="n">
        <x:f>XLOOKUP($D138&amp;"|"&amp;$E138&amp;"|"&amp;$F138,'PET_STAT_RULES'!$A$5:$A$88,'PET_STAT_RULES'!$C$5:$C$88)</x:f>
        <x:v>26</x:v>
      </x:c>
      <x:c r="K138" s="340" t="n">
        <x:f>XLOOKUP($D138&amp;"|"&amp;$E138&amp;"|"&amp;$F138,'PET_STAT_RULES'!$A$5:$A$88,'PET_STAT_RULES'!$D$5:$D$88)</x:f>
        <x:v>10</x:v>
      </x:c>
      <x:c r="L138" s="340" t="n">
        <x:f>XLOOKUP($D138&amp;"|"&amp;$E138&amp;"|"&amp;$F138,'PET_STAT_RULES'!$A$5:$A$88,'PET_STAT_RULES'!$F$5:$F$88)</x:f>
        <x:v>0</x:v>
      </x:c>
      <x:c r="M138" s="340" t="n">
        <x:f>XLOOKUP($D138&amp;"|"&amp;$E138&amp;"|"&amp;$F138,'PET_STAT_RULES'!$A$5:$A$88,'PET_STAT_RULES'!$G$5:$G$88)</x:f>
        <x:v>4</x:v>
      </x:c>
      <x:c r="N138" s="38" t="n">
        <x:v>2</x:v>
      </x:c>
      <x:c r="O138" s="38" t="str">
        <x:v>mech_counter_damage</x:v>
      </x:c>
      <x:c r="P138" s="38" t="str">
        <x:v>10 形状10</x:v>
      </x:c>
      <x:c r="Q138" s="38" t="str">
        <x:v>Icy</x:v>
      </x:c>
      <x:c r="R138" s="38" t="str">
        <x:v>item confirmed；来源=Yeti Crab；攻击2格；仅保留来源商人/训练师关系。</x:v>
      </x:c>
      <x:c r="S138" s="38" t="n">
        <x:v>4</x:v>
      </x:c>
      <x:c r="T138" s="38" t="n">
        <x:v>1</x:v>
      </x:c>
      <x:c r="U138" s="15" t="str">
        <x:v>skill_vanguard,skill_flank,skill_pierce,skill_revolve,skill_chase,skill_break,skill_suppress,skill_finale</x:v>
      </x:c>
      <x:c r="V138" s="15" t="str">
        <x:v>trait_element_affinity</x:v>
      </x:c>
      <x:c r="W138" s="332" t="n">
        <x:f>XLOOKUP($D138&amp;"|"&amp;$E138&amp;"|"&amp;$F138,'PET_STAT_RULES'!$A$5:$A$88,'PET_STAT_RULES'!$E$5:$E$88)</x:f>
        <x:v>0</x:v>
      </x:c>
    </x:row>
    <x:row r="139">
      <x:c r="A139" s="38" t="str">
        <x:v>pal_138</x:v>
      </x:c>
      <x:c r="B139" s="38" t="str">
        <x:v>烬蜂童</x:v>
      </x:c>
      <x:c r="C139" s="38" t="str">
        <x:v>火、水</x:v>
      </x:c>
      <x:c r="D139" s="259" t="str">
        <x:v>青铜</x:v>
      </x:c>
      <x:c r="E139" s="38" t="str">
        <x:v>机动</x:v>
      </x:c>
      <x:c r="F139" s="38" t="str">
        <x:v>一格</x:v>
      </x:c>
      <x:c r="G139" s="38" t="str">
        <x:v>bz_van_138</x:v>
      </x:c>
      <x:c r="H139" s="38" t="str">
        <x:v>night_base, elem_火, elem_雷, role_坦克, role_控制, role_输出, special_merchant, elite_high, tier_pT2, role_机动压制</x:v>
      </x:c>
      <x:c r="I139" s="38" t="n">
        <x:v>10</x:v>
      </x:c>
      <x:c r="J139" s="340" t="n">
        <x:f>XLOOKUP($D139&amp;"|"&amp;$E139&amp;"|"&amp;$F139,'PET_STAT_RULES'!$A$5:$A$88,'PET_STAT_RULES'!$C$5:$C$88)</x:f>
        <x:v>22</x:v>
      </x:c>
      <x:c r="K139" s="340" t="n">
        <x:f>XLOOKUP($D139&amp;"|"&amp;$E139&amp;"|"&amp;$F139,'PET_STAT_RULES'!$A$5:$A$88,'PET_STAT_RULES'!$D$5:$D$88)</x:f>
        <x:v>8</x:v>
      </x:c>
      <x:c r="L139" s="340" t="n">
        <x:f>XLOOKUP($D139&amp;"|"&amp;$E139&amp;"|"&amp;$F139,'PET_STAT_RULES'!$A$5:$A$88,'PET_STAT_RULES'!$F$5:$F$88)</x:f>
        <x:v>0</x:v>
      </x:c>
      <x:c r="M139" s="340" t="n">
        <x:f>XLOOKUP($D139&amp;"|"&amp;$E139&amp;"|"&amp;$F139,'PET_STAT_RULES'!$A$5:$A$88,'PET_STAT_RULES'!$G$5:$G$88)</x:f>
        <x:v>5</x:v>
      </x:c>
      <x:c r="N139" s="38" t="n">
        <x:v>2</x:v>
      </x:c>
      <x:c r="O139" s="38" t="str">
        <x:v>mech_fire_ignite_bonus</x:v>
      </x:c>
      <x:c r="P139" s="38" t="str">
        <x:v>12 形状12</x:v>
      </x:c>
      <x:c r="Q139" s="38" t="str">
        <x:v>Fiery</x:v>
      </x:c>
      <x:c r="R139" s="38" t="str">
        <x:v>item confirmed；来源=Zoarcid；攻击2格；仅保留来源商人/训练师关系。</x:v>
      </x:c>
      <x:c r="S139" s="38" t="n">
        <x:v>5</x:v>
      </x:c>
      <x:c r="T139" s="38" t="n">
        <x:v>1</x:v>
      </x:c>
      <x:c r="U139" s="15" t="str">
        <x:v>skill_vanguard,skill_flank,skill_pierce,skill_revolve,skill_chase,skill_break,skill_suppress,skill_finale</x:v>
      </x:c>
      <x:c r="V139" s="15" t="str">
        <x:v>trait_relentless</x:v>
      </x:c>
      <x:c r="W139" s="332" t="n">
        <x:f>XLOOKUP($D139&amp;"|"&amp;$E139&amp;"|"&amp;$F139,'PET_STAT_RULES'!$A$5:$A$88,'PET_STAT_RULES'!$E$5:$E$88)</x:f>
        <x:v>0</x:v>
      </x:c>
    </x:row>
    <x:row r="140">
      <x:c r="A140" s="38" t="str">
        <x:v>pal_139</x:v>
      </x:c>
      <x:c r="B140" s="38" t="str">
        <x:v>雷鲭王</x:v>
      </x:c>
      <x:c r="C140" s="38" t="str">
        <x:v>雷</x:v>
      </x:c>
      <x:c r="D140" s="262" t="str">
        <x:v>黄金</x:v>
      </x:c>
      <x:c r="E140" s="38" t="str">
        <x:v>机动</x:v>
      </x:c>
      <x:c r="F140" s="38" t="str">
        <x:v>两格</x:v>
      </x:c>
      <x:c r="G140" s="38" t="str">
        <x:v>bz_van_139</x:v>
      </x:c>
      <x:c r="H140" s="38" t="str">
        <x:v>elem_水, elem_龙, elem_无, role_召唤, special_merchant</x:v>
      </x:c>
      <x:c r="I140" s="38" t="n">
        <x:v>5</x:v>
      </x:c>
      <x:c r="J140" s="340" t="n">
        <x:f>XLOOKUP($D140&amp;"|"&amp;$E140&amp;"|"&amp;$F140,'PET_STAT_RULES'!$A$5:$A$88,'PET_STAT_RULES'!$C$5:$C$88)</x:f>
        <x:v>52</x:v>
      </x:c>
      <x:c r="K140" s="340" t="n">
        <x:f>XLOOKUP($D140&amp;"|"&amp;$E140&amp;"|"&amp;$F140,'PET_STAT_RULES'!$A$5:$A$88,'PET_STAT_RULES'!$D$5:$D$88)</x:f>
        <x:v>18</x:v>
      </x:c>
      <x:c r="L140" s="340" t="n">
        <x:f>XLOOKUP($D140&amp;"|"&amp;$E140&amp;"|"&amp;$F140,'PET_STAT_RULES'!$A$5:$A$88,'PET_STAT_RULES'!$F$5:$F$88)</x:f>
        <x:v>0</x:v>
      </x:c>
      <x:c r="M140" s="340" t="n">
        <x:f>XLOOKUP($D140&amp;"|"&amp;$E140&amp;"|"&amp;$F140,'PET_STAT_RULES'!$A$5:$A$88,'PET_STAT_RULES'!$G$5:$G$88)</x:f>
        <x:v>5</x:v>
      </x:c>
      <x:c r="N140" s="38" t="n">
        <x:v>2</x:v>
      </x:c>
      <x:c r="O140" s="38" t="str">
        <x:v>none</x:v>
      </x:c>
      <x:c r="P140" s="38" t="str">
        <x:v>11 形状11</x:v>
      </x:c>
      <x:c r="Q140" s="38" t="str">
        <x:v>Turbo</x:v>
      </x:c>
      <x:c r="R140" s="38" t="str">
        <x:v>skill confirmed；来源=Alacrity；攻击2格；仅保留来源商人/训练师关系。</x:v>
      </x:c>
      <x:c r="S140" s="38" t="n">
        <x:v>5</x:v>
      </x:c>
      <x:c r="T140" s="38" t="n">
        <x:v>2</x:v>
      </x:c>
      <x:c r="U140" s="15" t="str">
        <x:v>skill_vanguard,skill_flank,skill_pierce,skill_revolve,skill_chase,skill_break,skill_suppress,skill_finale</x:v>
      </x:c>
      <x:c r="V140" s="15" t="str">
        <x:v>trait_relentless</x:v>
      </x:c>
      <x:c r="W140" s="332" t="n">
        <x:f>XLOOKUP($D140&amp;"|"&amp;$E140&amp;"|"&amp;$F140,'PET_STAT_RULES'!$A$5:$A$88,'PET_STAT_RULES'!$E$5:$E$88)</x:f>
        <x:v>0</x:v>
      </x:c>
    </x:row>
    <x:row r="141">
      <x:c r="A141" s="38" t="str">
        <x:v>pal_140</x:v>
      </x:c>
      <x:c r="B141" s="38" t="str">
        <x:v>冥雀卫</x:v>
      </x:c>
      <x:c r="C141" s="38" t="str">
        <x:v>暗</x:v>
      </x:c>
      <x:c r="D141" s="265" t="str">
        <x:v>白银</x:v>
      </x:c>
      <x:c r="E141" s="38" t="str">
        <x:v>经济</x:v>
      </x:c>
      <x:c r="F141" s="38" t="str">
        <x:v>两格</x:v>
      </x:c>
      <x:c r="G141" s="38" t="str">
        <x:v>bz_van_140</x:v>
      </x:c>
      <x:c r="H141" s="38" t="str">
        <x:v>elem_水, elem_雷, elem_龙, elem_无</x:v>
      </x:c>
      <x:c r="I141" s="38" t="n">
        <x:v>4</x:v>
      </x:c>
      <x:c r="J141" s="340" t="n">
        <x:f>XLOOKUP($D141&amp;"|"&amp;$E141&amp;"|"&amp;$F141,'PET_STAT_RULES'!$A$5:$A$88,'PET_STAT_RULES'!$C$5:$C$88)</x:f>
        <x:v>40</x:v>
      </x:c>
      <x:c r="K141" s="340" t="n">
        <x:f>XLOOKUP($D141&amp;"|"&amp;$E141&amp;"|"&amp;$F141,'PET_STAT_RULES'!$A$5:$A$88,'PET_STAT_RULES'!$D$5:$D$88)</x:f>
        <x:v>12</x:v>
      </x:c>
      <x:c r="L141" s="340" t="n">
        <x:f>XLOOKUP($D141&amp;"|"&amp;$E141&amp;"|"&amp;$F141,'PET_STAT_RULES'!$A$5:$A$88,'PET_STAT_RULES'!$F$5:$F$88)</x:f>
        <x:v>0</x:v>
      </x:c>
      <x:c r="M141" s="340" t="n">
        <x:f>XLOOKUP($D141&amp;"|"&amp;$E141&amp;"|"&amp;$F141,'PET_STAT_RULES'!$A$5:$A$88,'PET_STAT_RULES'!$G$5:$G$88)</x:f>
        <x:v>3</x:v>
      </x:c>
      <x:c r="N141" s="38" t="n">
        <x:v>2</x:v>
      </x:c>
      <x:c r="O141" s="38" t="str">
        <x:v>none</x:v>
      </x:c>
      <x:c r="P141" s="38" t="str">
        <x:v>09 形状09</x:v>
      </x:c>
      <x:c r="Q141" s="38" t="str">
        <x:v>Golden</x:v>
      </x:c>
      <x:c r="R141" s="38" t="str">
        <x:v>skill confirmed；来源=Arbitrage；攻击2格；仅保留来源商人/训练师关系。</x:v>
      </x:c>
      <x:c r="S141" s="38" t="n">
        <x:v>3</x:v>
      </x:c>
      <x:c r="T141" s="38" t="n">
        <x:v>2</x:v>
      </x:c>
      <x:c r="U141" s="15" t="str">
        <x:v>skill_vanguard,skill_flank,skill_pierce,skill_revolve,skill_chase,skill_break,skill_suppress,skill_finale</x:v>
      </x:c>
      <x:c r="V141" s="15" t="str">
        <x:v>trait_combo_resonance</x:v>
      </x:c>
      <x:c r="W141" s="332" t="n">
        <x:f>XLOOKUP($D141&amp;"|"&amp;$E141&amp;"|"&amp;$F141,'PET_STAT_RULES'!$A$5:$A$88,'PET_STAT_RULES'!$E$5:$E$88)</x:f>
        <x:v>0</x:v>
      </x:c>
    </x:row>
    <x:row r="142">
      <x:c r="A142" s="38" t="str">
        <x:v>pal_141</x:v>
      </x:c>
      <x:c r="B142" s="38" t="str">
        <x:v>沧鸾仔</x:v>
      </x:c>
      <x:c r="C142" s="38" t="str">
        <x:v>水、地</x:v>
      </x:c>
      <x:c r="D142" s="259" t="str">
        <x:v>青铜</x:v>
      </x:c>
      <x:c r="E142" s="38" t="str">
        <x:v>治疗</x:v>
      </x:c>
      <x:c r="F142" s="38" t="str">
        <x:v>两格</x:v>
      </x:c>
      <x:c r="G142" s="38" t="str">
        <x:v>bz_van_141</x:v>
      </x:c>
      <x:c r="H142" s="38" t="str">
        <x:v>elem_水, elem_雷, elem_龙, elem_无, role_坦克, tier_pT2</x:v>
      </x:c>
      <x:c r="I142" s="38" t="n">
        <x:v>6</x:v>
      </x:c>
      <x:c r="J142" s="340" t="n">
        <x:f>XLOOKUP($D142&amp;"|"&amp;$E142&amp;"|"&amp;$F142,'PET_STAT_RULES'!$A$5:$A$88,'PET_STAT_RULES'!$C$5:$C$88)</x:f>
        <x:v>34</x:v>
      </x:c>
      <x:c r="K142" s="340" t="n">
        <x:f>XLOOKUP($D142&amp;"|"&amp;$E142&amp;"|"&amp;$F142,'PET_STAT_RULES'!$A$5:$A$88,'PET_STAT_RULES'!$D$5:$D$88)</x:f>
        <x:v>6</x:v>
      </x:c>
      <x:c r="L142" s="340" t="n">
        <x:f>XLOOKUP($D142&amp;"|"&amp;$E142&amp;"|"&amp;$F142,'PET_STAT_RULES'!$A$5:$A$88,'PET_STAT_RULES'!$F$5:$F$88)</x:f>
        <x:v>2</x:v>
      </x:c>
      <x:c r="M142" s="340" t="n">
        <x:f>XLOOKUP($D142&amp;"|"&amp;$E142&amp;"|"&amp;$F142,'PET_STAT_RULES'!$A$5:$A$88,'PET_STAT_RULES'!$G$5:$G$88)</x:f>
        <x:v>3</x:v>
      </x:c>
      <x:c r="N142" s="38" t="n">
        <x:v>1</x:v>
      </x:c>
      <x:c r="O142" s="38" t="str">
        <x:v>mech_shield_regen</x:v>
      </x:c>
      <x:c r="P142" s="38" t="str">
        <x:v>01 形状01</x:v>
      </x:c>
      <x:c r="Q142" s="38" t="str">
        <x:v>Restorative</x:v>
      </x:c>
      <x:c r="R142" s="38" t="str">
        <x:v>skill confirmed；来源=Arms Dealer；攻击1格；仅保留来源商人/训练师关系。</x:v>
      </x:c>
      <x:c r="S142" s="38" t="n">
        <x:v>3</x:v>
      </x:c>
      <x:c r="T142" s="38" t="n">
        <x:v>1</x:v>
      </x:c>
      <x:c r="U142" s="15" t="str">
        <x:v>skill_vanguard,skill_flank,skill_pierce,skill_revolve,skill_chase,skill_break,skill_suppress,skill_finale</x:v>
      </x:c>
      <x:c r="V142" s="15" t="str">
        <x:v>trait_element_affinity</x:v>
      </x:c>
      <x:c r="W142" s="332" t="n">
        <x:f>XLOOKUP($D142&amp;"|"&amp;$E142&amp;"|"&amp;$F142,'PET_STAT_RULES'!$A$5:$A$88,'PET_STAT_RULES'!$E$5:$E$88)</x:f>
        <x:v>0</x:v>
      </x:c>
    </x:row>
    <x:row r="143">
      <x:c r="A143" s="38" t="str">
        <x:v>pal_142</x:v>
      </x:c>
      <x:c r="B143" s="38" t="str">
        <x:v>霆螳灵</x:v>
      </x:c>
      <x:c r="C143" s="38" t="str">
        <x:v>雷</x:v>
      </x:c>
      <x:c r="D143" s="259" t="str">
        <x:v>青铜</x:v>
      </x:c>
      <x:c r="E143" s="38" t="str">
        <x:v>输出</x:v>
      </x:c>
      <x:c r="F143" s="38" t="str">
        <x:v>两格</x:v>
      </x:c>
      <x:c r="G143" s="38" t="str">
        <x:v>bz_van_142</x:v>
      </x:c>
      <x:c r="H143" s="38" t="str">
        <x:v>elem_水, elem_雷, elem_龙, elem_无, role_召唤</x:v>
      </x:c>
      <x:c r="I143" s="38" t="n">
        <x:v>5</x:v>
      </x:c>
      <x:c r="J143" s="340" t="n">
        <x:f>XLOOKUP($D143&amp;"|"&amp;$E143&amp;"|"&amp;$F143,'PET_STAT_RULES'!$A$5:$A$88,'PET_STAT_RULES'!$C$5:$C$88)</x:f>
        <x:v>28</x:v>
      </x:c>
      <x:c r="K143" s="340" t="n">
        <x:f>XLOOKUP($D143&amp;"|"&amp;$E143&amp;"|"&amp;$F143,'PET_STAT_RULES'!$A$5:$A$88,'PET_STAT_RULES'!$D$5:$D$88)</x:f>
        <x:v>12</x:v>
      </x:c>
      <x:c r="L143" s="340" t="n">
        <x:f>XLOOKUP($D143&amp;"|"&amp;$E143&amp;"|"&amp;$F143,'PET_STAT_RULES'!$A$5:$A$88,'PET_STAT_RULES'!$F$5:$F$88)</x:f>
        <x:v>0</x:v>
      </x:c>
      <x:c r="M143" s="340" t="n">
        <x:f>XLOOKUP($D143&amp;"|"&amp;$E143&amp;"|"&amp;$F143,'PET_STAT_RULES'!$A$5:$A$88,'PET_STAT_RULES'!$G$5:$G$88)</x:f>
        <x:v>3</x:v>
      </x:c>
      <x:c r="N143" s="38" t="n">
        <x:v>1</x:v>
      </x:c>
      <x:c r="O143" s="38" t="str">
        <x:v>mech_grow_atk_each_round</x:v>
      </x:c>
      <x:c r="P143" s="38" t="str">
        <x:v>04 形状04</x:v>
      </x:c>
      <x:c r="Q143" s="38" t="str">
        <x:v>Deadly</x:v>
      </x:c>
      <x:c r="R143" s="38" t="str">
        <x:v>skill confirmed；来源=Artillery Spotter；攻击1格；仅保留来源商人/训练师关系。</x:v>
      </x:c>
      <x:c r="S143" s="38" t="n">
        <x:v>3</x:v>
      </x:c>
      <x:c r="T143" s="38" t="n">
        <x:v>1</x:v>
      </x:c>
      <x:c r="U143" s="15" t="str">
        <x:v>skill_vanguard,skill_flank,skill_pierce,skill_revolve,skill_chase,skill_break,skill_suppress,skill_finale</x:v>
      </x:c>
      <x:c r="V143" s="15" t="str">
        <x:v>trait_relentless</x:v>
      </x:c>
      <x:c r="W143" s="332" t="n">
        <x:f>XLOOKUP($D143&amp;"|"&amp;$E143&amp;"|"&amp;$F143,'PET_STAT_RULES'!$A$5:$A$88,'PET_STAT_RULES'!$E$5:$E$88)</x:f>
        <x:v>0</x:v>
      </x:c>
    </x:row>
    <x:row r="144">
      <x:c r="A144" s="38" t="str">
        <x:v>pal_143</x:v>
      </x:c>
      <x:c r="B144" s="38" t="str">
        <x:v>山熊卫</x:v>
      </x:c>
      <x:c r="C144" s="38" t="str">
        <x:v>地、龙</x:v>
      </x:c>
      <x:c r="D144" s="265" t="str">
        <x:v>白银</x:v>
      </x:c>
      <x:c r="E144" s="38" t="str">
        <x:v>坦克</x:v>
      </x:c>
      <x:c r="F144" s="38" t="str">
        <x:v>两格</x:v>
      </x:c>
      <x:c r="G144" s="38" t="str">
        <x:v>bz_van_143</x:v>
      </x:c>
      <x:c r="H144" s="38" t="str">
        <x:v>elem_水, elem_雷, elem_龙, elem_无, role_召唤铺场</x:v>
      </x:c>
      <x:c r="I144" s="38" t="n">
        <x:v>5</x:v>
      </x:c>
      <x:c r="J144" s="340" t="n">
        <x:f>XLOOKUP($D144&amp;"|"&amp;$E144&amp;"|"&amp;$F144,'PET_STAT_RULES'!$A$5:$A$88,'PET_STAT_RULES'!$C$5:$C$88)</x:f>
        <x:v>54</x:v>
      </x:c>
      <x:c r="K144" s="340" t="n">
        <x:f>XLOOKUP($D144&amp;"|"&amp;$E144&amp;"|"&amp;$F144,'PET_STAT_RULES'!$A$5:$A$88,'PET_STAT_RULES'!$D$5:$D$88)</x:f>
        <x:v>12</x:v>
      </x:c>
      <x:c r="L144" s="340" t="n">
        <x:f>XLOOKUP($D144&amp;"|"&amp;$E144&amp;"|"&amp;$F144,'PET_STAT_RULES'!$A$5:$A$88,'PET_STAT_RULES'!$F$5:$F$88)</x:f>
        <x:v>10</x:v>
      </x:c>
      <x:c r="M144" s="340" t="n">
        <x:f>XLOOKUP($D144&amp;"|"&amp;$E144&amp;"|"&amp;$F144,'PET_STAT_RULES'!$A$5:$A$88,'PET_STAT_RULES'!$G$5:$G$88)</x:f>
        <x:v>3</x:v>
      </x:c>
      <x:c r="N144" s="38" t="n">
        <x:v>2</x:v>
      </x:c>
      <x:c r="O144" s="38" t="str">
        <x:v>mech_shield_regen</x:v>
      </x:c>
      <x:c r="P144" s="38" t="str">
        <x:v>07 形状07</x:v>
      </x:c>
      <x:c r="Q144" s="38" t="str">
        <x:v>Shielded</x:v>
      </x:c>
      <x:c r="R144" s="38" t="str">
        <x:v>skill confirmed；来源=Balanced Friendship；攻击2格；仅保留来源商人/训练师关系。</x:v>
      </x:c>
      <x:c r="S144" s="38" t="n">
        <x:v>3</x:v>
      </x:c>
      <x:c r="T144" s="38" t="n">
        <x:v>2</x:v>
      </x:c>
      <x:c r="U144" s="15" t="str">
        <x:v>skill_vanguard,skill_flank,skill_pierce,skill_revolve,skill_chase,skill_break,skill_suppress,skill_finale</x:v>
      </x:c>
      <x:c r="V144" s="15" t="str">
        <x:v>trait_combo_mastery</x:v>
      </x:c>
      <x:c r="W144" s="332" t="n">
        <x:f>XLOOKUP($D144&amp;"|"&amp;$E144&amp;"|"&amp;$F144,'PET_STAT_RULES'!$A$5:$A$88,'PET_STAT_RULES'!$E$5:$E$88)</x:f>
        <x:v>0</x:v>
      </x:c>
    </x:row>
    <x:row r="145">
      <x:c r="A145" s="38" t="str">
        <x:v>pal_144</x:v>
      </x:c>
      <x:c r="B145" s="38" t="str">
        <x:v>沧燕侯</x:v>
      </x:c>
      <x:c r="C145" s="38" t="str">
        <x:v>水</x:v>
      </x:c>
      <x:c r="D145" s="262" t="str">
        <x:v>黄金</x:v>
      </x:c>
      <x:c r="E145" s="38" t="str">
        <x:v>机动</x:v>
      </x:c>
      <x:c r="F145" s="38" t="str">
        <x:v>两格</x:v>
      </x:c>
      <x:c r="G145" s="38" t="str">
        <x:v>bz_van_144</x:v>
      </x:c>
      <x:c r="H145" s="38" t="str">
        <x:v>elem_水, elem_地, elem_龙, elem_无</x:v>
      </x:c>
      <x:c r="I145" s="38" t="n">
        <x:v>4</x:v>
      </x:c>
      <x:c r="J145" s="340" t="n">
        <x:f>XLOOKUP($D145&amp;"|"&amp;$E145&amp;"|"&amp;$F145,'PET_STAT_RULES'!$A$5:$A$88,'PET_STAT_RULES'!$C$5:$C$88)</x:f>
        <x:v>52</x:v>
      </x:c>
      <x:c r="K145" s="340" t="n">
        <x:f>XLOOKUP($D145&amp;"|"&amp;$E145&amp;"|"&amp;$F145,'PET_STAT_RULES'!$A$5:$A$88,'PET_STAT_RULES'!$D$5:$D$88)</x:f>
        <x:v>18</x:v>
      </x:c>
      <x:c r="L145" s="340" t="n">
        <x:f>XLOOKUP($D145&amp;"|"&amp;$E145&amp;"|"&amp;$F145,'PET_STAT_RULES'!$A$5:$A$88,'PET_STAT_RULES'!$F$5:$F$88)</x:f>
        <x:v>0</x:v>
      </x:c>
      <x:c r="M145" s="340" t="n">
        <x:f>XLOOKUP($D145&amp;"|"&amp;$E145&amp;"|"&amp;$F145,'PET_STAT_RULES'!$A$5:$A$88,'PET_STAT_RULES'!$G$5:$G$88)</x:f>
        <x:v>5</x:v>
      </x:c>
      <x:c r="N145" s="38" t="n">
        <x:v>2</x:v>
      </x:c>
      <x:c r="O145" s="38" t="str">
        <x:v>none</x:v>
      </x:c>
      <x:c r="P145" s="38" t="str">
        <x:v>05 形状05</x:v>
      </x:c>
      <x:c r="Q145" s="38" t="str">
        <x:v>Turbo</x:v>
      </x:c>
      <x:c r="R145" s="38" t="str">
        <x:v>skill confirmed；来源=Barnacle Crusted；攻击2格；仅保留来源商人/训练师关系。</x:v>
      </x:c>
      <x:c r="S145" s="38" t="n">
        <x:v>5</x:v>
      </x:c>
      <x:c r="T145" s="38" t="n">
        <x:v>2</x:v>
      </x:c>
      <x:c r="U145" s="15" t="str">
        <x:v>skill_vanguard,skill_flank,skill_pierce,skill_revolve,skill_chase,skill_break,skill_suppress,skill_finale</x:v>
      </x:c>
      <x:c r="V145" s="15" t="str">
        <x:v>trait_relentless</x:v>
      </x:c>
      <x:c r="W145" s="332" t="n">
        <x:f>XLOOKUP($D145&amp;"|"&amp;$E145&amp;"|"&amp;$F145,'PET_STAT_RULES'!$A$5:$A$88,'PET_STAT_RULES'!$E$5:$E$88)</x:f>
        <x:v>0</x:v>
      </x:c>
    </x:row>
    <x:row r="146">
      <x:c r="A146" s="38" t="str">
        <x:v>pal_145</x:v>
      </x:c>
      <x:c r="B146" s="38" t="str">
        <x:v>螭蜂妖</x:v>
      </x:c>
      <x:c r="C146" s="38" t="str">
        <x:v>龙</x:v>
      </x:c>
      <x:c r="D146" s="265" t="str">
        <x:v>白银</x:v>
      </x:c>
      <x:c r="E146" s="38" t="str">
        <x:v>召唤</x:v>
      </x:c>
      <x:c r="F146" s="38" t="str">
        <x:v>两格</x:v>
      </x:c>
      <x:c r="G146" s="38" t="str">
        <x:v>bz_van_145</x:v>
      </x:c>
      <x:c r="H146" s="38" t="str">
        <x:v>elem_水, elem_雷, elem_龙, elem_无</x:v>
      </x:c>
      <x:c r="I146" s="38" t="n">
        <x:v>4</x:v>
      </x:c>
      <x:c r="J146" s="340" t="n">
        <x:f>XLOOKUP($D146&amp;"|"&amp;$E146&amp;"|"&amp;$F146,'PET_STAT_RULES'!$A$5:$A$88,'PET_STAT_RULES'!$C$5:$C$88)</x:f>
        <x:v>48</x:v>
      </x:c>
      <x:c r="K146" s="340" t="n">
        <x:f>XLOOKUP($D146&amp;"|"&amp;$E146&amp;"|"&amp;$F146,'PET_STAT_RULES'!$A$5:$A$88,'PET_STAT_RULES'!$D$5:$D$88)</x:f>
        <x:v>12</x:v>
      </x:c>
      <x:c r="L146" s="340" t="n">
        <x:f>XLOOKUP($D146&amp;"|"&amp;$E146&amp;"|"&amp;$F146,'PET_STAT_RULES'!$A$5:$A$88,'PET_STAT_RULES'!$F$5:$F$88)</x:f>
        <x:v>0</x:v>
      </x:c>
      <x:c r="M146" s="340" t="n">
        <x:f>XLOOKUP($D146&amp;"|"&amp;$E146&amp;"|"&amp;$F146,'PET_STAT_RULES'!$A$5:$A$88,'PET_STAT_RULES'!$G$5:$G$88)</x:f>
        <x:v>3</x:v>
      </x:c>
      <x:c r="N146" s="38" t="n">
        <x:v>2</x:v>
      </x:c>
      <x:c r="O146" s="38" t="str">
        <x:v>mech_grow_shield_each_round</x:v>
      </x:c>
      <x:c r="P146" s="38" t="str">
        <x:v>10 形状10</x:v>
      </x:c>
      <x:c r="Q146" s="38" t="str">
        <x:v>Deadly</x:v>
      </x:c>
      <x:c r="R146" s="38" t="str">
        <x:v>skill confirmed；来源=Beautiful Friendship；攻击2格；仅保留来源商人/训练师关系。</x:v>
      </x:c>
      <x:c r="S146" s="38" t="n">
        <x:v>3</x:v>
      </x:c>
      <x:c r="T146" s="38" t="n">
        <x:v>2</x:v>
      </x:c>
      <x:c r="U146" s="15" t="str">
        <x:v>skill_vanguard,skill_flank,skill_pierce,skill_revolve,skill_chase,skill_break,skill_suppress,skill_finale</x:v>
      </x:c>
      <x:c r="V146" s="15" t="str">
        <x:v>trait_combo_resonance</x:v>
      </x:c>
      <x:c r="W146" s="332" t="n">
        <x:f>XLOOKUP($D146&amp;"|"&amp;$E146&amp;"|"&amp;$F146,'PET_STAT_RULES'!$A$5:$A$88,'PET_STAT_RULES'!$E$5:$E$88)</x:f>
        <x:v>0</x:v>
      </x:c>
    </x:row>
    <x:row r="147">
      <x:c r="A147" s="38" t="str">
        <x:v>pal_146</x:v>
      </x:c>
      <x:c r="B147" s="38" t="str">
        <x:v>沧鲤将</x:v>
      </x:c>
      <x:c r="C147" s="38" t="str">
        <x:v>水、地</x:v>
      </x:c>
      <x:c r="D147" s="265" t="str">
        <x:v>白银</x:v>
      </x:c>
      <x:c r="E147" s="38" t="str">
        <x:v>治疗</x:v>
      </x:c>
      <x:c r="F147" s="38" t="str">
        <x:v>两格</x:v>
      </x:c>
      <x:c r="G147" s="38" t="str">
        <x:v>bz_van_146</x:v>
      </x:c>
      <x:c r="H147" s="38" t="str">
        <x:v>elem_水, elem_雷, elem_地, elem_龙, elem_无, role_坦克</x:v>
      </x:c>
      <x:c r="I147" s="38" t="n">
        <x:v>6</x:v>
      </x:c>
      <x:c r="J147" s="340" t="n">
        <x:f>XLOOKUP($D147&amp;"|"&amp;$E147&amp;"|"&amp;$F147,'PET_STAT_RULES'!$A$5:$A$88,'PET_STAT_RULES'!$C$5:$C$88)</x:f>
        <x:v>46</x:v>
      </x:c>
      <x:c r="K147" s="340" t="n">
        <x:f>XLOOKUP($D147&amp;"|"&amp;$E147&amp;"|"&amp;$F147,'PET_STAT_RULES'!$A$5:$A$88,'PET_STAT_RULES'!$D$5:$D$88)</x:f>
        <x:v>12</x:v>
      </x:c>
      <x:c r="L147" s="340" t="n">
        <x:f>XLOOKUP($D147&amp;"|"&amp;$E147&amp;"|"&amp;$F147,'PET_STAT_RULES'!$A$5:$A$88,'PET_STAT_RULES'!$F$5:$F$88)</x:f>
        <x:v>4</x:v>
      </x:c>
      <x:c r="M147" s="340" t="n">
        <x:f>XLOOKUP($D147&amp;"|"&amp;$E147&amp;"|"&amp;$F147,'PET_STAT_RULES'!$A$5:$A$88,'PET_STAT_RULES'!$G$5:$G$88)</x:f>
        <x:v>3</x:v>
      </x:c>
      <x:c r="N147" s="38" t="n">
        <x:v>2</x:v>
      </x:c>
      <x:c r="O147" s="38" t="str">
        <x:v>mech_shield_regen</x:v>
      </x:c>
      <x:c r="P147" s="38" t="str">
        <x:v>11 形状11</x:v>
      </x:c>
      <x:c r="Q147" s="38" t="str">
        <x:v>Turbo</x:v>
      </x:c>
      <x:c r="R147" s="38" t="str">
        <x:v>skill confirmed；来源=Berserker；攻击2格；仅保留来源商人/训练师关系。</x:v>
      </x:c>
      <x:c r="S147" s="38" t="n">
        <x:v>3</x:v>
      </x:c>
      <x:c r="T147" s="38" t="n">
        <x:v>2</x:v>
      </x:c>
      <x:c r="U147" s="15" t="str">
        <x:v>skill_vanguard,skill_flank,skill_pierce,skill_revolve,skill_chase,skill_break,skill_suppress,skill_finale</x:v>
      </x:c>
      <x:c r="V147" s="15" t="str">
        <x:v>trait_element_affinity</x:v>
      </x:c>
      <x:c r="W147" s="332" t="n">
        <x:f>XLOOKUP($D147&amp;"|"&amp;$E147&amp;"|"&amp;$F147,'PET_STAT_RULES'!$A$5:$A$88,'PET_STAT_RULES'!$E$5:$E$88)</x:f>
        <x:v>0</x:v>
      </x:c>
    </x:row>
    <x:row r="148">
      <x:c r="A148" s="38" t="str">
        <x:v>pal_147</x:v>
      </x:c>
      <x:c r="B148" s="38" t="str">
        <x:v>沙狮神</x:v>
      </x:c>
      <x:c r="C148" s="38" t="str">
        <x:v>地</x:v>
      </x:c>
      <x:c r="D148" s="268" t="str">
        <x:v>钻石</x:v>
      </x:c>
      <x:c r="E148" s="38" t="str">
        <x:v>输出</x:v>
      </x:c>
      <x:c r="F148" s="38" t="str">
        <x:v>两格</x:v>
      </x:c>
      <x:c r="G148" s="38" t="str">
        <x:v>bz_van_147</x:v>
      </x:c>
      <x:c r="H148" s="38" t="str">
        <x:v>elem_水, elem_龙, role_坦克</x:v>
      </x:c>
      <x:c r="I148" s="38" t="n">
        <x:v>3</x:v>
      </x:c>
      <x:c r="J148" s="340" t="n">
        <x:f>XLOOKUP($D148&amp;"|"&amp;$E148&amp;"|"&amp;$F148,'PET_STAT_RULES'!$A$5:$A$88,'PET_STAT_RULES'!$C$5:$C$88)</x:f>
        <x:v>64</x:v>
      </x:c>
      <x:c r="K148" s="340" t="n">
        <x:f>XLOOKUP($D148&amp;"|"&amp;$E148&amp;"|"&amp;$F148,'PET_STAT_RULES'!$A$5:$A$88,'PET_STAT_RULES'!$D$5:$D$88)</x:f>
        <x:v>36</x:v>
      </x:c>
      <x:c r="L148" s="340" t="n">
        <x:f>XLOOKUP($D148&amp;"|"&amp;$E148&amp;"|"&amp;$F148,'PET_STAT_RULES'!$A$5:$A$88,'PET_STAT_RULES'!$F$5:$F$88)</x:f>
        <x:v>0</x:v>
      </x:c>
      <x:c r="M148" s="340" t="n">
        <x:f>XLOOKUP($D148&amp;"|"&amp;$E148&amp;"|"&amp;$F148,'PET_STAT_RULES'!$A$5:$A$88,'PET_STAT_RULES'!$G$5:$G$88)</x:f>
        <x:v>3</x:v>
      </x:c>
      <x:c r="N148" s="38" t="n">
        <x:v>3</x:v>
      </x:c>
      <x:c r="O148" s="38" t="str">
        <x:v>mech_grow_atk_each_round</x:v>
      </x:c>
      <x:c r="P148" s="38" t="str">
        <x:v>18 形状18</x:v>
      </x:c>
      <x:c r="Q148" s="38" t="str">
        <x:v>Deadly</x:v>
      </x:c>
      <x:c r="R148" s="38" t="str">
        <x:v>skill confirmed；来源=Big Guns；攻击3格；仅保留来源商人/训练师关系。</x:v>
      </x:c>
      <x:c r="S148" s="38" t="n">
        <x:v>3</x:v>
      </x:c>
      <x:c r="T148" s="38" t="n">
        <x:v>3</x:v>
      </x:c>
      <x:c r="U148" s="15" t="str">
        <x:v>skill_vanguard,skill_flank,skill_pierce,skill_revolve,skill_chase,skill_break,skill_suppress,skill_finale</x:v>
      </x:c>
      <x:c r="V148" s="15" t="str">
        <x:v>trait_relentless</x:v>
      </x:c>
      <x:c r="W148" s="332" t="n">
        <x:f>XLOOKUP($D148&amp;"|"&amp;$E148&amp;"|"&amp;$F148,'PET_STAT_RULES'!$A$5:$A$88,'PET_STAT_RULES'!$E$5:$E$88)</x:f>
        <x:v>0</x:v>
      </x:c>
    </x:row>
    <x:row r="149">
      <x:c r="A149" s="38" t="str">
        <x:v>pal_148</x:v>
      </x:c>
      <x:c r="B149" s="38" t="str">
        <x:v>震狼君</x:v>
      </x:c>
      <x:c r="C149" s="38" t="str">
        <x:v>雷</x:v>
      </x:c>
      <x:c r="D149" s="262" t="str">
        <x:v>黄金</x:v>
      </x:c>
      <x:c r="E149" s="38" t="str">
        <x:v>输出</x:v>
      </x:c>
      <x:c r="F149" s="38" t="str">
        <x:v>两格</x:v>
      </x:c>
      <x:c r="G149" s="38" t="str">
        <x:v>bz_van_148</x:v>
      </x:c>
      <x:c r="H149" s="38" t="str">
        <x:v>elem_水, elem_龙, elem_无, role_召唤</x:v>
      </x:c>
      <x:c r="I149" s="38" t="n">
        <x:v>4</x:v>
      </x:c>
      <x:c r="J149" s="340" t="n">
        <x:f>XLOOKUP($D149&amp;"|"&amp;$E149&amp;"|"&amp;$F149,'PET_STAT_RULES'!$A$5:$A$88,'PET_STAT_RULES'!$C$5:$C$88)</x:f>
        <x:v>52</x:v>
      </x:c>
      <x:c r="K149" s="340" t="n">
        <x:f>XLOOKUP($D149&amp;"|"&amp;$E149&amp;"|"&amp;$F149,'PET_STAT_RULES'!$A$5:$A$88,'PET_STAT_RULES'!$D$5:$D$88)</x:f>
        <x:v>28</x:v>
      </x:c>
      <x:c r="L149" s="340" t="n">
        <x:f>XLOOKUP($D149&amp;"|"&amp;$E149&amp;"|"&amp;$F149,'PET_STAT_RULES'!$A$5:$A$88,'PET_STAT_RULES'!$F$5:$F$88)</x:f>
        <x:v>0</x:v>
      </x:c>
      <x:c r="M149" s="340" t="n">
        <x:f>XLOOKUP($D149&amp;"|"&amp;$E149&amp;"|"&amp;$F149,'PET_STAT_RULES'!$A$5:$A$88,'PET_STAT_RULES'!$G$5:$G$88)</x:f>
        <x:v>3</x:v>
      </x:c>
      <x:c r="N149" s="38" t="n">
        <x:v>3</x:v>
      </x:c>
      <x:c r="O149" s="38" t="str">
        <x:v>mech_grow_atk_each_round</x:v>
      </x:c>
      <x:c r="P149" s="38" t="str">
        <x:v>16 形状16</x:v>
      </x:c>
      <x:c r="Q149" s="38" t="str">
        <x:v>Deadly</x:v>
      </x:c>
      <x:c r="R149" s="38" t="str">
        <x:v>skill confirmed；来源=Big Numbers；攻击3格；仅保留来源商人/训练师关系。</x:v>
      </x:c>
      <x:c r="S149" s="38" t="n">
        <x:v>3</x:v>
      </x:c>
      <x:c r="T149" s="38" t="n">
        <x:v>2</x:v>
      </x:c>
      <x:c r="U149" s="15" t="str">
        <x:v>skill_vanguard,skill_flank,skill_pierce,skill_revolve,skill_chase,skill_break,skill_suppress,skill_finale</x:v>
      </x:c>
      <x:c r="V149" s="15" t="str">
        <x:v>trait_relentless</x:v>
      </x:c>
      <x:c r="W149" s="332" t="n">
        <x:f>XLOOKUP($D149&amp;"|"&amp;$E149&amp;"|"&amp;$F149,'PET_STAT_RULES'!$A$5:$A$88,'PET_STAT_RULES'!$E$5:$E$88)</x:f>
        <x:v>0</x:v>
      </x:c>
    </x:row>
    <x:row r="150">
      <x:c r="A150" s="38" t="str">
        <x:v>pal_149</x:v>
      </x:c>
      <x:c r="B150" s="38" t="str">
        <x:v>渊鹿妖</x:v>
      </x:c>
      <x:c r="C150" s="38" t="str">
        <x:v>水、雷</x:v>
      </x:c>
      <x:c r="D150" s="265" t="str">
        <x:v>白银</x:v>
      </x:c>
      <x:c r="E150" s="38" t="str">
        <x:v>治疗</x:v>
      </x:c>
      <x:c r="F150" s="38" t="str">
        <x:v>两格</x:v>
      </x:c>
      <x:c r="G150" s="38" t="str">
        <x:v>bz_van_149</x:v>
      </x:c>
      <x:c r="H150" s="38" t="str">
        <x:v>elem_水, elem_雷, elem_龙, elem_无, special_merchant</x:v>
      </x:c>
      <x:c r="I150" s="38" t="n">
        <x:v>5</x:v>
      </x:c>
      <x:c r="J150" s="340" t="n">
        <x:f>XLOOKUP($D150&amp;"|"&amp;$E150&amp;"|"&amp;$F150,'PET_STAT_RULES'!$A$5:$A$88,'PET_STAT_RULES'!$C$5:$C$88)</x:f>
        <x:v>46</x:v>
      </x:c>
      <x:c r="K150" s="340" t="n">
        <x:f>XLOOKUP($D150&amp;"|"&amp;$E150&amp;"|"&amp;$F150,'PET_STAT_RULES'!$A$5:$A$88,'PET_STAT_RULES'!$D$5:$D$88)</x:f>
        <x:v>12</x:v>
      </x:c>
      <x:c r="L150" s="340" t="n">
        <x:f>XLOOKUP($D150&amp;"|"&amp;$E150&amp;"|"&amp;$F150,'PET_STAT_RULES'!$A$5:$A$88,'PET_STAT_RULES'!$F$5:$F$88)</x:f>
        <x:v>4</x:v>
      </x:c>
      <x:c r="M150" s="340" t="n">
        <x:f>XLOOKUP($D150&amp;"|"&amp;$E150&amp;"|"&amp;$F150,'PET_STAT_RULES'!$A$5:$A$88,'PET_STAT_RULES'!$G$5:$G$88)</x:f>
        <x:v>3</x:v>
      </x:c>
      <x:c r="N150" s="38" t="n">
        <x:v>3</x:v>
      </x:c>
      <x:c r="O150" s="38" t="str">
        <x:v>mech_shield_regen</x:v>
      </x:c>
      <x:c r="P150" s="38" t="str">
        <x:v>16 形状16</x:v>
      </x:c>
      <x:c r="Q150" s="38" t="str">
        <x:v>Turbo</x:v>
      </x:c>
      <x:c r="R150" s="38" t="str">
        <x:v>skill confirmed；来源=Bloodhound；攻击3格；仅保留来源商人/训练师关系。</x:v>
      </x:c>
      <x:c r="S150" s="38" t="n">
        <x:v>3</x:v>
      </x:c>
      <x:c r="T150" s="38" t="n">
        <x:v>2</x:v>
      </x:c>
      <x:c r="U150" s="15" t="str">
        <x:v>skill_vanguard,skill_flank,skill_pierce,skill_revolve,skill_chase,skill_break,skill_suppress,skill_finale</x:v>
      </x:c>
      <x:c r="V150" s="15" t="str">
        <x:v>trait_element_affinity</x:v>
      </x:c>
      <x:c r="W150" s="332" t="n">
        <x:f>XLOOKUP($D150&amp;"|"&amp;$E150&amp;"|"&amp;$F150,'PET_STAT_RULES'!$A$5:$A$88,'PET_STAT_RULES'!$E$5:$E$88)</x:f>
        <x:v>0</x:v>
      </x:c>
    </x:row>
    <x:row r="151">
      <x:c r="A151" s="38" t="str">
        <x:v>pal_150</x:v>
      </x:c>
      <x:c r="B151" s="38" t="str">
        <x:v>汐蝶卫</x:v>
      </x:c>
      <x:c r="C151" s="38" t="str">
        <x:v>水、地</x:v>
      </x:c>
      <x:c r="D151" s="265" t="str">
        <x:v>白银</x:v>
      </x:c>
      <x:c r="E151" s="38" t="str">
        <x:v>治疗</x:v>
      </x:c>
      <x:c r="F151" s="38" t="str">
        <x:v>两格</x:v>
      </x:c>
      <x:c r="G151" s="38" t="str">
        <x:v>bz_van_150</x:v>
      </x:c>
      <x:c r="H151" s="38" t="str">
        <x:v>elem_水, elem_雷, elem_龙, elem_无, special_merchant</x:v>
      </x:c>
      <x:c r="I151" s="38" t="n">
        <x:v>5</x:v>
      </x:c>
      <x:c r="J151" s="340" t="n">
        <x:f>XLOOKUP($D151&amp;"|"&amp;$E151&amp;"|"&amp;$F151,'PET_STAT_RULES'!$A$5:$A$88,'PET_STAT_RULES'!$C$5:$C$88)</x:f>
        <x:v>46</x:v>
      </x:c>
      <x:c r="K151" s="340" t="n">
        <x:f>XLOOKUP($D151&amp;"|"&amp;$E151&amp;"|"&amp;$F151,'PET_STAT_RULES'!$A$5:$A$88,'PET_STAT_RULES'!$D$5:$D$88)</x:f>
        <x:v>12</x:v>
      </x:c>
      <x:c r="L151" s="340" t="n">
        <x:f>XLOOKUP($D151&amp;"|"&amp;$E151&amp;"|"&amp;$F151,'PET_STAT_RULES'!$A$5:$A$88,'PET_STAT_RULES'!$F$5:$F$88)</x:f>
        <x:v>4</x:v>
      </x:c>
      <x:c r="M151" s="340" t="n">
        <x:f>XLOOKUP($D151&amp;"|"&amp;$E151&amp;"|"&amp;$F151,'PET_STAT_RULES'!$A$5:$A$88,'PET_STAT_RULES'!$G$5:$G$88)</x:f>
        <x:v>3</x:v>
      </x:c>
      <x:c r="N151" s="38" t="n">
        <x:v>3</x:v>
      </x:c>
      <x:c r="O151" s="38" t="str">
        <x:v>mech_shield_regen</x:v>
      </x:c>
      <x:c r="P151" s="38" t="str">
        <x:v>16 形状16</x:v>
      </x:c>
      <x:c r="Q151" s="38" t="str">
        <x:v>Turbo</x:v>
      </x:c>
      <x:c r="R151" s="38" t="str">
        <x:v>skill confirmed；来源=Bold Under Pressure；攻击3格；仅保留来源商人/训练师关系。</x:v>
      </x:c>
      <x:c r="S151" s="38" t="n">
        <x:v>3</x:v>
      </x:c>
      <x:c r="T151" s="38" t="n">
        <x:v>2</x:v>
      </x:c>
      <x:c r="U151" s="15" t="str">
        <x:v>skill_vanguard,skill_flank,skill_pierce,skill_revolve,skill_chase,skill_break,skill_suppress,skill_finale</x:v>
      </x:c>
      <x:c r="V151" s="15" t="str">
        <x:v>trait_element_affinity</x:v>
      </x:c>
      <x:c r="W151" s="332" t="n">
        <x:f>XLOOKUP($D151&amp;"|"&amp;$E151&amp;"|"&amp;$F151,'PET_STAT_RULES'!$A$5:$A$88,'PET_STAT_RULES'!$E$5:$E$88)</x:f>
        <x:v>0</x:v>
      </x:c>
    </x:row>
    <x:row r="152">
      <x:c r="A152" s="38" t="str">
        <x:v>pal_151</x:v>
      </x:c>
      <x:c r="B152" s="38" t="str">
        <x:v>电鹰君</x:v>
      </x:c>
      <x:c r="C152" s="38" t="str">
        <x:v>雷</x:v>
      </x:c>
      <x:c r="D152" s="262" t="str">
        <x:v>黄金</x:v>
      </x:c>
      <x:c r="E152" s="38" t="str">
        <x:v>输出</x:v>
      </x:c>
      <x:c r="F152" s="38" t="str">
        <x:v>两格</x:v>
      </x:c>
      <x:c r="G152" s="38" t="str">
        <x:v>bz_van_151</x:v>
      </x:c>
      <x:c r="H152" s="38" t="str">
        <x:v>elem_水, elem_龙, elem_无, role_召唤</x:v>
      </x:c>
      <x:c r="I152" s="38" t="n">
        <x:v>4</x:v>
      </x:c>
      <x:c r="J152" s="340" t="n">
        <x:f>XLOOKUP($D152&amp;"|"&amp;$E152&amp;"|"&amp;$F152,'PET_STAT_RULES'!$A$5:$A$88,'PET_STAT_RULES'!$C$5:$C$88)</x:f>
        <x:v>52</x:v>
      </x:c>
      <x:c r="K152" s="340" t="n">
        <x:f>XLOOKUP($D152&amp;"|"&amp;$E152&amp;"|"&amp;$F152,'PET_STAT_RULES'!$A$5:$A$88,'PET_STAT_RULES'!$D$5:$D$88)</x:f>
        <x:v>28</x:v>
      </x:c>
      <x:c r="L152" s="340" t="n">
        <x:f>XLOOKUP($D152&amp;"|"&amp;$E152&amp;"|"&amp;$F152,'PET_STAT_RULES'!$A$5:$A$88,'PET_STAT_RULES'!$F$5:$F$88)</x:f>
        <x:v>0</x:v>
      </x:c>
      <x:c r="M152" s="340" t="n">
        <x:f>XLOOKUP($D152&amp;"|"&amp;$E152&amp;"|"&amp;$F152,'PET_STAT_RULES'!$A$5:$A$88,'PET_STAT_RULES'!$G$5:$G$88)</x:f>
        <x:v>3</x:v>
      </x:c>
      <x:c r="N152" s="38" t="n">
        <x:v>3</x:v>
      </x:c>
      <x:c r="O152" s="38" t="str">
        <x:v>mech_grow_atk_each_round</x:v>
      </x:c>
      <x:c r="P152" s="38" t="str">
        <x:v>15 形状15</x:v>
      </x:c>
      <x:c r="Q152" s="38" t="str">
        <x:v>Deadly</x:v>
      </x:c>
      <x:c r="R152" s="38" t="str">
        <x:v>skill confirmed；来源=Building Crescendo；攻击3格；仅保留来源商人/训练师关系。</x:v>
      </x:c>
      <x:c r="S152" s="38" t="n">
        <x:v>3</x:v>
      </x:c>
      <x:c r="T152" s="38" t="n">
        <x:v>2</x:v>
      </x:c>
      <x:c r="U152" s="15" t="str">
        <x:v>skill_vanguard,skill_flank,skill_pierce,skill_revolve,skill_chase,skill_break,skill_suppress,skill_finale</x:v>
      </x:c>
      <x:c r="V152" s="15" t="str">
        <x:v>trait_relentless</x:v>
      </x:c>
      <x:c r="W152" s="332" t="n">
        <x:f>XLOOKUP($D152&amp;"|"&amp;$E152&amp;"|"&amp;$F152,'PET_STAT_RULES'!$A$5:$A$88,'PET_STAT_RULES'!$E$5:$E$88)</x:f>
        <x:v>0</x:v>
      </x:c>
    </x:row>
    <x:row r="153">
      <x:c r="A153" s="38" t="str">
        <x:v>pal_152</x:v>
      </x:c>
      <x:c r="B153" s="38" t="str">
        <x:v>鸣鳗王</x:v>
      </x:c>
      <x:c r="C153" s="38" t="str">
        <x:v>雷</x:v>
      </x:c>
      <x:c r="D153" s="262" t="str">
        <x:v>黄金</x:v>
      </x:c>
      <x:c r="E153" s="38" t="str">
        <x:v>控制</x:v>
      </x:c>
      <x:c r="F153" s="38" t="str">
        <x:v>两格</x:v>
      </x:c>
      <x:c r="G153" s="38" t="str">
        <x:v>bz_van_152</x:v>
      </x:c>
      <x:c r="H153" s="38" t="str">
        <x:v>elem_水, elem_地, elem_龙, elem_无, role_经济, tier_pT1</x:v>
      </x:c>
      <x:c r="I153" s="38" t="n">
        <x:v>6</x:v>
      </x:c>
      <x:c r="J153" s="340" t="n">
        <x:f>XLOOKUP($D153&amp;"|"&amp;$E153&amp;"|"&amp;$F153,'PET_STAT_RULES'!$A$5:$A$88,'PET_STAT_RULES'!$C$5:$C$88)</x:f>
        <x:v>56</x:v>
      </x:c>
      <x:c r="K153" s="340" t="n">
        <x:f>XLOOKUP($D153&amp;"|"&amp;$E153&amp;"|"&amp;$F153,'PET_STAT_RULES'!$A$5:$A$88,'PET_STAT_RULES'!$D$5:$D$88)</x:f>
        <x:v>20</x:v>
      </x:c>
      <x:c r="L153" s="340" t="n">
        <x:f>XLOOKUP($D153&amp;"|"&amp;$E153&amp;"|"&amp;$F153,'PET_STAT_RULES'!$A$5:$A$88,'PET_STAT_RULES'!$F$5:$F$88)</x:f>
        <x:v>0</x:v>
      </x:c>
      <x:c r="M153" s="340" t="n">
        <x:f>XLOOKUP($D153&amp;"|"&amp;$E153&amp;"|"&amp;$F153,'PET_STAT_RULES'!$A$5:$A$88,'PET_STAT_RULES'!$G$5:$G$88)</x:f>
        <x:v>4</x:v>
      </x:c>
      <x:c r="N153" s="38" t="n">
        <x:v>2</x:v>
      </x:c>
      <x:c r="O153" s="38" t="str">
        <x:v>mech_counter_damage</x:v>
      </x:c>
      <x:c r="P153" s="38" t="str">
        <x:v>10 形状10</x:v>
      </x:c>
      <x:c r="Q153" s="38" t="str">
        <x:v>Icy</x:v>
      </x:c>
      <x:c r="R153" s="38" t="str">
        <x:v>skill confirmed；来源=Bullet Time；攻击2格；仅保留来源商人/训练师关系。</x:v>
      </x:c>
      <x:c r="S153" s="38" t="n">
        <x:v>4</x:v>
      </x:c>
      <x:c r="T153" s="38" t="n">
        <x:v>2</x:v>
      </x:c>
      <x:c r="U153" s="15" t="str">
        <x:v>skill_vanguard,skill_flank,skill_pierce,skill_revolve,skill_chase,skill_break,skill_suppress,skill_finale</x:v>
      </x:c>
      <x:c r="V153" s="15" t="str">
        <x:v>trait_element_affinity</x:v>
      </x:c>
      <x:c r="W153" s="332" t="n">
        <x:f>XLOOKUP($D153&amp;"|"&amp;$E153&amp;"|"&amp;$F153,'PET_STAT_RULES'!$A$5:$A$88,'PET_STAT_RULES'!$E$5:$E$88)</x:f>
        <x:v>0</x:v>
      </x:c>
    </x:row>
    <x:row r="154">
      <x:c r="A154" s="38" t="str">
        <x:v>pal_153</x:v>
      </x:c>
      <x:c r="B154" s="38" t="str">
        <x:v>震狐卫</x:v>
      </x:c>
      <x:c r="C154" s="38" t="str">
        <x:v>雷</x:v>
      </x:c>
      <x:c r="D154" s="265" t="str">
        <x:v>白银</x:v>
      </x:c>
      <x:c r="E154" s="38" t="str">
        <x:v>机动</x:v>
      </x:c>
      <x:c r="F154" s="38" t="str">
        <x:v>两格</x:v>
      </x:c>
      <x:c r="G154" s="38" t="str">
        <x:v>bz_van_153</x:v>
      </x:c>
      <x:c r="H154" s="38" t="str">
        <x:v>elem_水, elem_雷, elem_龙, elem_无, special_merchant</x:v>
      </x:c>
      <x:c r="I154" s="38" t="n">
        <x:v>5</x:v>
      </x:c>
      <x:c r="J154" s="340" t="n">
        <x:f>XLOOKUP($D154&amp;"|"&amp;$E154&amp;"|"&amp;$F154,'PET_STAT_RULES'!$A$5:$A$88,'PET_STAT_RULES'!$C$5:$C$88)</x:f>
        <x:v>40</x:v>
      </x:c>
      <x:c r="K154" s="340" t="n">
        <x:f>XLOOKUP($D154&amp;"|"&amp;$E154&amp;"|"&amp;$F154,'PET_STAT_RULES'!$A$5:$A$88,'PET_STAT_RULES'!$D$5:$D$88)</x:f>
        <x:v>12</x:v>
      </x:c>
      <x:c r="L154" s="340" t="n">
        <x:f>XLOOKUP($D154&amp;"|"&amp;$E154&amp;"|"&amp;$F154,'PET_STAT_RULES'!$A$5:$A$88,'PET_STAT_RULES'!$F$5:$F$88)</x:f>
        <x:v>0</x:v>
      </x:c>
      <x:c r="M154" s="340" t="n">
        <x:f>XLOOKUP($D154&amp;"|"&amp;$E154&amp;"|"&amp;$F154,'PET_STAT_RULES'!$A$5:$A$88,'PET_STAT_RULES'!$G$5:$G$88)</x:f>
        <x:v>5</x:v>
      </x:c>
      <x:c r="N154" s="38" t="n">
        <x:v>3</x:v>
      </x:c>
      <x:c r="O154" s="38" t="str">
        <x:v>none</x:v>
      </x:c>
      <x:c r="P154" s="38" t="str">
        <x:v>18 形状18</x:v>
      </x:c>
      <x:c r="Q154" s="38" t="str">
        <x:v>Turbo</x:v>
      </x:c>
      <x:c r="R154" s="38" t="str">
        <x:v>skill confirmed；来源=Captain's Charge；攻击3格；仅保留来源商人/训练师关系。</x:v>
      </x:c>
      <x:c r="S154" s="38" t="n">
        <x:v>5</x:v>
      </x:c>
      <x:c r="T154" s="38" t="n">
        <x:v>2</x:v>
      </x:c>
      <x:c r="U154" s="15" t="str">
        <x:v>skill_vanguard,skill_flank,skill_pierce,skill_revolve,skill_chase,skill_break,skill_suppress,skill_finale</x:v>
      </x:c>
      <x:c r="V154" s="15" t="str">
        <x:v>trait_relentless</x:v>
      </x:c>
      <x:c r="W154" s="332" t="n">
        <x:f>XLOOKUP($D154&amp;"|"&amp;$E154&amp;"|"&amp;$F154,'PET_STAT_RULES'!$A$5:$A$88,'PET_STAT_RULES'!$E$5:$E$88)</x:f>
        <x:v>0</x:v>
      </x:c>
    </x:row>
    <x:row r="155">
      <x:c r="A155" s="38" t="str">
        <x:v>pal_154</x:v>
      </x:c>
      <x:c r="B155" s="38" t="str">
        <x:v>朱蛛将</x:v>
      </x:c>
      <x:c r="C155" s="38" t="str">
        <x:v>火、草</x:v>
      </x:c>
      <x:c r="D155" s="265" t="str">
        <x:v>白银</x:v>
      </x:c>
      <x:c r="E155" s="38" t="str">
        <x:v>控制</x:v>
      </x:c>
      <x:c r="F155" s="38" t="str">
        <x:v>两格</x:v>
      </x:c>
      <x:c r="G155" s="38" t="str">
        <x:v>bz_van_154</x:v>
      </x:c>
      <x:c r="H155" s="38" t="str">
        <x:v>elem_水, elem_雷, elem_龙, elem_无, role_治疗, role_输出</x:v>
      </x:c>
      <x:c r="I155" s="38" t="n">
        <x:v>6</x:v>
      </x:c>
      <x:c r="J155" s="340" t="n">
        <x:f>XLOOKUP($D155&amp;"|"&amp;$E155&amp;"|"&amp;$F155,'PET_STAT_RULES'!$A$5:$A$88,'PET_STAT_RULES'!$C$5:$C$88)</x:f>
        <x:v>44</x:v>
      </x:c>
      <x:c r="K155" s="340" t="n">
        <x:f>XLOOKUP($D155&amp;"|"&amp;$E155&amp;"|"&amp;$F155,'PET_STAT_RULES'!$A$5:$A$88,'PET_STAT_RULES'!$D$5:$D$88)</x:f>
        <x:v>14</x:v>
      </x:c>
      <x:c r="L155" s="340" t="n">
        <x:f>XLOOKUP($D155&amp;"|"&amp;$E155&amp;"|"&amp;$F155,'PET_STAT_RULES'!$A$5:$A$88,'PET_STAT_RULES'!$F$5:$F$88)</x:f>
        <x:v>0</x:v>
      </x:c>
      <x:c r="M155" s="340" t="n">
        <x:f>XLOOKUP($D155&amp;"|"&amp;$E155&amp;"|"&amp;$F155,'PET_STAT_RULES'!$A$5:$A$88,'PET_STAT_RULES'!$G$5:$G$88)</x:f>
        <x:v>4</x:v>
      </x:c>
      <x:c r="N155" s="38" t="n">
        <x:v>2</x:v>
      </x:c>
      <x:c r="O155" s="38" t="str">
        <x:v>mech_fire_ignite_bonus</x:v>
      </x:c>
      <x:c r="P155" s="38" t="str">
        <x:v>05 形状05</x:v>
      </x:c>
      <x:c r="Q155" s="38" t="str">
        <x:v>Fiery</x:v>
      </x:c>
      <x:c r="R155" s="38" t="str">
        <x:v>skill confirmed；来源=Chemical Fire；攻击2格；仅保留来源商人/训练师关系。</x:v>
      </x:c>
      <x:c r="S155" s="38" t="n">
        <x:v>4</x:v>
      </x:c>
      <x:c r="T155" s="38" t="n">
        <x:v>2</x:v>
      </x:c>
      <x:c r="U155" s="15" t="str">
        <x:v>skill_vanguard,skill_flank,skill_pierce,skill_revolve,skill_chase,skill_break,skill_suppress,skill_finale</x:v>
      </x:c>
      <x:c r="V155" s="15" t="str">
        <x:v>trait_element_affinity</x:v>
      </x:c>
      <x:c r="W155" s="332" t="n">
        <x:f>XLOOKUP($D155&amp;"|"&amp;$E155&amp;"|"&amp;$F155,'PET_STAT_RULES'!$A$5:$A$88,'PET_STAT_RULES'!$E$5:$E$88)</x:f>
        <x:v>0</x:v>
      </x:c>
    </x:row>
    <x:row r="156">
      <x:c r="A156" s="38" t="str">
        <x:v>pal_155</x:v>
      </x:c>
      <x:c r="B156" s="38" t="str">
        <x:v>沧鲤祖</x:v>
      </x:c>
      <x:c r="C156" s="38" t="str">
        <x:v>水</x:v>
      </x:c>
      <x:c r="D156" s="268" t="str">
        <x:v>钻石</x:v>
      </x:c>
      <x:c r="E156" s="38" t="str">
        <x:v>治疗</x:v>
      </x:c>
      <x:c r="F156" s="38" t="str">
        <x:v>两格</x:v>
      </x:c>
      <x:c r="G156" s="38" t="str">
        <x:v>bz_van_155</x:v>
      </x:c>
      <x:c r="H156" s="38" t="str">
        <x:v>elem_水, elem_龙, role_坦克</x:v>
      </x:c>
      <x:c r="I156" s="38" t="n">
        <x:v>3</x:v>
      </x:c>
      <x:c r="J156" s="340" t="n">
        <x:f>XLOOKUP($D156&amp;"|"&amp;$E156&amp;"|"&amp;$F156,'PET_STAT_RULES'!$A$5:$A$88,'PET_STAT_RULES'!$C$5:$C$88)</x:f>
        <x:v>70</x:v>
      </x:c>
      <x:c r="K156" s="340" t="n">
        <x:f>XLOOKUP($D156&amp;"|"&amp;$E156&amp;"|"&amp;$F156,'PET_STAT_RULES'!$A$5:$A$88,'PET_STAT_RULES'!$D$5:$D$88)</x:f>
        <x:v>24</x:v>
      </x:c>
      <x:c r="L156" s="340" t="n">
        <x:f>XLOOKUP($D156&amp;"|"&amp;$E156&amp;"|"&amp;$F156,'PET_STAT_RULES'!$A$5:$A$88,'PET_STAT_RULES'!$F$5:$F$88)</x:f>
        <x:v>8</x:v>
      </x:c>
      <x:c r="M156" s="340" t="n">
        <x:f>XLOOKUP($D156&amp;"|"&amp;$E156&amp;"|"&amp;$F156,'PET_STAT_RULES'!$A$5:$A$88,'PET_STAT_RULES'!$G$5:$G$88)</x:f>
        <x:v>3</x:v>
      </x:c>
      <x:c r="N156" s="38" t="n">
        <x:v>2</x:v>
      </x:c>
      <x:c r="O156" s="38" t="str">
        <x:v>mech_shield_regen</x:v>
      </x:c>
      <x:c r="P156" s="38" t="str">
        <x:v>07 形状07</x:v>
      </x:c>
      <x:c r="Q156" s="38" t="str">
        <x:v>Deadly</x:v>
      </x:c>
      <x:c r="R156" s="38" t="str">
        <x:v>skill confirmed；来源=Circle of Life；攻击2格；仅保留来源商人/训练师关系。</x:v>
      </x:c>
      <x:c r="S156" s="38" t="n">
        <x:v>3</x:v>
      </x:c>
      <x:c r="T156" s="38" t="n">
        <x:v>3</x:v>
      </x:c>
      <x:c r="U156" s="15" t="str">
        <x:v>skill_vanguard,skill_flank,skill_pierce,skill_revolve,skill_chase,skill_break,skill_suppress,skill_finale</x:v>
      </x:c>
      <x:c r="V156" s="15" t="str">
        <x:v>trait_element_affinity</x:v>
      </x:c>
      <x:c r="W156" s="332" t="n">
        <x:f>XLOOKUP($D156&amp;"|"&amp;$E156&amp;"|"&amp;$F156,'PET_STAT_RULES'!$A$5:$A$88,'PET_STAT_RULES'!$E$5:$E$88)</x:f>
        <x:v>0</x:v>
      </x:c>
    </x:row>
    <x:row r="157">
      <x:c r="A157" s="38" t="str">
        <x:v>pal_156</x:v>
      </x:c>
      <x:c r="B157" s="38" t="str">
        <x:v>角马王</x:v>
      </x:c>
      <x:c r="C157" s="38" t="str">
        <x:v>龙</x:v>
      </x:c>
      <x:c r="D157" s="262" t="str">
        <x:v>黄金</x:v>
      </x:c>
      <x:c r="E157" s="38" t="str">
        <x:v>机动</x:v>
      </x:c>
      <x:c r="F157" s="38" t="str">
        <x:v>两格</x:v>
      </x:c>
      <x:c r="G157" s="38" t="str">
        <x:v>bz_van_156</x:v>
      </x:c>
      <x:c r="H157" s="38" t="str">
        <x:v>elem_水, elem_龙, elem_无</x:v>
      </x:c>
      <x:c r="I157" s="38" t="n">
        <x:v>3</x:v>
      </x:c>
      <x:c r="J157" s="340" t="n">
        <x:f>XLOOKUP($D157&amp;"|"&amp;$E157&amp;"|"&amp;$F157,'PET_STAT_RULES'!$A$5:$A$88,'PET_STAT_RULES'!$C$5:$C$88)</x:f>
        <x:v>52</x:v>
      </x:c>
      <x:c r="K157" s="340" t="n">
        <x:f>XLOOKUP($D157&amp;"|"&amp;$E157&amp;"|"&amp;$F157,'PET_STAT_RULES'!$A$5:$A$88,'PET_STAT_RULES'!$D$5:$D$88)</x:f>
        <x:v>18</x:v>
      </x:c>
      <x:c r="L157" s="340" t="n">
        <x:f>XLOOKUP($D157&amp;"|"&amp;$E157&amp;"|"&amp;$F157,'PET_STAT_RULES'!$A$5:$A$88,'PET_STAT_RULES'!$F$5:$F$88)</x:f>
        <x:v>0</x:v>
      </x:c>
      <x:c r="M157" s="340" t="n">
        <x:f>XLOOKUP($D157&amp;"|"&amp;$E157&amp;"|"&amp;$F157,'PET_STAT_RULES'!$A$5:$A$88,'PET_STAT_RULES'!$G$5:$G$88)</x:f>
        <x:v>5</x:v>
      </x:c>
      <x:c r="N157" s="38" t="n">
        <x:v>2</x:v>
      </x:c>
      <x:c r="O157" s="38" t="str">
        <x:v>none</x:v>
      </x:c>
      <x:c r="P157" s="38" t="str">
        <x:v>12 形状12</x:v>
      </x:c>
      <x:c r="Q157" s="38" t="str">
        <x:v>Turbo</x:v>
      </x:c>
      <x:c r="R157" s="38" t="str">
        <x:v>skill confirmed；来源=Command Ship；攻击2格；仅保留来源商人/训练师关系。</x:v>
      </x:c>
      <x:c r="S157" s="38" t="n">
        <x:v>5</x:v>
      </x:c>
      <x:c r="T157" s="38" t="n">
        <x:v>2</x:v>
      </x:c>
      <x:c r="U157" s="15" t="str">
        <x:v>skill_vanguard,skill_flank,skill_pierce,skill_revolve,skill_chase,skill_break,skill_suppress,skill_finale</x:v>
      </x:c>
      <x:c r="V157" s="15" t="str">
        <x:v>trait_relentless</x:v>
      </x:c>
      <x:c r="W157" s="332" t="n">
        <x:f>XLOOKUP($D157&amp;"|"&amp;$E157&amp;"|"&amp;$F157,'PET_STAT_RULES'!$A$5:$A$88,'PET_STAT_RULES'!$E$5:$E$88)</x:f>
        <x:v>0</x:v>
      </x:c>
    </x:row>
    <x:row r="158">
      <x:c r="A158" s="38" t="str">
        <x:v>pal_157</x:v>
      </x:c>
      <x:c r="B158" s="38" t="str">
        <x:v>焰鹰妖</x:v>
      </x:c>
      <x:c r="C158" s="38" t="str">
        <x:v>火</x:v>
      </x:c>
      <x:c r="D158" s="265" t="str">
        <x:v>白银</x:v>
      </x:c>
      <x:c r="E158" s="38" t="str">
        <x:v>输出</x:v>
      </x:c>
      <x:c r="F158" s="38" t="str">
        <x:v>两格</x:v>
      </x:c>
      <x:c r="G158" s="38" t="str">
        <x:v>bz_van_157</x:v>
      </x:c>
      <x:c r="H158" s="38" t="str">
        <x:v>elem_水, elem_雷, elem_龙, elem_无, role_治疗</x:v>
      </x:c>
      <x:c r="I158" s="38" t="n">
        <x:v>5</x:v>
      </x:c>
      <x:c r="J158" s="340" t="n">
        <x:f>XLOOKUP($D158&amp;"|"&amp;$E158&amp;"|"&amp;$F158,'PET_STAT_RULES'!$A$5:$A$88,'PET_STAT_RULES'!$C$5:$C$88)</x:f>
        <x:v>40</x:v>
      </x:c>
      <x:c r="K158" s="340" t="n">
        <x:f>XLOOKUP($D158&amp;"|"&amp;$E158&amp;"|"&amp;$F158,'PET_STAT_RULES'!$A$5:$A$88,'PET_STAT_RULES'!$D$5:$D$88)</x:f>
        <x:v>20</x:v>
      </x:c>
      <x:c r="L158" s="340" t="n">
        <x:f>XLOOKUP($D158&amp;"|"&amp;$E158&amp;"|"&amp;$F158,'PET_STAT_RULES'!$A$5:$A$88,'PET_STAT_RULES'!$F$5:$F$88)</x:f>
        <x:v>0</x:v>
      </x:c>
      <x:c r="M158" s="340" t="n">
        <x:f>XLOOKUP($D158&amp;"|"&amp;$E158&amp;"|"&amp;$F158,'PET_STAT_RULES'!$A$5:$A$88,'PET_STAT_RULES'!$G$5:$G$88)</x:f>
        <x:v>3</x:v>
      </x:c>
      <x:c r="N158" s="38" t="n">
        <x:v>2</x:v>
      </x:c>
      <x:c r="O158" s="38" t="str">
        <x:v>mech_fire_ignite_bonus</x:v>
      </x:c>
      <x:c r="P158" s="38" t="str">
        <x:v>11 形状11</x:v>
      </x:c>
      <x:c r="Q158" s="38" t="str">
        <x:v>Fiery</x:v>
      </x:c>
      <x:c r="R158" s="38" t="str">
        <x:v>skill confirmed；来源=Conflagration；攻击2格；仅保留来源商人/训练师关系。</x:v>
      </x:c>
      <x:c r="S158" s="38" t="n">
        <x:v>3</x:v>
      </x:c>
      <x:c r="T158" s="38" t="n">
        <x:v>2</x:v>
      </x:c>
      <x:c r="U158" s="15" t="str">
        <x:v>skill_vanguard,skill_flank,skill_pierce,skill_revolve,skill_chase,skill_break,skill_suppress,skill_finale</x:v>
      </x:c>
      <x:c r="V158" s="15" t="str">
        <x:v>trait_relentless</x:v>
      </x:c>
      <x:c r="W158" s="332" t="n">
        <x:f>XLOOKUP($D158&amp;"|"&amp;$E158&amp;"|"&amp;$F158,'PET_STAT_RULES'!$A$5:$A$88,'PET_STAT_RULES'!$E$5:$E$88)</x:f>
        <x:v>0</x:v>
      </x:c>
    </x:row>
    <x:row r="159">
      <x:c r="A159" s="38" t="str">
        <x:v>pal_158</x:v>
      </x:c>
      <x:c r="B159" s="38" t="str">
        <x:v>澜蜂尊</x:v>
      </x:c>
      <x:c r="C159" s="38" t="str">
        <x:v>水</x:v>
      </x:c>
      <x:c r="D159" s="262" t="str">
        <x:v>黄金</x:v>
      </x:c>
      <x:c r="E159" s="38" t="str">
        <x:v>机动</x:v>
      </x:c>
      <x:c r="F159" s="38" t="str">
        <x:v>两格</x:v>
      </x:c>
      <x:c r="G159" s="38" t="str">
        <x:v>bz_van_158</x:v>
      </x:c>
      <x:c r="H159" s="38" t="str">
        <x:v>elem_水, elem_地, elem_龙, elem_无, role_坦克, special_merchant</x:v>
      </x:c>
      <x:c r="I159" s="38" t="n">
        <x:v>6</x:v>
      </x:c>
      <x:c r="J159" s="340" t="n">
        <x:f>XLOOKUP($D159&amp;"|"&amp;$E159&amp;"|"&amp;$F159,'PET_STAT_RULES'!$A$5:$A$88,'PET_STAT_RULES'!$C$5:$C$88)</x:f>
        <x:v>52</x:v>
      </x:c>
      <x:c r="K159" s="340" t="n">
        <x:f>XLOOKUP($D159&amp;"|"&amp;$E159&amp;"|"&amp;$F159,'PET_STAT_RULES'!$A$5:$A$88,'PET_STAT_RULES'!$D$5:$D$88)</x:f>
        <x:v>18</x:v>
      </x:c>
      <x:c r="L159" s="340" t="n">
        <x:f>XLOOKUP($D159&amp;"|"&amp;$E159&amp;"|"&amp;$F159,'PET_STAT_RULES'!$A$5:$A$88,'PET_STAT_RULES'!$F$5:$F$88)</x:f>
        <x:v>0</x:v>
      </x:c>
      <x:c r="M159" s="340" t="n">
        <x:f>XLOOKUP($D159&amp;"|"&amp;$E159&amp;"|"&amp;$F159,'PET_STAT_RULES'!$A$5:$A$88,'PET_STAT_RULES'!$G$5:$G$88)</x:f>
        <x:v>5</x:v>
      </x:c>
      <x:c r="N159" s="38" t="n">
        <x:v>2</x:v>
      </x:c>
      <x:c r="O159" s="38" t="str">
        <x:v>none</x:v>
      </x:c>
      <x:c r="P159" s="38" t="str">
        <x:v>12 形状12</x:v>
      </x:c>
      <x:c r="Q159" s="38" t="str">
        <x:v>Turbo</x:v>
      </x:c>
      <x:c r="R159" s="38" t="str">
        <x:v>skill confirmed；来源=Crashing Waves；攻击2格；仅保留来源商人/训练师关系。</x:v>
      </x:c>
      <x:c r="S159" s="38" t="n">
        <x:v>5</x:v>
      </x:c>
      <x:c r="T159" s="38" t="n">
        <x:v>2</x:v>
      </x:c>
      <x:c r="U159" s="15" t="str">
        <x:v>skill_vanguard,skill_flank,skill_pierce,skill_revolve,skill_chase,skill_break,skill_suppress,skill_finale</x:v>
      </x:c>
      <x:c r="V159" s="15" t="str">
        <x:v>trait_relentless</x:v>
      </x:c>
      <x:c r="W159" s="332" t="n">
        <x:f>XLOOKUP($D159&amp;"|"&amp;$E159&amp;"|"&amp;$F159,'PET_STAT_RULES'!$A$5:$A$88,'PET_STAT_RULES'!$E$5:$E$88)</x:f>
        <x:v>0</x:v>
      </x:c>
    </x:row>
    <x:row r="160">
      <x:c r="A160" s="38" t="str">
        <x:v>pal_159</x:v>
      </x:c>
      <x:c r="B160" s="38" t="str">
        <x:v>凝鳗卫</x:v>
      </x:c>
      <x:c r="C160" s="38" t="str">
        <x:v>冰</x:v>
      </x:c>
      <x:c r="D160" s="265" t="str">
        <x:v>白银</x:v>
      </x:c>
      <x:c r="E160" s="38" t="str">
        <x:v>控制</x:v>
      </x:c>
      <x:c r="F160" s="38" t="str">
        <x:v>两格</x:v>
      </x:c>
      <x:c r="G160" s="38" t="str">
        <x:v>bz_van_159</x:v>
      </x:c>
      <x:c r="H160" s="38" t="str">
        <x:v>elem_水, elem_雷, elem_龙, elem_无, role_控制, role_经济</x:v>
      </x:c>
      <x:c r="I160" s="38" t="n">
        <x:v>6</x:v>
      </x:c>
      <x:c r="J160" s="340" t="n">
        <x:f>XLOOKUP($D160&amp;"|"&amp;$E160&amp;"|"&amp;$F160,'PET_STAT_RULES'!$A$5:$A$88,'PET_STAT_RULES'!$C$5:$C$88)</x:f>
        <x:v>44</x:v>
      </x:c>
      <x:c r="K160" s="340" t="n">
        <x:f>XLOOKUP($D160&amp;"|"&amp;$E160&amp;"|"&amp;$F160,'PET_STAT_RULES'!$A$5:$A$88,'PET_STAT_RULES'!$D$5:$D$88)</x:f>
        <x:v>14</x:v>
      </x:c>
      <x:c r="L160" s="340" t="n">
        <x:f>XLOOKUP($D160&amp;"|"&amp;$E160&amp;"|"&amp;$F160,'PET_STAT_RULES'!$A$5:$A$88,'PET_STAT_RULES'!$F$5:$F$88)</x:f>
        <x:v>0</x:v>
      </x:c>
      <x:c r="M160" s="340" t="n">
        <x:f>XLOOKUP($D160&amp;"|"&amp;$E160&amp;"|"&amp;$F160,'PET_STAT_RULES'!$A$5:$A$88,'PET_STAT_RULES'!$G$5:$G$88)</x:f>
        <x:v>4</x:v>
      </x:c>
      <x:c r="N160" s="38" t="n">
        <x:v>2</x:v>
      </x:c>
      <x:c r="O160" s="38" t="str">
        <x:v>mech_counter_damage</x:v>
      </x:c>
      <x:c r="P160" s="38" t="str">
        <x:v>06 形状06</x:v>
      </x:c>
      <x:c r="Q160" s="38" t="str">
        <x:v>Icy</x:v>
      </x:c>
      <x:c r="R160" s="38" t="str">
        <x:v>skill confirmed；来源=Creeping Chill；攻击2格；仅保留来源商人/训练师关系。</x:v>
      </x:c>
      <x:c r="S160" s="38" t="n">
        <x:v>4</x:v>
      </x:c>
      <x:c r="T160" s="38" t="n">
        <x:v>2</x:v>
      </x:c>
      <x:c r="U160" s="15" t="str">
        <x:v>skill_vanguard,skill_flank,skill_pierce,skill_revolve,skill_chase,skill_break,skill_suppress,skill_finale</x:v>
      </x:c>
      <x:c r="V160" s="15" t="str">
        <x:v>trait_element_affinity</x:v>
      </x:c>
      <x:c r="W160" s="332" t="n">
        <x:f>XLOOKUP($D160&amp;"|"&amp;$E160&amp;"|"&amp;$F160,'PET_STAT_RULES'!$A$5:$A$88,'PET_STAT_RULES'!$E$5:$E$88)</x:f>
        <x:v>0</x:v>
      </x:c>
    </x:row>
    <x:row r="161">
      <x:c r="A161" s="38" t="str">
        <x:v>pal_160</x:v>
      </x:c>
      <x:c r="B161" s="38" t="str">
        <x:v>青鳗君</x:v>
      </x:c>
      <x:c r="C161" s="38" t="str">
        <x:v>草、雷</x:v>
      </x:c>
      <x:c r="D161" s="262" t="str">
        <x:v>黄金</x:v>
      </x:c>
      <x:c r="E161" s="38" t="str">
        <x:v>控制</x:v>
      </x:c>
      <x:c r="F161" s="38" t="str">
        <x:v>两格</x:v>
      </x:c>
      <x:c r="G161" s="38" t="str">
        <x:v>bz_van_160</x:v>
      </x:c>
      <x:c r="H161" s="38" t="str">
        <x:v>elem_水, elem_龙, elem_无, role_输出, role_经济, special_merchant</x:v>
      </x:c>
      <x:c r="I161" s="38" t="n">
        <x:v>6</x:v>
      </x:c>
      <x:c r="J161" s="340" t="n">
        <x:f>XLOOKUP($D161&amp;"|"&amp;$E161&amp;"|"&amp;$F161,'PET_STAT_RULES'!$A$5:$A$88,'PET_STAT_RULES'!$C$5:$C$88)</x:f>
        <x:v>56</x:v>
      </x:c>
      <x:c r="K161" s="340" t="n">
        <x:f>XLOOKUP($D161&amp;"|"&amp;$E161&amp;"|"&amp;$F161,'PET_STAT_RULES'!$A$5:$A$88,'PET_STAT_RULES'!$D$5:$D$88)</x:f>
        <x:v>20</x:v>
      </x:c>
      <x:c r="L161" s="340" t="n">
        <x:f>XLOOKUP($D161&amp;"|"&amp;$E161&amp;"|"&amp;$F161,'PET_STAT_RULES'!$A$5:$A$88,'PET_STAT_RULES'!$F$5:$F$88)</x:f>
        <x:v>0</x:v>
      </x:c>
      <x:c r="M161" s="340" t="n">
        <x:f>XLOOKUP($D161&amp;"|"&amp;$E161&amp;"|"&amp;$F161,'PET_STAT_RULES'!$A$5:$A$88,'PET_STAT_RULES'!$G$5:$G$88)</x:f>
        <x:v>4</x:v>
      </x:c>
      <x:c r="N161" s="38" t="n">
        <x:v>2</x:v>
      </x:c>
      <x:c r="O161" s="38" t="str">
        <x:v>mech_counter_damage</x:v>
      </x:c>
      <x:c r="P161" s="38" t="str">
        <x:v>09 形状09</x:v>
      </x:c>
      <x:c r="Q161" s="38" t="str">
        <x:v>Icy</x:v>
      </x:c>
      <x:c r="R161" s="38" t="str">
        <x:v>skill confirmed；来源=Creeping Toxins；攻击2格；仅保留来源商人/训练师关系。</x:v>
      </x:c>
      <x:c r="S161" s="38" t="n">
        <x:v>4</x:v>
      </x:c>
      <x:c r="T161" s="38" t="n">
        <x:v>2</x:v>
      </x:c>
      <x:c r="U161" s="15" t="str">
        <x:v>skill_vanguard,skill_flank,skill_pierce,skill_revolve,skill_chase,skill_break,skill_suppress,skill_finale</x:v>
      </x:c>
      <x:c r="V161" s="15" t="str">
        <x:v>trait_element_affinity</x:v>
      </x:c>
      <x:c r="W161" s="332" t="n">
        <x:f>XLOOKUP($D161&amp;"|"&amp;$E161&amp;"|"&amp;$F161,'PET_STAT_RULES'!$A$5:$A$88,'PET_STAT_RULES'!$E$5:$E$88)</x:f>
        <x:v>0</x:v>
      </x:c>
    </x:row>
    <x:row r="162">
      <x:c r="A162" s="38" t="str">
        <x:v>pal_161</x:v>
      </x:c>
      <x:c r="B162" s="38" t="str">
        <x:v>电鹰童</x:v>
      </x:c>
      <x:c r="C162" s="38" t="str">
        <x:v>雷</x:v>
      </x:c>
      <x:c r="D162" s="259" t="str">
        <x:v>青铜</x:v>
      </x:c>
      <x:c r="E162" s="38" t="str">
        <x:v>输出</x:v>
      </x:c>
      <x:c r="F162" s="38" t="str">
        <x:v>两格</x:v>
      </x:c>
      <x:c r="G162" s="38" t="str">
        <x:v>bz_van_161</x:v>
      </x:c>
      <x:c r="H162" s="38" t="str">
        <x:v>elem_水, elem_雷, elem_龙, elem_无, role_召唤, role_坦克</x:v>
      </x:c>
      <x:c r="I162" s="38" t="n">
        <x:v>6</x:v>
      </x:c>
      <x:c r="J162" s="340" t="n">
        <x:f>XLOOKUP($D162&amp;"|"&amp;$E162&amp;"|"&amp;$F162,'PET_STAT_RULES'!$A$5:$A$88,'PET_STAT_RULES'!$C$5:$C$88)</x:f>
        <x:v>28</x:v>
      </x:c>
      <x:c r="K162" s="340" t="n">
        <x:f>XLOOKUP($D162&amp;"|"&amp;$E162&amp;"|"&amp;$F162,'PET_STAT_RULES'!$A$5:$A$88,'PET_STAT_RULES'!$D$5:$D$88)</x:f>
        <x:v>12</x:v>
      </x:c>
      <x:c r="L162" s="340" t="n">
        <x:f>XLOOKUP($D162&amp;"|"&amp;$E162&amp;"|"&amp;$F162,'PET_STAT_RULES'!$A$5:$A$88,'PET_STAT_RULES'!$F$5:$F$88)</x:f>
        <x:v>0</x:v>
      </x:c>
      <x:c r="M162" s="340" t="n">
        <x:f>XLOOKUP($D162&amp;"|"&amp;$E162&amp;"|"&amp;$F162,'PET_STAT_RULES'!$A$5:$A$88,'PET_STAT_RULES'!$G$5:$G$88)</x:f>
        <x:v>3</x:v>
      </x:c>
      <x:c r="N162" s="38" t="n">
        <x:v>1</x:v>
      </x:c>
      <x:c r="O162" s="38" t="str">
        <x:v>mech_grow_atk_each_round</x:v>
      </x:c>
      <x:c r="P162" s="38" t="str">
        <x:v>01 形状01</x:v>
      </x:c>
      <x:c r="Q162" s="38" t="str">
        <x:v>Deadly</x:v>
      </x:c>
      <x:c r="R162" s="38" t="str">
        <x:v>skill confirmed；来源=Deadly Eye；攻击1格；仅保留来源商人/训练师关系。</x:v>
      </x:c>
      <x:c r="S162" s="38" t="n">
        <x:v>3</x:v>
      </x:c>
      <x:c r="T162" s="38" t="n">
        <x:v>1</x:v>
      </x:c>
      <x:c r="U162" s="15" t="str">
        <x:v>skill_vanguard,skill_flank,skill_pierce,skill_revolve,skill_chase,skill_break,skill_suppress,skill_finale</x:v>
      </x:c>
      <x:c r="V162" s="15" t="str">
        <x:v>trait_relentless</x:v>
      </x:c>
      <x:c r="W162" s="332" t="n">
        <x:f>XLOOKUP($D162&amp;"|"&amp;$E162&amp;"|"&amp;$F162,'PET_STAT_RULES'!$A$5:$A$88,'PET_STAT_RULES'!$E$5:$E$88)</x:f>
        <x:v>0</x:v>
      </x:c>
    </x:row>
    <x:row r="163">
      <x:c r="A163" s="38" t="str">
        <x:v>pal_162</x:v>
      </x:c>
      <x:c r="B163" s="38" t="str">
        <x:v>澜鲨童</x:v>
      </x:c>
      <x:c r="C163" s="38" t="str">
        <x:v>水</x:v>
      </x:c>
      <x:c r="D163" s="259" t="str">
        <x:v>青铜</x:v>
      </x:c>
      <x:c r="E163" s="38" t="str">
        <x:v>输出</x:v>
      </x:c>
      <x:c r="F163" s="38" t="str">
        <x:v>两格</x:v>
      </x:c>
      <x:c r="G163" s="38" t="str">
        <x:v>bz_van_162</x:v>
      </x:c>
      <x:c r="H163" s="38" t="str">
        <x:v>elem_水, elem_雷, elem_地, elem_龙, elem_无</x:v>
      </x:c>
      <x:c r="I163" s="38" t="n">
        <x:v>5</x:v>
      </x:c>
      <x:c r="J163" s="340" t="n">
        <x:f>XLOOKUP($D163&amp;"|"&amp;$E163&amp;"|"&amp;$F163,'PET_STAT_RULES'!$A$5:$A$88,'PET_STAT_RULES'!$C$5:$C$88)</x:f>
        <x:v>28</x:v>
      </x:c>
      <x:c r="K163" s="340" t="n">
        <x:f>XLOOKUP($D163&amp;"|"&amp;$E163&amp;"|"&amp;$F163,'PET_STAT_RULES'!$A$5:$A$88,'PET_STAT_RULES'!$D$5:$D$88)</x:f>
        <x:v>12</x:v>
      </x:c>
      <x:c r="L163" s="340" t="n">
        <x:f>XLOOKUP($D163&amp;"|"&amp;$E163&amp;"|"&amp;$F163,'PET_STAT_RULES'!$A$5:$A$88,'PET_STAT_RULES'!$F$5:$F$88)</x:f>
        <x:v>0</x:v>
      </x:c>
      <x:c r="M163" s="340" t="n">
        <x:f>XLOOKUP($D163&amp;"|"&amp;$E163&amp;"|"&amp;$F163,'PET_STAT_RULES'!$A$5:$A$88,'PET_STAT_RULES'!$G$5:$G$88)</x:f>
        <x:v>3</x:v>
      </x:c>
      <x:c r="N163" s="38" t="n">
        <x:v>1</x:v>
      </x:c>
      <x:c r="O163" s="38" t="str">
        <x:v>mech_grow_atk_each_round</x:v>
      </x:c>
      <x:c r="P163" s="38" t="str">
        <x:v>04 形状04</x:v>
      </x:c>
      <x:c r="Q163" s="38" t="str">
        <x:v>Deadly</x:v>
      </x:c>
      <x:c r="R163" s="38" t="str">
        <x:v>skill confirmed；来源=Deadly Waters；攻击1格；仅保留来源商人/训练师关系。</x:v>
      </x:c>
      <x:c r="S163" s="38" t="n">
        <x:v>3</x:v>
      </x:c>
      <x:c r="T163" s="38" t="n">
        <x:v>1</x:v>
      </x:c>
      <x:c r="U163" s="15" t="str">
        <x:v>skill_vanguard,skill_flank,skill_pierce,skill_revolve,skill_chase,skill_break,skill_suppress,skill_finale</x:v>
      </x:c>
      <x:c r="V163" s="15" t="str">
        <x:v>trait_relentless</x:v>
      </x:c>
      <x:c r="W163" s="332" t="n">
        <x:f>XLOOKUP($D163&amp;"|"&amp;$E163&amp;"|"&amp;$F163,'PET_STAT_RULES'!$A$5:$A$88,'PET_STAT_RULES'!$E$5:$E$88)</x:f>
        <x:v>0</x:v>
      </x:c>
    </x:row>
    <x:row r="164">
      <x:c r="A164" s="38" t="str">
        <x:v>pal_163</x:v>
      </x:c>
      <x:c r="B164" s="38" t="str">
        <x:v>石甲将</x:v>
      </x:c>
      <x:c r="C164" s="38" t="str">
        <x:v>地</x:v>
      </x:c>
      <x:c r="D164" s="265" t="str">
        <x:v>白银</x:v>
      </x:c>
      <x:c r="E164" s="38" t="str">
        <x:v>坦克</x:v>
      </x:c>
      <x:c r="F164" s="38" t="str">
        <x:v>两格</x:v>
      </x:c>
      <x:c r="G164" s="38" t="str">
        <x:v>bz_van_163</x:v>
      </x:c>
      <x:c r="H164" s="38" t="str">
        <x:v>elem_水, elem_雷, elem_龙, elem_无, role_坦克, role_召唤铺场</x:v>
      </x:c>
      <x:c r="I164" s="38" t="n">
        <x:v>6</x:v>
      </x:c>
      <x:c r="J164" s="340" t="n">
        <x:f>XLOOKUP($D164&amp;"|"&amp;$E164&amp;"|"&amp;$F164,'PET_STAT_RULES'!$A$5:$A$88,'PET_STAT_RULES'!$C$5:$C$88)</x:f>
        <x:v>54</x:v>
      </x:c>
      <x:c r="K164" s="340" t="n">
        <x:f>XLOOKUP($D164&amp;"|"&amp;$E164&amp;"|"&amp;$F164,'PET_STAT_RULES'!$A$5:$A$88,'PET_STAT_RULES'!$D$5:$D$88)</x:f>
        <x:v>12</x:v>
      </x:c>
      <x:c r="L164" s="340" t="n">
        <x:f>XLOOKUP($D164&amp;"|"&amp;$E164&amp;"|"&amp;$F164,'PET_STAT_RULES'!$A$5:$A$88,'PET_STAT_RULES'!$F$5:$F$88)</x:f>
        <x:v>10</x:v>
      </x:c>
      <x:c r="M164" s="340" t="n">
        <x:f>XLOOKUP($D164&amp;"|"&amp;$E164&amp;"|"&amp;$F164,'PET_STAT_RULES'!$A$5:$A$88,'PET_STAT_RULES'!$G$5:$G$88)</x:f>
        <x:v>3</x:v>
      </x:c>
      <x:c r="N164" s="38" t="n">
        <x:v>2</x:v>
      </x:c>
      <x:c r="O164" s="38" t="str">
        <x:v>mech_armor_flat</x:v>
      </x:c>
      <x:c r="P164" s="38" t="str">
        <x:v>10 形状10</x:v>
      </x:c>
      <x:c r="Q164" s="38" t="str">
        <x:v>Shielded</x:v>
      </x:c>
      <x:c r="R164" s="38" t="str">
        <x:v>skill confirmed；来源=Defensive Stance；攻击2格；仅保留来源商人/训练师关系。</x:v>
      </x:c>
      <x:c r="S164" s="38" t="n">
        <x:v>3</x:v>
      </x:c>
      <x:c r="T164" s="38" t="n">
        <x:v>2</x:v>
      </x:c>
      <x:c r="U164" s="15" t="str">
        <x:v>skill_vanguard,skill_flank,skill_pierce,skill_revolve,skill_chase,skill_break,skill_suppress,skill_finale</x:v>
      </x:c>
      <x:c r="V164" s="15" t="str">
        <x:v>trait_combo_mastery</x:v>
      </x:c>
      <x:c r="W164" s="332" t="n">
        <x:f>XLOOKUP($D164&amp;"|"&amp;$E164&amp;"|"&amp;$F164,'PET_STAT_RULES'!$A$5:$A$88,'PET_STAT_RULES'!$E$5:$E$88)</x:f>
        <x:v>0</x:v>
      </x:c>
    </x:row>
    <x:row r="165">
      <x:c r="A165" s="38" t="str">
        <x:v>pal_164</x:v>
      </x:c>
      <x:c r="B165" s="38" t="str">
        <x:v>朱蛛侯</x:v>
      </x:c>
      <x:c r="C165" s="38" t="str">
        <x:v>火、草</x:v>
      </x:c>
      <x:c r="D165" s="262" t="str">
        <x:v>黄金</x:v>
      </x:c>
      <x:c r="E165" s="38" t="str">
        <x:v>控制</x:v>
      </x:c>
      <x:c r="F165" s="38" t="str">
        <x:v>两格</x:v>
      </x:c>
      <x:c r="G165" s="38" t="str">
        <x:v>bz_van_164</x:v>
      </x:c>
      <x:c r="H165" s="38" t="str">
        <x:v>elem_水, elem_地, elem_龙, elem_无, role_治疗, role_输出</x:v>
      </x:c>
      <x:c r="I165" s="38" t="n">
        <x:v>6</x:v>
      </x:c>
      <x:c r="J165" s="340" t="n">
        <x:f>XLOOKUP($D165&amp;"|"&amp;$E165&amp;"|"&amp;$F165,'PET_STAT_RULES'!$A$5:$A$88,'PET_STAT_RULES'!$C$5:$C$88)</x:f>
        <x:v>56</x:v>
      </x:c>
      <x:c r="K165" s="340" t="n">
        <x:f>XLOOKUP($D165&amp;"|"&amp;$E165&amp;"|"&amp;$F165,'PET_STAT_RULES'!$A$5:$A$88,'PET_STAT_RULES'!$D$5:$D$88)</x:f>
        <x:v>20</x:v>
      </x:c>
      <x:c r="L165" s="340" t="n">
        <x:f>XLOOKUP($D165&amp;"|"&amp;$E165&amp;"|"&amp;$F165,'PET_STAT_RULES'!$A$5:$A$88,'PET_STAT_RULES'!$F$5:$F$88)</x:f>
        <x:v>0</x:v>
      </x:c>
      <x:c r="M165" s="340" t="n">
        <x:f>XLOOKUP($D165&amp;"|"&amp;$E165&amp;"|"&amp;$F165,'PET_STAT_RULES'!$A$5:$A$88,'PET_STAT_RULES'!$G$5:$G$88)</x:f>
        <x:v>4</x:v>
      </x:c>
      <x:c r="N165" s="38" t="n">
        <x:v>2</x:v>
      </x:c>
      <x:c r="O165" s="38" t="str">
        <x:v>mech_fire_ignite_bonus</x:v>
      </x:c>
      <x:c r="P165" s="38" t="str">
        <x:v>05 形状05</x:v>
      </x:c>
      <x:c r="Q165" s="38" t="str">
        <x:v>Fiery</x:v>
      </x:c>
      <x:c r="R165" s="38" t="str">
        <x:v>skill confirmed；来源=Denizens of the Deep；攻击2格；仅保留来源商人/训练师关系。</x:v>
      </x:c>
      <x:c r="S165" s="38" t="n">
        <x:v>4</x:v>
      </x:c>
      <x:c r="T165" s="38" t="n">
        <x:v>2</x:v>
      </x:c>
      <x:c r="U165" s="15" t="str">
        <x:v>skill_vanguard,skill_flank,skill_pierce,skill_revolve,skill_chase,skill_break,skill_suppress,skill_finale</x:v>
      </x:c>
      <x:c r="V165" s="15" t="str">
        <x:v>trait_element_affinity</x:v>
      </x:c>
      <x:c r="W165" s="332" t="n">
        <x:f>XLOOKUP($D165&amp;"|"&amp;$E165&amp;"|"&amp;$F165,'PET_STAT_RULES'!$A$5:$A$88,'PET_STAT_RULES'!$E$5:$E$88)</x:f>
        <x:v>0</x:v>
      </x:c>
    </x:row>
    <x:row r="166">
      <x:c r="A166" s="38" t="str">
        <x:v>pal_165</x:v>
      </x:c>
      <x:c r="B166" s="38" t="str">
        <x:v>渊猿王</x:v>
      </x:c>
      <x:c r="C166" s="38" t="str">
        <x:v>水、雷</x:v>
      </x:c>
      <x:c r="D166" s="262" t="str">
        <x:v>黄金</x:v>
      </x:c>
      <x:c r="E166" s="38" t="str">
        <x:v>机动</x:v>
      </x:c>
      <x:c r="F166" s="38" t="str">
        <x:v>两格</x:v>
      </x:c>
      <x:c r="G166" s="38" t="str">
        <x:v>bz_van_165</x:v>
      </x:c>
      <x:c r="H166" s="38" t="str">
        <x:v>elem_水, elem_地, elem_龙, elem_无, role_坦克, tier_pT1</x:v>
      </x:c>
      <x:c r="I166" s="38" t="n">
        <x:v>6</x:v>
      </x:c>
      <x:c r="J166" s="340" t="n">
        <x:f>XLOOKUP($D166&amp;"|"&amp;$E166&amp;"|"&amp;$F166,'PET_STAT_RULES'!$A$5:$A$88,'PET_STAT_RULES'!$C$5:$C$88)</x:f>
        <x:v>52</x:v>
      </x:c>
      <x:c r="K166" s="340" t="n">
        <x:f>XLOOKUP($D166&amp;"|"&amp;$E166&amp;"|"&amp;$F166,'PET_STAT_RULES'!$A$5:$A$88,'PET_STAT_RULES'!$D$5:$D$88)</x:f>
        <x:v>18</x:v>
      </x:c>
      <x:c r="L166" s="340" t="n">
        <x:f>XLOOKUP($D166&amp;"|"&amp;$E166&amp;"|"&amp;$F166,'PET_STAT_RULES'!$A$5:$A$88,'PET_STAT_RULES'!$F$5:$F$88)</x:f>
        <x:v>0</x:v>
      </x:c>
      <x:c r="M166" s="340" t="n">
        <x:f>XLOOKUP($D166&amp;"|"&amp;$E166&amp;"|"&amp;$F166,'PET_STAT_RULES'!$A$5:$A$88,'PET_STAT_RULES'!$G$5:$G$88)</x:f>
        <x:v>5</x:v>
      </x:c>
      <x:c r="N166" s="38" t="n">
        <x:v>2</x:v>
      </x:c>
      <x:c r="O166" s="38" t="str">
        <x:v>none</x:v>
      </x:c>
      <x:c r="P166" s="38" t="str">
        <x:v>06 形状06</x:v>
      </x:c>
      <x:c r="Q166" s="38" t="str">
        <x:v>Turbo</x:v>
      </x:c>
      <x:c r="R166" s="38" t="str">
        <x:v>skill confirmed；来源=Depth Charge；攻击2格；仅保留来源商人/训练师关系。</x:v>
      </x:c>
      <x:c r="S166" s="38" t="n">
        <x:v>5</x:v>
      </x:c>
      <x:c r="T166" s="38" t="n">
        <x:v>2</x:v>
      </x:c>
      <x:c r="U166" s="15" t="str">
        <x:v>skill_vanguard,skill_flank,skill_pierce,skill_revolve,skill_chase,skill_break,skill_suppress,skill_finale</x:v>
      </x:c>
      <x:c r="V166" s="15" t="str">
        <x:v>trait_relentless</x:v>
      </x:c>
      <x:c r="W166" s="332" t="n">
        <x:f>XLOOKUP($D166&amp;"|"&amp;$E166&amp;"|"&amp;$F166,'PET_STAT_RULES'!$A$5:$A$88,'PET_STAT_RULES'!$E$5:$E$88)</x:f>
        <x:v>0</x:v>
      </x:c>
    </x:row>
    <x:row r="167">
      <x:c r="A167" s="38" t="str">
        <x:v>pal_166</x:v>
      </x:c>
      <x:c r="B167" s="38" t="str">
        <x:v>焰蚌圣</x:v>
      </x:c>
      <x:c r="C167" s="38" t="str">
        <x:v>火、冰</x:v>
      </x:c>
      <x:c r="D167" s="268" t="str">
        <x:v>钻石</x:v>
      </x:c>
      <x:c r="E167" s="38" t="str">
        <x:v>治疗</x:v>
      </x:c>
      <x:c r="F167" s="38" t="str">
        <x:v>两格</x:v>
      </x:c>
      <x:c r="G167" s="38" t="str">
        <x:v>bz_van_166</x:v>
      </x:c>
      <x:c r="H167" s="38" t="str">
        <x:v>elem_水, elem_龙</x:v>
      </x:c>
      <x:c r="I167" s="38" t="n">
        <x:v>2</x:v>
      </x:c>
      <x:c r="J167" s="340" t="n">
        <x:f>XLOOKUP($D167&amp;"|"&amp;$E167&amp;"|"&amp;$F167,'PET_STAT_RULES'!$A$5:$A$88,'PET_STAT_RULES'!$C$5:$C$88)</x:f>
        <x:v>70</x:v>
      </x:c>
      <x:c r="K167" s="340" t="n">
        <x:f>XLOOKUP($D167&amp;"|"&amp;$E167&amp;"|"&amp;$F167,'PET_STAT_RULES'!$A$5:$A$88,'PET_STAT_RULES'!$D$5:$D$88)</x:f>
        <x:v>24</x:v>
      </x:c>
      <x:c r="L167" s="340" t="n">
        <x:f>XLOOKUP($D167&amp;"|"&amp;$E167&amp;"|"&amp;$F167,'PET_STAT_RULES'!$A$5:$A$88,'PET_STAT_RULES'!$F$5:$F$88)</x:f>
        <x:v>8</x:v>
      </x:c>
      <x:c r="M167" s="340" t="n">
        <x:f>XLOOKUP($D167&amp;"|"&amp;$E167&amp;"|"&amp;$F167,'PET_STAT_RULES'!$A$5:$A$88,'PET_STAT_RULES'!$G$5:$G$88)</x:f>
        <x:v>3</x:v>
      </x:c>
      <x:c r="N167" s="38" t="n">
        <x:v>3</x:v>
      </x:c>
      <x:c r="O167" s="38" t="str">
        <x:v>mech_fire_ignite_bonus</x:v>
      </x:c>
      <x:c r="P167" s="38" t="str">
        <x:v>14 形状14</x:v>
      </x:c>
      <x:c r="Q167" s="38" t="str">
        <x:v>Fiery</x:v>
      </x:c>
      <x:c r="R167" s="38" t="str">
        <x:v>skill confirmed；来源=Desperate Cleanse；攻击3格；仅保留来源商人/训练师关系。</x:v>
      </x:c>
      <x:c r="S167" s="38" t="n">
        <x:v>3</x:v>
      </x:c>
      <x:c r="T167" s="38" t="n">
        <x:v>3</x:v>
      </x:c>
      <x:c r="U167" s="15" t="str">
        <x:v>skill_vanguard,skill_flank,skill_pierce,skill_revolve,skill_chase,skill_break,skill_suppress,skill_finale</x:v>
      </x:c>
      <x:c r="V167" s="15" t="str">
        <x:v>trait_element_affinity</x:v>
      </x:c>
      <x:c r="W167" s="332" t="n">
        <x:f>XLOOKUP($D167&amp;"|"&amp;$E167&amp;"|"&amp;$F167,'PET_STAT_RULES'!$A$5:$A$88,'PET_STAT_RULES'!$E$5:$E$88)</x:f>
        <x:v>0</x:v>
      </x:c>
    </x:row>
    <x:row r="168">
      <x:c r="A168" s="38" t="str">
        <x:v>pal_167</x:v>
      </x:c>
      <x:c r="B168" s="38" t="str">
        <x:v>渊兔妖</x:v>
      </x:c>
      <x:c r="C168" s="38" t="str">
        <x:v>水、雷</x:v>
      </x:c>
      <x:c r="D168" s="265" t="str">
        <x:v>白银</x:v>
      </x:c>
      <x:c r="E168" s="38" t="str">
        <x:v>治疗</x:v>
      </x:c>
      <x:c r="F168" s="38" t="str">
        <x:v>两格</x:v>
      </x:c>
      <x:c r="G168" s="38" t="str">
        <x:v>bz_van_167</x:v>
      </x:c>
      <x:c r="H168" s="38" t="str">
        <x:v>elem_水, elem_雷, elem_龙, elem_无, role_召唤</x:v>
      </x:c>
      <x:c r="I168" s="38" t="n">
        <x:v>5</x:v>
      </x:c>
      <x:c r="J168" s="340" t="n">
        <x:f>XLOOKUP($D168&amp;"|"&amp;$E168&amp;"|"&amp;$F168,'PET_STAT_RULES'!$A$5:$A$88,'PET_STAT_RULES'!$C$5:$C$88)</x:f>
        <x:v>46</x:v>
      </x:c>
      <x:c r="K168" s="340" t="n">
        <x:f>XLOOKUP($D168&amp;"|"&amp;$E168&amp;"|"&amp;$F168,'PET_STAT_RULES'!$A$5:$A$88,'PET_STAT_RULES'!$D$5:$D$88)</x:f>
        <x:v>12</x:v>
      </x:c>
      <x:c r="L168" s="340" t="n">
        <x:f>XLOOKUP($D168&amp;"|"&amp;$E168&amp;"|"&amp;$F168,'PET_STAT_RULES'!$A$5:$A$88,'PET_STAT_RULES'!$F$5:$F$88)</x:f>
        <x:v>4</x:v>
      </x:c>
      <x:c r="M168" s="340" t="n">
        <x:f>XLOOKUP($D168&amp;"|"&amp;$E168&amp;"|"&amp;$F168,'PET_STAT_RULES'!$A$5:$A$88,'PET_STAT_RULES'!$G$5:$G$88)</x:f>
        <x:v>3</x:v>
      </x:c>
      <x:c r="N168" s="38" t="n">
        <x:v>2</x:v>
      </x:c>
      <x:c r="O168" s="38" t="str">
        <x:v>mech_shield_regen</x:v>
      </x:c>
      <x:c r="P168" s="38" t="str">
        <x:v>08 形状08</x:v>
      </x:c>
      <x:c r="Q168" s="38" t="str">
        <x:v>Restorative</x:v>
      </x:c>
      <x:c r="R168" s="38" t="str">
        <x:v>skill confirmed；来源=Desperate Strike；攻击2格；仅保留来源商人/训练师关系。</x:v>
      </x:c>
      <x:c r="S168" s="38" t="n">
        <x:v>3</x:v>
      </x:c>
      <x:c r="T168" s="38" t="n">
        <x:v>2</x:v>
      </x:c>
      <x:c r="U168" s="15" t="str">
        <x:v>skill_vanguard,skill_flank,skill_pierce,skill_revolve,skill_chase,skill_break,skill_suppress,skill_finale</x:v>
      </x:c>
      <x:c r="V168" s="15" t="str">
        <x:v>trait_element_affinity</x:v>
      </x:c>
      <x:c r="W168" s="332" t="n">
        <x:f>XLOOKUP($D168&amp;"|"&amp;$E168&amp;"|"&amp;$F168,'PET_STAT_RULES'!$A$5:$A$88,'PET_STAT_RULES'!$E$5:$E$88)</x:f>
        <x:v>0</x:v>
      </x:c>
    </x:row>
    <x:row r="169">
      <x:c r="A169" s="38" t="str">
        <x:v>pal_168</x:v>
      </x:c>
      <x:c r="B169" s="38" t="str">
        <x:v>澜兔祖</x:v>
      </x:c>
      <x:c r="C169" s="38" t="str">
        <x:v>水、地</x:v>
      </x:c>
      <x:c r="D169" s="268" t="str">
        <x:v>钻石</x:v>
      </x:c>
      <x:c r="E169" s="38" t="str">
        <x:v>治疗</x:v>
      </x:c>
      <x:c r="F169" s="38" t="str">
        <x:v>两格</x:v>
      </x:c>
      <x:c r="G169" s="38" t="str">
        <x:v>bz_van_168</x:v>
      </x:c>
      <x:c r="H169" s="38" t="str">
        <x:v>elem_水, elem_龙, role_坦克</x:v>
      </x:c>
      <x:c r="I169" s="38" t="n">
        <x:v>3</x:v>
      </x:c>
      <x:c r="J169" s="340" t="n">
        <x:f>XLOOKUP($D169&amp;"|"&amp;$E169&amp;"|"&amp;$F169,'PET_STAT_RULES'!$A$5:$A$88,'PET_STAT_RULES'!$C$5:$C$88)</x:f>
        <x:v>70</x:v>
      </x:c>
      <x:c r="K169" s="340" t="n">
        <x:f>XLOOKUP($D169&amp;"|"&amp;$E169&amp;"|"&amp;$F169,'PET_STAT_RULES'!$A$5:$A$88,'PET_STAT_RULES'!$D$5:$D$88)</x:f>
        <x:v>24</x:v>
      </x:c>
      <x:c r="L169" s="340" t="n">
        <x:f>XLOOKUP($D169&amp;"|"&amp;$E169&amp;"|"&amp;$F169,'PET_STAT_RULES'!$A$5:$A$88,'PET_STAT_RULES'!$F$5:$F$88)</x:f>
        <x:v>8</x:v>
      </x:c>
      <x:c r="M169" s="340" t="n">
        <x:f>XLOOKUP($D169&amp;"|"&amp;$E169&amp;"|"&amp;$F169,'PET_STAT_RULES'!$A$5:$A$88,'PET_STAT_RULES'!$G$5:$G$88)</x:f>
        <x:v>3</x:v>
      </x:c>
      <x:c r="N169" s="38" t="n">
        <x:v>3</x:v>
      </x:c>
      <x:c r="O169" s="38" t="str">
        <x:v>mech_shield_regen</x:v>
      </x:c>
      <x:c r="P169" s="38" t="str">
        <x:v>17 形状17</x:v>
      </x:c>
      <x:c r="Q169" s="38" t="str">
        <x:v>Restorative</x:v>
      </x:c>
      <x:c r="R169" s="38" t="str">
        <x:v>skill confirmed；来源=Double Down；攻击3格；仅保留来源商人/训练师关系。</x:v>
      </x:c>
      <x:c r="S169" s="38" t="n">
        <x:v>3</x:v>
      </x:c>
      <x:c r="T169" s="38" t="n">
        <x:v>3</x:v>
      </x:c>
      <x:c r="U169" s="15" t="str">
        <x:v>skill_vanguard,skill_flank,skill_pierce,skill_revolve,skill_chase,skill_break,skill_suppress,skill_finale</x:v>
      </x:c>
      <x:c r="V169" s="15" t="str">
        <x:v>trait_element_affinity</x:v>
      </x:c>
      <x:c r="W169" s="332" t="n">
        <x:f>XLOOKUP($D169&amp;"|"&amp;$E169&amp;"|"&amp;$F169,'PET_STAT_RULES'!$A$5:$A$88,'PET_STAT_RULES'!$E$5:$E$88)</x:f>
        <x:v>0</x:v>
      </x:c>
    </x:row>
    <x:row r="170">
      <x:c r="A170" s="38" t="str">
        <x:v>pal_169</x:v>
      </x:c>
      <x:c r="B170" s="38" t="str">
        <x:v>朱鹤将</x:v>
      </x:c>
      <x:c r="C170" s="38" t="str">
        <x:v>火、水</x:v>
      </x:c>
      <x:c r="D170" s="265" t="str">
        <x:v>白银</x:v>
      </x:c>
      <x:c r="E170" s="38" t="str">
        <x:v>治疗</x:v>
      </x:c>
      <x:c r="F170" s="38" t="str">
        <x:v>两格</x:v>
      </x:c>
      <x:c r="G170" s="38" t="str">
        <x:v>bz_van_169</x:v>
      </x:c>
      <x:c r="H170" s="38" t="str">
        <x:v>elem_水, elem_雷, elem_龙, elem_无, role_治疗</x:v>
      </x:c>
      <x:c r="I170" s="38" t="n">
        <x:v>5</x:v>
      </x:c>
      <x:c r="J170" s="340" t="n">
        <x:f>XLOOKUP($D170&amp;"|"&amp;$E170&amp;"|"&amp;$F170,'PET_STAT_RULES'!$A$5:$A$88,'PET_STAT_RULES'!$C$5:$C$88)</x:f>
        <x:v>46</x:v>
      </x:c>
      <x:c r="K170" s="340" t="n">
        <x:f>XLOOKUP($D170&amp;"|"&amp;$E170&amp;"|"&amp;$F170,'PET_STAT_RULES'!$A$5:$A$88,'PET_STAT_RULES'!$D$5:$D$88)</x:f>
        <x:v>12</x:v>
      </x:c>
      <x:c r="L170" s="340" t="n">
        <x:f>XLOOKUP($D170&amp;"|"&amp;$E170&amp;"|"&amp;$F170,'PET_STAT_RULES'!$A$5:$A$88,'PET_STAT_RULES'!$F$5:$F$88)</x:f>
        <x:v>4</x:v>
      </x:c>
      <x:c r="M170" s="340" t="n">
        <x:f>XLOOKUP($D170&amp;"|"&amp;$E170&amp;"|"&amp;$F170,'PET_STAT_RULES'!$A$5:$A$88,'PET_STAT_RULES'!$G$5:$G$88)</x:f>
        <x:v>3</x:v>
      </x:c>
      <x:c r="N170" s="38" t="n">
        <x:v>3</x:v>
      </x:c>
      <x:c r="O170" s="38" t="str">
        <x:v>mech_fire_ignite_bonus</x:v>
      </x:c>
      <x:c r="P170" s="38" t="str">
        <x:v>15 形状15</x:v>
      </x:c>
      <x:c r="Q170" s="38" t="str">
        <x:v>Fiery</x:v>
      </x:c>
      <x:c r="R170" s="38" t="str">
        <x:v>skill confirmed；来源=Emergency Burn；攻击3格；仅保留来源商人/训练师关系。</x:v>
      </x:c>
      <x:c r="S170" s="38" t="n">
        <x:v>3</x:v>
      </x:c>
      <x:c r="T170" s="38" t="n">
        <x:v>2</x:v>
      </x:c>
      <x:c r="U170" s="15" t="str">
        <x:v>skill_vanguard,skill_flank,skill_pierce,skill_revolve,skill_chase,skill_break,skill_suppress,skill_finale</x:v>
      </x:c>
      <x:c r="V170" s="15" t="str">
        <x:v>trait_element_affinity</x:v>
      </x:c>
      <x:c r="W170" s="332" t="n">
        <x:f>XLOOKUP($D170&amp;"|"&amp;$E170&amp;"|"&amp;$F170,'PET_STAT_RULES'!$A$5:$A$88,'PET_STAT_RULES'!$E$5:$E$88)</x:f>
        <x:v>0</x:v>
      </x:c>
    </x:row>
    <x:row r="171">
      <x:c r="A171" s="38" t="str">
        <x:v>pal_170</x:v>
      </x:c>
      <x:c r="B171" s="38" t="str">
        <x:v>青蝎卫</x:v>
      </x:c>
      <x:c r="C171" s="38" t="str">
        <x:v>草、雷</x:v>
      </x:c>
      <x:c r="D171" s="265" t="str">
        <x:v>白银</x:v>
      </x:c>
      <x:c r="E171" s="38" t="str">
        <x:v>控制</x:v>
      </x:c>
      <x:c r="F171" s="38" t="str">
        <x:v>两格</x:v>
      </x:c>
      <x:c r="G171" s="38" t="str">
        <x:v>bz_van_170</x:v>
      </x:c>
      <x:c r="H171" s="38" t="str">
        <x:v>elem_水, elem_雷, elem_龙, elem_无, role_召唤, role_输出</x:v>
      </x:c>
      <x:c r="I171" s="38" t="n">
        <x:v>6</x:v>
      </x:c>
      <x:c r="J171" s="340" t="n">
        <x:f>XLOOKUP($D171&amp;"|"&amp;$E171&amp;"|"&amp;$F171,'PET_STAT_RULES'!$A$5:$A$88,'PET_STAT_RULES'!$C$5:$C$88)</x:f>
        <x:v>44</x:v>
      </x:c>
      <x:c r="K171" s="340" t="n">
        <x:f>XLOOKUP($D171&amp;"|"&amp;$E171&amp;"|"&amp;$F171,'PET_STAT_RULES'!$A$5:$A$88,'PET_STAT_RULES'!$D$5:$D$88)</x:f>
        <x:v>14</x:v>
      </x:c>
      <x:c r="L171" s="340" t="n">
        <x:f>XLOOKUP($D171&amp;"|"&amp;$E171&amp;"|"&amp;$F171,'PET_STAT_RULES'!$A$5:$A$88,'PET_STAT_RULES'!$F$5:$F$88)</x:f>
        <x:v>0</x:v>
      </x:c>
      <x:c r="M171" s="340" t="n">
        <x:f>XLOOKUP($D171&amp;"|"&amp;$E171&amp;"|"&amp;$F171,'PET_STAT_RULES'!$A$5:$A$88,'PET_STAT_RULES'!$G$5:$G$88)</x:f>
        <x:v>4</x:v>
      </x:c>
      <x:c r="N171" s="38" t="n">
        <x:v>2</x:v>
      </x:c>
      <x:c r="O171" s="38" t="str">
        <x:v>mech_counter_damage</x:v>
      </x:c>
      <x:c r="P171" s="38" t="str">
        <x:v>09 形状09</x:v>
      </x:c>
      <x:c r="Q171" s="38" t="str">
        <x:v>Toxic</x:v>
      </x:c>
      <x:c r="R171" s="38" t="str">
        <x:v>skill confirmed；来源=Exposing Toxins；攻击2格；仅保留来源商人/训练师关系。</x:v>
      </x:c>
      <x:c r="S171" s="38" t="n">
        <x:v>4</x:v>
      </x:c>
      <x:c r="T171" s="38" t="n">
        <x:v>2</x:v>
      </x:c>
      <x:c r="U171" s="15" t="str">
        <x:v>skill_vanguard,skill_flank,skill_pierce,skill_revolve,skill_chase,skill_break,skill_suppress,skill_finale</x:v>
      </x:c>
      <x:c r="V171" s="15" t="str">
        <x:v>trait_element_affinity</x:v>
      </x:c>
      <x:c r="W171" s="332" t="n">
        <x:f>XLOOKUP($D171&amp;"|"&amp;$E171&amp;"|"&amp;$F171,'PET_STAT_RULES'!$A$5:$A$88,'PET_STAT_RULES'!$E$5:$E$88)</x:f>
        <x:v>0</x:v>
      </x:c>
    </x:row>
    <x:row r="172">
      <x:c r="A172" s="38" t="str">
        <x:v>pal_171</x:v>
      </x:c>
      <x:c r="B172" s="38" t="str">
        <x:v>赤狼童</x:v>
      </x:c>
      <x:c r="C172" s="38" t="str">
        <x:v>火</x:v>
      </x:c>
      <x:c r="D172" s="259" t="str">
        <x:v>青铜</x:v>
      </x:c>
      <x:c r="E172" s="38" t="str">
        <x:v>输出</x:v>
      </x:c>
      <x:c r="F172" s="38" t="str">
        <x:v>两格</x:v>
      </x:c>
      <x:c r="G172" s="38" t="str">
        <x:v>bz_van_171</x:v>
      </x:c>
      <x:c r="H172" s="38" t="str">
        <x:v>elem_水, elem_雷, elem_龙, elem_无, role_治疗</x:v>
      </x:c>
      <x:c r="I172" s="38" t="n">
        <x:v>5</x:v>
      </x:c>
      <x:c r="J172" s="340" t="n">
        <x:f>XLOOKUP($D172&amp;"|"&amp;$E172&amp;"|"&amp;$F172,'PET_STAT_RULES'!$A$5:$A$88,'PET_STAT_RULES'!$C$5:$C$88)</x:f>
        <x:v>28</x:v>
      </x:c>
      <x:c r="K172" s="340" t="n">
        <x:f>XLOOKUP($D172&amp;"|"&amp;$E172&amp;"|"&amp;$F172,'PET_STAT_RULES'!$A$5:$A$88,'PET_STAT_RULES'!$D$5:$D$88)</x:f>
        <x:v>12</x:v>
      </x:c>
      <x:c r="L172" s="340" t="n">
        <x:f>XLOOKUP($D172&amp;"|"&amp;$E172&amp;"|"&amp;$F172,'PET_STAT_RULES'!$A$5:$A$88,'PET_STAT_RULES'!$F$5:$F$88)</x:f>
        <x:v>0</x:v>
      </x:c>
      <x:c r="M172" s="340" t="n">
        <x:f>XLOOKUP($D172&amp;"|"&amp;$E172&amp;"|"&amp;$F172,'PET_STAT_RULES'!$A$5:$A$88,'PET_STAT_RULES'!$G$5:$G$88)</x:f>
        <x:v>3</x:v>
      </x:c>
      <x:c r="N172" s="38" t="n">
        <x:v>1</x:v>
      </x:c>
      <x:c r="O172" s="38" t="str">
        <x:v>mech_fire_ignite_bonus</x:v>
      </x:c>
      <x:c r="P172" s="38" t="str">
        <x:v>03 形状03</x:v>
      </x:c>
      <x:c r="Q172" s="38" t="str">
        <x:v>Fiery</x:v>
      </x:c>
      <x:c r="R172" s="38" t="str">
        <x:v>skill confirmed；来源=Fiery；攻击1格；仅保留来源商人/训练师关系。</x:v>
      </x:c>
      <x:c r="S172" s="38" t="n">
        <x:v>3</x:v>
      </x:c>
      <x:c r="T172" s="38" t="n">
        <x:v>1</x:v>
      </x:c>
      <x:c r="U172" s="15" t="str">
        <x:v>skill_vanguard,skill_flank,skill_pierce,skill_revolve,skill_chase,skill_break,skill_suppress,skill_finale</x:v>
      </x:c>
      <x:c r="V172" s="15" t="str">
        <x:v>trait_relentless</x:v>
      </x:c>
      <x:c r="W172" s="332" t="n">
        <x:f>XLOOKUP($D172&amp;"|"&amp;$E172&amp;"|"&amp;$F172,'PET_STAT_RULES'!$A$5:$A$88,'PET_STAT_RULES'!$E$5:$E$88)</x:f>
        <x:v>0</x:v>
      </x:c>
    </x:row>
    <x:row r="173">
      <x:c r="A173" s="38" t="str">
        <x:v>pal_172</x:v>
      </x:c>
      <x:c r="B173" s="38" t="str">
        <x:v>森蟒仔</x:v>
      </x:c>
      <x:c r="C173" s="38" t="str">
        <x:v>草</x:v>
      </x:c>
      <x:c r="D173" s="259" t="str">
        <x:v>青铜</x:v>
      </x:c>
      <x:c r="E173" s="38" t="str">
        <x:v>控制</x:v>
      </x:c>
      <x:c r="F173" s="38" t="str">
        <x:v>两格</x:v>
      </x:c>
      <x:c r="G173" s="38" t="str">
        <x:v>bz_van_172</x:v>
      </x:c>
      <x:c r="H173" s="38" t="str">
        <x:v>elem_水, elem_雷, elem_龙, elem_无, role_输出</x:v>
      </x:c>
      <x:c r="I173" s="38" t="n">
        <x:v>5</x:v>
      </x:c>
      <x:c r="J173" s="340" t="n">
        <x:f>XLOOKUP($D173&amp;"|"&amp;$E173&amp;"|"&amp;$F173,'PET_STAT_RULES'!$A$5:$A$88,'PET_STAT_RULES'!$C$5:$C$88)</x:f>
        <x:v>32</x:v>
      </x:c>
      <x:c r="K173" s="340" t="n">
        <x:f>XLOOKUP($D173&amp;"|"&amp;$E173&amp;"|"&amp;$F173,'PET_STAT_RULES'!$A$5:$A$88,'PET_STAT_RULES'!$D$5:$D$88)</x:f>
        <x:v>8</x:v>
      </x:c>
      <x:c r="L173" s="340" t="n">
        <x:f>XLOOKUP($D173&amp;"|"&amp;$E173&amp;"|"&amp;$F173,'PET_STAT_RULES'!$A$5:$A$88,'PET_STAT_RULES'!$F$5:$F$88)</x:f>
        <x:v>0</x:v>
      </x:c>
      <x:c r="M173" s="340" t="n">
        <x:f>XLOOKUP($D173&amp;"|"&amp;$E173&amp;"|"&amp;$F173,'PET_STAT_RULES'!$A$5:$A$88,'PET_STAT_RULES'!$G$5:$G$88)</x:f>
        <x:v>4</x:v>
      </x:c>
      <x:c r="N173" s="38" t="n">
        <x:v>2</x:v>
      </x:c>
      <x:c r="O173" s="38" t="str">
        <x:v>mech_counter_damage</x:v>
      </x:c>
      <x:c r="P173" s="38" t="str">
        <x:v>12 形状12</x:v>
      </x:c>
      <x:c r="Q173" s="38" t="str">
        <x:v>Toxic</x:v>
      </x:c>
      <x:c r="R173" s="38" t="str">
        <x:v>skill confirmed；来源=Final Dose；攻击2格；仅保留来源商人/训练师关系。</x:v>
      </x:c>
      <x:c r="S173" s="38" t="n">
        <x:v>4</x:v>
      </x:c>
      <x:c r="T173" s="38" t="n">
        <x:v>1</x:v>
      </x:c>
      <x:c r="U173" s="15" t="str">
        <x:v>skill_vanguard,skill_flank,skill_pierce,skill_revolve,skill_chase,skill_break,skill_suppress,skill_finale</x:v>
      </x:c>
      <x:c r="V173" s="15" t="str">
        <x:v>trait_element_affinity</x:v>
      </x:c>
      <x:c r="W173" s="332" t="n">
        <x:f>XLOOKUP($D173&amp;"|"&amp;$E173&amp;"|"&amp;$F173,'PET_STAT_RULES'!$A$5:$A$88,'PET_STAT_RULES'!$E$5:$E$88)</x:f>
        <x:v>0</x:v>
      </x:c>
    </x:row>
    <x:row r="174">
      <x:c r="A174" s="38" t="str">
        <x:v>pal_173</x:v>
      </x:c>
      <x:c r="B174" s="38" t="str">
        <x:v>燎鹰兽</x:v>
      </x:c>
      <x:c r="C174" s="38" t="str">
        <x:v>火</x:v>
      </x:c>
      <x:c r="D174" s="259" t="str">
        <x:v>青铜</x:v>
      </x:c>
      <x:c r="E174" s="38" t="str">
        <x:v>输出</x:v>
      </x:c>
      <x:c r="F174" s="38" t="str">
        <x:v>两格</x:v>
      </x:c>
      <x:c r="G174" s="38" t="str">
        <x:v>bz_van_173</x:v>
      </x:c>
      <x:c r="H174" s="38" t="str">
        <x:v>elem_水, elem_雷, elem_龙, elem_无, role_治疗</x:v>
      </x:c>
      <x:c r="I174" s="38" t="n">
        <x:v>5</x:v>
      </x:c>
      <x:c r="J174" s="340" t="n">
        <x:f>XLOOKUP($D174&amp;"|"&amp;$E174&amp;"|"&amp;$F174,'PET_STAT_RULES'!$A$5:$A$88,'PET_STAT_RULES'!$C$5:$C$88)</x:f>
        <x:v>28</x:v>
      </x:c>
      <x:c r="K174" s="340" t="n">
        <x:f>XLOOKUP($D174&amp;"|"&amp;$E174&amp;"|"&amp;$F174,'PET_STAT_RULES'!$A$5:$A$88,'PET_STAT_RULES'!$D$5:$D$88)</x:f>
        <x:v>12</x:v>
      </x:c>
      <x:c r="L174" s="340" t="n">
        <x:f>XLOOKUP($D174&amp;"|"&amp;$E174&amp;"|"&amp;$F174,'PET_STAT_RULES'!$A$5:$A$88,'PET_STAT_RULES'!$F$5:$F$88)</x:f>
        <x:v>0</x:v>
      </x:c>
      <x:c r="M174" s="340" t="n">
        <x:f>XLOOKUP($D174&amp;"|"&amp;$E174&amp;"|"&amp;$F174,'PET_STAT_RULES'!$A$5:$A$88,'PET_STAT_RULES'!$G$5:$G$88)</x:f>
        <x:v>3</x:v>
      </x:c>
      <x:c r="N174" s="38" t="n">
        <x:v>1</x:v>
      </x:c>
      <x:c r="O174" s="38" t="str">
        <x:v>mech_fire_ignite_bonus</x:v>
      </x:c>
      <x:c r="P174" s="38" t="str">
        <x:v>02 形状02</x:v>
      </x:c>
      <x:c r="Q174" s="38" t="str">
        <x:v>Fiery</x:v>
      </x:c>
      <x:c r="R174" s="38" t="str">
        <x:v>skill confirmed；来源=Final Flame；攻击1格；仅保留来源商人/训练师关系。</x:v>
      </x:c>
      <x:c r="S174" s="38" t="n">
        <x:v>3</x:v>
      </x:c>
      <x:c r="T174" s="38" t="n">
        <x:v>1</x:v>
      </x:c>
      <x:c r="U174" s="15" t="str">
        <x:v>skill_vanguard,skill_flank,skill_pierce,skill_revolve,skill_chase,skill_break,skill_suppress,skill_finale</x:v>
      </x:c>
      <x:c r="V174" s="15" t="str">
        <x:v>trait_relentless</x:v>
      </x:c>
      <x:c r="W174" s="332" t="n">
        <x:f>XLOOKUP($D174&amp;"|"&amp;$E174&amp;"|"&amp;$F174,'PET_STAT_RULES'!$A$5:$A$88,'PET_STAT_RULES'!$E$5:$E$88)</x:f>
        <x:v>0</x:v>
      </x:c>
    </x:row>
    <x:row r="175">
      <x:c r="A175" s="38" t="str">
        <x:v>pal_174</x:v>
      </x:c>
      <x:c r="B175" s="38" t="str">
        <x:v>焰狼将</x:v>
      </x:c>
      <x:c r="C175" s="38" t="str">
        <x:v>火</x:v>
      </x:c>
      <x:c r="D175" s="265" t="str">
        <x:v>白银</x:v>
      </x:c>
      <x:c r="E175" s="38" t="str">
        <x:v>输出</x:v>
      </x:c>
      <x:c r="F175" s="38" t="str">
        <x:v>两格</x:v>
      </x:c>
      <x:c r="G175" s="38" t="str">
        <x:v>bz_van_174</x:v>
      </x:c>
      <x:c r="H175" s="38" t="str">
        <x:v>elem_水, elem_雷, elem_龙, elem_无, role_治疗</x:v>
      </x:c>
      <x:c r="I175" s="38" t="n">
        <x:v>5</x:v>
      </x:c>
      <x:c r="J175" s="340" t="n">
        <x:f>XLOOKUP($D175&amp;"|"&amp;$E175&amp;"|"&amp;$F175,'PET_STAT_RULES'!$A$5:$A$88,'PET_STAT_RULES'!$C$5:$C$88)</x:f>
        <x:v>40</x:v>
      </x:c>
      <x:c r="K175" s="340" t="n">
        <x:f>XLOOKUP($D175&amp;"|"&amp;$E175&amp;"|"&amp;$F175,'PET_STAT_RULES'!$A$5:$A$88,'PET_STAT_RULES'!$D$5:$D$88)</x:f>
        <x:v>20</x:v>
      </x:c>
      <x:c r="L175" s="340" t="n">
        <x:f>XLOOKUP($D175&amp;"|"&amp;$E175&amp;"|"&amp;$F175,'PET_STAT_RULES'!$A$5:$A$88,'PET_STAT_RULES'!$F$5:$F$88)</x:f>
        <x:v>0</x:v>
      </x:c>
      <x:c r="M175" s="340" t="n">
        <x:f>XLOOKUP($D175&amp;"|"&amp;$E175&amp;"|"&amp;$F175,'PET_STAT_RULES'!$A$5:$A$88,'PET_STAT_RULES'!$G$5:$G$88)</x:f>
        <x:v>3</x:v>
      </x:c>
      <x:c r="N175" s="38" t="n">
        <x:v>2</x:v>
      </x:c>
      <x:c r="O175" s="38" t="str">
        <x:v>mech_fire_ignite_bonus</x:v>
      </x:c>
      <x:c r="P175" s="38" t="str">
        <x:v>09 形状09</x:v>
      </x:c>
      <x:c r="Q175" s="38" t="str">
        <x:v>Fiery</x:v>
      </x:c>
      <x:c r="R175" s="38" t="str">
        <x:v>skill confirmed；来源=First Flames；攻击2格；仅保留来源商人/训练师关系。</x:v>
      </x:c>
      <x:c r="S175" s="38" t="n">
        <x:v>3</x:v>
      </x:c>
      <x:c r="T175" s="38" t="n">
        <x:v>2</x:v>
      </x:c>
      <x:c r="U175" s="15" t="str">
        <x:v>skill_vanguard,skill_flank,skill_pierce,skill_revolve,skill_chase,skill_break,skill_suppress,skill_finale</x:v>
      </x:c>
      <x:c r="V175" s="15" t="str">
        <x:v>trait_relentless</x:v>
      </x:c>
      <x:c r="W175" s="332" t="n">
        <x:f>XLOOKUP($D175&amp;"|"&amp;$E175&amp;"|"&amp;$F175,'PET_STAT_RULES'!$A$5:$A$88,'PET_STAT_RULES'!$E$5:$E$88)</x:f>
        <x:v>0</x:v>
      </x:c>
    </x:row>
    <x:row r="176">
      <x:c r="A176" s="38" t="str">
        <x:v>pal_175</x:v>
      </x:c>
      <x:c r="B176" s="38" t="str">
        <x:v>电豹尊</x:v>
      </x:c>
      <x:c r="C176" s="38" t="str">
        <x:v>雷</x:v>
      </x:c>
      <x:c r="D176" s="262" t="str">
        <x:v>黄金</x:v>
      </x:c>
      <x:c r="E176" s="38" t="str">
        <x:v>输出</x:v>
      </x:c>
      <x:c r="F176" s="38" t="str">
        <x:v>两格</x:v>
      </x:c>
      <x:c r="G176" s="38" t="str">
        <x:v>bz_van_175</x:v>
      </x:c>
      <x:c r="H176" s="38" t="str">
        <x:v>elem_水, elem_龙, elem_无, role_召唤</x:v>
      </x:c>
      <x:c r="I176" s="38" t="n">
        <x:v>4</x:v>
      </x:c>
      <x:c r="J176" s="340" t="n">
        <x:f>XLOOKUP($D176&amp;"|"&amp;$E176&amp;"|"&amp;$F176,'PET_STAT_RULES'!$A$5:$A$88,'PET_STAT_RULES'!$C$5:$C$88)</x:f>
        <x:v>52</x:v>
      </x:c>
      <x:c r="K176" s="340" t="n">
        <x:f>XLOOKUP($D176&amp;"|"&amp;$E176&amp;"|"&amp;$F176,'PET_STAT_RULES'!$A$5:$A$88,'PET_STAT_RULES'!$D$5:$D$88)</x:f>
        <x:v>28</x:v>
      </x:c>
      <x:c r="L176" s="340" t="n">
        <x:f>XLOOKUP($D176&amp;"|"&amp;$E176&amp;"|"&amp;$F176,'PET_STAT_RULES'!$A$5:$A$88,'PET_STAT_RULES'!$F$5:$F$88)</x:f>
        <x:v>0</x:v>
      </x:c>
      <x:c r="M176" s="340" t="n">
        <x:f>XLOOKUP($D176&amp;"|"&amp;$E176&amp;"|"&amp;$F176,'PET_STAT_RULES'!$A$5:$A$88,'PET_STAT_RULES'!$G$5:$G$88)</x:f>
        <x:v>3</x:v>
      </x:c>
      <x:c r="N176" s="38" t="n">
        <x:v>3</x:v>
      </x:c>
      <x:c r="O176" s="38" t="str">
        <x:v>mech_grow_atk_each_round</x:v>
      </x:c>
      <x:c r="P176" s="38" t="str">
        <x:v>14 形状14</x:v>
      </x:c>
      <x:c r="Q176" s="38" t="str">
        <x:v>Deadly</x:v>
      </x:c>
      <x:c r="R176" s="38" t="str">
        <x:v>skill confirmed；来源=First Strike；攻击3格；仅保留来源商人/训练师关系。</x:v>
      </x:c>
      <x:c r="S176" s="38" t="n">
        <x:v>3</x:v>
      </x:c>
      <x:c r="T176" s="38" t="n">
        <x:v>2</x:v>
      </x:c>
      <x:c r="U176" s="15" t="str">
        <x:v>skill_vanguard,skill_flank,skill_pierce,skill_revolve,skill_chase,skill_break,skill_suppress,skill_finale</x:v>
      </x:c>
      <x:c r="V176" s="15" t="str">
        <x:v>trait_relentless</x:v>
      </x:c>
      <x:c r="W176" s="332" t="n">
        <x:f>XLOOKUP($D176&amp;"|"&amp;$E176&amp;"|"&amp;$F176,'PET_STAT_RULES'!$A$5:$A$88,'PET_STAT_RULES'!$E$5:$E$88)</x:f>
        <x:v>0</x:v>
      </x:c>
    </x:row>
    <x:row r="177">
      <x:c r="A177" s="38" t="str">
        <x:v>pal_176</x:v>
      </x:c>
      <x:c r="B177" s="38" t="str">
        <x:v>电螳精</x:v>
      </x:c>
      <x:c r="C177" s="38" t="str">
        <x:v>雷</x:v>
      </x:c>
      <x:c r="D177" s="265" t="str">
        <x:v>白银</x:v>
      </x:c>
      <x:c r="E177" s="38" t="str">
        <x:v>输出</x:v>
      </x:c>
      <x:c r="F177" s="38" t="str">
        <x:v>两格</x:v>
      </x:c>
      <x:c r="G177" s="38" t="str">
        <x:v>bz_van_176</x:v>
      </x:c>
      <x:c r="H177" s="38" t="str">
        <x:v>elem_水, elem_雷, elem_龙, elem_无, role_召唤</x:v>
      </x:c>
      <x:c r="I177" s="38" t="n">
        <x:v>5</x:v>
      </x:c>
      <x:c r="J177" s="340" t="n">
        <x:f>XLOOKUP($D177&amp;"|"&amp;$E177&amp;"|"&amp;$F177,'PET_STAT_RULES'!$A$5:$A$88,'PET_STAT_RULES'!$C$5:$C$88)</x:f>
        <x:v>40</x:v>
      </x:c>
      <x:c r="K177" s="340" t="n">
        <x:f>XLOOKUP($D177&amp;"|"&amp;$E177&amp;"|"&amp;$F177,'PET_STAT_RULES'!$A$5:$A$88,'PET_STAT_RULES'!$D$5:$D$88)</x:f>
        <x:v>20</x:v>
      </x:c>
      <x:c r="L177" s="340" t="n">
        <x:f>XLOOKUP($D177&amp;"|"&amp;$E177&amp;"|"&amp;$F177,'PET_STAT_RULES'!$A$5:$A$88,'PET_STAT_RULES'!$F$5:$F$88)</x:f>
        <x:v>0</x:v>
      </x:c>
      <x:c r="M177" s="340" t="n">
        <x:f>XLOOKUP($D177&amp;"|"&amp;$E177&amp;"|"&amp;$F177,'PET_STAT_RULES'!$A$5:$A$88,'PET_STAT_RULES'!$G$5:$G$88)</x:f>
        <x:v>3</x:v>
      </x:c>
      <x:c r="N177" s="38" t="n">
        <x:v>2</x:v>
      </x:c>
      <x:c r="O177" s="38" t="str">
        <x:v>mech_grow_atk_each_round</x:v>
      </x:c>
      <x:c r="P177" s="38" t="str">
        <x:v>09 形状09</x:v>
      </x:c>
      <x:c r="Q177" s="38" t="str">
        <x:v>Deadly</x:v>
      </x:c>
      <x:c r="R177" s="38" t="str">
        <x:v>skill confirmed；来源=Flanking Criticals；攻击2格；仅保留来源商人/训练师关系。</x:v>
      </x:c>
      <x:c r="S177" s="38" t="n">
        <x:v>3</x:v>
      </x:c>
      <x:c r="T177" s="38" t="n">
        <x:v>2</x:v>
      </x:c>
      <x:c r="U177" s="15" t="str">
        <x:v>skill_vanguard,skill_flank,skill_pierce,skill_revolve,skill_chase,skill_break,skill_suppress,skill_finale</x:v>
      </x:c>
      <x:c r="V177" s="15" t="str">
        <x:v>trait_relentless</x:v>
      </x:c>
      <x:c r="W177" s="332" t="n">
        <x:f>XLOOKUP($D177&amp;"|"&amp;$E177&amp;"|"&amp;$F177,'PET_STAT_RULES'!$A$5:$A$88,'PET_STAT_RULES'!$E$5:$E$88)</x:f>
        <x:v>0</x:v>
      </x:c>
    </x:row>
    <x:row r="178">
      <x:c r="A178" s="38" t="str">
        <x:v>pal_177</x:v>
      </x:c>
      <x:c r="B178" s="38" t="str">
        <x:v>霆狼卫</x:v>
      </x:c>
      <x:c r="C178" s="38" t="str">
        <x:v>雷</x:v>
      </x:c>
      <x:c r="D178" s="265" t="str">
        <x:v>白银</x:v>
      </x:c>
      <x:c r="E178" s="38" t="str">
        <x:v>输出</x:v>
      </x:c>
      <x:c r="F178" s="38" t="str">
        <x:v>两格</x:v>
      </x:c>
      <x:c r="G178" s="38" t="str">
        <x:v>bz_van_177</x:v>
      </x:c>
      <x:c r="H178" s="38" t="str">
        <x:v>elem_水, elem_雷, elem_龙, elem_无, role_召唤</x:v>
      </x:c>
      <x:c r="I178" s="38" t="n">
        <x:v>5</x:v>
      </x:c>
      <x:c r="J178" s="340" t="n">
        <x:f>XLOOKUP($D178&amp;"|"&amp;$E178&amp;"|"&amp;$F178,'PET_STAT_RULES'!$A$5:$A$88,'PET_STAT_RULES'!$C$5:$C$88)</x:f>
        <x:v>40</x:v>
      </x:c>
      <x:c r="K178" s="340" t="n">
        <x:f>XLOOKUP($D178&amp;"|"&amp;$E178&amp;"|"&amp;$F178,'PET_STAT_RULES'!$A$5:$A$88,'PET_STAT_RULES'!$D$5:$D$88)</x:f>
        <x:v>20</x:v>
      </x:c>
      <x:c r="L178" s="340" t="n">
        <x:f>XLOOKUP($D178&amp;"|"&amp;$E178&amp;"|"&amp;$F178,'PET_STAT_RULES'!$A$5:$A$88,'PET_STAT_RULES'!$F$5:$F$88)</x:f>
        <x:v>0</x:v>
      </x:c>
      <x:c r="M178" s="340" t="n">
        <x:f>XLOOKUP($D178&amp;"|"&amp;$E178&amp;"|"&amp;$F178,'PET_STAT_RULES'!$A$5:$A$88,'PET_STAT_RULES'!$G$5:$G$88)</x:f>
        <x:v>3</x:v>
      </x:c>
      <x:c r="N178" s="38" t="n">
        <x:v>2</x:v>
      </x:c>
      <x:c r="O178" s="38" t="str">
        <x:v>mech_grow_atk_each_round</x:v>
      </x:c>
      <x:c r="P178" s="38" t="str">
        <x:v>10 形状10</x:v>
      </x:c>
      <x:c r="Q178" s="38" t="str">
        <x:v>Deadly</x:v>
      </x:c>
      <x:c r="R178" s="38" t="str">
        <x:v>skill confirmed；来源=Flashy Mechanic；攻击2格；仅保留来源商人/训练师关系。</x:v>
      </x:c>
      <x:c r="S178" s="38" t="n">
        <x:v>3</x:v>
      </x:c>
      <x:c r="T178" s="38" t="n">
        <x:v>2</x:v>
      </x:c>
      <x:c r="U178" s="15" t="str">
        <x:v>skill_vanguard,skill_flank,skill_pierce,skill_revolve,skill_chase,skill_break,skill_suppress,skill_finale</x:v>
      </x:c>
      <x:c r="V178" s="15" t="str">
        <x:v>trait_relentless</x:v>
      </x:c>
      <x:c r="W178" s="332" t="n">
        <x:f>XLOOKUP($D178&amp;"|"&amp;$E178&amp;"|"&amp;$F178,'PET_STAT_RULES'!$A$5:$A$88,'PET_STAT_RULES'!$E$5:$E$88)</x:f>
        <x:v>0</x:v>
      </x:c>
    </x:row>
    <x:row r="179">
      <x:c r="A179" s="38" t="str">
        <x:v>pal_178</x:v>
      </x:c>
      <x:c r="B179" s="38" t="str">
        <x:v>闪鲲妖</x:v>
      </x:c>
      <x:c r="C179" s="38" t="str">
        <x:v>雷、龙</x:v>
      </x:c>
      <x:c r="D179" s="265" t="str">
        <x:v>白银</x:v>
      </x:c>
      <x:c r="E179" s="38" t="str">
        <x:v>召唤</x:v>
      </x:c>
      <x:c r="F179" s="38" t="str">
        <x:v>两格</x:v>
      </x:c>
      <x:c r="G179" s="38" t="str">
        <x:v>bz_van_178</x:v>
      </x:c>
      <x:c r="H179" s="38" t="str">
        <x:v>elem_水, elem_雷, elem_龙, elem_无, role_召唤</x:v>
      </x:c>
      <x:c r="I179" s="38" t="n">
        <x:v>5</x:v>
      </x:c>
      <x:c r="J179" s="340" t="n">
        <x:f>XLOOKUP($D179&amp;"|"&amp;$E179&amp;"|"&amp;$F179,'PET_STAT_RULES'!$A$5:$A$88,'PET_STAT_RULES'!$C$5:$C$88)</x:f>
        <x:v>48</x:v>
      </x:c>
      <x:c r="K179" s="340" t="n">
        <x:f>XLOOKUP($D179&amp;"|"&amp;$E179&amp;"|"&amp;$F179,'PET_STAT_RULES'!$A$5:$A$88,'PET_STAT_RULES'!$D$5:$D$88)</x:f>
        <x:v>12</x:v>
      </x:c>
      <x:c r="L179" s="340" t="n">
        <x:f>XLOOKUP($D179&amp;"|"&amp;$E179&amp;"|"&amp;$F179,'PET_STAT_RULES'!$A$5:$A$88,'PET_STAT_RULES'!$F$5:$F$88)</x:f>
        <x:v>0</x:v>
      </x:c>
      <x:c r="M179" s="340" t="n">
        <x:f>XLOOKUP($D179&amp;"|"&amp;$E179&amp;"|"&amp;$F179,'PET_STAT_RULES'!$A$5:$A$88,'PET_STAT_RULES'!$G$5:$G$88)</x:f>
        <x:v>3</x:v>
      </x:c>
      <x:c r="N179" s="38" t="n">
        <x:v>2</x:v>
      </x:c>
      <x:c r="O179" s="38" t="str">
        <x:v>mech_grow_shield_each_round</x:v>
      </x:c>
      <x:c r="P179" s="38" t="str">
        <x:v>08 形状08</x:v>
      </x:c>
      <x:c r="Q179" s="38" t="str">
        <x:v>Deadly</x:v>
      </x:c>
      <x:c r="R179" s="38" t="str">
        <x:v>skill confirmed；来源=Flashy Pilot；攻击2格；仅保留来源商人/训练师关系。</x:v>
      </x:c>
      <x:c r="S179" s="38" t="n">
        <x:v>3</x:v>
      </x:c>
      <x:c r="T179" s="38" t="n">
        <x:v>2</x:v>
      </x:c>
      <x:c r="U179" s="15" t="str">
        <x:v>skill_vanguard,skill_flank,skill_pierce,skill_revolve,skill_chase,skill_break,skill_suppress,skill_finale</x:v>
      </x:c>
      <x:c r="V179" s="15" t="str">
        <x:v>trait_combo_resonance</x:v>
      </x:c>
      <x:c r="W179" s="332" t="n">
        <x:f>XLOOKUP($D179&amp;"|"&amp;$E179&amp;"|"&amp;$F179,'PET_STAT_RULES'!$A$5:$A$88,'PET_STAT_RULES'!$E$5:$E$88)</x:f>
        <x:v>0</x:v>
      </x:c>
    </x:row>
    <x:row r="180">
      <x:c r="A180" s="38" t="str">
        <x:v>pal_179</x:v>
      </x:c>
      <x:c r="B180" s="38" t="str">
        <x:v>震鹰王</x:v>
      </x:c>
      <x:c r="C180" s="38" t="str">
        <x:v>雷</x:v>
      </x:c>
      <x:c r="D180" s="262" t="str">
        <x:v>黄金</x:v>
      </x:c>
      <x:c r="E180" s="38" t="str">
        <x:v>输出</x:v>
      </x:c>
      <x:c r="F180" s="38" t="str">
        <x:v>两格</x:v>
      </x:c>
      <x:c r="G180" s="38" t="str">
        <x:v>bz_van_179</x:v>
      </x:c>
      <x:c r="H180" s="38" t="str">
        <x:v>elem_水, elem_龙, elem_无, role_召唤, tier_pT1</x:v>
      </x:c>
      <x:c r="I180" s="38" t="n">
        <x:v>5</x:v>
      </x:c>
      <x:c r="J180" s="340" t="n">
        <x:f>XLOOKUP($D180&amp;"|"&amp;$E180&amp;"|"&amp;$F180,'PET_STAT_RULES'!$A$5:$A$88,'PET_STAT_RULES'!$C$5:$C$88)</x:f>
        <x:v>52</x:v>
      </x:c>
      <x:c r="K180" s="340" t="n">
        <x:f>XLOOKUP($D180&amp;"|"&amp;$E180&amp;"|"&amp;$F180,'PET_STAT_RULES'!$A$5:$A$88,'PET_STAT_RULES'!$D$5:$D$88)</x:f>
        <x:v>28</x:v>
      </x:c>
      <x:c r="L180" s="340" t="n">
        <x:f>XLOOKUP($D180&amp;"|"&amp;$E180&amp;"|"&amp;$F180,'PET_STAT_RULES'!$A$5:$A$88,'PET_STAT_RULES'!$F$5:$F$88)</x:f>
        <x:v>0</x:v>
      </x:c>
      <x:c r="M180" s="340" t="n">
        <x:f>XLOOKUP($D180&amp;"|"&amp;$E180&amp;"|"&amp;$F180,'PET_STAT_RULES'!$A$5:$A$88,'PET_STAT_RULES'!$G$5:$G$88)</x:f>
        <x:v>3</x:v>
      </x:c>
      <x:c r="N180" s="38" t="n">
        <x:v>3</x:v>
      </x:c>
      <x:c r="O180" s="38" t="str">
        <x:v>mech_grow_atk_each_round</x:v>
      </x:c>
      <x:c r="P180" s="38" t="str">
        <x:v>13 形状13</x:v>
      </x:c>
      <x:c r="Q180" s="38" t="str">
        <x:v>Deadly</x:v>
      </x:c>
      <x:c r="R180" s="38" t="str">
        <x:v>skill confirmed；来源=Flashy Reload；攻击3格；仅保留来源商人/训练师关系。</x:v>
      </x:c>
      <x:c r="S180" s="38" t="n">
        <x:v>3</x:v>
      </x:c>
      <x:c r="T180" s="38" t="n">
        <x:v>2</x:v>
      </x:c>
      <x:c r="U180" s="15" t="str">
        <x:v>skill_vanguard,skill_flank,skill_pierce,skill_revolve,skill_chase,skill_break,skill_suppress,skill_finale</x:v>
      </x:c>
      <x:c r="V180" s="15" t="str">
        <x:v>trait_relentless</x:v>
      </x:c>
      <x:c r="W180" s="332" t="n">
        <x:f>XLOOKUP($D180&amp;"|"&amp;$E180&amp;"|"&amp;$F180,'PET_STAT_RULES'!$A$5:$A$88,'PET_STAT_RULES'!$E$5:$E$88)</x:f>
        <x:v>0</x:v>
      </x:c>
    </x:row>
    <x:row r="181">
      <x:c r="A181" s="38" t="str">
        <x:v>pal_180</x:v>
      </x:c>
      <x:c r="B181" s="38" t="str">
        <x:v>鸣马王</x:v>
      </x:c>
      <x:c r="C181" s="38" t="str">
        <x:v>雷</x:v>
      </x:c>
      <x:c r="D181" s="262" t="str">
        <x:v>黄金</x:v>
      </x:c>
      <x:c r="E181" s="38" t="str">
        <x:v>机动</x:v>
      </x:c>
      <x:c r="F181" s="38" t="str">
        <x:v>两格</x:v>
      </x:c>
      <x:c r="G181" s="38" t="str">
        <x:v>bz_van_180</x:v>
      </x:c>
      <x:c r="H181" s="38" t="str">
        <x:v>elem_水, elem_地, elem_龙, elem_无, role_坦克, special_merchant</x:v>
      </x:c>
      <x:c r="I181" s="38" t="n">
        <x:v>6</x:v>
      </x:c>
      <x:c r="J181" s="340" t="n">
        <x:f>XLOOKUP($D181&amp;"|"&amp;$E181&amp;"|"&amp;$F181,'PET_STAT_RULES'!$A$5:$A$88,'PET_STAT_RULES'!$C$5:$C$88)</x:f>
        <x:v>52</x:v>
      </x:c>
      <x:c r="K181" s="340" t="n">
        <x:f>XLOOKUP($D181&amp;"|"&amp;$E181&amp;"|"&amp;$F181,'PET_STAT_RULES'!$A$5:$A$88,'PET_STAT_RULES'!$D$5:$D$88)</x:f>
        <x:v>18</x:v>
      </x:c>
      <x:c r="L181" s="340" t="n">
        <x:f>XLOOKUP($D181&amp;"|"&amp;$E181&amp;"|"&amp;$F181,'PET_STAT_RULES'!$A$5:$A$88,'PET_STAT_RULES'!$F$5:$F$88)</x:f>
        <x:v>0</x:v>
      </x:c>
      <x:c r="M181" s="340" t="n">
        <x:f>XLOOKUP($D181&amp;"|"&amp;$E181&amp;"|"&amp;$F181,'PET_STAT_RULES'!$A$5:$A$88,'PET_STAT_RULES'!$G$5:$G$88)</x:f>
        <x:v>5</x:v>
      </x:c>
      <x:c r="N181" s="38" t="n">
        <x:v>2</x:v>
      </x:c>
      <x:c r="O181" s="38" t="str">
        <x:v>none</x:v>
      </x:c>
      <x:c r="P181" s="38" t="str">
        <x:v>10 形状10</x:v>
      </x:c>
      <x:c r="Q181" s="38" t="str">
        <x:v>Turbo</x:v>
      </x:c>
      <x:c r="R181" s="38" t="str">
        <x:v>skill confirmed；来源=Flurry of Blows；攻击2格；仅保留来源商人/训练师关系。</x:v>
      </x:c>
      <x:c r="S181" s="38" t="n">
        <x:v>5</x:v>
      </x:c>
      <x:c r="T181" s="38" t="n">
        <x:v>2</x:v>
      </x:c>
      <x:c r="U181" s="15" t="str">
        <x:v>skill_vanguard,skill_flank,skill_pierce,skill_revolve,skill_chase,skill_break,skill_suppress,skill_finale</x:v>
      </x:c>
      <x:c r="V181" s="15" t="str">
        <x:v>trait_relentless</x:v>
      </x:c>
      <x:c r="W181" s="332" t="n">
        <x:f>XLOOKUP($D181&amp;"|"&amp;$E181&amp;"|"&amp;$F181,'PET_STAT_RULES'!$A$5:$A$88,'PET_STAT_RULES'!$E$5:$E$88)</x:f>
        <x:v>0</x:v>
      </x:c>
    </x:row>
    <x:row r="182">
      <x:c r="A182" s="38" t="str">
        <x:v>pal_181</x:v>
      </x:c>
      <x:c r="B182" s="38" t="str">
        <x:v>碧兔神</x:v>
      </x:c>
      <x:c r="C182" s="38" t="str">
        <x:v>水、雷</x:v>
      </x:c>
      <x:c r="D182" s="268" t="str">
        <x:v>钻石</x:v>
      </x:c>
      <x:c r="E182" s="38" t="str">
        <x:v>治疗</x:v>
      </x:c>
      <x:c r="F182" s="38" t="str">
        <x:v>两格</x:v>
      </x:c>
      <x:c r="G182" s="38" t="str">
        <x:v>bz_van_181</x:v>
      </x:c>
      <x:c r="H182" s="38" t="str">
        <x:v>elem_水, elem_地, elem_龙, role_召唤</x:v>
      </x:c>
      <x:c r="I182" s="38" t="n">
        <x:v>4</x:v>
      </x:c>
      <x:c r="J182" s="340" t="n">
        <x:f>XLOOKUP($D182&amp;"|"&amp;$E182&amp;"|"&amp;$F182,'PET_STAT_RULES'!$A$5:$A$88,'PET_STAT_RULES'!$C$5:$C$88)</x:f>
        <x:v>70</x:v>
      </x:c>
      <x:c r="K182" s="340" t="n">
        <x:f>XLOOKUP($D182&amp;"|"&amp;$E182&amp;"|"&amp;$F182,'PET_STAT_RULES'!$A$5:$A$88,'PET_STAT_RULES'!$D$5:$D$88)</x:f>
        <x:v>24</x:v>
      </x:c>
      <x:c r="L182" s="340" t="n">
        <x:f>XLOOKUP($D182&amp;"|"&amp;$E182&amp;"|"&amp;$F182,'PET_STAT_RULES'!$A$5:$A$88,'PET_STAT_RULES'!$F$5:$F$88)</x:f>
        <x:v>8</x:v>
      </x:c>
      <x:c r="M182" s="340" t="n">
        <x:f>XLOOKUP($D182&amp;"|"&amp;$E182&amp;"|"&amp;$F182,'PET_STAT_RULES'!$A$5:$A$88,'PET_STAT_RULES'!$G$5:$G$88)</x:f>
        <x:v>3</x:v>
      </x:c>
      <x:c r="N182" s="38" t="n">
        <x:v>3</x:v>
      </x:c>
      <x:c r="O182" s="38" t="str">
        <x:v>mech_shield_regen</x:v>
      </x:c>
      <x:c r="P182" s="38" t="str">
        <x:v>18 形状18</x:v>
      </x:c>
      <x:c r="Q182" s="38" t="str">
        <x:v>Restorative</x:v>
      </x:c>
      <x:c r="R182" s="38" t="str">
        <x:v>skill confirmed；来源=Focused Rage；攻击3格；仅保留来源商人/训练师关系。</x:v>
      </x:c>
      <x:c r="S182" s="38" t="n">
        <x:v>3</x:v>
      </x:c>
      <x:c r="T182" s="38" t="n">
        <x:v>3</x:v>
      </x:c>
      <x:c r="U182" s="15" t="str">
        <x:v>skill_vanguard,skill_flank,skill_pierce,skill_revolve,skill_chase,skill_break,skill_suppress,skill_finale</x:v>
      </x:c>
      <x:c r="V182" s="15" t="str">
        <x:v>trait_element_affinity</x:v>
      </x:c>
      <x:c r="W182" s="332" t="n">
        <x:f>XLOOKUP($D182&amp;"|"&amp;$E182&amp;"|"&amp;$F182,'PET_STAT_RULES'!$A$5:$A$88,'PET_STAT_RULES'!$E$5:$E$88)</x:f>
        <x:v>0</x:v>
      </x:c>
    </x:row>
    <x:row r="183">
      <x:c r="A183" s="38" t="str">
        <x:v>pal_182</x:v>
      </x:c>
      <x:c r="B183" s="38" t="str">
        <x:v>渊蚁皇</x:v>
      </x:c>
      <x:c r="C183" s="38" t="str">
        <x:v>水、龙</x:v>
      </x:c>
      <x:c r="D183" s="268" t="str">
        <x:v>钻石</x:v>
      </x:c>
      <x:c r="E183" s="38" t="str">
        <x:v>召唤</x:v>
      </x:c>
      <x:c r="F183" s="38" t="str">
        <x:v>两格</x:v>
      </x:c>
      <x:c r="G183" s="38" t="str">
        <x:v>bz_van_182</x:v>
      </x:c>
      <x:c r="H183" s="38" t="str">
        <x:v>elem_水, elem_地, elem_龙</x:v>
      </x:c>
      <x:c r="I183" s="38" t="n">
        <x:v>3</x:v>
      </x:c>
      <x:c r="J183" s="340" t="n">
        <x:f>XLOOKUP($D183&amp;"|"&amp;$E183&amp;"|"&amp;$F183,'PET_STAT_RULES'!$A$5:$A$88,'PET_STAT_RULES'!$C$5:$C$88)</x:f>
        <x:v>72</x:v>
      </x:c>
      <x:c r="K183" s="340" t="n">
        <x:f>XLOOKUP($D183&amp;"|"&amp;$E183&amp;"|"&amp;$F183,'PET_STAT_RULES'!$A$5:$A$88,'PET_STAT_RULES'!$D$5:$D$88)</x:f>
        <x:v>24</x:v>
      </x:c>
      <x:c r="L183" s="340" t="n">
        <x:f>XLOOKUP($D183&amp;"|"&amp;$E183&amp;"|"&amp;$F183,'PET_STAT_RULES'!$A$5:$A$88,'PET_STAT_RULES'!$F$5:$F$88)</x:f>
        <x:v>0</x:v>
      </x:c>
      <x:c r="M183" s="340" t="n">
        <x:f>XLOOKUP($D183&amp;"|"&amp;$E183&amp;"|"&amp;$F183,'PET_STAT_RULES'!$A$5:$A$88,'PET_STAT_RULES'!$G$5:$G$88)</x:f>
        <x:v>3</x:v>
      </x:c>
      <x:c r="N183" s="38" t="n">
        <x:v>2</x:v>
      </x:c>
      <x:c r="O183" s="38" t="str">
        <x:v>mech_grow_shield_each_round</x:v>
      </x:c>
      <x:c r="P183" s="38" t="str">
        <x:v>10 形状10</x:v>
      </x:c>
      <x:c r="Q183" s="38" t="str">
        <x:v>Radiant</x:v>
      </x:c>
      <x:c r="R183" s="38" t="str">
        <x:v>skill confirmed；来源=Friend of the Sea；攻击2格；仅保留来源商人/训练师关系。</x:v>
      </x:c>
      <x:c r="S183" s="38" t="n">
        <x:v>3</x:v>
      </x:c>
      <x:c r="T183" s="38" t="n">
        <x:v>3</x:v>
      </x:c>
      <x:c r="U183" s="15" t="str">
        <x:v>skill_vanguard,skill_flank,skill_pierce,skill_revolve,skill_chase,skill_break,skill_suppress,skill_finale</x:v>
      </x:c>
      <x:c r="V183" s="15" t="str">
        <x:v>trait_combo_resonance</x:v>
      </x:c>
      <x:c r="W183" s="332" t="n">
        <x:f>XLOOKUP($D183&amp;"|"&amp;$E183&amp;"|"&amp;$F183,'PET_STAT_RULES'!$A$5:$A$88,'PET_STAT_RULES'!$E$5:$E$88)</x:f>
        <x:v>0</x:v>
      </x:c>
    </x:row>
    <x:row r="184">
      <x:c r="A184" s="38" t="str">
        <x:v>pal_183</x:v>
      </x:c>
      <x:c r="B184" s="38" t="str">
        <x:v>垒牦灵</x:v>
      </x:c>
      <x:c r="C184" s="38" t="str">
        <x:v>地</x:v>
      </x:c>
      <x:c r="D184" s="259" t="str">
        <x:v>青铜</x:v>
      </x:c>
      <x:c r="E184" s="38" t="str">
        <x:v>坦克</x:v>
      </x:c>
      <x:c r="F184" s="38" t="str">
        <x:v>两格</x:v>
      </x:c>
      <x:c r="G184" s="38" t="str">
        <x:v>bz_van_183</x:v>
      </x:c>
      <x:c r="H184" s="38" t="str">
        <x:v>elem_水, elem_雷, elem_龙, elem_无, role_召唤铺场</x:v>
      </x:c>
      <x:c r="I184" s="38" t="n">
        <x:v>5</x:v>
      </x:c>
      <x:c r="J184" s="340" t="n">
        <x:f>XLOOKUP($D184&amp;"|"&amp;$E184&amp;"|"&amp;$F184,'PET_STAT_RULES'!$A$5:$A$88,'PET_STAT_RULES'!$C$5:$C$88)</x:f>
        <x:v>42</x:v>
      </x:c>
      <x:c r="K184" s="340" t="n">
        <x:f>XLOOKUP($D184&amp;"|"&amp;$E184&amp;"|"&amp;$F184,'PET_STAT_RULES'!$A$5:$A$88,'PET_STAT_RULES'!$D$5:$D$88)</x:f>
        <x:v>6</x:v>
      </x:c>
      <x:c r="L184" s="340" t="n">
        <x:f>XLOOKUP($D184&amp;"|"&amp;$E184&amp;"|"&amp;$F184,'PET_STAT_RULES'!$A$5:$A$88,'PET_STAT_RULES'!$F$5:$F$88)</x:f>
        <x:v>6</x:v>
      </x:c>
      <x:c r="M184" s="340" t="n">
        <x:f>XLOOKUP($D184&amp;"|"&amp;$E184&amp;"|"&amp;$F184,'PET_STAT_RULES'!$A$5:$A$88,'PET_STAT_RULES'!$G$5:$G$88)</x:f>
        <x:v>3</x:v>
      </x:c>
      <x:c r="N184" s="38" t="n">
        <x:v>1</x:v>
      </x:c>
      <x:c r="O184" s="38" t="str">
        <x:v>mech_shield_regen</x:v>
      </x:c>
      <x:c r="P184" s="38" t="str">
        <x:v>04 形状04</x:v>
      </x:c>
      <x:c r="Q184" s="38" t="str">
        <x:v>Shielded</x:v>
      </x:c>
      <x:c r="R184" s="38" t="str">
        <x:v>skill confirmed；来源=Frontal Shielding；攻击1格；仅保留来源商人/训练师关系。</x:v>
      </x:c>
      <x:c r="S184" s="38" t="n">
        <x:v>3</x:v>
      </x:c>
      <x:c r="T184" s="38" t="n">
        <x:v>1</x:v>
      </x:c>
      <x:c r="U184" s="15" t="str">
        <x:v>skill_vanguard,skill_flank,skill_pierce,skill_revolve,skill_chase,skill_break,skill_suppress,skill_finale</x:v>
      </x:c>
      <x:c r="V184" s="15" t="str">
        <x:v>trait_combo_mastery</x:v>
      </x:c>
      <x:c r="W184" s="332" t="n">
        <x:f>XLOOKUP($D184&amp;"|"&amp;$E184&amp;"|"&amp;$F184,'PET_STAT_RULES'!$A$5:$A$88,'PET_STAT_RULES'!$E$5:$E$88)</x:f>
        <x:v>0</x:v>
      </x:c>
    </x:row>
    <x:row r="185">
      <x:c r="A185" s="38" t="str">
        <x:v>pal_184</x:v>
      </x:c>
      <x:c r="B185" s="38" t="str">
        <x:v>雷鹰将</x:v>
      </x:c>
      <x:c r="C185" s="38" t="str">
        <x:v>雷</x:v>
      </x:c>
      <x:c r="D185" s="265" t="str">
        <x:v>白银</x:v>
      </x:c>
      <x:c r="E185" s="38" t="str">
        <x:v>输出</x:v>
      </x:c>
      <x:c r="F185" s="38" t="str">
        <x:v>两格</x:v>
      </x:c>
      <x:c r="G185" s="38" t="str">
        <x:v>bz_van_184</x:v>
      </x:c>
      <x:c r="H185" s="38" t="str">
        <x:v>elem_水, elem_雷, elem_龙, elem_无, role_坦克, tier_pT1</x:v>
      </x:c>
      <x:c r="I185" s="38" t="n">
        <x:v>6</x:v>
      </x:c>
      <x:c r="J185" s="340" t="n">
        <x:f>XLOOKUP($D185&amp;"|"&amp;$E185&amp;"|"&amp;$F185,'PET_STAT_RULES'!$A$5:$A$88,'PET_STAT_RULES'!$C$5:$C$88)</x:f>
        <x:v>40</x:v>
      </x:c>
      <x:c r="K185" s="340" t="n">
        <x:f>XLOOKUP($D185&amp;"|"&amp;$E185&amp;"|"&amp;$F185,'PET_STAT_RULES'!$A$5:$A$88,'PET_STAT_RULES'!$D$5:$D$88)</x:f>
        <x:v>20</x:v>
      </x:c>
      <x:c r="L185" s="340" t="n">
        <x:f>XLOOKUP($D185&amp;"|"&amp;$E185&amp;"|"&amp;$F185,'PET_STAT_RULES'!$A$5:$A$88,'PET_STAT_RULES'!$F$5:$F$88)</x:f>
        <x:v>0</x:v>
      </x:c>
      <x:c r="M185" s="340" t="n">
        <x:f>XLOOKUP($D185&amp;"|"&amp;$E185&amp;"|"&amp;$F185,'PET_STAT_RULES'!$A$5:$A$88,'PET_STAT_RULES'!$G$5:$G$88)</x:f>
        <x:v>3</x:v>
      </x:c>
      <x:c r="N185" s="38" t="n">
        <x:v>2</x:v>
      </x:c>
      <x:c r="O185" s="38" t="str">
        <x:v>mech_grow_atk_each_round</x:v>
      </x:c>
      <x:c r="P185" s="38" t="str">
        <x:v>05 形状05</x:v>
      </x:c>
      <x:c r="Q185" s="38" t="str">
        <x:v>Deadly</x:v>
      </x:c>
      <x:c r="R185" s="38" t="str">
        <x:v>skill confirmed；来源=Frontline Logistics；攻击2格；仅保留来源商人/训练师关系。</x:v>
      </x:c>
      <x:c r="S185" s="38" t="n">
        <x:v>3</x:v>
      </x:c>
      <x:c r="T185" s="38" t="n">
        <x:v>2</x:v>
      </x:c>
      <x:c r="U185" s="15" t="str">
        <x:v>skill_vanguard,skill_flank,skill_pierce,skill_revolve,skill_chase,skill_break,skill_suppress,skill_finale</x:v>
      </x:c>
      <x:c r="V185" s="15" t="str">
        <x:v>trait_relentless</x:v>
      </x:c>
      <x:c r="W185" s="332" t="n">
        <x:f>XLOOKUP($D185&amp;"|"&amp;$E185&amp;"|"&amp;$F185,'PET_STAT_RULES'!$A$5:$A$88,'PET_STAT_RULES'!$E$5:$E$88)</x:f>
        <x:v>0</x:v>
      </x:c>
    </x:row>
    <x:row r="186">
      <x:c r="A186" s="38" t="str">
        <x:v>pal_185</x:v>
      </x:c>
      <x:c r="B186" s="38" t="str">
        <x:v>烬鳗将</x:v>
      </x:c>
      <x:c r="C186" s="38" t="str">
        <x:v>火、冰</x:v>
      </x:c>
      <x:c r="D186" s="265" t="str">
        <x:v>白银</x:v>
      </x:c>
      <x:c r="E186" s="38" t="str">
        <x:v>控制</x:v>
      </x:c>
      <x:c r="F186" s="38" t="str">
        <x:v>两格</x:v>
      </x:c>
      <x:c r="G186" s="38" t="str">
        <x:v>bz_van_185</x:v>
      </x:c>
      <x:c r="H186" s="38" t="str">
        <x:v>elem_水, elem_雷, elem_龙, elem_无, role_控制, role_治疗</x:v>
      </x:c>
      <x:c r="I186" s="38" t="n">
        <x:v>6</x:v>
      </x:c>
      <x:c r="J186" s="340" t="n">
        <x:f>XLOOKUP($D186&amp;"|"&amp;$E186&amp;"|"&amp;$F186,'PET_STAT_RULES'!$A$5:$A$88,'PET_STAT_RULES'!$C$5:$C$88)</x:f>
        <x:v>44</x:v>
      </x:c>
      <x:c r="K186" s="340" t="n">
        <x:f>XLOOKUP($D186&amp;"|"&amp;$E186&amp;"|"&amp;$F186,'PET_STAT_RULES'!$A$5:$A$88,'PET_STAT_RULES'!$D$5:$D$88)</x:f>
        <x:v>14</x:v>
      </x:c>
      <x:c r="L186" s="340" t="n">
        <x:f>XLOOKUP($D186&amp;"|"&amp;$E186&amp;"|"&amp;$F186,'PET_STAT_RULES'!$A$5:$A$88,'PET_STAT_RULES'!$F$5:$F$88)</x:f>
        <x:v>0</x:v>
      </x:c>
      <x:c r="M186" s="340" t="n">
        <x:f>XLOOKUP($D186&amp;"|"&amp;$E186&amp;"|"&amp;$F186,'PET_STAT_RULES'!$A$5:$A$88,'PET_STAT_RULES'!$G$5:$G$88)</x:f>
        <x:v>4</x:v>
      </x:c>
      <x:c r="N186" s="38" t="n">
        <x:v>2</x:v>
      </x:c>
      <x:c r="O186" s="38" t="str">
        <x:v>mech_fire_ignite_bonus</x:v>
      </x:c>
      <x:c r="P186" s="38" t="str">
        <x:v>06 形状06</x:v>
      </x:c>
      <x:c r="Q186" s="38" t="str">
        <x:v>Fiery</x:v>
      </x:c>
      <x:c r="R186" s="38" t="str">
        <x:v>skill confirmed；来源=Frostfire；攻击2格；仅保留来源商人/训练师关系。</x:v>
      </x:c>
      <x:c r="S186" s="38" t="n">
        <x:v>4</x:v>
      </x:c>
      <x:c r="T186" s="38" t="n">
        <x:v>2</x:v>
      </x:c>
      <x:c r="U186" s="15" t="str">
        <x:v>skill_vanguard,skill_flank,skill_pierce,skill_revolve,skill_chase,skill_break,skill_suppress,skill_finale</x:v>
      </x:c>
      <x:c r="V186" s="15" t="str">
        <x:v>trait_element_affinity</x:v>
      </x:c>
      <x:c r="W186" s="332" t="n">
        <x:f>XLOOKUP($D186&amp;"|"&amp;$E186&amp;"|"&amp;$F186,'PET_STAT_RULES'!$A$5:$A$88,'PET_STAT_RULES'!$E$5:$E$88)</x:f>
        <x:v>0</x:v>
      </x:c>
    </x:row>
    <x:row r="187">
      <x:c r="A187" s="38" t="str">
        <x:v>pal_186</x:v>
      </x:c>
      <x:c r="B187" s="38" t="str">
        <x:v>角豹神</x:v>
      </x:c>
      <x:c r="C187" s="38" t="str">
        <x:v>龙</x:v>
      </x:c>
      <x:c r="D187" s="268" t="str">
        <x:v>钻石</x:v>
      </x:c>
      <x:c r="E187" s="38" t="str">
        <x:v>输出</x:v>
      </x:c>
      <x:c r="F187" s="38" t="str">
        <x:v>两格</x:v>
      </x:c>
      <x:c r="G187" s="38" t="str">
        <x:v>bz_van_186</x:v>
      </x:c>
      <x:c r="H187" s="38" t="str">
        <x:v>elem_水, elem_地, elem_龙, role_坦克</x:v>
      </x:c>
      <x:c r="I187" s="38" t="n">
        <x:v>4</x:v>
      </x:c>
      <x:c r="J187" s="340" t="n">
        <x:f>XLOOKUP($D187&amp;"|"&amp;$E187&amp;"|"&amp;$F187,'PET_STAT_RULES'!$A$5:$A$88,'PET_STAT_RULES'!$C$5:$C$88)</x:f>
        <x:v>64</x:v>
      </x:c>
      <x:c r="K187" s="340" t="n">
        <x:f>XLOOKUP($D187&amp;"|"&amp;$E187&amp;"|"&amp;$F187,'PET_STAT_RULES'!$A$5:$A$88,'PET_STAT_RULES'!$D$5:$D$88)</x:f>
        <x:v>36</x:v>
      </x:c>
      <x:c r="L187" s="340" t="n">
        <x:f>XLOOKUP($D187&amp;"|"&amp;$E187&amp;"|"&amp;$F187,'PET_STAT_RULES'!$A$5:$A$88,'PET_STAT_RULES'!$F$5:$F$88)</x:f>
        <x:v>0</x:v>
      </x:c>
      <x:c r="M187" s="340" t="n">
        <x:f>XLOOKUP($D187&amp;"|"&amp;$E187&amp;"|"&amp;$F187,'PET_STAT_RULES'!$A$5:$A$88,'PET_STAT_RULES'!$G$5:$G$88)</x:f>
        <x:v>3</x:v>
      </x:c>
      <x:c r="N187" s="38" t="n">
        <x:v>3</x:v>
      </x:c>
      <x:c r="O187" s="38" t="str">
        <x:v>mech_grow_atk_each_round</x:v>
      </x:c>
      <x:c r="P187" s="38" t="str">
        <x:v>19 形状19</x:v>
      </x:c>
      <x:c r="Q187" s="38" t="str">
        <x:v>Deadly</x:v>
      </x:c>
      <x:c r="R187" s="38" t="str">
        <x:v>skill confirmed；来源=Glass Cannon；攻击3格；仅保留来源商人/训练师关系。</x:v>
      </x:c>
      <x:c r="S187" s="38" t="n">
        <x:v>3</x:v>
      </x:c>
      <x:c r="T187" s="38" t="n">
        <x:v>3</x:v>
      </x:c>
      <x:c r="U187" s="15" t="str">
        <x:v>skill_vanguard,skill_flank,skill_pierce,skill_revolve,skill_chase,skill_break,skill_suppress,skill_finale</x:v>
      </x:c>
      <x:c r="V187" s="15" t="str">
        <x:v>trait_relentless</x:v>
      </x:c>
      <x:c r="W187" s="332" t="n">
        <x:f>XLOOKUP($D187&amp;"|"&amp;$E187&amp;"|"&amp;$F187,'PET_STAT_RULES'!$A$5:$A$88,'PET_STAT_RULES'!$E$5:$E$88)</x:f>
        <x:v>0</x:v>
      </x:c>
    </x:row>
    <x:row r="188">
      <x:c r="A188" s="38" t="str">
        <x:v>pal_187</x:v>
      </x:c>
      <x:c r="B188" s="38" t="str">
        <x:v>雷鹰卫</x:v>
      </x:c>
      <x:c r="C188" s="38" t="str">
        <x:v>雷</x:v>
      </x:c>
      <x:c r="D188" s="265" t="str">
        <x:v>白银</x:v>
      </x:c>
      <x:c r="E188" s="38" t="str">
        <x:v>输出</x:v>
      </x:c>
      <x:c r="F188" s="38" t="str">
        <x:v>两格</x:v>
      </x:c>
      <x:c r="G188" s="38" t="str">
        <x:v>bz_van_187</x:v>
      </x:c>
      <x:c r="H188" s="38" t="str">
        <x:v>elem_水, elem_雷, elem_龙, elem_无, tier_pT1</x:v>
      </x:c>
      <x:c r="I188" s="38" t="n">
        <x:v>5</x:v>
      </x:c>
      <x:c r="J188" s="340" t="n">
        <x:f>XLOOKUP($D188&amp;"|"&amp;$E188&amp;"|"&amp;$F188,'PET_STAT_RULES'!$A$5:$A$88,'PET_STAT_RULES'!$C$5:$C$88)</x:f>
        <x:v>40</x:v>
      </x:c>
      <x:c r="K188" s="340" t="n">
        <x:f>XLOOKUP($D188&amp;"|"&amp;$E188&amp;"|"&amp;$F188,'PET_STAT_RULES'!$A$5:$A$88,'PET_STAT_RULES'!$D$5:$D$88)</x:f>
        <x:v>20</x:v>
      </x:c>
      <x:c r="L188" s="340" t="n">
        <x:f>XLOOKUP($D188&amp;"|"&amp;$E188&amp;"|"&amp;$F188,'PET_STAT_RULES'!$A$5:$A$88,'PET_STAT_RULES'!$F$5:$F$88)</x:f>
        <x:v>0</x:v>
      </x:c>
      <x:c r="M188" s="340" t="n">
        <x:f>XLOOKUP($D188&amp;"|"&amp;$E188&amp;"|"&amp;$F188,'PET_STAT_RULES'!$A$5:$A$88,'PET_STAT_RULES'!$G$5:$G$88)</x:f>
        <x:v>3</x:v>
      </x:c>
      <x:c r="N188" s="38" t="n">
        <x:v>2</x:v>
      </x:c>
      <x:c r="O188" s="38" t="str">
        <x:v>mech_grow_atk_each_round</x:v>
      </x:c>
      <x:c r="P188" s="38" t="str">
        <x:v>07 形状07</x:v>
      </x:c>
      <x:c r="Q188" s="38" t="str">
        <x:v>Deadly</x:v>
      </x:c>
      <x:c r="R188" s="38" t="str">
        <x:v>skill confirmed；来源=Gunner；攻击2格；仅保留来源商人/训练师关系。</x:v>
      </x:c>
      <x:c r="S188" s="38" t="n">
        <x:v>3</x:v>
      </x:c>
      <x:c r="T188" s="38" t="n">
        <x:v>2</x:v>
      </x:c>
      <x:c r="U188" s="15" t="str">
        <x:v>skill_vanguard,skill_flank,skill_pierce,skill_revolve,skill_chase,skill_break,skill_suppress,skill_finale</x:v>
      </x:c>
      <x:c r="V188" s="15" t="str">
        <x:v>trait_relentless</x:v>
      </x:c>
      <x:c r="W188" s="332" t="n">
        <x:f>XLOOKUP($D188&amp;"|"&amp;$E188&amp;"|"&amp;$F188,'PET_STAT_RULES'!$A$5:$A$88,'PET_STAT_RULES'!$E$5:$E$88)</x:f>
        <x:v>0</x:v>
      </x:c>
    </x:row>
    <x:row r="189">
      <x:c r="A189" s="38" t="str">
        <x:v>pal_188</x:v>
      </x:c>
      <x:c r="B189" s="38" t="str">
        <x:v>岩獒精</x:v>
      </x:c>
      <x:c r="C189" s="38" t="str">
        <x:v>地</x:v>
      </x:c>
      <x:c r="D189" s="265" t="str">
        <x:v>白银</x:v>
      </x:c>
      <x:c r="E189" s="38" t="str">
        <x:v>坦克</x:v>
      </x:c>
      <x:c r="F189" s="38" t="str">
        <x:v>两格</x:v>
      </x:c>
      <x:c r="G189" s="38" t="str">
        <x:v>bz_van_188</x:v>
      </x:c>
      <x:c r="H189" s="38" t="str">
        <x:v>elem_水, elem_雷, elem_龙, elem_无, role_召唤铺场</x:v>
      </x:c>
      <x:c r="I189" s="38" t="n">
        <x:v>5</x:v>
      </x:c>
      <x:c r="J189" s="340" t="n">
        <x:f>XLOOKUP($D189&amp;"|"&amp;$E189&amp;"|"&amp;$F189,'PET_STAT_RULES'!$A$5:$A$88,'PET_STAT_RULES'!$C$5:$C$88)</x:f>
        <x:v>54</x:v>
      </x:c>
      <x:c r="K189" s="340" t="n">
        <x:f>XLOOKUP($D189&amp;"|"&amp;$E189&amp;"|"&amp;$F189,'PET_STAT_RULES'!$A$5:$A$88,'PET_STAT_RULES'!$D$5:$D$88)</x:f>
        <x:v>12</x:v>
      </x:c>
      <x:c r="L189" s="340" t="n">
        <x:f>XLOOKUP($D189&amp;"|"&amp;$E189&amp;"|"&amp;$F189,'PET_STAT_RULES'!$A$5:$A$88,'PET_STAT_RULES'!$F$5:$F$88)</x:f>
        <x:v>10</x:v>
      </x:c>
      <x:c r="M189" s="340" t="n">
        <x:f>XLOOKUP($D189&amp;"|"&amp;$E189&amp;"|"&amp;$F189,'PET_STAT_RULES'!$A$5:$A$88,'PET_STAT_RULES'!$G$5:$G$88)</x:f>
        <x:v>3</x:v>
      </x:c>
      <x:c r="N189" s="38" t="n">
        <x:v>2</x:v>
      </x:c>
      <x:c r="O189" s="38" t="str">
        <x:v>mech_shield_flat</x:v>
      </x:c>
      <x:c r="P189" s="38" t="str">
        <x:v>09 形状09</x:v>
      </x:c>
      <x:c r="Q189" s="38" t="str">
        <x:v>Shielded</x:v>
      </x:c>
      <x:c r="R189" s="38" t="str">
        <x:v>skill confirmed；来源=Hardened Shield；攻击2格；仅保留来源商人/训练师关系。</x:v>
      </x:c>
      <x:c r="S189" s="38" t="n">
        <x:v>3</x:v>
      </x:c>
      <x:c r="T189" s="38" t="n">
        <x:v>2</x:v>
      </x:c>
      <x:c r="U189" s="15" t="str">
        <x:v>skill_vanguard,skill_flank,skill_pierce,skill_revolve,skill_chase,skill_break,skill_suppress,skill_finale</x:v>
      </x:c>
      <x:c r="V189" s="15" t="str">
        <x:v>trait_combo_mastery</x:v>
      </x:c>
      <x:c r="W189" s="332" t="n">
        <x:f>XLOOKUP($D189&amp;"|"&amp;$E189&amp;"|"&amp;$F189,'PET_STAT_RULES'!$A$5:$A$88,'PET_STAT_RULES'!$E$5:$E$88)</x:f>
        <x:v>0</x:v>
      </x:c>
    </x:row>
    <x:row r="190">
      <x:c r="A190" s="38" t="str">
        <x:v>pal_189</x:v>
      </x:c>
      <x:c r="B190" s="38" t="str">
        <x:v>烬鹿祖</x:v>
      </x:c>
      <x:c r="C190" s="38" t="str">
        <x:v>火、草</x:v>
      </x:c>
      <x:c r="D190" s="268" t="str">
        <x:v>钻石</x:v>
      </x:c>
      <x:c r="E190" s="38" t="str">
        <x:v>治疗</x:v>
      </x:c>
      <x:c r="F190" s="38" t="str">
        <x:v>两格</x:v>
      </x:c>
      <x:c r="G190" s="38" t="str">
        <x:v>bz_van_189</x:v>
      </x:c>
      <x:c r="H190" s="38" t="str">
        <x:v>elem_水, elem_龙, tier_pT2</x:v>
      </x:c>
      <x:c r="I190" s="38" t="n">
        <x:v>3</x:v>
      </x:c>
      <x:c r="J190" s="340" t="n">
        <x:f>XLOOKUP($D190&amp;"|"&amp;$E190&amp;"|"&amp;$F190,'PET_STAT_RULES'!$A$5:$A$88,'PET_STAT_RULES'!$C$5:$C$88)</x:f>
        <x:v>70</x:v>
      </x:c>
      <x:c r="K190" s="340" t="n">
        <x:f>XLOOKUP($D190&amp;"|"&amp;$E190&amp;"|"&amp;$F190,'PET_STAT_RULES'!$A$5:$A$88,'PET_STAT_RULES'!$D$5:$D$88)</x:f>
        <x:v>24</x:v>
      </x:c>
      <x:c r="L190" s="340" t="n">
        <x:f>XLOOKUP($D190&amp;"|"&amp;$E190&amp;"|"&amp;$F190,'PET_STAT_RULES'!$A$5:$A$88,'PET_STAT_RULES'!$F$5:$F$88)</x:f>
        <x:v>8</x:v>
      </x:c>
      <x:c r="M190" s="340" t="n">
        <x:f>XLOOKUP($D190&amp;"|"&amp;$E190&amp;"|"&amp;$F190,'PET_STAT_RULES'!$A$5:$A$88,'PET_STAT_RULES'!$G$5:$G$88)</x:f>
        <x:v>3</x:v>
      </x:c>
      <x:c r="N190" s="38" t="n">
        <x:v>3</x:v>
      </x:c>
      <x:c r="O190" s="38" t="str">
        <x:v>mech_fire_ignite_bonus</x:v>
      </x:c>
      <x:c r="P190" s="38" t="str">
        <x:v>16 形状16</x:v>
      </x:c>
      <x:c r="Q190" s="38" t="str">
        <x:v>Fiery</x:v>
      </x:c>
      <x:c r="R190" s="38" t="str">
        <x:v>skill confirmed；来源=Healthy Heart；攻击3格；仅保留来源商人/训练师关系。</x:v>
      </x:c>
      <x:c r="S190" s="38" t="n">
        <x:v>3</x:v>
      </x:c>
      <x:c r="T190" s="38" t="n">
        <x:v>3</x:v>
      </x:c>
      <x:c r="U190" s="15" t="str">
        <x:v>skill_vanguard,skill_flank,skill_pierce,skill_revolve,skill_chase,skill_break,skill_suppress,skill_finale</x:v>
      </x:c>
      <x:c r="V190" s="15" t="str">
        <x:v>trait_element_affinity</x:v>
      </x:c>
      <x:c r="W190" s="332" t="n">
        <x:f>XLOOKUP($D190&amp;"|"&amp;$E190&amp;"|"&amp;$F190,'PET_STAT_RULES'!$A$5:$A$88,'PET_STAT_RULES'!$E$5:$E$88)</x:f>
        <x:v>0</x:v>
      </x:c>
    </x:row>
    <x:row r="191">
      <x:c r="A191" s="38" t="str">
        <x:v>pal_190</x:v>
      </x:c>
      <x:c r="B191" s="38" t="str">
        <x:v>潮鹤精</x:v>
      </x:c>
      <x:c r="C191" s="38" t="str">
        <x:v>水、地</x:v>
      </x:c>
      <x:c r="D191" s="265" t="str">
        <x:v>白银</x:v>
      </x:c>
      <x:c r="E191" s="38" t="str">
        <x:v>治疗</x:v>
      </x:c>
      <x:c r="F191" s="38" t="str">
        <x:v>两格</x:v>
      </x:c>
      <x:c r="G191" s="38" t="str">
        <x:v>bz_van_190</x:v>
      </x:c>
      <x:c r="H191" s="38" t="str">
        <x:v>elem_水, elem_雷, elem_龙, elem_无, special_merchant, tier_pT2</x:v>
      </x:c>
      <x:c r="I191" s="38" t="n">
        <x:v>6</x:v>
      </x:c>
      <x:c r="J191" s="340" t="n">
        <x:f>XLOOKUP($D191&amp;"|"&amp;$E191&amp;"|"&amp;$F191,'PET_STAT_RULES'!$A$5:$A$88,'PET_STAT_RULES'!$C$5:$C$88)</x:f>
        <x:v>46</x:v>
      </x:c>
      <x:c r="K191" s="340" t="n">
        <x:f>XLOOKUP($D191&amp;"|"&amp;$E191&amp;"|"&amp;$F191,'PET_STAT_RULES'!$A$5:$A$88,'PET_STAT_RULES'!$D$5:$D$88)</x:f>
        <x:v>12</x:v>
      </x:c>
      <x:c r="L191" s="340" t="n">
        <x:f>XLOOKUP($D191&amp;"|"&amp;$E191&amp;"|"&amp;$F191,'PET_STAT_RULES'!$A$5:$A$88,'PET_STAT_RULES'!$F$5:$F$88)</x:f>
        <x:v>4</x:v>
      </x:c>
      <x:c r="M191" s="340" t="n">
        <x:f>XLOOKUP($D191&amp;"|"&amp;$E191&amp;"|"&amp;$F191,'PET_STAT_RULES'!$A$5:$A$88,'PET_STAT_RULES'!$G$5:$G$88)</x:f>
        <x:v>3</x:v>
      </x:c>
      <x:c r="N191" s="38" t="n">
        <x:v>2</x:v>
      </x:c>
      <x:c r="O191" s="38" t="str">
        <x:v>mech_shield_regen</x:v>
      </x:c>
      <x:c r="P191" s="38" t="str">
        <x:v>11 形状11</x:v>
      </x:c>
      <x:c r="Q191" s="38" t="str">
        <x:v>Turbo</x:v>
      </x:c>
      <x:c r="R191" s="38" t="str">
        <x:v>skill confirmed；来源=Healthy Jolt；攻击2格；仅保留来源商人/训练师关系。</x:v>
      </x:c>
      <x:c r="S191" s="38" t="n">
        <x:v>3</x:v>
      </x:c>
      <x:c r="T191" s="38" t="n">
        <x:v>2</x:v>
      </x:c>
      <x:c r="U191" s="15" t="str">
        <x:v>skill_vanguard,skill_flank,skill_pierce,skill_revolve,skill_chase,skill_break,skill_suppress,skill_finale</x:v>
      </x:c>
      <x:c r="V191" s="15" t="str">
        <x:v>trait_element_affinity</x:v>
      </x:c>
      <x:c r="W191" s="332" t="n">
        <x:f>XLOOKUP($D191&amp;"|"&amp;$E191&amp;"|"&amp;$F191,'PET_STAT_RULES'!$A$5:$A$88,'PET_STAT_RULES'!$E$5:$E$88)</x:f>
        <x:v>0</x:v>
      </x:c>
    </x:row>
    <x:row r="192">
      <x:c r="A192" s="38" t="str">
        <x:v>pal_191</x:v>
      </x:c>
      <x:c r="B192" s="38" t="str">
        <x:v>焰豹将</x:v>
      </x:c>
      <x:c r="C192" s="38" t="str">
        <x:v>火、雷</x:v>
      </x:c>
      <x:c r="D192" s="265" t="str">
        <x:v>白银</x:v>
      </x:c>
      <x:c r="E192" s="38" t="str">
        <x:v>输出</x:v>
      </x:c>
      <x:c r="F192" s="38" t="str">
        <x:v>两格</x:v>
      </x:c>
      <x:c r="G192" s="38" t="str">
        <x:v>bz_van_191</x:v>
      </x:c>
      <x:c r="H192" s="38" t="str">
        <x:v>elem_水, elem_雷, elem_龙, elem_无, role_治疗, tier_pT1</x:v>
      </x:c>
      <x:c r="I192" s="38" t="n">
        <x:v>6</x:v>
      </x:c>
      <x:c r="J192" s="340" t="n">
        <x:f>XLOOKUP($D192&amp;"|"&amp;$E192&amp;"|"&amp;$F192,'PET_STAT_RULES'!$A$5:$A$88,'PET_STAT_RULES'!$C$5:$C$88)</x:f>
        <x:v>40</x:v>
      </x:c>
      <x:c r="K192" s="340" t="n">
        <x:f>XLOOKUP($D192&amp;"|"&amp;$E192&amp;"|"&amp;$F192,'PET_STAT_RULES'!$A$5:$A$88,'PET_STAT_RULES'!$D$5:$D$88)</x:f>
        <x:v>20</x:v>
      </x:c>
      <x:c r="L192" s="340" t="n">
        <x:f>XLOOKUP($D192&amp;"|"&amp;$E192&amp;"|"&amp;$F192,'PET_STAT_RULES'!$A$5:$A$88,'PET_STAT_RULES'!$F$5:$F$88)</x:f>
        <x:v>0</x:v>
      </x:c>
      <x:c r="M192" s="340" t="n">
        <x:f>XLOOKUP($D192&amp;"|"&amp;$E192&amp;"|"&amp;$F192,'PET_STAT_RULES'!$A$5:$A$88,'PET_STAT_RULES'!$G$5:$G$88)</x:f>
        <x:v>3</x:v>
      </x:c>
      <x:c r="N192" s="38" t="n">
        <x:v>2</x:v>
      </x:c>
      <x:c r="O192" s="38" t="str">
        <x:v>mech_fire_ignite_bonus</x:v>
      </x:c>
      <x:c r="P192" s="38" t="str">
        <x:v>11 形状11</x:v>
      </x:c>
      <x:c r="Q192" s="38" t="str">
        <x:v>Fiery</x:v>
      </x:c>
      <x:c r="R192" s="38" t="str">
        <x:v>skill confirmed；来源=Heated Shells；攻击2格；仅保留来源商人/训练师关系。</x:v>
      </x:c>
      <x:c r="S192" s="38" t="n">
        <x:v>3</x:v>
      </x:c>
      <x:c r="T192" s="38" t="n">
        <x:v>2</x:v>
      </x:c>
      <x:c r="U192" s="15" t="str">
        <x:v>skill_vanguard,skill_flank,skill_pierce,skill_revolve,skill_chase,skill_break,skill_suppress,skill_finale</x:v>
      </x:c>
      <x:c r="V192" s="15" t="str">
        <x:v>trait_relentless</x:v>
      </x:c>
      <x:c r="W192" s="332" t="n">
        <x:f>XLOOKUP($D192&amp;"|"&amp;$E192&amp;"|"&amp;$F192,'PET_STAT_RULES'!$A$5:$A$88,'PET_STAT_RULES'!$E$5:$E$88)</x:f>
        <x:v>0</x:v>
      </x:c>
    </x:row>
    <x:row r="193">
      <x:c r="A193" s="38" t="str">
        <x:v>pal_192</x:v>
      </x:c>
      <x:c r="B193" s="38" t="str">
        <x:v>赤鼋妖</x:v>
      </x:c>
      <x:c r="C193" s="38" t="str">
        <x:v>火、地</x:v>
      </x:c>
      <x:c r="D193" s="265" t="str">
        <x:v>白银</x:v>
      </x:c>
      <x:c r="E193" s="38" t="str">
        <x:v>坦克</x:v>
      </x:c>
      <x:c r="F193" s="38" t="str">
        <x:v>两格</x:v>
      </x:c>
      <x:c r="G193" s="38" t="str">
        <x:v>bz_van_192</x:v>
      </x:c>
      <x:c r="H193" s="38" t="str">
        <x:v>elem_水, elem_雷, elem_龙, elem_无, role_坦克</x:v>
      </x:c>
      <x:c r="I193" s="38" t="n">
        <x:v>5</x:v>
      </x:c>
      <x:c r="J193" s="340" t="n">
        <x:f>XLOOKUP($D193&amp;"|"&amp;$E193&amp;"|"&amp;$F193,'PET_STAT_RULES'!$A$5:$A$88,'PET_STAT_RULES'!$C$5:$C$88)</x:f>
        <x:v>54</x:v>
      </x:c>
      <x:c r="K193" s="340" t="n">
        <x:f>XLOOKUP($D193&amp;"|"&amp;$E193&amp;"|"&amp;$F193,'PET_STAT_RULES'!$A$5:$A$88,'PET_STAT_RULES'!$D$5:$D$88)</x:f>
        <x:v>12</x:v>
      </x:c>
      <x:c r="L193" s="340" t="n">
        <x:f>XLOOKUP($D193&amp;"|"&amp;$E193&amp;"|"&amp;$F193,'PET_STAT_RULES'!$A$5:$A$88,'PET_STAT_RULES'!$F$5:$F$88)</x:f>
        <x:v>10</x:v>
      </x:c>
      <x:c r="M193" s="340" t="n">
        <x:f>XLOOKUP($D193&amp;"|"&amp;$E193&amp;"|"&amp;$F193,'PET_STAT_RULES'!$A$5:$A$88,'PET_STAT_RULES'!$G$5:$G$88)</x:f>
        <x:v>3</x:v>
      </x:c>
      <x:c r="N193" s="38" t="n">
        <x:v>2</x:v>
      </x:c>
      <x:c r="O193" s="38" t="str">
        <x:v>mech_fire_ignite_bonus</x:v>
      </x:c>
      <x:c r="P193" s="38" t="str">
        <x:v>09 形状09</x:v>
      </x:c>
      <x:c r="Q193" s="38" t="str">
        <x:v>Fiery</x:v>
      </x:c>
      <x:c r="R193" s="38" t="str">
        <x:v>skill confirmed；来源=Heavy Firepower；攻击2格；仅保留来源商人/训练师关系。</x:v>
      </x:c>
      <x:c r="S193" s="38" t="n">
        <x:v>3</x:v>
      </x:c>
      <x:c r="T193" s="38" t="n">
        <x:v>2</x:v>
      </x:c>
      <x:c r="U193" s="15" t="str">
        <x:v>skill_vanguard,skill_flank,skill_pierce,skill_revolve,skill_chase,skill_break,skill_suppress,skill_finale</x:v>
      </x:c>
      <x:c r="V193" s="15" t="str">
        <x:v>trait_combo_mastery</x:v>
      </x:c>
      <x:c r="W193" s="332" t="n">
        <x:f>XLOOKUP($D193&amp;"|"&amp;$E193&amp;"|"&amp;$F193,'PET_STAT_RULES'!$A$5:$A$88,'PET_STAT_RULES'!$E$5:$E$88)</x:f>
        <x:v>0</x:v>
      </x:c>
    </x:row>
    <x:row r="194">
      <x:c r="A194" s="38" t="str">
        <x:v>pal_193</x:v>
      </x:c>
      <x:c r="B194" s="38" t="str">
        <x:v>雷狼卫</x:v>
      </x:c>
      <x:c r="C194" s="38" t="str">
        <x:v>雷</x:v>
      </x:c>
      <x:c r="D194" s="265" t="str">
        <x:v>白银</x:v>
      </x:c>
      <x:c r="E194" s="38" t="str">
        <x:v>输出</x:v>
      </x:c>
      <x:c r="F194" s="38" t="str">
        <x:v>两格</x:v>
      </x:c>
      <x:c r="G194" s="38" t="str">
        <x:v>bz_van_193</x:v>
      </x:c>
      <x:c r="H194" s="38" t="str">
        <x:v>elem_水, elem_雷, elem_龙, elem_无, role_召唤, role_坦克</x:v>
      </x:c>
      <x:c r="I194" s="38" t="n">
        <x:v>6</x:v>
      </x:c>
      <x:c r="J194" s="340" t="n">
        <x:f>XLOOKUP($D194&amp;"|"&amp;$E194&amp;"|"&amp;$F194,'PET_STAT_RULES'!$A$5:$A$88,'PET_STAT_RULES'!$C$5:$C$88)</x:f>
        <x:v>40</x:v>
      </x:c>
      <x:c r="K194" s="340" t="n">
        <x:f>XLOOKUP($D194&amp;"|"&amp;$E194&amp;"|"&amp;$F194,'PET_STAT_RULES'!$A$5:$A$88,'PET_STAT_RULES'!$D$5:$D$88)</x:f>
        <x:v>20</x:v>
      </x:c>
      <x:c r="L194" s="340" t="n">
        <x:f>XLOOKUP($D194&amp;"|"&amp;$E194&amp;"|"&amp;$F194,'PET_STAT_RULES'!$A$5:$A$88,'PET_STAT_RULES'!$F$5:$F$88)</x:f>
        <x:v>0</x:v>
      </x:c>
      <x:c r="M194" s="340" t="n">
        <x:f>XLOOKUP($D194&amp;"|"&amp;$E194&amp;"|"&amp;$F194,'PET_STAT_RULES'!$A$5:$A$88,'PET_STAT_RULES'!$G$5:$G$88)</x:f>
        <x:v>3</x:v>
      </x:c>
      <x:c r="N194" s="38" t="n">
        <x:v>2</x:v>
      </x:c>
      <x:c r="O194" s="38" t="str">
        <x:v>mech_grow_atk_each_round</x:v>
      </x:c>
      <x:c r="P194" s="38" t="str">
        <x:v>05 形状05</x:v>
      </x:c>
      <x:c r="Q194" s="38" t="str">
        <x:v>Deadly</x:v>
      </x:c>
      <x:c r="R194" s="38" t="str">
        <x:v>skill confirmed；来源=Honed Arsenal；攻击2格；仅保留来源商人/训练师关系。</x:v>
      </x:c>
      <x:c r="S194" s="38" t="n">
        <x:v>3</x:v>
      </x:c>
      <x:c r="T194" s="38" t="n">
        <x:v>2</x:v>
      </x:c>
      <x:c r="U194" s="15" t="str">
        <x:v>skill_vanguard,skill_flank,skill_pierce,skill_revolve,skill_chase,skill_break,skill_suppress,skill_finale</x:v>
      </x:c>
      <x:c r="V194" s="15" t="str">
        <x:v>trait_relentless</x:v>
      </x:c>
      <x:c r="W194" s="332" t="n">
        <x:f>XLOOKUP($D194&amp;"|"&amp;$E194&amp;"|"&amp;$F194,'PET_STAT_RULES'!$A$5:$A$88,'PET_STAT_RULES'!$E$5:$E$88)</x:f>
        <x:v>0</x:v>
      </x:c>
    </x:row>
    <x:row r="195">
      <x:c r="A195" s="38" t="str">
        <x:v>pal_194</x:v>
      </x:c>
      <x:c r="B195" s="38" t="str">
        <x:v>电虎侯</x:v>
      </x:c>
      <x:c r="C195" s="38" t="str">
        <x:v>雷</x:v>
      </x:c>
      <x:c r="D195" s="262" t="str">
        <x:v>黄金</x:v>
      </x:c>
      <x:c r="E195" s="38" t="str">
        <x:v>输出</x:v>
      </x:c>
      <x:c r="F195" s="38" t="str">
        <x:v>两格</x:v>
      </x:c>
      <x:c r="G195" s="38" t="str">
        <x:v>bz_van_194</x:v>
      </x:c>
      <x:c r="H195" s="38" t="str">
        <x:v>elem_水, elem_龙, elem_无, role_召唤</x:v>
      </x:c>
      <x:c r="I195" s="38" t="n">
        <x:v>4</x:v>
      </x:c>
      <x:c r="J195" s="340" t="n">
        <x:f>XLOOKUP($D195&amp;"|"&amp;$E195&amp;"|"&amp;$F195,'PET_STAT_RULES'!$A$5:$A$88,'PET_STAT_RULES'!$C$5:$C$88)</x:f>
        <x:v>52</x:v>
      </x:c>
      <x:c r="K195" s="340" t="n">
        <x:f>XLOOKUP($D195&amp;"|"&amp;$E195&amp;"|"&amp;$F195,'PET_STAT_RULES'!$A$5:$A$88,'PET_STAT_RULES'!$D$5:$D$88)</x:f>
        <x:v>28</x:v>
      </x:c>
      <x:c r="L195" s="340" t="n">
        <x:f>XLOOKUP($D195&amp;"|"&amp;$E195&amp;"|"&amp;$F195,'PET_STAT_RULES'!$A$5:$A$88,'PET_STAT_RULES'!$F$5:$F$88)</x:f>
        <x:v>0</x:v>
      </x:c>
      <x:c r="M195" s="340" t="n">
        <x:f>XLOOKUP($D195&amp;"|"&amp;$E195&amp;"|"&amp;$F195,'PET_STAT_RULES'!$A$5:$A$88,'PET_STAT_RULES'!$G$5:$G$88)</x:f>
        <x:v>3</x:v>
      </x:c>
      <x:c r="N195" s="38" t="n">
        <x:v>3</x:v>
      </x:c>
      <x:c r="O195" s="38" t="str">
        <x:v>mech_grow_atk_each_round</x:v>
      </x:c>
      <x:c r="P195" s="38" t="str">
        <x:v>13 形状13</x:v>
      </x:c>
      <x:c r="Q195" s="38" t="str">
        <x:v>Deadly</x:v>
      </x:c>
      <x:c r="R195" s="38" t="str">
        <x:v>skill confirmed；来源=Honed Strike；攻击3格；仅保留来源商人/训练师关系。</x:v>
      </x:c>
      <x:c r="S195" s="38" t="n">
        <x:v>3</x:v>
      </x:c>
      <x:c r="T195" s="38" t="n">
        <x:v>2</x:v>
      </x:c>
      <x:c r="U195" s="15" t="str">
        <x:v>skill_vanguard,skill_flank,skill_pierce,skill_revolve,skill_chase,skill_break,skill_suppress,skill_finale</x:v>
      </x:c>
      <x:c r="V195" s="15" t="str">
        <x:v>trait_relentless</x:v>
      </x:c>
      <x:c r="W195" s="332" t="n">
        <x:f>XLOOKUP($D195&amp;"|"&amp;$E195&amp;"|"&amp;$F195,'PET_STAT_RULES'!$A$5:$A$88,'PET_STAT_RULES'!$E$5:$E$88)</x:f>
        <x:v>0</x:v>
      </x:c>
    </x:row>
    <x:row r="196">
      <x:c r="A196" s="38" t="str">
        <x:v>pal_195</x:v>
      </x:c>
      <x:c r="B196" s="38" t="str">
        <x:v>燎狼将</x:v>
      </x:c>
      <x:c r="C196" s="38" t="str">
        <x:v>火</x:v>
      </x:c>
      <x:c r="D196" s="265" t="str">
        <x:v>白银</x:v>
      </x:c>
      <x:c r="E196" s="38" t="str">
        <x:v>输出</x:v>
      </x:c>
      <x:c r="F196" s="38" t="str">
        <x:v>两格</x:v>
      </x:c>
      <x:c r="G196" s="38" t="str">
        <x:v>bz_van_195</x:v>
      </x:c>
      <x:c r="H196" s="38" t="str">
        <x:v>elem_水, elem_雷, elem_龙, elem_无, role_治疗</x:v>
      </x:c>
      <x:c r="I196" s="38" t="n">
        <x:v>5</x:v>
      </x:c>
      <x:c r="J196" s="340" t="n">
        <x:f>XLOOKUP($D196&amp;"|"&amp;$E196&amp;"|"&amp;$F196,'PET_STAT_RULES'!$A$5:$A$88,'PET_STAT_RULES'!$C$5:$C$88)</x:f>
        <x:v>40</x:v>
      </x:c>
      <x:c r="K196" s="340" t="n">
        <x:f>XLOOKUP($D196&amp;"|"&amp;$E196&amp;"|"&amp;$F196,'PET_STAT_RULES'!$A$5:$A$88,'PET_STAT_RULES'!$D$5:$D$88)</x:f>
        <x:v>20</x:v>
      </x:c>
      <x:c r="L196" s="340" t="n">
        <x:f>XLOOKUP($D196&amp;"|"&amp;$E196&amp;"|"&amp;$F196,'PET_STAT_RULES'!$A$5:$A$88,'PET_STAT_RULES'!$F$5:$F$88)</x:f>
        <x:v>0</x:v>
      </x:c>
      <x:c r="M196" s="340" t="n">
        <x:f>XLOOKUP($D196&amp;"|"&amp;$E196&amp;"|"&amp;$F196,'PET_STAT_RULES'!$A$5:$A$88,'PET_STAT_RULES'!$G$5:$G$88)</x:f>
        <x:v>3</x:v>
      </x:c>
      <x:c r="N196" s="38" t="n">
        <x:v>2</x:v>
      </x:c>
      <x:c r="O196" s="38" t="str">
        <x:v>mech_fire_ignite_bonus</x:v>
      </x:c>
      <x:c r="P196" s="38" t="str">
        <x:v>08 形状08</x:v>
      </x:c>
      <x:c r="Q196" s="38" t="str">
        <x:v>Fiery</x:v>
      </x:c>
      <x:c r="R196" s="38" t="str">
        <x:v>skill confirmed；来源=Hot Spot；攻击2格；仅保留来源商人/训练师关系。</x:v>
      </x:c>
      <x:c r="S196" s="38" t="n">
        <x:v>3</x:v>
      </x:c>
      <x:c r="T196" s="38" t="n">
        <x:v>2</x:v>
      </x:c>
      <x:c r="U196" s="15" t="str">
        <x:v>skill_vanguard,skill_flank,skill_pierce,skill_revolve,skill_chase,skill_break,skill_suppress,skill_finale</x:v>
      </x:c>
      <x:c r="V196" s="15" t="str">
        <x:v>trait_relentless</x:v>
      </x:c>
      <x:c r="W196" s="332" t="n">
        <x:f>XLOOKUP($D196&amp;"|"&amp;$E196&amp;"|"&amp;$F196,'PET_STAT_RULES'!$A$5:$A$88,'PET_STAT_RULES'!$E$5:$E$88)</x:f>
        <x:v>0</x:v>
      </x:c>
    </x:row>
    <x:row r="197">
      <x:c r="A197" s="38" t="str">
        <x:v>pal_196</x:v>
      </x:c>
      <x:c r="B197" s="38" t="str">
        <x:v>凛鳗王</x:v>
      </x:c>
      <x:c r="C197" s="38" t="str">
        <x:v>冰、雷</x:v>
      </x:c>
      <x:c r="D197" s="262" t="str">
        <x:v>黄金</x:v>
      </x:c>
      <x:c r="E197" s="38" t="str">
        <x:v>控制</x:v>
      </x:c>
      <x:c r="F197" s="38" t="str">
        <x:v>两格</x:v>
      </x:c>
      <x:c r="G197" s="38" t="str">
        <x:v>bz_van_196</x:v>
      </x:c>
      <x:c r="H197" s="38" t="str">
        <x:v>elem_水, elem_地, elem_龙, elem_无, role_控制, tier_pT1</x:v>
      </x:c>
      <x:c r="I197" s="38" t="n">
        <x:v>6</x:v>
      </x:c>
      <x:c r="J197" s="340" t="n">
        <x:f>XLOOKUP($D197&amp;"|"&amp;$E197&amp;"|"&amp;$F197,'PET_STAT_RULES'!$A$5:$A$88,'PET_STAT_RULES'!$C$5:$C$88)</x:f>
        <x:v>56</x:v>
      </x:c>
      <x:c r="K197" s="340" t="n">
        <x:f>XLOOKUP($D197&amp;"|"&amp;$E197&amp;"|"&amp;$F197,'PET_STAT_RULES'!$A$5:$A$88,'PET_STAT_RULES'!$D$5:$D$88)</x:f>
        <x:v>20</x:v>
      </x:c>
      <x:c r="L197" s="340" t="n">
        <x:f>XLOOKUP($D197&amp;"|"&amp;$E197&amp;"|"&amp;$F197,'PET_STAT_RULES'!$A$5:$A$88,'PET_STAT_RULES'!$F$5:$F$88)</x:f>
        <x:v>0</x:v>
      </x:c>
      <x:c r="M197" s="340" t="n">
        <x:f>XLOOKUP($D197&amp;"|"&amp;$E197&amp;"|"&amp;$F197,'PET_STAT_RULES'!$A$5:$A$88,'PET_STAT_RULES'!$G$5:$G$88)</x:f>
        <x:v>4</x:v>
      </x:c>
      <x:c r="N197" s="38" t="n">
        <x:v>2</x:v>
      </x:c>
      <x:c r="O197" s="38" t="str">
        <x:v>mech_counter_damage</x:v>
      </x:c>
      <x:c r="P197" s="38" t="str">
        <x:v>09 形状09</x:v>
      </x:c>
      <x:c r="Q197" s="38" t="str">
        <x:v>Icy</x:v>
      </x:c>
      <x:c r="R197" s="38" t="str">
        <x:v>skill confirmed；来源=Ice Bullets；攻击2格；仅保留来源商人/训练师关系。</x:v>
      </x:c>
      <x:c r="S197" s="38" t="n">
        <x:v>4</x:v>
      </x:c>
      <x:c r="T197" s="38" t="n">
        <x:v>2</x:v>
      </x:c>
      <x:c r="U197" s="15" t="str">
        <x:v>skill_vanguard,skill_flank,skill_pierce,skill_revolve,skill_chase,skill_break,skill_suppress,skill_finale</x:v>
      </x:c>
      <x:c r="V197" s="15" t="str">
        <x:v>trait_element_affinity</x:v>
      </x:c>
      <x:c r="W197" s="332" t="n">
        <x:f>XLOOKUP($D197&amp;"|"&amp;$E197&amp;"|"&amp;$F197,'PET_STAT_RULES'!$A$5:$A$88,'PET_STAT_RULES'!$E$5:$E$88)</x:f>
        <x:v>0</x:v>
      </x:c>
    </x:row>
    <x:row r="198">
      <x:c r="A198" s="38" t="str">
        <x:v>pal_197</x:v>
      </x:c>
      <x:c r="B198" s="38" t="str">
        <x:v>寒狐祖</x:v>
      </x:c>
      <x:c r="C198" s="38" t="str">
        <x:v>冰</x:v>
      </x:c>
      <x:c r="D198" s="268" t="str">
        <x:v>钻石</x:v>
      </x:c>
      <x:c r="E198" s="38" t="str">
        <x:v>控制</x:v>
      </x:c>
      <x:c r="F198" s="38" t="str">
        <x:v>两格</x:v>
      </x:c>
      <x:c r="G198" s="38" t="str">
        <x:v>bz_van_197</x:v>
      </x:c>
      <x:c r="H198" s="38" t="str">
        <x:v>elem_水, elem_龙, role_坦克</x:v>
      </x:c>
      <x:c r="I198" s="38" t="n">
        <x:v>3</x:v>
      </x:c>
      <x:c r="J198" s="340" t="n">
        <x:f>XLOOKUP($D198&amp;"|"&amp;$E198&amp;"|"&amp;$F198,'PET_STAT_RULES'!$A$5:$A$88,'PET_STAT_RULES'!$C$5:$C$88)</x:f>
        <x:v>68</x:v>
      </x:c>
      <x:c r="K198" s="340" t="n">
        <x:f>XLOOKUP($D198&amp;"|"&amp;$E198&amp;"|"&amp;$F198,'PET_STAT_RULES'!$A$5:$A$88,'PET_STAT_RULES'!$D$5:$D$88)</x:f>
        <x:v>26</x:v>
      </x:c>
      <x:c r="L198" s="340" t="n">
        <x:f>XLOOKUP($D198&amp;"|"&amp;$E198&amp;"|"&amp;$F198,'PET_STAT_RULES'!$A$5:$A$88,'PET_STAT_RULES'!$F$5:$F$88)</x:f>
        <x:v>0</x:v>
      </x:c>
      <x:c r="M198" s="340" t="n">
        <x:f>XLOOKUP($D198&amp;"|"&amp;$E198&amp;"|"&amp;$F198,'PET_STAT_RULES'!$A$5:$A$88,'PET_STAT_RULES'!$G$5:$G$88)</x:f>
        <x:v>4</x:v>
      </x:c>
      <x:c r="N198" s="38" t="n">
        <x:v>3</x:v>
      </x:c>
      <x:c r="O198" s="38" t="str">
        <x:v>mech_counter_damage</x:v>
      </x:c>
      <x:c r="P198" s="38" t="str">
        <x:v>17 形状17</x:v>
      </x:c>
      <x:c r="Q198" s="38" t="str">
        <x:v>Icy</x:v>
      </x:c>
      <x:c r="R198" s="38" t="str">
        <x:v>skill confirmed；来源=Ice Smasher；攻击3格；仅保留来源商人/训练师关系。</x:v>
      </x:c>
      <x:c r="S198" s="38" t="n">
        <x:v>4</x:v>
      </x:c>
      <x:c r="T198" s="38" t="n">
        <x:v>3</x:v>
      </x:c>
      <x:c r="U198" s="15" t="str">
        <x:v>skill_vanguard,skill_flank,skill_pierce,skill_revolve,skill_chase,skill_break,skill_suppress,skill_finale</x:v>
      </x:c>
      <x:c r="V198" s="15" t="str">
        <x:v>trait_element_affinity</x:v>
      </x:c>
      <x:c r="W198" s="332" t="n">
        <x:f>XLOOKUP($D198&amp;"|"&amp;$E198&amp;"|"&amp;$F198,'PET_STAT_RULES'!$A$5:$A$88,'PET_STAT_RULES'!$E$5:$E$88)</x:f>
        <x:v>0</x:v>
      </x:c>
    </x:row>
    <x:row r="199">
      <x:c r="A199" s="38" t="str">
        <x:v>pal_198</x:v>
      </x:c>
      <x:c r="B199" s="38" t="str">
        <x:v>赤虎仔</x:v>
      </x:c>
      <x:c r="C199" s="38" t="str">
        <x:v>火</x:v>
      </x:c>
      <x:c r="D199" s="259" t="str">
        <x:v>青铜</x:v>
      </x:c>
      <x:c r="E199" s="38" t="str">
        <x:v>输出</x:v>
      </x:c>
      <x:c r="F199" s="38" t="str">
        <x:v>两格</x:v>
      </x:c>
      <x:c r="G199" s="38" t="str">
        <x:v>bz_van_198</x:v>
      </x:c>
      <x:c r="H199" s="38" t="str">
        <x:v>elem_水, elem_雷, elem_龙, elem_无, role_治疗</x:v>
      </x:c>
      <x:c r="I199" s="38" t="n">
        <x:v>5</x:v>
      </x:c>
      <x:c r="J199" s="340" t="n">
        <x:f>XLOOKUP($D199&amp;"|"&amp;$E199&amp;"|"&amp;$F199,'PET_STAT_RULES'!$A$5:$A$88,'PET_STAT_RULES'!$C$5:$C$88)</x:f>
        <x:v>28</x:v>
      </x:c>
      <x:c r="K199" s="340" t="n">
        <x:f>XLOOKUP($D199&amp;"|"&amp;$E199&amp;"|"&amp;$F199,'PET_STAT_RULES'!$A$5:$A$88,'PET_STAT_RULES'!$D$5:$D$88)</x:f>
        <x:v>12</x:v>
      </x:c>
      <x:c r="L199" s="340" t="n">
        <x:f>XLOOKUP($D199&amp;"|"&amp;$E199&amp;"|"&amp;$F199,'PET_STAT_RULES'!$A$5:$A$88,'PET_STAT_RULES'!$F$5:$F$88)</x:f>
        <x:v>0</x:v>
      </x:c>
      <x:c r="M199" s="340" t="n">
        <x:f>XLOOKUP($D199&amp;"|"&amp;$E199&amp;"|"&amp;$F199,'PET_STAT_RULES'!$A$5:$A$88,'PET_STAT_RULES'!$G$5:$G$88)</x:f>
        <x:v>3</x:v>
      </x:c>
      <x:c r="N199" s="38" t="n">
        <x:v>1</x:v>
      </x:c>
      <x:c r="O199" s="38" t="str">
        <x:v>mech_fire_ignite_bonus</x:v>
      </x:c>
      <x:c r="P199" s="38" t="str">
        <x:v>01 形状01</x:v>
      </x:c>
      <x:c r="Q199" s="38" t="str">
        <x:v>Fiery</x:v>
      </x:c>
      <x:c r="R199" s="38" t="str">
        <x:v>skill confirmed；来源=Immolating Spark；攻击1格；仅保留来源商人/训练师关系。</x:v>
      </x:c>
      <x:c r="S199" s="38" t="n">
        <x:v>3</x:v>
      </x:c>
      <x:c r="T199" s="38" t="n">
        <x:v>1</x:v>
      </x:c>
      <x:c r="U199" s="15" t="str">
        <x:v>skill_vanguard,skill_flank,skill_pierce,skill_revolve,skill_chase,skill_break,skill_suppress,skill_finale</x:v>
      </x:c>
      <x:c r="V199" s="15" t="str">
        <x:v>trait_relentless</x:v>
      </x:c>
      <x:c r="W199" s="332" t="n">
        <x:f>XLOOKUP($D199&amp;"|"&amp;$E199&amp;"|"&amp;$F199,'PET_STAT_RULES'!$A$5:$A$88,'PET_STAT_RULES'!$E$5:$E$88)</x:f>
        <x:v>0</x:v>
      </x:c>
    </x:row>
    <x:row r="200">
      <x:c r="A200" s="38" t="str">
        <x:v>pal_199</x:v>
      </x:c>
      <x:c r="B200" s="38" t="str">
        <x:v>藤貂仔</x:v>
      </x:c>
      <x:c r="C200" s="38" t="str">
        <x:v>草</x:v>
      </x:c>
      <x:c r="D200" s="259" t="str">
        <x:v>青铜</x:v>
      </x:c>
      <x:c r="E200" s="38" t="str">
        <x:v>控制</x:v>
      </x:c>
      <x:c r="F200" s="38" t="str">
        <x:v>两格</x:v>
      </x:c>
      <x:c r="G200" s="38" t="str">
        <x:v>bz_van_199</x:v>
      </x:c>
      <x:c r="H200" s="38" t="str">
        <x:v>elem_水, elem_雷, elem_龙, elem_无, role_输出</x:v>
      </x:c>
      <x:c r="I200" s="38" t="n">
        <x:v>5</x:v>
      </x:c>
      <x:c r="J200" s="340" t="n">
        <x:f>XLOOKUP($D200&amp;"|"&amp;$E200&amp;"|"&amp;$F200,'PET_STAT_RULES'!$A$5:$A$88,'PET_STAT_RULES'!$C$5:$C$88)</x:f>
        <x:v>32</x:v>
      </x:c>
      <x:c r="K200" s="340" t="n">
        <x:f>XLOOKUP($D200&amp;"|"&amp;$E200&amp;"|"&amp;$F200,'PET_STAT_RULES'!$A$5:$A$88,'PET_STAT_RULES'!$D$5:$D$88)</x:f>
        <x:v>8</x:v>
      </x:c>
      <x:c r="L200" s="340" t="n">
        <x:f>XLOOKUP($D200&amp;"|"&amp;$E200&amp;"|"&amp;$F200,'PET_STAT_RULES'!$A$5:$A$88,'PET_STAT_RULES'!$F$5:$F$88)</x:f>
        <x:v>0</x:v>
      </x:c>
      <x:c r="M200" s="340" t="n">
        <x:f>XLOOKUP($D200&amp;"|"&amp;$E200&amp;"|"&amp;$F200,'PET_STAT_RULES'!$A$5:$A$88,'PET_STAT_RULES'!$G$5:$G$88)</x:f>
        <x:v>4</x:v>
      </x:c>
      <x:c r="N200" s="38" t="n">
        <x:v>2</x:v>
      </x:c>
      <x:c r="O200" s="38" t="str">
        <x:v>mech_counter_damage</x:v>
      </x:c>
      <x:c r="P200" s="38" t="str">
        <x:v>06 形状06</x:v>
      </x:c>
      <x:c r="Q200" s="38" t="str">
        <x:v>Toxic</x:v>
      </x:c>
      <x:c r="R200" s="38" t="str">
        <x:v>skill confirmed；来源=Improved Toxins；攻击2格；仅保留来源商人/训练师关系。</x:v>
      </x:c>
      <x:c r="S200" s="38" t="n">
        <x:v>4</x:v>
      </x:c>
      <x:c r="T200" s="38" t="n">
        <x:v>1</x:v>
      </x:c>
      <x:c r="U200" s="15" t="str">
        <x:v>skill_vanguard,skill_flank,skill_pierce,skill_revolve,skill_chase,skill_break,skill_suppress,skill_finale</x:v>
      </x:c>
      <x:c r="V200" s="15" t="str">
        <x:v>trait_element_affinity</x:v>
      </x:c>
      <x:c r="W200" s="332" t="n">
        <x:f>XLOOKUP($D200&amp;"|"&amp;$E200&amp;"|"&amp;$F200,'PET_STAT_RULES'!$A$5:$A$88,'PET_STAT_RULES'!$E$5:$E$88)</x:f>
        <x:v>0</x:v>
      </x:c>
    </x:row>
    <x:row r="201">
      <x:c r="A201" s="38" t="str">
        <x:v>pal_200</x:v>
      </x:c>
      <x:c r="B201" s="38" t="str">
        <x:v>烬豹侯</x:v>
      </x:c>
      <x:c r="C201" s="38" t="str">
        <x:v>火、雷</x:v>
      </x:c>
      <x:c r="D201" s="262" t="str">
        <x:v>黄金</x:v>
      </x:c>
      <x:c r="E201" s="38" t="str">
        <x:v>输出</x:v>
      </x:c>
      <x:c r="F201" s="38" t="str">
        <x:v>两格</x:v>
      </x:c>
      <x:c r="G201" s="38" t="str">
        <x:v>bz_van_200</x:v>
      </x:c>
      <x:c r="H201" s="38" t="str">
        <x:v>elem_水, elem_龙, elem_无, role_召唤, role_治疗</x:v>
      </x:c>
      <x:c r="I201" s="38" t="n">
        <x:v>5</x:v>
      </x:c>
      <x:c r="J201" s="340" t="n">
        <x:f>XLOOKUP($D201&amp;"|"&amp;$E201&amp;"|"&amp;$F201,'PET_STAT_RULES'!$A$5:$A$88,'PET_STAT_RULES'!$C$5:$C$88)</x:f>
        <x:v>52</x:v>
      </x:c>
      <x:c r="K201" s="340" t="n">
        <x:f>XLOOKUP($D201&amp;"|"&amp;$E201&amp;"|"&amp;$F201,'PET_STAT_RULES'!$A$5:$A$88,'PET_STAT_RULES'!$D$5:$D$88)</x:f>
        <x:v>28</x:v>
      </x:c>
      <x:c r="L201" s="340" t="n">
        <x:f>XLOOKUP($D201&amp;"|"&amp;$E201&amp;"|"&amp;$F201,'PET_STAT_RULES'!$A$5:$A$88,'PET_STAT_RULES'!$F$5:$F$88)</x:f>
        <x:v>0</x:v>
      </x:c>
      <x:c r="M201" s="340" t="n">
        <x:f>XLOOKUP($D201&amp;"|"&amp;$E201&amp;"|"&amp;$F201,'PET_STAT_RULES'!$A$5:$A$88,'PET_STAT_RULES'!$G$5:$G$88)</x:f>
        <x:v>3</x:v>
      </x:c>
      <x:c r="N201" s="38" t="n">
        <x:v>3</x:v>
      </x:c>
      <x:c r="O201" s="38" t="str">
        <x:v>mech_fire_ignite_bonus</x:v>
      </x:c>
      <x:c r="P201" s="38" t="str">
        <x:v>13 形状13</x:v>
      </x:c>
      <x:c r="Q201" s="38" t="str">
        <x:v>Fiery</x:v>
      </x:c>
      <x:c r="R201" s="38" t="str">
        <x:v>skill confirmed；来源=Improvised Burn；攻击3格；仅保留来源商人/训练师关系。</x:v>
      </x:c>
      <x:c r="S201" s="38" t="n">
        <x:v>3</x:v>
      </x:c>
      <x:c r="T201" s="38" t="n">
        <x:v>2</x:v>
      </x:c>
      <x:c r="U201" s="15" t="str">
        <x:v>skill_vanguard,skill_flank,skill_pierce,skill_revolve,skill_chase,skill_break,skill_suppress,skill_finale</x:v>
      </x:c>
      <x:c r="V201" s="15" t="str">
        <x:v>trait_relentless</x:v>
      </x:c>
      <x:c r="W201" s="332" t="n">
        <x:f>XLOOKUP($D201&amp;"|"&amp;$E201&amp;"|"&amp;$F201,'PET_STAT_RULES'!$A$5:$A$88,'PET_STAT_RULES'!$E$5:$E$88)</x:f>
        <x:v>0</x:v>
      </x:c>
    </x:row>
    <x:row r="202">
      <x:c r="A202" s="38" t="str">
        <x:v>pal_201</x:v>
      </x:c>
      <x:c r="B202" s="38" t="str">
        <x:v>潮鸾卫</x:v>
      </x:c>
      <x:c r="C202" s="38" t="str">
        <x:v>水、雷</x:v>
      </x:c>
      <x:c r="D202" s="265" t="str">
        <x:v>白银</x:v>
      </x:c>
      <x:c r="E202" s="38" t="str">
        <x:v>治疗</x:v>
      </x:c>
      <x:c r="F202" s="38" t="str">
        <x:v>两格</x:v>
      </x:c>
      <x:c r="G202" s="38" t="str">
        <x:v>bz_van_201</x:v>
      </x:c>
      <x:c r="H202" s="38" t="str">
        <x:v>elem_水, elem_雷, elem_地, elem_龙, elem_无, role_召唤, tier_pT2</x:v>
      </x:c>
      <x:c r="I202" s="38" t="n">
        <x:v>7</x:v>
      </x:c>
      <x:c r="J202" s="340" t="n">
        <x:f>XLOOKUP($D202&amp;"|"&amp;$E202&amp;"|"&amp;$F202,'PET_STAT_RULES'!$A$5:$A$88,'PET_STAT_RULES'!$C$5:$C$88)</x:f>
        <x:v>46</x:v>
      </x:c>
      <x:c r="K202" s="340" t="n">
        <x:f>XLOOKUP($D202&amp;"|"&amp;$E202&amp;"|"&amp;$F202,'PET_STAT_RULES'!$A$5:$A$88,'PET_STAT_RULES'!$D$5:$D$88)</x:f>
        <x:v>12</x:v>
      </x:c>
      <x:c r="L202" s="340" t="n">
        <x:f>XLOOKUP($D202&amp;"|"&amp;$E202&amp;"|"&amp;$F202,'PET_STAT_RULES'!$A$5:$A$88,'PET_STAT_RULES'!$F$5:$F$88)</x:f>
        <x:v>4</x:v>
      </x:c>
      <x:c r="M202" s="340" t="n">
        <x:f>XLOOKUP($D202&amp;"|"&amp;$E202&amp;"|"&amp;$F202,'PET_STAT_RULES'!$A$5:$A$88,'PET_STAT_RULES'!$G$5:$G$88)</x:f>
        <x:v>3</x:v>
      </x:c>
      <x:c r="N202" s="38" t="n">
        <x:v>2</x:v>
      </x:c>
      <x:c r="O202" s="38" t="str">
        <x:v>mech_shield_regen</x:v>
      </x:c>
      <x:c r="P202" s="38" t="str">
        <x:v>07 形状07</x:v>
      </x:c>
      <x:c r="Q202" s="38" t="str">
        <x:v>Restorative</x:v>
      </x:c>
      <x:c r="R202" s="38" t="str">
        <x:v>skill confirmed；来源=Improvised Heal；攻击2格；仅保留来源商人/训练师关系。</x:v>
      </x:c>
      <x:c r="S202" s="38" t="n">
        <x:v>3</x:v>
      </x:c>
      <x:c r="T202" s="38" t="n">
        <x:v>2</x:v>
      </x:c>
      <x:c r="U202" s="15" t="str">
        <x:v>skill_vanguard,skill_flank,skill_pierce,skill_revolve,skill_chase,skill_break,skill_suppress,skill_finale</x:v>
      </x:c>
      <x:c r="V202" s="15" t="str">
        <x:v>trait_element_affinity</x:v>
      </x:c>
      <x:c r="W202" s="332" t="n">
        <x:f>XLOOKUP($D202&amp;"|"&amp;$E202&amp;"|"&amp;$F202,'PET_STAT_RULES'!$A$5:$A$88,'PET_STAT_RULES'!$E$5:$E$88)</x:f>
        <x:v>0</x:v>
      </x:c>
    </x:row>
    <x:row r="203">
      <x:c r="A203" s="38" t="str">
        <x:v>pal_202</x:v>
      </x:c>
      <x:c r="B203" s="38" t="str">
        <x:v>苔狐侯</x:v>
      </x:c>
      <x:c r="C203" s="38" t="str">
        <x:v>草、雷</x:v>
      </x:c>
      <x:c r="D203" s="262" t="str">
        <x:v>黄金</x:v>
      </x:c>
      <x:c r="E203" s="38" t="str">
        <x:v>控制</x:v>
      </x:c>
      <x:c r="F203" s="38" t="str">
        <x:v>两格</x:v>
      </x:c>
      <x:c r="G203" s="38" t="str">
        <x:v>bz_van_202</x:v>
      </x:c>
      <x:c r="H203" s="38" t="str">
        <x:v>elem_水, elem_龙, elem_无, role_召唤, role_输出</x:v>
      </x:c>
      <x:c r="I203" s="38" t="n">
        <x:v>5</x:v>
      </x:c>
      <x:c r="J203" s="340" t="n">
        <x:f>XLOOKUP($D203&amp;"|"&amp;$E203&amp;"|"&amp;$F203,'PET_STAT_RULES'!$A$5:$A$88,'PET_STAT_RULES'!$C$5:$C$88)</x:f>
        <x:v>56</x:v>
      </x:c>
      <x:c r="K203" s="340" t="n">
        <x:f>XLOOKUP($D203&amp;"|"&amp;$E203&amp;"|"&amp;$F203,'PET_STAT_RULES'!$A$5:$A$88,'PET_STAT_RULES'!$D$5:$D$88)</x:f>
        <x:v>20</x:v>
      </x:c>
      <x:c r="L203" s="340" t="n">
        <x:f>XLOOKUP($D203&amp;"|"&amp;$E203&amp;"|"&amp;$F203,'PET_STAT_RULES'!$A$5:$A$88,'PET_STAT_RULES'!$F$5:$F$88)</x:f>
        <x:v>0</x:v>
      </x:c>
      <x:c r="M203" s="340" t="n">
        <x:f>XLOOKUP($D203&amp;"|"&amp;$E203&amp;"|"&amp;$F203,'PET_STAT_RULES'!$A$5:$A$88,'PET_STAT_RULES'!$G$5:$G$88)</x:f>
        <x:v>4</x:v>
      </x:c>
      <x:c r="N203" s="38" t="n">
        <x:v>2</x:v>
      </x:c>
      <x:c r="O203" s="38" t="str">
        <x:v>mech_counter_damage</x:v>
      </x:c>
      <x:c r="P203" s="38" t="str">
        <x:v>05 形状05</x:v>
      </x:c>
      <x:c r="Q203" s="38" t="str">
        <x:v>Toxic</x:v>
      </x:c>
      <x:c r="R203" s="38" t="str">
        <x:v>skill confirmed；来源=Improvised Poison；攻击2格；仅保留来源商人/训练师关系。</x:v>
      </x:c>
      <x:c r="S203" s="38" t="n">
        <x:v>4</x:v>
      </x:c>
      <x:c r="T203" s="38" t="n">
        <x:v>2</x:v>
      </x:c>
      <x:c r="U203" s="15" t="str">
        <x:v>skill_vanguard,skill_flank,skill_pierce,skill_revolve,skill_chase,skill_break,skill_suppress,skill_finale</x:v>
      </x:c>
      <x:c r="V203" s="15" t="str">
        <x:v>trait_element_affinity</x:v>
      </x:c>
      <x:c r="W203" s="332" t="n">
        <x:f>XLOOKUP($D203&amp;"|"&amp;$E203&amp;"|"&amp;$F203,'PET_STAT_RULES'!$A$5:$A$88,'PET_STAT_RULES'!$E$5:$E$88)</x:f>
        <x:v>0</x:v>
      </x:c>
    </x:row>
    <x:row r="204">
      <x:c r="A204" s="38" t="str">
        <x:v>pal_203</x:v>
      </x:c>
      <x:c r="B204" s="38" t="str">
        <x:v>霆熊卫</x:v>
      </x:c>
      <x:c r="C204" s="38" t="str">
        <x:v>雷、地</x:v>
      </x:c>
      <x:c r="D204" s="265" t="str">
        <x:v>白银</x:v>
      </x:c>
      <x:c r="E204" s="38" t="str">
        <x:v>坦克</x:v>
      </x:c>
      <x:c r="F204" s="38" t="str">
        <x:v>两格</x:v>
      </x:c>
      <x:c r="G204" s="38" t="str">
        <x:v>bz_van_203</x:v>
      </x:c>
      <x:c r="H204" s="38" t="str">
        <x:v>elem_水, elem_雷, elem_龙, elem_无, role_召唤, role_召唤铺场</x:v>
      </x:c>
      <x:c r="I204" s="38" t="n">
        <x:v>6</x:v>
      </x:c>
      <x:c r="J204" s="340" t="n">
        <x:f>XLOOKUP($D204&amp;"|"&amp;$E204&amp;"|"&amp;$F204,'PET_STAT_RULES'!$A$5:$A$88,'PET_STAT_RULES'!$C$5:$C$88)</x:f>
        <x:v>54</x:v>
      </x:c>
      <x:c r="K204" s="340" t="n">
        <x:f>XLOOKUP($D204&amp;"|"&amp;$E204&amp;"|"&amp;$F204,'PET_STAT_RULES'!$A$5:$A$88,'PET_STAT_RULES'!$D$5:$D$88)</x:f>
        <x:v>12</x:v>
      </x:c>
      <x:c r="L204" s="340" t="n">
        <x:f>XLOOKUP($D204&amp;"|"&amp;$E204&amp;"|"&amp;$F204,'PET_STAT_RULES'!$A$5:$A$88,'PET_STAT_RULES'!$F$5:$F$88)</x:f>
        <x:v>10</x:v>
      </x:c>
      <x:c r="M204" s="340" t="n">
        <x:f>XLOOKUP($D204&amp;"|"&amp;$E204&amp;"|"&amp;$F204,'PET_STAT_RULES'!$A$5:$A$88,'PET_STAT_RULES'!$G$5:$G$88)</x:f>
        <x:v>3</x:v>
      </x:c>
      <x:c r="N204" s="38" t="n">
        <x:v>2</x:v>
      </x:c>
      <x:c r="O204" s="38" t="str">
        <x:v>mech_armor_flat</x:v>
      </x:c>
      <x:c r="P204" s="38" t="str">
        <x:v>08 形状08</x:v>
      </x:c>
      <x:c r="Q204" s="38" t="str">
        <x:v>Shielded</x:v>
      </x:c>
      <x:c r="R204" s="38" t="str">
        <x:v>skill confirmed；来源=Improvised Protection；攻击2格；仅保留来源商人/训练师关系。</x:v>
      </x:c>
      <x:c r="S204" s="38" t="n">
        <x:v>3</x:v>
      </x:c>
      <x:c r="T204" s="38" t="n">
        <x:v>2</x:v>
      </x:c>
      <x:c r="U204" s="15" t="str">
        <x:v>skill_vanguard,skill_flank,skill_pierce,skill_revolve,skill_chase,skill_break,skill_suppress,skill_finale</x:v>
      </x:c>
      <x:c r="V204" s="15" t="str">
        <x:v>trait_combo_mastery</x:v>
      </x:c>
      <x:c r="W204" s="332" t="n">
        <x:f>XLOOKUP($D204&amp;"|"&amp;$E204&amp;"|"&amp;$F204,'PET_STAT_RULES'!$A$5:$A$88,'PET_STAT_RULES'!$E$5:$E$88)</x:f>
        <x:v>0</x:v>
      </x:c>
    </x:row>
    <x:row r="205">
      <x:c r="A205" s="38" t="str">
        <x:v>pal_204</x:v>
      </x:c>
      <x:c r="B205" s="38" t="str">
        <x:v>闪鲨将</x:v>
      </x:c>
      <x:c r="C205" s="38" t="str">
        <x:v>雷</x:v>
      </x:c>
      <x:c r="D205" s="265" t="str">
        <x:v>白银</x:v>
      </x:c>
      <x:c r="E205" s="38" t="str">
        <x:v>输出</x:v>
      </x:c>
      <x:c r="F205" s="38" t="str">
        <x:v>两格</x:v>
      </x:c>
      <x:c r="G205" s="38" t="str">
        <x:v>bz_van_204</x:v>
      </x:c>
      <x:c r="H205" s="38" t="str">
        <x:v>elem_水, elem_雷, elem_龙, elem_无, role_召唤, role_坦克</x:v>
      </x:c>
      <x:c r="I205" s="38" t="n">
        <x:v>6</x:v>
      </x:c>
      <x:c r="J205" s="340" t="n">
        <x:f>XLOOKUP($D205&amp;"|"&amp;$E205&amp;"|"&amp;$F205,'PET_STAT_RULES'!$A$5:$A$88,'PET_STAT_RULES'!$C$5:$C$88)</x:f>
        <x:v>40</x:v>
      </x:c>
      <x:c r="K205" s="340" t="n">
        <x:f>XLOOKUP($D205&amp;"|"&amp;$E205&amp;"|"&amp;$F205,'PET_STAT_RULES'!$A$5:$A$88,'PET_STAT_RULES'!$D$5:$D$88)</x:f>
        <x:v>20</x:v>
      </x:c>
      <x:c r="L205" s="340" t="n">
        <x:f>XLOOKUP($D205&amp;"|"&amp;$E205&amp;"|"&amp;$F205,'PET_STAT_RULES'!$A$5:$A$88,'PET_STAT_RULES'!$F$5:$F$88)</x:f>
        <x:v>0</x:v>
      </x:c>
      <x:c r="M205" s="340" t="n">
        <x:f>XLOOKUP($D205&amp;"|"&amp;$E205&amp;"|"&amp;$F205,'PET_STAT_RULES'!$A$5:$A$88,'PET_STAT_RULES'!$G$5:$G$88)</x:f>
        <x:v>3</x:v>
      </x:c>
      <x:c r="N205" s="38" t="n">
        <x:v>2</x:v>
      </x:c>
      <x:c r="O205" s="38" t="str">
        <x:v>mech_grow_atk_each_round</x:v>
      </x:c>
      <x:c r="P205" s="38" t="str">
        <x:v>06 形状06</x:v>
      </x:c>
      <x:c r="Q205" s="38" t="str">
        <x:v>Deadly</x:v>
      </x:c>
      <x:c r="R205" s="38" t="str">
        <x:v>skill confirmed；来源=Improvised Weaponry；攻击2格；仅保留来源商人/训练师关系。</x:v>
      </x:c>
      <x:c r="S205" s="38" t="n">
        <x:v>3</x:v>
      </x:c>
      <x:c r="T205" s="38" t="n">
        <x:v>2</x:v>
      </x:c>
      <x:c r="U205" s="15" t="str">
        <x:v>skill_vanguard,skill_flank,skill_pierce,skill_revolve,skill_chase,skill_break,skill_suppress,skill_finale</x:v>
      </x:c>
      <x:c r="V205" s="15" t="str">
        <x:v>trait_relentless</x:v>
      </x:c>
      <x:c r="W205" s="332" t="n">
        <x:f>XLOOKUP($D205&amp;"|"&amp;$E205&amp;"|"&amp;$F205,'PET_STAT_RULES'!$A$5:$A$88,'PET_STAT_RULES'!$E$5:$E$88)</x:f>
        <x:v>0</x:v>
      </x:c>
    </x:row>
    <x:row r="206">
      <x:c r="A206" s="38" t="str">
        <x:v>pal_205</x:v>
      </x:c>
      <x:c r="B206" s="38" t="str">
        <x:v>雷隼卫</x:v>
      </x:c>
      <x:c r="C206" s="38" t="str">
        <x:v>雷</x:v>
      </x:c>
      <x:c r="D206" s="265" t="str">
        <x:v>白银</x:v>
      </x:c>
      <x:c r="E206" s="38" t="str">
        <x:v>输出</x:v>
      </x:c>
      <x:c r="F206" s="38" t="str">
        <x:v>两格</x:v>
      </x:c>
      <x:c r="G206" s="38" t="str">
        <x:v>bz_van_205</x:v>
      </x:c>
      <x:c r="H206" s="38" t="str">
        <x:v>elem_水, elem_雷, elem_地, elem_龙, elem_无, role_召唤</x:v>
      </x:c>
      <x:c r="I206" s="38" t="n">
        <x:v>6</x:v>
      </x:c>
      <x:c r="J206" s="340" t="n">
        <x:f>XLOOKUP($D206&amp;"|"&amp;$E206&amp;"|"&amp;$F206,'PET_STAT_RULES'!$A$5:$A$88,'PET_STAT_RULES'!$C$5:$C$88)</x:f>
        <x:v>40</x:v>
      </x:c>
      <x:c r="K206" s="340" t="n">
        <x:f>XLOOKUP($D206&amp;"|"&amp;$E206&amp;"|"&amp;$F206,'PET_STAT_RULES'!$A$5:$A$88,'PET_STAT_RULES'!$D$5:$D$88)</x:f>
        <x:v>20</x:v>
      </x:c>
      <x:c r="L206" s="340" t="n">
        <x:f>XLOOKUP($D206&amp;"|"&amp;$E206&amp;"|"&amp;$F206,'PET_STAT_RULES'!$A$5:$A$88,'PET_STAT_RULES'!$F$5:$F$88)</x:f>
        <x:v>0</x:v>
      </x:c>
      <x:c r="M206" s="340" t="n">
        <x:f>XLOOKUP($D206&amp;"|"&amp;$E206&amp;"|"&amp;$F206,'PET_STAT_RULES'!$A$5:$A$88,'PET_STAT_RULES'!$G$5:$G$88)</x:f>
        <x:v>3</x:v>
      </x:c>
      <x:c r="N206" s="38" t="n">
        <x:v>2</x:v>
      </x:c>
      <x:c r="O206" s="38" t="str">
        <x:v>mech_grow_atk_each_round</x:v>
      </x:c>
      <x:c r="P206" s="38" t="str">
        <x:v>11 形状11</x:v>
      </x:c>
      <x:c r="Q206" s="38" t="str">
        <x:v>Deadly</x:v>
      </x:c>
      <x:c r="R206" s="38" t="str">
        <x:v>skill confirmed；来源=Inexorable；攻击2格；仅保留来源商人/训练师关系。</x:v>
      </x:c>
      <x:c r="S206" s="38" t="n">
        <x:v>3</x:v>
      </x:c>
      <x:c r="T206" s="38" t="n">
        <x:v>2</x:v>
      </x:c>
      <x:c r="U206" s="15" t="str">
        <x:v>skill_vanguard,skill_flank,skill_pierce,skill_revolve,skill_chase,skill_break,skill_suppress,skill_finale</x:v>
      </x:c>
      <x:c r="V206" s="15" t="str">
        <x:v>trait_relentless</x:v>
      </x:c>
      <x:c r="W206" s="332" t="n">
        <x:f>XLOOKUP($D206&amp;"|"&amp;$E206&amp;"|"&amp;$F206,'PET_STAT_RULES'!$A$5:$A$88,'PET_STAT_RULES'!$E$5:$E$88)</x:f>
        <x:v>0</x:v>
      </x:c>
    </x:row>
    <x:row r="207">
      <x:c r="A207" s="38" t="str">
        <x:v>pal_206</x:v>
      </x:c>
      <x:c r="B207" s="38" t="str">
        <x:v>霜狐卫</x:v>
      </x:c>
      <x:c r="C207" s="38" t="str">
        <x:v>冰</x:v>
      </x:c>
      <x:c r="D207" s="265" t="str">
        <x:v>白银</x:v>
      </x:c>
      <x:c r="E207" s="38" t="str">
        <x:v>控制</x:v>
      </x:c>
      <x:c r="F207" s="38" t="str">
        <x:v>两格</x:v>
      </x:c>
      <x:c r="G207" s="38" t="str">
        <x:v>bz_van_206</x:v>
      </x:c>
      <x:c r="H207" s="38" t="str">
        <x:v>elem_水, elem_雷, elem_龙, elem_无, role_控制</x:v>
      </x:c>
      <x:c r="I207" s="38" t="n">
        <x:v>5</x:v>
      </x:c>
      <x:c r="J207" s="340" t="n">
        <x:f>XLOOKUP($D207&amp;"|"&amp;$E207&amp;"|"&amp;$F207,'PET_STAT_RULES'!$A$5:$A$88,'PET_STAT_RULES'!$C$5:$C$88)</x:f>
        <x:v>44</x:v>
      </x:c>
      <x:c r="K207" s="340" t="n">
        <x:f>XLOOKUP($D207&amp;"|"&amp;$E207&amp;"|"&amp;$F207,'PET_STAT_RULES'!$A$5:$A$88,'PET_STAT_RULES'!$D$5:$D$88)</x:f>
        <x:v>14</x:v>
      </x:c>
      <x:c r="L207" s="340" t="n">
        <x:f>XLOOKUP($D207&amp;"|"&amp;$E207&amp;"|"&amp;$F207,'PET_STAT_RULES'!$A$5:$A$88,'PET_STAT_RULES'!$F$5:$F$88)</x:f>
        <x:v>0</x:v>
      </x:c>
      <x:c r="M207" s="340" t="n">
        <x:f>XLOOKUP($D207&amp;"|"&amp;$E207&amp;"|"&amp;$F207,'PET_STAT_RULES'!$A$5:$A$88,'PET_STAT_RULES'!$G$5:$G$88)</x:f>
        <x:v>4</x:v>
      </x:c>
      <x:c r="N207" s="38" t="n">
        <x:v>2</x:v>
      </x:c>
      <x:c r="O207" s="38" t="str">
        <x:v>mech_counter_damage</x:v>
      </x:c>
      <x:c r="P207" s="38" t="str">
        <x:v>05 形状05</x:v>
      </x:c>
      <x:c r="Q207" s="38" t="str">
        <x:v>Icy</x:v>
      </x:c>
      <x:c r="R207" s="38" t="str">
        <x:v>skill confirmed；来源=Initial Chill；攻击2格；仅保留来源商人/训练师关系。</x:v>
      </x:c>
      <x:c r="S207" s="38" t="n">
        <x:v>4</x:v>
      </x:c>
      <x:c r="T207" s="38" t="n">
        <x:v>2</x:v>
      </x:c>
      <x:c r="U207" s="15" t="str">
        <x:v>skill_vanguard,skill_flank,skill_pierce,skill_revolve,skill_chase,skill_break,skill_suppress,skill_finale</x:v>
      </x:c>
      <x:c r="V207" s="15" t="str">
        <x:v>trait_element_affinity</x:v>
      </x:c>
      <x:c r="W207" s="332" t="n">
        <x:f>XLOOKUP($D207&amp;"|"&amp;$E207&amp;"|"&amp;$F207,'PET_STAT_RULES'!$A$5:$A$88,'PET_STAT_RULES'!$E$5:$E$88)</x:f>
        <x:v>0</x:v>
      </x:c>
    </x:row>
    <x:row r="208">
      <x:c r="A208" s="38" t="str">
        <x:v>pal_207</x:v>
      </x:c>
      <x:c r="B208" s="38" t="str">
        <x:v>森蛇童</x:v>
      </x:c>
      <x:c r="C208" s="38" t="str">
        <x:v>草</x:v>
      </x:c>
      <x:c r="D208" s="259" t="str">
        <x:v>青铜</x:v>
      </x:c>
      <x:c r="E208" s="38" t="str">
        <x:v>控制</x:v>
      </x:c>
      <x:c r="F208" s="38" t="str">
        <x:v>两格</x:v>
      </x:c>
      <x:c r="G208" s="38" t="str">
        <x:v>bz_van_207</x:v>
      </x:c>
      <x:c r="H208" s="38" t="str">
        <x:v>elem_水, elem_雷, elem_龙, elem_无, role_输出</x:v>
      </x:c>
      <x:c r="I208" s="38" t="n">
        <x:v>5</x:v>
      </x:c>
      <x:c r="J208" s="340" t="n">
        <x:f>XLOOKUP($D208&amp;"|"&amp;$E208&amp;"|"&amp;$F208,'PET_STAT_RULES'!$A$5:$A$88,'PET_STAT_RULES'!$C$5:$C$88)</x:f>
        <x:v>32</x:v>
      </x:c>
      <x:c r="K208" s="340" t="n">
        <x:f>XLOOKUP($D208&amp;"|"&amp;$E208&amp;"|"&amp;$F208,'PET_STAT_RULES'!$A$5:$A$88,'PET_STAT_RULES'!$D$5:$D$88)</x:f>
        <x:v>8</x:v>
      </x:c>
      <x:c r="L208" s="340" t="n">
        <x:f>XLOOKUP($D208&amp;"|"&amp;$E208&amp;"|"&amp;$F208,'PET_STAT_RULES'!$A$5:$A$88,'PET_STAT_RULES'!$F$5:$F$88)</x:f>
        <x:v>0</x:v>
      </x:c>
      <x:c r="M208" s="340" t="n">
        <x:f>XLOOKUP($D208&amp;"|"&amp;$E208&amp;"|"&amp;$F208,'PET_STAT_RULES'!$A$5:$A$88,'PET_STAT_RULES'!$G$5:$G$88)</x:f>
        <x:v>4</x:v>
      </x:c>
      <x:c r="N208" s="38" t="n">
        <x:v>2</x:v>
      </x:c>
      <x:c r="O208" s="38" t="str">
        <x:v>mech_counter_damage</x:v>
      </x:c>
      <x:c r="P208" s="38" t="str">
        <x:v>08 形状08</x:v>
      </x:c>
      <x:c r="Q208" s="38" t="str">
        <x:v>Toxic</x:v>
      </x:c>
      <x:c r="R208" s="38" t="str">
        <x:v>skill confirmed；来源=Initial Dose；攻击2格；仅保留来源商人/训练师关系。</x:v>
      </x:c>
      <x:c r="S208" s="38" t="n">
        <x:v>4</x:v>
      </x:c>
      <x:c r="T208" s="38" t="n">
        <x:v>1</x:v>
      </x:c>
      <x:c r="U208" s="15" t="str">
        <x:v>skill_vanguard,skill_flank,skill_pierce,skill_revolve,skill_chase,skill_break,skill_suppress,skill_finale</x:v>
      </x:c>
      <x:c r="V208" s="15" t="str">
        <x:v>trait_element_affinity</x:v>
      </x:c>
      <x:c r="W208" s="332" t="n">
        <x:f>XLOOKUP($D208&amp;"|"&amp;$E208&amp;"|"&amp;$F208,'PET_STAT_RULES'!$A$5:$A$88,'PET_STAT_RULES'!$E$5:$E$88)</x:f>
        <x:v>0</x:v>
      </x:c>
    </x:row>
    <x:row r="209">
      <x:c r="A209" s="38" t="str">
        <x:v>pal_208</x:v>
      </x:c>
      <x:c r="B209" s="38" t="str">
        <x:v>冰蛙将</x:v>
      </x:c>
      <x:c r="C209" s="38" t="str">
        <x:v>冰</x:v>
      </x:c>
      <x:c r="D209" s="265" t="str">
        <x:v>白银</x:v>
      </x:c>
      <x:c r="E209" s="38" t="str">
        <x:v>控制</x:v>
      </x:c>
      <x:c r="F209" s="38" t="str">
        <x:v>两格</x:v>
      </x:c>
      <x:c r="G209" s="38" t="str">
        <x:v>bz_van_208</x:v>
      </x:c>
      <x:c r="H209" s="38" t="str">
        <x:v>elem_水, elem_雷, elem_龙, elem_无, role_控制, special_merchant</x:v>
      </x:c>
      <x:c r="I209" s="38" t="n">
        <x:v>6</x:v>
      </x:c>
      <x:c r="J209" s="340" t="n">
        <x:f>XLOOKUP($D209&amp;"|"&amp;$E209&amp;"|"&amp;$F209,'PET_STAT_RULES'!$A$5:$A$88,'PET_STAT_RULES'!$C$5:$C$88)</x:f>
        <x:v>44</x:v>
      </x:c>
      <x:c r="K209" s="340" t="n">
        <x:f>XLOOKUP($D209&amp;"|"&amp;$E209&amp;"|"&amp;$F209,'PET_STAT_RULES'!$A$5:$A$88,'PET_STAT_RULES'!$D$5:$D$88)</x:f>
        <x:v>14</x:v>
      </x:c>
      <x:c r="L209" s="340" t="n">
        <x:f>XLOOKUP($D209&amp;"|"&amp;$E209&amp;"|"&amp;$F209,'PET_STAT_RULES'!$A$5:$A$88,'PET_STAT_RULES'!$F$5:$F$88)</x:f>
        <x:v>0</x:v>
      </x:c>
      <x:c r="M209" s="340" t="n">
        <x:f>XLOOKUP($D209&amp;"|"&amp;$E209&amp;"|"&amp;$F209,'PET_STAT_RULES'!$A$5:$A$88,'PET_STAT_RULES'!$G$5:$G$88)</x:f>
        <x:v>4</x:v>
      </x:c>
      <x:c r="N209" s="38" t="n">
        <x:v>3</x:v>
      </x:c>
      <x:c r="O209" s="38" t="str">
        <x:v>mech_counter_damage</x:v>
      </x:c>
      <x:c r="P209" s="38" t="str">
        <x:v>17 形状17</x:v>
      </x:c>
      <x:c r="Q209" s="38" t="str">
        <x:v>Icy</x:v>
      </x:c>
      <x:c r="R209" s="38" t="str">
        <x:v>skill confirmed；来源=Invigorating Cold；攻击3格；仅保留来源商人/训练师关系。</x:v>
      </x:c>
      <x:c r="S209" s="38" t="n">
        <x:v>4</x:v>
      </x:c>
      <x:c r="T209" s="38" t="n">
        <x:v>2</x:v>
      </x:c>
      <x:c r="U209" s="15" t="str">
        <x:v>skill_vanguard,skill_flank,skill_pierce,skill_revolve,skill_chase,skill_break,skill_suppress,skill_finale</x:v>
      </x:c>
      <x:c r="V209" s="15" t="str">
        <x:v>trait_element_affinity</x:v>
      </x:c>
      <x:c r="W209" s="332" t="n">
        <x:f>XLOOKUP($D209&amp;"|"&amp;$E209&amp;"|"&amp;$F209,'PET_STAT_RULES'!$A$5:$A$88,'PET_STAT_RULES'!$E$5:$E$88)</x:f>
        <x:v>0</x:v>
      </x:c>
    </x:row>
    <x:row r="210">
      <x:c r="A210" s="38" t="str">
        <x:v>pal_209</x:v>
      </x:c>
      <x:c r="B210" s="38" t="str">
        <x:v>夜貉精</x:v>
      </x:c>
      <x:c r="C210" s="38" t="str">
        <x:v>暗</x:v>
      </x:c>
      <x:c r="D210" s="265" t="str">
        <x:v>白银</x:v>
      </x:c>
      <x:c r="E210" s="38" t="str">
        <x:v>经济</x:v>
      </x:c>
      <x:c r="F210" s="38" t="str">
        <x:v>两格</x:v>
      </x:c>
      <x:c r="G210" s="38" t="str">
        <x:v>bz_van_209</x:v>
      </x:c>
      <x:c r="H210" s="38" t="str">
        <x:v>elem_水, elem_雷, elem_龙, elem_无, role_坦克</x:v>
      </x:c>
      <x:c r="I210" s="38" t="n">
        <x:v>5</x:v>
      </x:c>
      <x:c r="J210" s="340" t="n">
        <x:f>XLOOKUP($D210&amp;"|"&amp;$E210&amp;"|"&amp;$F210,'PET_STAT_RULES'!$A$5:$A$88,'PET_STAT_RULES'!$C$5:$C$88)</x:f>
        <x:v>40</x:v>
      </x:c>
      <x:c r="K210" s="340" t="n">
        <x:f>XLOOKUP($D210&amp;"|"&amp;$E210&amp;"|"&amp;$F210,'PET_STAT_RULES'!$A$5:$A$88,'PET_STAT_RULES'!$D$5:$D$88)</x:f>
        <x:v>12</x:v>
      </x:c>
      <x:c r="L210" s="340" t="n">
        <x:f>XLOOKUP($D210&amp;"|"&amp;$E210&amp;"|"&amp;$F210,'PET_STAT_RULES'!$A$5:$A$88,'PET_STAT_RULES'!$F$5:$F$88)</x:f>
        <x:v>0</x:v>
      </x:c>
      <x:c r="M210" s="340" t="n">
        <x:f>XLOOKUP($D210&amp;"|"&amp;$E210&amp;"|"&amp;$F210,'PET_STAT_RULES'!$A$5:$A$88,'PET_STAT_RULES'!$G$5:$G$88)</x:f>
        <x:v>3</x:v>
      </x:c>
      <x:c r="N210" s="38" t="n">
        <x:v>2</x:v>
      </x:c>
      <x:c r="O210" s="38" t="str">
        <x:v>none</x:v>
      </x:c>
      <x:c r="P210" s="38" t="str">
        <x:v>12 形状12</x:v>
      </x:c>
      <x:c r="Q210" s="38" t="str">
        <x:v>Golden</x:v>
      </x:c>
      <x:c r="R210" s="38" t="str">
        <x:v>skill confirmed；来源=Iron Sharpens Iron；攻击2格；仅保留来源商人/训练师关系。</x:v>
      </x:c>
      <x:c r="S210" s="38" t="n">
        <x:v>3</x:v>
      </x:c>
      <x:c r="T210" s="38" t="n">
        <x:v>2</x:v>
      </x:c>
      <x:c r="U210" s="15" t="str">
        <x:v>skill_vanguard,skill_flank,skill_pierce,skill_revolve,skill_chase,skill_break,skill_suppress,skill_finale</x:v>
      </x:c>
      <x:c r="V210" s="15" t="str">
        <x:v>trait_combo_resonance</x:v>
      </x:c>
      <x:c r="W210" s="332" t="n">
        <x:f>XLOOKUP($D210&amp;"|"&amp;$E210&amp;"|"&amp;$F210,'PET_STAT_RULES'!$A$5:$A$88,'PET_STAT_RULES'!$E$5:$E$88)</x:f>
        <x:v>0</x:v>
      </x:c>
    </x:row>
    <x:row r="211">
      <x:c r="A211" s="38" t="str">
        <x:v>pal_210</x:v>
      </x:c>
      <x:c r="B211" s="38" t="str">
        <x:v>震豹童</x:v>
      </x:c>
      <x:c r="C211" s="38" t="str">
        <x:v>雷</x:v>
      </x:c>
      <x:c r="D211" s="259" t="str">
        <x:v>青铜</x:v>
      </x:c>
      <x:c r="E211" s="38" t="str">
        <x:v>输出</x:v>
      </x:c>
      <x:c r="F211" s="38" t="str">
        <x:v>两格</x:v>
      </x:c>
      <x:c r="G211" s="38" t="str">
        <x:v>bz_van_210</x:v>
      </x:c>
      <x:c r="H211" s="38" t="str">
        <x:v>elem_水, elem_雷, elem_龙, elem_无, role_召唤</x:v>
      </x:c>
      <x:c r="I211" s="38" t="n">
        <x:v>5</x:v>
      </x:c>
      <x:c r="J211" s="340" t="n">
        <x:f>XLOOKUP($D211&amp;"|"&amp;$E211&amp;"|"&amp;$F211,'PET_STAT_RULES'!$A$5:$A$88,'PET_STAT_RULES'!$C$5:$C$88)</x:f>
        <x:v>28</x:v>
      </x:c>
      <x:c r="K211" s="340" t="n">
        <x:f>XLOOKUP($D211&amp;"|"&amp;$E211&amp;"|"&amp;$F211,'PET_STAT_RULES'!$A$5:$A$88,'PET_STAT_RULES'!$D$5:$D$88)</x:f>
        <x:v>12</x:v>
      </x:c>
      <x:c r="L211" s="340" t="n">
        <x:f>XLOOKUP($D211&amp;"|"&amp;$E211&amp;"|"&amp;$F211,'PET_STAT_RULES'!$A$5:$A$88,'PET_STAT_RULES'!$F$5:$F$88)</x:f>
        <x:v>0</x:v>
      </x:c>
      <x:c r="M211" s="340" t="n">
        <x:f>XLOOKUP($D211&amp;"|"&amp;$E211&amp;"|"&amp;$F211,'PET_STAT_RULES'!$A$5:$A$88,'PET_STAT_RULES'!$G$5:$G$88)</x:f>
        <x:v>3</x:v>
      </x:c>
      <x:c r="N211" s="38" t="n">
        <x:v>1</x:v>
      </x:c>
      <x:c r="O211" s="38" t="str">
        <x:v>mech_grow_atk_each_round</x:v>
      </x:c>
      <x:c r="P211" s="38" t="str">
        <x:v>03 形状03</x:v>
      </x:c>
      <x:c r="Q211" s="38" t="str">
        <x:v>Deadly</x:v>
      </x:c>
      <x:c r="R211" s="38" t="str">
        <x:v>skill confirmed；来源=Keen Eye；攻击1格；仅保留来源商人/训练师关系。</x:v>
      </x:c>
      <x:c r="S211" s="38" t="n">
        <x:v>3</x:v>
      </x:c>
      <x:c r="T211" s="38" t="n">
        <x:v>1</x:v>
      </x:c>
      <x:c r="U211" s="15" t="str">
        <x:v>skill_vanguard,skill_flank,skill_pierce,skill_revolve,skill_chase,skill_break,skill_suppress,skill_finale</x:v>
      </x:c>
      <x:c r="V211" s="15" t="str">
        <x:v>trait_relentless</x:v>
      </x:c>
      <x:c r="W211" s="332" t="n">
        <x:f>XLOOKUP($D211&amp;"|"&amp;$E211&amp;"|"&amp;$F211,'PET_STAT_RULES'!$A$5:$A$88,'PET_STAT_RULES'!$E$5:$E$88)</x:f>
        <x:v>0</x:v>
      </x:c>
    </x:row>
    <x:row r="212">
      <x:c r="A212" s="38" t="str">
        <x:v>pal_211</x:v>
      </x:c>
      <x:c r="B212" s="38" t="str">
        <x:v>夜雀皇</x:v>
      </x:c>
      <x:c r="C212" s="38" t="str">
        <x:v>暗</x:v>
      </x:c>
      <x:c r="D212" s="268" t="str">
        <x:v>钻石</x:v>
      </x:c>
      <x:c r="E212" s="38" t="str">
        <x:v>机动</x:v>
      </x:c>
      <x:c r="F212" s="38" t="str">
        <x:v>两格</x:v>
      </x:c>
      <x:c r="G212" s="38" t="str">
        <x:v>bz_van_211</x:v>
      </x:c>
      <x:c r="H212" s="38" t="str">
        <x:v>elem_水, elem_龙, role_坦克</x:v>
      </x:c>
      <x:c r="I212" s="38" t="n">
        <x:v>3</x:v>
      </x:c>
      <x:c r="J212" s="340" t="n">
        <x:f>XLOOKUP($D212&amp;"|"&amp;$E212&amp;"|"&amp;$F212,'PET_STAT_RULES'!$A$5:$A$88,'PET_STAT_RULES'!$C$5:$C$88)</x:f>
        <x:v>64</x:v>
      </x:c>
      <x:c r="K212" s="340" t="n">
        <x:f>XLOOKUP($D212&amp;"|"&amp;$E212&amp;"|"&amp;$F212,'PET_STAT_RULES'!$A$5:$A$88,'PET_STAT_RULES'!$D$5:$D$88)</x:f>
        <x:v>24</x:v>
      </x:c>
      <x:c r="L212" s="340" t="n">
        <x:f>XLOOKUP($D212&amp;"|"&amp;$E212&amp;"|"&amp;$F212,'PET_STAT_RULES'!$A$5:$A$88,'PET_STAT_RULES'!$F$5:$F$88)</x:f>
        <x:v>0</x:v>
      </x:c>
      <x:c r="M212" s="340" t="n">
        <x:f>XLOOKUP($D212&amp;"|"&amp;$E212&amp;"|"&amp;$F212,'PET_STAT_RULES'!$A$5:$A$88,'PET_STAT_RULES'!$G$5:$G$88)</x:f>
        <x:v>5</x:v>
      </x:c>
      <x:c r="N212" s="38" t="n">
        <x:v>2</x:v>
      </x:c>
      <x:c r="O212" s="38" t="str">
        <x:v>none</x:v>
      </x:c>
      <x:c r="P212" s="38" t="str">
        <x:v>10 形状10</x:v>
      </x:c>
      <x:c r="Q212" s="38" t="str">
        <x:v>Turbo</x:v>
      </x:c>
      <x:c r="R212" s="38" t="str">
        <x:v>skill confirmed；来源=Knife Tricks；攻击2格；仅保留来源商人/训练师关系。</x:v>
      </x:c>
      <x:c r="S212" s="38" t="n">
        <x:v>5</x:v>
      </x:c>
      <x:c r="T212" s="38" t="n">
        <x:v>3</x:v>
      </x:c>
      <x:c r="U212" s="15" t="str">
        <x:v>skill_vanguard,skill_flank,skill_pierce,skill_revolve,skill_chase,skill_break,skill_suppress,skill_finale</x:v>
      </x:c>
      <x:c r="V212" s="15" t="str">
        <x:v>trait_relentless</x:v>
      </x:c>
      <x:c r="W212" s="332" t="n">
        <x:f>XLOOKUP($D212&amp;"|"&amp;$E212&amp;"|"&amp;$F212,'PET_STAT_RULES'!$A$5:$A$88,'PET_STAT_RULES'!$E$5:$E$88)</x:f>
        <x:v>0</x:v>
      </x:c>
    </x:row>
    <x:row r="213">
      <x:c r="A213" s="38" t="str">
        <x:v>pal_212</x:v>
      </x:c>
      <x:c r="B213" s="38" t="str">
        <x:v>沧鹤妖</x:v>
      </x:c>
      <x:c r="C213" s="38" t="str">
        <x:v>水、地</x:v>
      </x:c>
      <x:c r="D213" s="265" t="str">
        <x:v>白银</x:v>
      </x:c>
      <x:c r="E213" s="38" t="str">
        <x:v>治疗</x:v>
      </x:c>
      <x:c r="F213" s="38" t="str">
        <x:v>两格</x:v>
      </x:c>
      <x:c r="G213" s="38" t="str">
        <x:v>bz_van_212</x:v>
      </x:c>
      <x:c r="H213" s="38" t="str">
        <x:v>elem_水, elem_雷, elem_龙, elem_无, tier_pT2</x:v>
      </x:c>
      <x:c r="I213" s="38" t="n">
        <x:v>5</x:v>
      </x:c>
      <x:c r="J213" s="340" t="n">
        <x:f>XLOOKUP($D213&amp;"|"&amp;$E213&amp;"|"&amp;$F213,'PET_STAT_RULES'!$A$5:$A$88,'PET_STAT_RULES'!$C$5:$C$88)</x:f>
        <x:v>46</x:v>
      </x:c>
      <x:c r="K213" s="340" t="n">
        <x:f>XLOOKUP($D213&amp;"|"&amp;$E213&amp;"|"&amp;$F213,'PET_STAT_RULES'!$A$5:$A$88,'PET_STAT_RULES'!$D$5:$D$88)</x:f>
        <x:v>12</x:v>
      </x:c>
      <x:c r="L213" s="340" t="n">
        <x:f>XLOOKUP($D213&amp;"|"&amp;$E213&amp;"|"&amp;$F213,'PET_STAT_RULES'!$A$5:$A$88,'PET_STAT_RULES'!$F$5:$F$88)</x:f>
        <x:v>4</x:v>
      </x:c>
      <x:c r="M213" s="340" t="n">
        <x:f>XLOOKUP($D213&amp;"|"&amp;$E213&amp;"|"&amp;$F213,'PET_STAT_RULES'!$A$5:$A$88,'PET_STAT_RULES'!$G$5:$G$88)</x:f>
        <x:v>3</x:v>
      </x:c>
      <x:c r="N213" s="38" t="n">
        <x:v>2</x:v>
      </x:c>
      <x:c r="O213" s="38" t="str">
        <x:v>mech_shield_regen</x:v>
      </x:c>
      <x:c r="P213" s="38" t="str">
        <x:v>07 形状07</x:v>
      </x:c>
      <x:c r="Q213" s="38" t="str">
        <x:v>Restorative</x:v>
      </x:c>
      <x:c r="R213" s="38" t="str">
        <x:v>skill confirmed；来源=Large Appetites；攻击2格；仅保留来源商人/训练师关系。</x:v>
      </x:c>
      <x:c r="S213" s="38" t="n">
        <x:v>3</x:v>
      </x:c>
      <x:c r="T213" s="38" t="n">
        <x:v>2</x:v>
      </x:c>
      <x:c r="U213" s="15" t="str">
        <x:v>skill_vanguard,skill_flank,skill_pierce,skill_revolve,skill_chase,skill_break,skill_suppress,skill_finale</x:v>
      </x:c>
      <x:c r="V213" s="15" t="str">
        <x:v>trait_element_affinity</x:v>
      </x:c>
      <x:c r="W213" s="332" t="n">
        <x:f>XLOOKUP($D213&amp;"|"&amp;$E213&amp;"|"&amp;$F213,'PET_STAT_RULES'!$A$5:$A$88,'PET_STAT_RULES'!$E$5:$E$88)</x:f>
        <x:v>0</x:v>
      </x:c>
    </x:row>
    <x:row r="214">
      <x:c r="A214" s="38" t="str">
        <x:v>pal_213</x:v>
      </x:c>
      <x:c r="B214" s="38" t="str">
        <x:v>震鹰童</x:v>
      </x:c>
      <x:c r="C214" s="38" t="str">
        <x:v>雷</x:v>
      </x:c>
      <x:c r="D214" s="259" t="str">
        <x:v>青铜</x:v>
      </x:c>
      <x:c r="E214" s="38" t="str">
        <x:v>输出</x:v>
      </x:c>
      <x:c r="F214" s="38" t="str">
        <x:v>两格</x:v>
      </x:c>
      <x:c r="G214" s="38" t="str">
        <x:v>bz_van_213</x:v>
      </x:c>
      <x:c r="H214" s="38" t="str">
        <x:v>elem_水, elem_雷, elem_龙, elem_无, role_召唤</x:v>
      </x:c>
      <x:c r="I214" s="38" t="n">
        <x:v>5</x:v>
      </x:c>
      <x:c r="J214" s="340" t="n">
        <x:f>XLOOKUP($D214&amp;"|"&amp;$E214&amp;"|"&amp;$F214,'PET_STAT_RULES'!$A$5:$A$88,'PET_STAT_RULES'!$C$5:$C$88)</x:f>
        <x:v>28</x:v>
      </x:c>
      <x:c r="K214" s="340" t="n">
        <x:f>XLOOKUP($D214&amp;"|"&amp;$E214&amp;"|"&amp;$F214,'PET_STAT_RULES'!$A$5:$A$88,'PET_STAT_RULES'!$D$5:$D$88)</x:f>
        <x:v>12</x:v>
      </x:c>
      <x:c r="L214" s="340" t="n">
        <x:f>XLOOKUP($D214&amp;"|"&amp;$E214&amp;"|"&amp;$F214,'PET_STAT_RULES'!$A$5:$A$88,'PET_STAT_RULES'!$F$5:$F$88)</x:f>
        <x:v>0</x:v>
      </x:c>
      <x:c r="M214" s="340" t="n">
        <x:f>XLOOKUP($D214&amp;"|"&amp;$E214&amp;"|"&amp;$F214,'PET_STAT_RULES'!$A$5:$A$88,'PET_STAT_RULES'!$G$5:$G$88)</x:f>
        <x:v>3</x:v>
      </x:c>
      <x:c r="N214" s="38" t="n">
        <x:v>1</x:v>
      </x:c>
      <x:c r="O214" s="38" t="str">
        <x:v>mech_grow_atk_each_round</x:v>
      </x:c>
      <x:c r="P214" s="38" t="str">
        <x:v>01 形状01</x:v>
      </x:c>
      <x:c r="Q214" s="38" t="str">
        <x:v>Deadly</x:v>
      </x:c>
      <x:c r="R214" s="38" t="str">
        <x:v>skill confirmed；来源=Left Eye；攻击1格；仅保留来源商人/训练师关系。</x:v>
      </x:c>
      <x:c r="S214" s="38" t="n">
        <x:v>3</x:v>
      </x:c>
      <x:c r="T214" s="38" t="n">
        <x:v>1</x:v>
      </x:c>
      <x:c r="U214" s="15" t="str">
        <x:v>skill_vanguard,skill_flank,skill_pierce,skill_revolve,skill_chase,skill_break,skill_suppress,skill_finale</x:v>
      </x:c>
      <x:c r="V214" s="15" t="str">
        <x:v>trait_relentless</x:v>
      </x:c>
      <x:c r="W214" s="332" t="n">
        <x:f>XLOOKUP($D214&amp;"|"&amp;$E214&amp;"|"&amp;$F214,'PET_STAT_RULES'!$A$5:$A$88,'PET_STAT_RULES'!$E$5:$E$88)</x:f>
        <x:v>0</x:v>
      </x:c>
    </x:row>
    <x:row r="215">
      <x:c r="A215" s="38" t="str">
        <x:v>pal_214</x:v>
      </x:c>
      <x:c r="B215" s="38" t="str">
        <x:v>角鲨兽</x:v>
      </x:c>
      <x:c r="C215" s="38" t="str">
        <x:v>龙</x:v>
      </x:c>
      <x:c r="D215" s="259" t="str">
        <x:v>青铜</x:v>
      </x:c>
      <x:c r="E215" s="38" t="str">
        <x:v>输出</x:v>
      </x:c>
      <x:c r="F215" s="38" t="str">
        <x:v>两格</x:v>
      </x:c>
      <x:c r="G215" s="38" t="str">
        <x:v>bz_van_214</x:v>
      </x:c>
      <x:c r="H215" s="38" t="str">
        <x:v>elem_水, elem_雷, elem_龙, elem_无, role_坦克</x:v>
      </x:c>
      <x:c r="I215" s="38" t="n">
        <x:v>5</x:v>
      </x:c>
      <x:c r="J215" s="340" t="n">
        <x:f>XLOOKUP($D215&amp;"|"&amp;$E215&amp;"|"&amp;$F215,'PET_STAT_RULES'!$A$5:$A$88,'PET_STAT_RULES'!$C$5:$C$88)</x:f>
        <x:v>28</x:v>
      </x:c>
      <x:c r="K215" s="340" t="n">
        <x:f>XLOOKUP($D215&amp;"|"&amp;$E215&amp;"|"&amp;$F215,'PET_STAT_RULES'!$A$5:$A$88,'PET_STAT_RULES'!$D$5:$D$88)</x:f>
        <x:v>12</x:v>
      </x:c>
      <x:c r="L215" s="340" t="n">
        <x:f>XLOOKUP($D215&amp;"|"&amp;$E215&amp;"|"&amp;$F215,'PET_STAT_RULES'!$A$5:$A$88,'PET_STAT_RULES'!$F$5:$F$88)</x:f>
        <x:v>0</x:v>
      </x:c>
      <x:c r="M215" s="340" t="n">
        <x:f>XLOOKUP($D215&amp;"|"&amp;$E215&amp;"|"&amp;$F215,'PET_STAT_RULES'!$A$5:$A$88,'PET_STAT_RULES'!$G$5:$G$88)</x:f>
        <x:v>3</x:v>
      </x:c>
      <x:c r="N215" s="38" t="n">
        <x:v>1</x:v>
      </x:c>
      <x:c r="O215" s="38" t="str">
        <x:v>mech_grow_atk_each_round</x:v>
      </x:c>
      <x:c r="P215" s="38" t="str">
        <x:v>04 形状04</x:v>
      </x:c>
      <x:c r="Q215" s="38" t="str">
        <x:v>Deadly</x:v>
      </x:c>
      <x:c r="R215" s="38" t="str">
        <x:v>skill confirmed；来源=Left-Handed；攻击1格；仅保留来源商人/训练师关系。</x:v>
      </x:c>
      <x:c r="S215" s="38" t="n">
        <x:v>3</x:v>
      </x:c>
      <x:c r="T215" s="38" t="n">
        <x:v>1</x:v>
      </x:c>
      <x:c r="U215" s="15" t="str">
        <x:v>skill_vanguard,skill_flank,skill_pierce,skill_revolve,skill_chase,skill_break,skill_suppress,skill_finale</x:v>
      </x:c>
      <x:c r="V215" s="15" t="str">
        <x:v>trait_relentless</x:v>
      </x:c>
      <x:c r="W215" s="332" t="n">
        <x:f>XLOOKUP($D215&amp;"|"&amp;$E215&amp;"|"&amp;$F215,'PET_STAT_RULES'!$A$5:$A$88,'PET_STAT_RULES'!$E$5:$E$88)</x:f>
        <x:v>0</x:v>
      </x:c>
    </x:row>
    <x:row r="216">
      <x:c r="A216" s="38" t="str">
        <x:v>pal_215</x:v>
      </x:c>
      <x:c r="B216" s="38" t="str">
        <x:v>角隼尊</x:v>
      </x:c>
      <x:c r="C216" s="38" t="str">
        <x:v>龙</x:v>
      </x:c>
      <x:c r="D216" s="262" t="str">
        <x:v>黄金</x:v>
      </x:c>
      <x:c r="E216" s="38" t="str">
        <x:v>机动</x:v>
      </x:c>
      <x:c r="F216" s="38" t="str">
        <x:v>两格</x:v>
      </x:c>
      <x:c r="G216" s="38" t="str">
        <x:v>bz_van_215</x:v>
      </x:c>
      <x:c r="H216" s="38" t="str">
        <x:v>elem_水, elem_龙, elem_无, special_merchant</x:v>
      </x:c>
      <x:c r="I216" s="38" t="n">
        <x:v>4</x:v>
      </x:c>
      <x:c r="J216" s="340" t="n">
        <x:f>XLOOKUP($D216&amp;"|"&amp;$E216&amp;"|"&amp;$F216,'PET_STAT_RULES'!$A$5:$A$88,'PET_STAT_RULES'!$C$5:$C$88)</x:f>
        <x:v>52</x:v>
      </x:c>
      <x:c r="K216" s="340" t="n">
        <x:f>XLOOKUP($D216&amp;"|"&amp;$E216&amp;"|"&amp;$F216,'PET_STAT_RULES'!$A$5:$A$88,'PET_STAT_RULES'!$D$5:$D$88)</x:f>
        <x:v>18</x:v>
      </x:c>
      <x:c r="L216" s="340" t="n">
        <x:f>XLOOKUP($D216&amp;"|"&amp;$E216&amp;"|"&amp;$F216,'PET_STAT_RULES'!$A$5:$A$88,'PET_STAT_RULES'!$F$5:$F$88)</x:f>
        <x:v>0</x:v>
      </x:c>
      <x:c r="M216" s="340" t="n">
        <x:f>XLOOKUP($D216&amp;"|"&amp;$E216&amp;"|"&amp;$F216,'PET_STAT_RULES'!$A$5:$A$88,'PET_STAT_RULES'!$G$5:$G$88)</x:f>
        <x:v>5</x:v>
      </x:c>
      <x:c r="N216" s="38" t="n">
        <x:v>2</x:v>
      </x:c>
      <x:c r="O216" s="38" t="str">
        <x:v>none</x:v>
      </x:c>
      <x:c r="P216" s="38" t="str">
        <x:v>12 形状12</x:v>
      </x:c>
      <x:c r="Q216" s="38" t="str">
        <x:v>Turbo</x:v>
      </x:c>
      <x:c r="R216" s="38" t="str">
        <x:v>skill confirmed；来源=Lefty Loosey；攻击2格；仅保留来源商人/训练师关系。</x:v>
      </x:c>
      <x:c r="S216" s="38" t="n">
        <x:v>5</x:v>
      </x:c>
      <x:c r="T216" s="38" t="n">
        <x:v>2</x:v>
      </x:c>
      <x:c r="U216" s="15" t="str">
        <x:v>skill_vanguard,skill_flank,skill_pierce,skill_revolve,skill_chase,skill_break,skill_suppress,skill_finale</x:v>
      </x:c>
      <x:c r="V216" s="15" t="str">
        <x:v>trait_relentless</x:v>
      </x:c>
      <x:c r="W216" s="332" t="n">
        <x:f>XLOOKUP($D216&amp;"|"&amp;$E216&amp;"|"&amp;$F216,'PET_STAT_RULES'!$A$5:$A$88,'PET_STAT_RULES'!$E$5:$E$88)</x:f>
        <x:v>0</x:v>
      </x:c>
    </x:row>
    <x:row r="217">
      <x:c r="A217" s="38" t="str">
        <x:v>pal_216</x:v>
      </x:c>
      <x:c r="B217" s="38" t="str">
        <x:v>霆鲭将</x:v>
      </x:c>
      <x:c r="C217" s="38" t="str">
        <x:v>雷</x:v>
      </x:c>
      <x:c r="D217" s="265" t="str">
        <x:v>白银</x:v>
      </x:c>
      <x:c r="E217" s="38" t="str">
        <x:v>机动</x:v>
      </x:c>
      <x:c r="F217" s="38" t="str">
        <x:v>两格</x:v>
      </x:c>
      <x:c r="G217" s="38" t="str">
        <x:v>bz_van_216</x:v>
      </x:c>
      <x:c r="H217" s="38" t="str">
        <x:v>elem_水, elem_雷, elem_龙, elem_无</x:v>
      </x:c>
      <x:c r="I217" s="38" t="n">
        <x:v>4</x:v>
      </x:c>
      <x:c r="J217" s="340" t="n">
        <x:f>XLOOKUP($D217&amp;"|"&amp;$E217&amp;"|"&amp;$F217,'PET_STAT_RULES'!$A$5:$A$88,'PET_STAT_RULES'!$C$5:$C$88)</x:f>
        <x:v>40</x:v>
      </x:c>
      <x:c r="K217" s="340" t="n">
        <x:f>XLOOKUP($D217&amp;"|"&amp;$E217&amp;"|"&amp;$F217,'PET_STAT_RULES'!$A$5:$A$88,'PET_STAT_RULES'!$D$5:$D$88)</x:f>
        <x:v>12</x:v>
      </x:c>
      <x:c r="L217" s="340" t="n">
        <x:f>XLOOKUP($D217&amp;"|"&amp;$E217&amp;"|"&amp;$F217,'PET_STAT_RULES'!$A$5:$A$88,'PET_STAT_RULES'!$F$5:$F$88)</x:f>
        <x:v>0</x:v>
      </x:c>
      <x:c r="M217" s="340" t="n">
        <x:f>XLOOKUP($D217&amp;"|"&amp;$E217&amp;"|"&amp;$F217,'PET_STAT_RULES'!$A$5:$A$88,'PET_STAT_RULES'!$G$5:$G$88)</x:f>
        <x:v>5</x:v>
      </x:c>
      <x:c r="N217" s="38" t="n">
        <x:v>3</x:v>
      </x:c>
      <x:c r="O217" s="38" t="str">
        <x:v>none</x:v>
      </x:c>
      <x:c r="P217" s="38" t="str">
        <x:v>16 形状16</x:v>
      </x:c>
      <x:c r="Q217" s="38" t="str">
        <x:v>Turbo</x:v>
      </x:c>
      <x:c r="R217" s="38" t="str">
        <x:v>skill confirmed；来源=Lethargy；攻击3格；仅保留来源商人/训练师关系。</x:v>
      </x:c>
      <x:c r="S217" s="38" t="n">
        <x:v>5</x:v>
      </x:c>
      <x:c r="T217" s="38" t="n">
        <x:v>2</x:v>
      </x:c>
      <x:c r="U217" s="15" t="str">
        <x:v>skill_vanguard,skill_flank,skill_pierce,skill_revolve,skill_chase,skill_break,skill_suppress,skill_finale</x:v>
      </x:c>
      <x:c r="V217" s="15" t="str">
        <x:v>trait_relentless</x:v>
      </x:c>
      <x:c r="W217" s="332" t="n">
        <x:f>XLOOKUP($D217&amp;"|"&amp;$E217&amp;"|"&amp;$F217,'PET_STAT_RULES'!$A$5:$A$88,'PET_STAT_RULES'!$E$5:$E$88)</x:f>
        <x:v>0</x:v>
      </x:c>
    </x:row>
    <x:row r="218">
      <x:c r="A218" s="38" t="str">
        <x:v>pal_217</x:v>
      </x:c>
      <x:c r="B218" s="38" t="str">
        <x:v>震雀将</x:v>
      </x:c>
      <x:c r="C218" s="38" t="str">
        <x:v>雷</x:v>
      </x:c>
      <x:c r="D218" s="265" t="str">
        <x:v>白银</x:v>
      </x:c>
      <x:c r="E218" s="38" t="str">
        <x:v>经济</x:v>
      </x:c>
      <x:c r="F218" s="38" t="str">
        <x:v>两格</x:v>
      </x:c>
      <x:c r="G218" s="38" t="str">
        <x:v>bz_van_217</x:v>
      </x:c>
      <x:c r="H218" s="38" t="str">
        <x:v>elem_水, elem_雷, elem_龙, elem_无, role_坦克</x:v>
      </x:c>
      <x:c r="I218" s="38" t="n">
        <x:v>5</x:v>
      </x:c>
      <x:c r="J218" s="340" t="n">
        <x:f>XLOOKUP($D218&amp;"|"&amp;$E218&amp;"|"&amp;$F218,'PET_STAT_RULES'!$A$5:$A$88,'PET_STAT_RULES'!$C$5:$C$88)</x:f>
        <x:v>40</x:v>
      </x:c>
      <x:c r="K218" s="340" t="n">
        <x:f>XLOOKUP($D218&amp;"|"&amp;$E218&amp;"|"&amp;$F218,'PET_STAT_RULES'!$A$5:$A$88,'PET_STAT_RULES'!$D$5:$D$88)</x:f>
        <x:v>12</x:v>
      </x:c>
      <x:c r="L218" s="340" t="n">
        <x:f>XLOOKUP($D218&amp;"|"&amp;$E218&amp;"|"&amp;$F218,'PET_STAT_RULES'!$A$5:$A$88,'PET_STAT_RULES'!$F$5:$F$88)</x:f>
        <x:v>0</x:v>
      </x:c>
      <x:c r="M218" s="340" t="n">
        <x:f>XLOOKUP($D218&amp;"|"&amp;$E218&amp;"|"&amp;$F218,'PET_STAT_RULES'!$A$5:$A$88,'PET_STAT_RULES'!$G$5:$G$88)</x:f>
        <x:v>3</x:v>
      </x:c>
      <x:c r="N218" s="38" t="n">
        <x:v>2</x:v>
      </x:c>
      <x:c r="O218" s="38" t="str">
        <x:v>none</x:v>
      </x:c>
      <x:c r="P218" s="38" t="str">
        <x:v>09 形状09</x:v>
      </x:c>
      <x:c r="Q218" s="38" t="str">
        <x:v>Golden</x:v>
      </x:c>
      <x:c r="R218" s="38" t="str">
        <x:v>skill confirmed；来源=Lifting；攻击2格；仅保留来源商人/训练师关系。</x:v>
      </x:c>
      <x:c r="S218" s="38" t="n">
        <x:v>3</x:v>
      </x:c>
      <x:c r="T218" s="38" t="n">
        <x:v>2</x:v>
      </x:c>
      <x:c r="U218" s="15" t="str">
        <x:v>skill_vanguard,skill_flank,skill_pierce,skill_revolve,skill_chase,skill_break,skill_suppress,skill_finale</x:v>
      </x:c>
      <x:c r="V218" s="15" t="str">
        <x:v>trait_combo_resonance</x:v>
      </x:c>
      <x:c r="W218" s="332" t="n">
        <x:f>XLOOKUP($D218&amp;"|"&amp;$E218&amp;"|"&amp;$F218,'PET_STAT_RULES'!$A$5:$A$88,'PET_STAT_RULES'!$E$5:$E$88)</x:f>
        <x:v>0</x:v>
      </x:c>
    </x:row>
    <x:row r="219">
      <x:c r="A219" s="38" t="str">
        <x:v>pal_218</x:v>
      </x:c>
      <x:c r="B219" s="38" t="str">
        <x:v>赤鹤皇</x:v>
      </x:c>
      <x:c r="C219" s="38" t="str">
        <x:v>火、水</x:v>
      </x:c>
      <x:c r="D219" s="268" t="str">
        <x:v>钻石</x:v>
      </x:c>
      <x:c r="E219" s="38" t="str">
        <x:v>治疗</x:v>
      </x:c>
      <x:c r="F219" s="38" t="str">
        <x:v>两格</x:v>
      </x:c>
      <x:c r="G219" s="38" t="str">
        <x:v>bz_van_218</x:v>
      </x:c>
      <x:c r="H219" s="38" t="str">
        <x:v>elem_水, elem_龙, role_治疗</x:v>
      </x:c>
      <x:c r="I219" s="38" t="n">
        <x:v>3</x:v>
      </x:c>
      <x:c r="J219" s="340" t="n">
        <x:f>XLOOKUP($D219&amp;"|"&amp;$E219&amp;"|"&amp;$F219,'PET_STAT_RULES'!$A$5:$A$88,'PET_STAT_RULES'!$C$5:$C$88)</x:f>
        <x:v>70</x:v>
      </x:c>
      <x:c r="K219" s="340" t="n">
        <x:f>XLOOKUP($D219&amp;"|"&amp;$E219&amp;"|"&amp;$F219,'PET_STAT_RULES'!$A$5:$A$88,'PET_STAT_RULES'!$D$5:$D$88)</x:f>
        <x:v>24</x:v>
      </x:c>
      <x:c r="L219" s="340" t="n">
        <x:f>XLOOKUP($D219&amp;"|"&amp;$E219&amp;"|"&amp;$F219,'PET_STAT_RULES'!$A$5:$A$88,'PET_STAT_RULES'!$F$5:$F$88)</x:f>
        <x:v>8</x:v>
      </x:c>
      <x:c r="M219" s="340" t="n">
        <x:f>XLOOKUP($D219&amp;"|"&amp;$E219&amp;"|"&amp;$F219,'PET_STAT_RULES'!$A$5:$A$88,'PET_STAT_RULES'!$G$5:$G$88)</x:f>
        <x:v>3</x:v>
      </x:c>
      <x:c r="N219" s="38" t="n">
        <x:v>3</x:v>
      </x:c>
      <x:c r="O219" s="38" t="str">
        <x:v>mech_fire_ignite_bonus</x:v>
      </x:c>
      <x:c r="P219" s="38" t="str">
        <x:v>17 形状17</x:v>
      </x:c>
      <x:c r="Q219" s="38" t="str">
        <x:v>Fiery</x:v>
      </x:c>
      <x:c r="R219" s="38" t="str">
        <x:v>skill confirmed；来源=Living Flame；攻击3格；仅保留来源商人/训练师关系。</x:v>
      </x:c>
      <x:c r="S219" s="38" t="n">
        <x:v>3</x:v>
      </x:c>
      <x:c r="T219" s="38" t="n">
        <x:v>3</x:v>
      </x:c>
      <x:c r="U219" s="15" t="str">
        <x:v>skill_vanguard,skill_flank,skill_pierce,skill_revolve,skill_chase,skill_break,skill_suppress,skill_finale</x:v>
      </x:c>
      <x:c r="V219" s="15" t="str">
        <x:v>trait_element_affinity</x:v>
      </x:c>
      <x:c r="W219" s="332" t="n">
        <x:f>XLOOKUP($D219&amp;"|"&amp;$E219&amp;"|"&amp;$F219,'PET_STAT_RULES'!$A$5:$A$88,'PET_STAT_RULES'!$E$5:$E$88)</x:f>
        <x:v>0</x:v>
      </x:c>
    </x:row>
    <x:row r="220">
      <x:c r="A220" s="38" t="str">
        <x:v>pal_219</x:v>
      </x:c>
      <x:c r="B220" s="38" t="str">
        <x:v>霆狼妖</x:v>
      </x:c>
      <x:c r="C220" s="38" t="str">
        <x:v>雷</x:v>
      </x:c>
      <x:c r="D220" s="265" t="str">
        <x:v>白银</x:v>
      </x:c>
      <x:c r="E220" s="38" t="str">
        <x:v>输出</x:v>
      </x:c>
      <x:c r="F220" s="38" t="str">
        <x:v>两格</x:v>
      </x:c>
      <x:c r="G220" s="38" t="str">
        <x:v>bz_van_219</x:v>
      </x:c>
      <x:c r="H220" s="38" t="str">
        <x:v>elem_水, elem_雷, elem_地, elem_龙, elem_无, tier_pT1</x:v>
      </x:c>
      <x:c r="I220" s="38" t="n">
        <x:v>6</x:v>
      </x:c>
      <x:c r="J220" s="340" t="n">
        <x:f>XLOOKUP($D220&amp;"|"&amp;$E220&amp;"|"&amp;$F220,'PET_STAT_RULES'!$A$5:$A$88,'PET_STAT_RULES'!$C$5:$C$88)</x:f>
        <x:v>40</x:v>
      </x:c>
      <x:c r="K220" s="340" t="n">
        <x:f>XLOOKUP($D220&amp;"|"&amp;$E220&amp;"|"&amp;$F220,'PET_STAT_RULES'!$A$5:$A$88,'PET_STAT_RULES'!$D$5:$D$88)</x:f>
        <x:v>20</x:v>
      </x:c>
      <x:c r="L220" s="340" t="n">
        <x:f>XLOOKUP($D220&amp;"|"&amp;$E220&amp;"|"&amp;$F220,'PET_STAT_RULES'!$A$5:$A$88,'PET_STAT_RULES'!$F$5:$F$88)</x:f>
        <x:v>0</x:v>
      </x:c>
      <x:c r="M220" s="340" t="n">
        <x:f>XLOOKUP($D220&amp;"|"&amp;$E220&amp;"|"&amp;$F220,'PET_STAT_RULES'!$A$5:$A$88,'PET_STAT_RULES'!$G$5:$G$88)</x:f>
        <x:v>3</x:v>
      </x:c>
      <x:c r="N220" s="38" t="n">
        <x:v>2</x:v>
      </x:c>
      <x:c r="O220" s="38" t="str">
        <x:v>mech_grow_atk_each_round</x:v>
      </x:c>
      <x:c r="P220" s="38" t="str">
        <x:v>08 形状08</x:v>
      </x:c>
      <x:c r="Q220" s="38" t="str">
        <x:v>Deadly</x:v>
      </x:c>
      <x:c r="R220" s="38" t="str">
        <x:v>skill confirmed；来源=Loaded Fury；攻击2格；仅保留来源商人/训练师关系。</x:v>
      </x:c>
      <x:c r="S220" s="38" t="n">
        <x:v>3</x:v>
      </x:c>
      <x:c r="T220" s="38" t="n">
        <x:v>2</x:v>
      </x:c>
      <x:c r="U220" s="15" t="str">
        <x:v>skill_vanguard,skill_flank,skill_pierce,skill_revolve,skill_chase,skill_break,skill_suppress,skill_finale</x:v>
      </x:c>
      <x:c r="V220" s="15" t="str">
        <x:v>trait_relentless</x:v>
      </x:c>
      <x:c r="W220" s="332" t="n">
        <x:f>XLOOKUP($D220&amp;"|"&amp;$E220&amp;"|"&amp;$F220,'PET_STAT_RULES'!$A$5:$A$88,'PET_STAT_RULES'!$E$5:$E$88)</x:f>
        <x:v>0</x:v>
      </x:c>
    </x:row>
    <x:row r="221">
      <x:c r="A221" s="38" t="str">
        <x:v>pal_220</x:v>
      </x:c>
      <x:c r="B221" s="38" t="str">
        <x:v>碧雀君</x:v>
      </x:c>
      <x:c r="C221" s="38" t="str">
        <x:v>水</x:v>
      </x:c>
      <x:c r="D221" s="262" t="str">
        <x:v>黄金</x:v>
      </x:c>
      <x:c r="E221" s="38" t="str">
        <x:v>机动</x:v>
      </x:c>
      <x:c r="F221" s="38" t="str">
        <x:v>两格</x:v>
      </x:c>
      <x:c r="G221" s="38" t="str">
        <x:v>bz_van_220</x:v>
      </x:c>
      <x:c r="H221" s="38" t="str">
        <x:v>elem_水, elem_地, elem_龙, elem_无</x:v>
      </x:c>
      <x:c r="I221" s="38" t="n">
        <x:v>4</x:v>
      </x:c>
      <x:c r="J221" s="340" t="n">
        <x:f>XLOOKUP($D221&amp;"|"&amp;$E221&amp;"|"&amp;$F221,'PET_STAT_RULES'!$A$5:$A$88,'PET_STAT_RULES'!$C$5:$C$88)</x:f>
        <x:v>52</x:v>
      </x:c>
      <x:c r="K221" s="340" t="n">
        <x:f>XLOOKUP($D221&amp;"|"&amp;$E221&amp;"|"&amp;$F221,'PET_STAT_RULES'!$A$5:$A$88,'PET_STAT_RULES'!$D$5:$D$88)</x:f>
        <x:v>18</x:v>
      </x:c>
      <x:c r="L221" s="340" t="n">
        <x:f>XLOOKUP($D221&amp;"|"&amp;$E221&amp;"|"&amp;$F221,'PET_STAT_RULES'!$A$5:$A$88,'PET_STAT_RULES'!$F$5:$F$88)</x:f>
        <x:v>0</x:v>
      </x:c>
      <x:c r="M221" s="340" t="n">
        <x:f>XLOOKUP($D221&amp;"|"&amp;$E221&amp;"|"&amp;$F221,'PET_STAT_RULES'!$A$5:$A$88,'PET_STAT_RULES'!$G$5:$G$88)</x:f>
        <x:v>5</x:v>
      </x:c>
      <x:c r="N221" s="38" t="n">
        <x:v>2</x:v>
      </x:c>
      <x:c r="O221" s="38" t="str">
        <x:v>none</x:v>
      </x:c>
      <x:c r="P221" s="38" t="str">
        <x:v>11 形状11</x:v>
      </x:c>
      <x:c r="Q221" s="38" t="str">
        <x:v>Turbo</x:v>
      </x:c>
      <x:c r="R221" s="38" t="str">
        <x:v>skill confirmed；来源=Master Diver；攻击2格；仅保留来源商人/训练师关系。</x:v>
      </x:c>
      <x:c r="S221" s="38" t="n">
        <x:v>5</x:v>
      </x:c>
      <x:c r="T221" s="38" t="n">
        <x:v>2</x:v>
      </x:c>
      <x:c r="U221" s="15" t="str">
        <x:v>skill_vanguard,skill_flank,skill_pierce,skill_revolve,skill_chase,skill_break,skill_suppress,skill_finale</x:v>
      </x:c>
      <x:c r="V221" s="15" t="str">
        <x:v>trait_relentless</x:v>
      </x:c>
      <x:c r="W221" s="332" t="n">
        <x:f>XLOOKUP($D221&amp;"|"&amp;$E221&amp;"|"&amp;$F221,'PET_STAT_RULES'!$A$5:$A$88,'PET_STAT_RULES'!$E$5:$E$88)</x:f>
        <x:v>0</x:v>
      </x:c>
    </x:row>
    <x:row r="222">
      <x:c r="A222" s="38" t="str">
        <x:v>pal_221</x:v>
      </x:c>
      <x:c r="B222" s="38" t="str">
        <x:v>霆虎神</x:v>
      </x:c>
      <x:c r="C222" s="38" t="str">
        <x:v>雷</x:v>
      </x:c>
      <x:c r="D222" s="268" t="str">
        <x:v>钻石</x:v>
      </x:c>
      <x:c r="E222" s="38" t="str">
        <x:v>输出</x:v>
      </x:c>
      <x:c r="F222" s="38" t="str">
        <x:v>两格</x:v>
      </x:c>
      <x:c r="G222" s="38" t="str">
        <x:v>bz_van_221</x:v>
      </x:c>
      <x:c r="H222" s="38" t="str">
        <x:v>elem_水, elem_地, elem_龙, role_坦克, tier_pT1</x:v>
      </x:c>
      <x:c r="I222" s="38" t="n">
        <x:v>5</x:v>
      </x:c>
      <x:c r="J222" s="340" t="n">
        <x:f>XLOOKUP($D222&amp;"|"&amp;$E222&amp;"|"&amp;$F222,'PET_STAT_RULES'!$A$5:$A$88,'PET_STAT_RULES'!$C$5:$C$88)</x:f>
        <x:v>64</x:v>
      </x:c>
      <x:c r="K222" s="340" t="n">
        <x:f>XLOOKUP($D222&amp;"|"&amp;$E222&amp;"|"&amp;$F222,'PET_STAT_RULES'!$A$5:$A$88,'PET_STAT_RULES'!$D$5:$D$88)</x:f>
        <x:v>36</x:v>
      </x:c>
      <x:c r="L222" s="340" t="n">
        <x:f>XLOOKUP($D222&amp;"|"&amp;$E222&amp;"|"&amp;$F222,'PET_STAT_RULES'!$A$5:$A$88,'PET_STAT_RULES'!$F$5:$F$88)</x:f>
        <x:v>0</x:v>
      </x:c>
      <x:c r="M222" s="340" t="n">
        <x:f>XLOOKUP($D222&amp;"|"&amp;$E222&amp;"|"&amp;$F222,'PET_STAT_RULES'!$A$5:$A$88,'PET_STAT_RULES'!$G$5:$G$88)</x:f>
        <x:v>3</x:v>
      </x:c>
      <x:c r="N222" s="38" t="n">
        <x:v>3</x:v>
      </x:c>
      <x:c r="O222" s="38" t="str">
        <x:v>mech_grow_atk_each_round</x:v>
      </x:c>
      <x:c r="P222" s="38" t="str">
        <x:v>14 形状14</x:v>
      </x:c>
      <x:c r="Q222" s="38" t="str">
        <x:v>Deadly</x:v>
      </x:c>
      <x:c r="R222" s="38" t="str">
        <x:v>skill confirmed；来源=Master Sniper；攻击3格；仅保留来源商人/训练师关系。</x:v>
      </x:c>
      <x:c r="S222" s="38" t="n">
        <x:v>3</x:v>
      </x:c>
      <x:c r="T222" s="38" t="n">
        <x:v>3</x:v>
      </x:c>
      <x:c r="U222" s="15" t="str">
        <x:v>skill_vanguard,skill_flank,skill_pierce,skill_revolve,skill_chase,skill_break,skill_suppress,skill_finale</x:v>
      </x:c>
      <x:c r="V222" s="15" t="str">
        <x:v>trait_relentless</x:v>
      </x:c>
      <x:c r="W222" s="332" t="n">
        <x:f>XLOOKUP($D222&amp;"|"&amp;$E222&amp;"|"&amp;$F222,'PET_STAT_RULES'!$A$5:$A$88,'PET_STAT_RULES'!$E$5:$E$88)</x:f>
        <x:v>0</x:v>
      </x:c>
    </x:row>
    <x:row r="223">
      <x:c r="A223" s="38" t="str">
        <x:v>pal_222</x:v>
      </x:c>
      <x:c r="B223" s="38" t="str">
        <x:v>雷猿王</x:v>
      </x:c>
      <x:c r="C223" s="38" t="str">
        <x:v>雷</x:v>
      </x:c>
      <x:c r="D223" s="262" t="str">
        <x:v>黄金</x:v>
      </x:c>
      <x:c r="E223" s="38" t="str">
        <x:v>机动</x:v>
      </x:c>
      <x:c r="F223" s="38" t="str">
        <x:v>两格</x:v>
      </x:c>
      <x:c r="G223" s="38" t="str">
        <x:v>bz_van_222</x:v>
      </x:c>
      <x:c r="H223" s="38" t="str">
        <x:v>elem_水, elem_龙, elem_无, role_坦克, special_merchant</x:v>
      </x:c>
      <x:c r="I223" s="38" t="n">
        <x:v>5</x:v>
      </x:c>
      <x:c r="J223" s="340" t="n">
        <x:f>XLOOKUP($D223&amp;"|"&amp;$E223&amp;"|"&amp;$F223,'PET_STAT_RULES'!$A$5:$A$88,'PET_STAT_RULES'!$C$5:$C$88)</x:f>
        <x:v>52</x:v>
      </x:c>
      <x:c r="K223" s="340" t="n">
        <x:f>XLOOKUP($D223&amp;"|"&amp;$E223&amp;"|"&amp;$F223,'PET_STAT_RULES'!$A$5:$A$88,'PET_STAT_RULES'!$D$5:$D$88)</x:f>
        <x:v>18</x:v>
      </x:c>
      <x:c r="L223" s="340" t="n">
        <x:f>XLOOKUP($D223&amp;"|"&amp;$E223&amp;"|"&amp;$F223,'PET_STAT_RULES'!$A$5:$A$88,'PET_STAT_RULES'!$F$5:$F$88)</x:f>
        <x:v>0</x:v>
      </x:c>
      <x:c r="M223" s="340" t="n">
        <x:f>XLOOKUP($D223&amp;"|"&amp;$E223&amp;"|"&amp;$F223,'PET_STAT_RULES'!$A$5:$A$88,'PET_STAT_RULES'!$G$5:$G$88)</x:f>
        <x:v>5</x:v>
      </x:c>
      <x:c r="N223" s="38" t="n">
        <x:v>2</x:v>
      </x:c>
      <x:c r="O223" s="38" t="str">
        <x:v>none</x:v>
      </x:c>
      <x:c r="P223" s="38" t="str">
        <x:v>11 形状11</x:v>
      </x:c>
      <x:c r="Q223" s="38" t="str">
        <x:v>Turbo</x:v>
      </x:c>
      <x:c r="R223" s="38" t="str">
        <x:v>skill confirmed；来源=Mixed Message；攻击2格；仅保留来源商人/训练师关系。</x:v>
      </x:c>
      <x:c r="S223" s="38" t="n">
        <x:v>5</x:v>
      </x:c>
      <x:c r="T223" s="38" t="n">
        <x:v>2</x:v>
      </x:c>
      <x:c r="U223" s="15" t="str">
        <x:v>skill_vanguard,skill_flank,skill_pierce,skill_revolve,skill_chase,skill_break,skill_suppress,skill_finale</x:v>
      </x:c>
      <x:c r="V223" s="15" t="str">
        <x:v>trait_relentless</x:v>
      </x:c>
      <x:c r="W223" s="332" t="n">
        <x:f>XLOOKUP($D223&amp;"|"&amp;$E223&amp;"|"&amp;$F223,'PET_STAT_RULES'!$A$5:$A$88,'PET_STAT_RULES'!$E$5:$E$88)</x:f>
        <x:v>0</x:v>
      </x:c>
    </x:row>
    <x:row r="224">
      <x:c r="A224" s="38" t="str">
        <x:v>pal_223</x:v>
      </x:c>
      <x:c r="B224" s="38" t="str">
        <x:v>燎蚌皇</x:v>
      </x:c>
      <x:c r="C224" s="38" t="str">
        <x:v>火、水</x:v>
      </x:c>
      <x:c r="D224" s="268" t="str">
        <x:v>钻石</x:v>
      </x:c>
      <x:c r="E224" s="38" t="str">
        <x:v>治疗</x:v>
      </x:c>
      <x:c r="F224" s="38" t="str">
        <x:v>两格</x:v>
      </x:c>
      <x:c r="G224" s="38" t="str">
        <x:v>bz_van_223</x:v>
      </x:c>
      <x:c r="H224" s="38" t="str">
        <x:v>elem_水, elem_龙, role_治疗, tier_pT2</x:v>
      </x:c>
      <x:c r="I224" s="38" t="n">
        <x:v>4</x:v>
      </x:c>
      <x:c r="J224" s="340" t="n">
        <x:f>XLOOKUP($D224&amp;"|"&amp;$E224&amp;"|"&amp;$F224,'PET_STAT_RULES'!$A$5:$A$88,'PET_STAT_RULES'!$C$5:$C$88)</x:f>
        <x:v>70</x:v>
      </x:c>
      <x:c r="K224" s="340" t="n">
        <x:f>XLOOKUP($D224&amp;"|"&amp;$E224&amp;"|"&amp;$F224,'PET_STAT_RULES'!$A$5:$A$88,'PET_STAT_RULES'!$D$5:$D$88)</x:f>
        <x:v>24</x:v>
      </x:c>
      <x:c r="L224" s="340" t="n">
        <x:f>XLOOKUP($D224&amp;"|"&amp;$E224&amp;"|"&amp;$F224,'PET_STAT_RULES'!$A$5:$A$88,'PET_STAT_RULES'!$F$5:$F$88)</x:f>
        <x:v>8</x:v>
      </x:c>
      <x:c r="M224" s="340" t="n">
        <x:f>XLOOKUP($D224&amp;"|"&amp;$E224&amp;"|"&amp;$F224,'PET_STAT_RULES'!$A$5:$A$88,'PET_STAT_RULES'!$G$5:$G$88)</x:f>
        <x:v>3</x:v>
      </x:c>
      <x:c r="N224" s="38" t="n">
        <x:v>2</x:v>
      </x:c>
      <x:c r="O224" s="38" t="str">
        <x:v>mech_fire_ignite_bonus</x:v>
      </x:c>
      <x:c r="P224" s="38" t="str">
        <x:v>10 形状10</x:v>
      </x:c>
      <x:c r="Q224" s="38" t="str">
        <x:v>Fiery</x:v>
      </x:c>
      <x:c r="R224" s="38" t="str">
        <x:v>skill confirmed；来源=Moth to a Flame；攻击2格；仅保留来源商人/训练师关系。</x:v>
      </x:c>
      <x:c r="S224" s="38" t="n">
        <x:v>3</x:v>
      </x:c>
      <x:c r="T224" s="38" t="n">
        <x:v>3</x:v>
      </x:c>
      <x:c r="U224" s="15" t="str">
        <x:v>skill_vanguard,skill_flank,skill_pierce,skill_revolve,skill_chase,skill_break,skill_suppress,skill_finale</x:v>
      </x:c>
      <x:c r="V224" s="15" t="str">
        <x:v>trait_element_affinity</x:v>
      </x:c>
      <x:c r="W224" s="332" t="n">
        <x:f>XLOOKUP($D224&amp;"|"&amp;$E224&amp;"|"&amp;$F224,'PET_STAT_RULES'!$A$5:$A$88,'PET_STAT_RULES'!$E$5:$E$88)</x:f>
        <x:v>0</x:v>
      </x:c>
    </x:row>
    <x:row r="225">
      <x:c r="A225" s="38" t="str">
        <x:v>pal_224</x:v>
      </x:c>
      <x:c r="B225" s="38" t="str">
        <x:v>夜蝎卫</x:v>
      </x:c>
      <x:c r="C225" s="38" t="str">
        <x:v>暗</x:v>
      </x:c>
      <x:c r="D225" s="265" t="str">
        <x:v>白银</x:v>
      </x:c>
      <x:c r="E225" s="38" t="str">
        <x:v>控制</x:v>
      </x:c>
      <x:c r="F225" s="38" t="str">
        <x:v>两格</x:v>
      </x:c>
      <x:c r="G225" s="38" t="str">
        <x:v>bz_van_224</x:v>
      </x:c>
      <x:c r="H225" s="38" t="str">
        <x:v>elem_水, elem_雷, elem_龙, elem_无, role_经济</x:v>
      </x:c>
      <x:c r="I225" s="38" t="n">
        <x:v>5</x:v>
      </x:c>
      <x:c r="J225" s="340" t="n">
        <x:f>XLOOKUP($D225&amp;"|"&amp;$E225&amp;"|"&amp;$F225,'PET_STAT_RULES'!$A$5:$A$88,'PET_STAT_RULES'!$C$5:$C$88)</x:f>
        <x:v>44</x:v>
      </x:c>
      <x:c r="K225" s="340" t="n">
        <x:f>XLOOKUP($D225&amp;"|"&amp;$E225&amp;"|"&amp;$F225,'PET_STAT_RULES'!$A$5:$A$88,'PET_STAT_RULES'!$D$5:$D$88)</x:f>
        <x:v>14</x:v>
      </x:c>
      <x:c r="L225" s="340" t="n">
        <x:f>XLOOKUP($D225&amp;"|"&amp;$E225&amp;"|"&amp;$F225,'PET_STAT_RULES'!$A$5:$A$88,'PET_STAT_RULES'!$F$5:$F$88)</x:f>
        <x:v>0</x:v>
      </x:c>
      <x:c r="M225" s="340" t="n">
        <x:f>XLOOKUP($D225&amp;"|"&amp;$E225&amp;"|"&amp;$F225,'PET_STAT_RULES'!$A$5:$A$88,'PET_STAT_RULES'!$G$5:$G$88)</x:f>
        <x:v>4</x:v>
      </x:c>
      <x:c r="N225" s="38" t="n">
        <x:v>3</x:v>
      </x:c>
      <x:c r="O225" s="38" t="str">
        <x:v>mech_counter_damage</x:v>
      </x:c>
      <x:c r="P225" s="38" t="str">
        <x:v>14 形状14</x:v>
      </x:c>
      <x:c r="Q225" s="38" t="str">
        <x:v>Icy</x:v>
      </x:c>
      <x:c r="R225" s="38" t="str">
        <x:v>skill confirmed；来源=Net Launcher；攻击3格；仅保留来源商人/训练师关系。</x:v>
      </x:c>
      <x:c r="S225" s="38" t="n">
        <x:v>4</x:v>
      </x:c>
      <x:c r="T225" s="38" t="n">
        <x:v>2</x:v>
      </x:c>
      <x:c r="U225" s="15" t="str">
        <x:v>skill_vanguard,skill_flank,skill_pierce,skill_revolve,skill_chase,skill_break,skill_suppress,skill_finale</x:v>
      </x:c>
      <x:c r="V225" s="15" t="str">
        <x:v>trait_element_affinity</x:v>
      </x:c>
      <x:c r="W225" s="332" t="n">
        <x:f>XLOOKUP($D225&amp;"|"&amp;$E225&amp;"|"&amp;$F225,'PET_STAT_RULES'!$A$5:$A$88,'PET_STAT_RULES'!$E$5:$E$88)</x:f>
        <x:v>0</x:v>
      </x:c>
    </x:row>
    <x:row r="226">
      <x:c r="A226" s="38" t="str">
        <x:v>pal_225</x:v>
      </x:c>
      <x:c r="B226" s="38" t="str">
        <x:v>星隼精</x:v>
      </x:c>
      <x:c r="C226" s="38" t="str">
        <x:v>无</x:v>
      </x:c>
      <x:c r="D226" s="265" t="str">
        <x:v>白银</x:v>
      </x:c>
      <x:c r="E226" s="38" t="str">
        <x:v>输出</x:v>
      </x:c>
      <x:c r="F226" s="38" t="str">
        <x:v>两格</x:v>
      </x:c>
      <x:c r="G226" s="38" t="str">
        <x:v>bz_van_225</x:v>
      </x:c>
      <x:c r="H226" s="38" t="str">
        <x:v>elem_水, elem_雷, elem_龙, elem_无, role_坦克</x:v>
      </x:c>
      <x:c r="I226" s="38" t="n">
        <x:v>5</x:v>
      </x:c>
      <x:c r="J226" s="340" t="n">
        <x:f>XLOOKUP($D226&amp;"|"&amp;$E226&amp;"|"&amp;$F226,'PET_STAT_RULES'!$A$5:$A$88,'PET_STAT_RULES'!$C$5:$C$88)</x:f>
        <x:v>40</x:v>
      </x:c>
      <x:c r="K226" s="340" t="n">
        <x:f>XLOOKUP($D226&amp;"|"&amp;$E226&amp;"|"&amp;$F226,'PET_STAT_RULES'!$A$5:$A$88,'PET_STAT_RULES'!$D$5:$D$88)</x:f>
        <x:v>20</x:v>
      </x:c>
      <x:c r="L226" s="340" t="n">
        <x:f>XLOOKUP($D226&amp;"|"&amp;$E226&amp;"|"&amp;$F226,'PET_STAT_RULES'!$A$5:$A$88,'PET_STAT_RULES'!$F$5:$F$88)</x:f>
        <x:v>0</x:v>
      </x:c>
      <x:c r="M226" s="340" t="n">
        <x:f>XLOOKUP($D226&amp;"|"&amp;$E226&amp;"|"&amp;$F226,'PET_STAT_RULES'!$A$5:$A$88,'PET_STAT_RULES'!$G$5:$G$88)</x:f>
        <x:v>3</x:v>
      </x:c>
      <x:c r="N226" s="38" t="n">
        <x:v>3</x:v>
      </x:c>
      <x:c r="O226" s="38" t="str">
        <x:v>mech_grow_atk_each_round</x:v>
      </x:c>
      <x:c r="P226" s="38" t="str">
        <x:v>17 形状17</x:v>
      </x:c>
      <x:c r="Q226" s="38" t="str">
        <x:v>Deadly</x:v>
      </x:c>
      <x:c r="R226" s="38" t="str">
        <x:v>skill confirmed；来源=Noisy Cricket；攻击3格；仅保留来源商人/训练师关系。</x:v>
      </x:c>
      <x:c r="S226" s="38" t="n">
        <x:v>3</x:v>
      </x:c>
      <x:c r="T226" s="38" t="n">
        <x:v>2</x:v>
      </x:c>
      <x:c r="U226" s="15" t="str">
        <x:v>skill_vanguard,skill_flank,skill_pierce,skill_revolve,skill_chase,skill_break,skill_suppress,skill_finale</x:v>
      </x:c>
      <x:c r="V226" s="15" t="str">
        <x:v>trait_relentless</x:v>
      </x:c>
      <x:c r="W226" s="332" t="n">
        <x:f>XLOOKUP($D226&amp;"|"&amp;$E226&amp;"|"&amp;$F226,'PET_STAT_RULES'!$A$5:$A$88,'PET_STAT_RULES'!$E$5:$E$88)</x:f>
        <x:v>0</x:v>
      </x:c>
    </x:row>
    <x:row r="227">
      <x:c r="A227" s="38" t="str">
        <x:v>pal_226</x:v>
      </x:c>
      <x:c r="B227" s="38" t="str">
        <x:v>潮雀妖</x:v>
      </x:c>
      <x:c r="C227" s="38" t="str">
        <x:v>水</x:v>
      </x:c>
      <x:c r="D227" s="265" t="str">
        <x:v>白银</x:v>
      </x:c>
      <x:c r="E227" s="38" t="str">
        <x:v>机动</x:v>
      </x:c>
      <x:c r="F227" s="38" t="str">
        <x:v>两格</x:v>
      </x:c>
      <x:c r="G227" s="38" t="str">
        <x:v>bz_van_226</x:v>
      </x:c>
      <x:c r="H227" s="38" t="str">
        <x:v>elem_水, elem_雷, elem_地, elem_龙, elem_无, special_merchant</x:v>
      </x:c>
      <x:c r="I227" s="38" t="n">
        <x:v>6</x:v>
      </x:c>
      <x:c r="J227" s="340" t="n">
        <x:f>XLOOKUP($D227&amp;"|"&amp;$E227&amp;"|"&amp;$F227,'PET_STAT_RULES'!$A$5:$A$88,'PET_STAT_RULES'!$C$5:$C$88)</x:f>
        <x:v>40</x:v>
      </x:c>
      <x:c r="K227" s="340" t="n">
        <x:f>XLOOKUP($D227&amp;"|"&amp;$E227&amp;"|"&amp;$F227,'PET_STAT_RULES'!$A$5:$A$88,'PET_STAT_RULES'!$D$5:$D$88)</x:f>
        <x:v>12</x:v>
      </x:c>
      <x:c r="L227" s="340" t="n">
        <x:f>XLOOKUP($D227&amp;"|"&amp;$E227&amp;"|"&amp;$F227,'PET_STAT_RULES'!$A$5:$A$88,'PET_STAT_RULES'!$F$5:$F$88)</x:f>
        <x:v>0</x:v>
      </x:c>
      <x:c r="M227" s="340" t="n">
        <x:f>XLOOKUP($D227&amp;"|"&amp;$E227&amp;"|"&amp;$F227,'PET_STAT_RULES'!$A$5:$A$88,'PET_STAT_RULES'!$G$5:$G$88)</x:f>
        <x:v>5</x:v>
      </x:c>
      <x:c r="N227" s="38" t="n">
        <x:v>2</x:v>
      </x:c>
      <x:c r="O227" s="38" t="str">
        <x:v>none</x:v>
      </x:c>
      <x:c r="P227" s="38" t="str">
        <x:v>11 形状11</x:v>
      </x:c>
      <x:c r="Q227" s="38" t="str">
        <x:v>Turbo</x:v>
      </x:c>
      <x:c r="R227" s="38" t="str">
        <x:v>skill confirmed；来源=Oceanic Rush；攻击2格；仅保留来源商人/训练师关系。</x:v>
      </x:c>
      <x:c r="S227" s="38" t="n">
        <x:v>5</x:v>
      </x:c>
      <x:c r="T227" s="38" t="n">
        <x:v>2</x:v>
      </x:c>
      <x:c r="U227" s="15" t="str">
        <x:v>skill_vanguard,skill_flank,skill_pierce,skill_revolve,skill_chase,skill_break,skill_suppress,skill_finale</x:v>
      </x:c>
      <x:c r="V227" s="15" t="str">
        <x:v>trait_relentless</x:v>
      </x:c>
      <x:c r="W227" s="332" t="n">
        <x:f>XLOOKUP($D227&amp;"|"&amp;$E227&amp;"|"&amp;$F227,'PET_STAT_RULES'!$A$5:$A$88,'PET_STAT_RULES'!$E$5:$E$88)</x:f>
        <x:v>0</x:v>
      </x:c>
    </x:row>
    <x:row r="228">
      <x:c r="A228" s="38" t="str">
        <x:v>pal_227</x:v>
      </x:c>
      <x:c r="B228" s="38" t="str">
        <x:v>蛟蛙侯</x:v>
      </x:c>
      <x:c r="C228" s="38" t="str">
        <x:v>龙</x:v>
      </x:c>
      <x:c r="D228" s="262" t="str">
        <x:v>黄金</x:v>
      </x:c>
      <x:c r="E228" s="38" t="str">
        <x:v>控制</x:v>
      </x:c>
      <x:c r="F228" s="38" t="str">
        <x:v>两格</x:v>
      </x:c>
      <x:c r="G228" s="38" t="str">
        <x:v>bz_van_227</x:v>
      </x:c>
      <x:c r="H228" s="38" t="str">
        <x:v>elem_水, elem_龙, elem_无, role_经济, special_merchant</x:v>
      </x:c>
      <x:c r="I228" s="38" t="n">
        <x:v>5</x:v>
      </x:c>
      <x:c r="J228" s="340" t="n">
        <x:f>XLOOKUP($D228&amp;"|"&amp;$E228&amp;"|"&amp;$F228,'PET_STAT_RULES'!$A$5:$A$88,'PET_STAT_RULES'!$C$5:$C$88)</x:f>
        <x:v>56</x:v>
      </x:c>
      <x:c r="K228" s="340" t="n">
        <x:f>XLOOKUP($D228&amp;"|"&amp;$E228&amp;"|"&amp;$F228,'PET_STAT_RULES'!$A$5:$A$88,'PET_STAT_RULES'!$D$5:$D$88)</x:f>
        <x:v>20</x:v>
      </x:c>
      <x:c r="L228" s="340" t="n">
        <x:f>XLOOKUP($D228&amp;"|"&amp;$E228&amp;"|"&amp;$F228,'PET_STAT_RULES'!$A$5:$A$88,'PET_STAT_RULES'!$F$5:$F$88)</x:f>
        <x:v>0</x:v>
      </x:c>
      <x:c r="M228" s="340" t="n">
        <x:f>XLOOKUP($D228&amp;"|"&amp;$E228&amp;"|"&amp;$F228,'PET_STAT_RULES'!$A$5:$A$88,'PET_STAT_RULES'!$G$5:$G$88)</x:f>
        <x:v>4</x:v>
      </x:c>
      <x:c r="N228" s="38" t="n">
        <x:v>2</x:v>
      </x:c>
      <x:c r="O228" s="38" t="str">
        <x:v>mech_counter_damage</x:v>
      </x:c>
      <x:c r="P228" s="38" t="str">
        <x:v>09 形状09</x:v>
      </x:c>
      <x:c r="Q228" s="38" t="str">
        <x:v>Icy</x:v>
      </x:c>
      <x:c r="R228" s="38" t="str">
        <x:v>skill confirmed；来源=Outmaneuver；攻击2格；仅保留来源商人/训练师关系。</x:v>
      </x:c>
      <x:c r="S228" s="38" t="n">
        <x:v>4</x:v>
      </x:c>
      <x:c r="T228" s="38" t="n">
        <x:v>2</x:v>
      </x:c>
      <x:c r="U228" s="15" t="str">
        <x:v>skill_vanguard,skill_flank,skill_pierce,skill_revolve,skill_chase,skill_break,skill_suppress,skill_finale</x:v>
      </x:c>
      <x:c r="V228" s="15" t="str">
        <x:v>trait_element_affinity</x:v>
      </x:c>
      <x:c r="W228" s="332" t="n">
        <x:f>XLOOKUP($D228&amp;"|"&amp;$E228&amp;"|"&amp;$F228,'PET_STAT_RULES'!$A$5:$A$88,'PET_STAT_RULES'!$E$5:$E$88)</x:f>
        <x:v>0</x:v>
      </x:c>
    </x:row>
    <x:row r="229">
      <x:c r="A229" s="38" t="str">
        <x:v>pal_228</x:v>
      </x:c>
      <x:c r="B229" s="38" t="str">
        <x:v>凛蝎卫</x:v>
      </x:c>
      <x:c r="C229" s="38" t="str">
        <x:v>冰、草</x:v>
      </x:c>
      <x:c r="D229" s="265" t="str">
        <x:v>白银</x:v>
      </x:c>
      <x:c r="E229" s="38" t="str">
        <x:v>控制</x:v>
      </x:c>
      <x:c r="F229" s="38" t="str">
        <x:v>两格</x:v>
      </x:c>
      <x:c r="G229" s="38" t="str">
        <x:v>bz_van_228</x:v>
      </x:c>
      <x:c r="H229" s="38" t="str">
        <x:v>elem_水, elem_雷, elem_龙, elem_无, role_控制, role_输出</x:v>
      </x:c>
      <x:c r="I229" s="38" t="n">
        <x:v>6</x:v>
      </x:c>
      <x:c r="J229" s="340" t="n">
        <x:f>XLOOKUP($D229&amp;"|"&amp;$E229&amp;"|"&amp;$F229,'PET_STAT_RULES'!$A$5:$A$88,'PET_STAT_RULES'!$C$5:$C$88)</x:f>
        <x:v>44</x:v>
      </x:c>
      <x:c r="K229" s="340" t="n">
        <x:f>XLOOKUP($D229&amp;"|"&amp;$E229&amp;"|"&amp;$F229,'PET_STAT_RULES'!$A$5:$A$88,'PET_STAT_RULES'!$D$5:$D$88)</x:f>
        <x:v>14</x:v>
      </x:c>
      <x:c r="L229" s="340" t="n">
        <x:f>XLOOKUP($D229&amp;"|"&amp;$E229&amp;"|"&amp;$F229,'PET_STAT_RULES'!$A$5:$A$88,'PET_STAT_RULES'!$F$5:$F$88)</x:f>
        <x:v>0</x:v>
      </x:c>
      <x:c r="M229" s="340" t="n">
        <x:f>XLOOKUP($D229&amp;"|"&amp;$E229&amp;"|"&amp;$F229,'PET_STAT_RULES'!$A$5:$A$88,'PET_STAT_RULES'!$G$5:$G$88)</x:f>
        <x:v>4</x:v>
      </x:c>
      <x:c r="N229" s="38" t="n">
        <x:v>2</x:v>
      </x:c>
      <x:c r="O229" s="38" t="str">
        <x:v>mech_counter_damage</x:v>
      </x:c>
      <x:c r="P229" s="38" t="str">
        <x:v>08 形状08</x:v>
      </x:c>
      <x:c r="Q229" s="38" t="str">
        <x:v>Icy</x:v>
      </x:c>
      <x:c r="R229" s="38" t="str">
        <x:v>skill confirmed；来源=Paralytic Poison；攻击2格；仅保留来源商人/训练师关系。</x:v>
      </x:c>
      <x:c r="S229" s="38" t="n">
        <x:v>4</x:v>
      </x:c>
      <x:c r="T229" s="38" t="n">
        <x:v>2</x:v>
      </x:c>
      <x:c r="U229" s="15" t="str">
        <x:v>skill_vanguard,skill_flank,skill_pierce,skill_revolve,skill_chase,skill_break,skill_suppress,skill_finale</x:v>
      </x:c>
      <x:c r="V229" s="15" t="str">
        <x:v>trait_element_affinity</x:v>
      </x:c>
      <x:c r="W229" s="332" t="n">
        <x:f>XLOOKUP($D229&amp;"|"&amp;$E229&amp;"|"&amp;$F229,'PET_STAT_RULES'!$A$5:$A$88,'PET_STAT_RULES'!$E$5:$E$88)</x:f>
        <x:v>0</x:v>
      </x:c>
    </x:row>
    <x:row r="230">
      <x:c r="A230" s="38" t="str">
        <x:v>pal_229</x:v>
      </x:c>
      <x:c r="B230" s="38" t="str">
        <x:v>闪狼侯</x:v>
      </x:c>
      <x:c r="C230" s="38" t="str">
        <x:v>雷</x:v>
      </x:c>
      <x:c r="D230" s="262" t="str">
        <x:v>黄金</x:v>
      </x:c>
      <x:c r="E230" s="38" t="str">
        <x:v>输出</x:v>
      </x:c>
      <x:c r="F230" s="38" t="str">
        <x:v>两格</x:v>
      </x:c>
      <x:c r="G230" s="38" t="str">
        <x:v>bz_van_229</x:v>
      </x:c>
      <x:c r="H230" s="38" t="str">
        <x:v>elem_水, elem_龙, elem_无, role_召唤, tier_pT1</x:v>
      </x:c>
      <x:c r="I230" s="38" t="n">
        <x:v>5</x:v>
      </x:c>
      <x:c r="J230" s="340" t="n">
        <x:f>XLOOKUP($D230&amp;"|"&amp;$E230&amp;"|"&amp;$F230,'PET_STAT_RULES'!$A$5:$A$88,'PET_STAT_RULES'!$C$5:$C$88)</x:f>
        <x:v>52</x:v>
      </x:c>
      <x:c r="K230" s="340" t="n">
        <x:f>XLOOKUP($D230&amp;"|"&amp;$E230&amp;"|"&amp;$F230,'PET_STAT_RULES'!$A$5:$A$88,'PET_STAT_RULES'!$D$5:$D$88)</x:f>
        <x:v>28</x:v>
      </x:c>
      <x:c r="L230" s="340" t="n">
        <x:f>XLOOKUP($D230&amp;"|"&amp;$E230&amp;"|"&amp;$F230,'PET_STAT_RULES'!$A$5:$A$88,'PET_STAT_RULES'!$F$5:$F$88)</x:f>
        <x:v>0</x:v>
      </x:c>
      <x:c r="M230" s="340" t="n">
        <x:f>XLOOKUP($D230&amp;"|"&amp;$E230&amp;"|"&amp;$F230,'PET_STAT_RULES'!$A$5:$A$88,'PET_STAT_RULES'!$G$5:$G$88)</x:f>
        <x:v>3</x:v>
      </x:c>
      <x:c r="N230" s="38" t="n">
        <x:v>3</x:v>
      </x:c>
      <x:c r="O230" s="38" t="str">
        <x:v>mech_grow_atk_each_round</x:v>
      </x:c>
      <x:c r="P230" s="38" t="str">
        <x:v>17 形状17</x:v>
      </x:c>
      <x:c r="Q230" s="38" t="str">
        <x:v>Deadly</x:v>
      </x:c>
      <x:c r="R230" s="38" t="str">
        <x:v>skill confirmed；来源=Parting Shot；攻击3格；仅保留来源商人/训练师关系。</x:v>
      </x:c>
      <x:c r="S230" s="38" t="n">
        <x:v>3</x:v>
      </x:c>
      <x:c r="T230" s="38" t="n">
        <x:v>2</x:v>
      </x:c>
      <x:c r="U230" s="15" t="str">
        <x:v>skill_vanguard,skill_flank,skill_pierce,skill_revolve,skill_chase,skill_break,skill_suppress,skill_finale</x:v>
      </x:c>
      <x:c r="V230" s="15" t="str">
        <x:v>trait_relentless</x:v>
      </x:c>
      <x:c r="W230" s="332" t="n">
        <x:f>XLOOKUP($D230&amp;"|"&amp;$E230&amp;"|"&amp;$F230,'PET_STAT_RULES'!$A$5:$A$88,'PET_STAT_RULES'!$E$5:$E$88)</x:f>
        <x:v>0</x:v>
      </x:c>
    </x:row>
    <x:row r="231">
      <x:c r="A231" s="38" t="str">
        <x:v>pal_230</x:v>
      </x:c>
      <x:c r="B231" s="38" t="str">
        <x:v>震隼灵</x:v>
      </x:c>
      <x:c r="C231" s="38" t="str">
        <x:v>雷</x:v>
      </x:c>
      <x:c r="D231" s="259" t="str">
        <x:v>青铜</x:v>
      </x:c>
      <x:c r="E231" s="38" t="str">
        <x:v>输出</x:v>
      </x:c>
      <x:c r="F231" s="38" t="str">
        <x:v>两格</x:v>
      </x:c>
      <x:c r="G231" s="38" t="str">
        <x:v>bz_van_230</x:v>
      </x:c>
      <x:c r="H231" s="38" t="str">
        <x:v>elem_水, elem_雷, elem_龙, elem_无, role_召唤</x:v>
      </x:c>
      <x:c r="I231" s="38" t="n">
        <x:v>5</x:v>
      </x:c>
      <x:c r="J231" s="340" t="n">
        <x:f>XLOOKUP($D231&amp;"|"&amp;$E231&amp;"|"&amp;$F231,'PET_STAT_RULES'!$A$5:$A$88,'PET_STAT_RULES'!$C$5:$C$88)</x:f>
        <x:v>28</x:v>
      </x:c>
      <x:c r="K231" s="340" t="n">
        <x:f>XLOOKUP($D231&amp;"|"&amp;$E231&amp;"|"&amp;$F231,'PET_STAT_RULES'!$A$5:$A$88,'PET_STAT_RULES'!$D$5:$D$88)</x:f>
        <x:v>12</x:v>
      </x:c>
      <x:c r="L231" s="340" t="n">
        <x:f>XLOOKUP($D231&amp;"|"&amp;$E231&amp;"|"&amp;$F231,'PET_STAT_RULES'!$A$5:$A$88,'PET_STAT_RULES'!$F$5:$F$88)</x:f>
        <x:v>0</x:v>
      </x:c>
      <x:c r="M231" s="340" t="n">
        <x:f>XLOOKUP($D231&amp;"|"&amp;$E231&amp;"|"&amp;$F231,'PET_STAT_RULES'!$A$5:$A$88,'PET_STAT_RULES'!$G$5:$G$88)</x:f>
        <x:v>3</x:v>
      </x:c>
      <x:c r="N231" s="38" t="n">
        <x:v>1</x:v>
      </x:c>
      <x:c r="O231" s="38" t="str">
        <x:v>mech_grow_atk_each_round</x:v>
      </x:c>
      <x:c r="P231" s="38" t="str">
        <x:v>01 形状01</x:v>
      </x:c>
      <x:c r="Q231" s="38" t="str">
        <x:v>Deadly</x:v>
      </x:c>
      <x:c r="R231" s="38" t="str">
        <x:v>skill confirmed；来源=Peaceful Eye；攻击1格；仅保留来源商人/训练师关系。</x:v>
      </x:c>
      <x:c r="S231" s="38" t="n">
        <x:v>3</x:v>
      </x:c>
      <x:c r="T231" s="38" t="n">
        <x:v>1</x:v>
      </x:c>
      <x:c r="U231" s="15" t="str">
        <x:v>skill_vanguard,skill_flank,skill_pierce,skill_revolve,skill_chase,skill_break,skill_suppress,skill_finale</x:v>
      </x:c>
      <x:c r="V231" s="15" t="str">
        <x:v>trait_relentless</x:v>
      </x:c>
      <x:c r="W231" s="332" t="n">
        <x:f>XLOOKUP($D231&amp;"|"&amp;$E231&amp;"|"&amp;$F231,'PET_STAT_RULES'!$A$5:$A$88,'PET_STAT_RULES'!$E$5:$E$88)</x:f>
        <x:v>0</x:v>
      </x:c>
    </x:row>
    <x:row r="232">
      <x:c r="A232" s="38" t="str">
        <x:v>pal_231</x:v>
      </x:c>
      <x:c r="B232" s="38" t="str">
        <x:v>苔蛛将</x:v>
      </x:c>
      <x:c r="C232" s="38" t="str">
        <x:v>草</x:v>
      </x:c>
      <x:c r="D232" s="265" t="str">
        <x:v>白银</x:v>
      </x:c>
      <x:c r="E232" s="38" t="str">
        <x:v>控制</x:v>
      </x:c>
      <x:c r="F232" s="38" t="str">
        <x:v>两格</x:v>
      </x:c>
      <x:c r="G232" s="38" t="str">
        <x:v>bz_van_231</x:v>
      </x:c>
      <x:c r="H232" s="38" t="str">
        <x:v>elem_水, elem_雷, elem_龙, elem_无, role_输出</x:v>
      </x:c>
      <x:c r="I232" s="38" t="n">
        <x:v>5</x:v>
      </x:c>
      <x:c r="J232" s="340" t="n">
        <x:f>XLOOKUP($D232&amp;"|"&amp;$E232&amp;"|"&amp;$F232,'PET_STAT_RULES'!$A$5:$A$88,'PET_STAT_RULES'!$C$5:$C$88)</x:f>
        <x:v>44</x:v>
      </x:c>
      <x:c r="K232" s="340" t="n">
        <x:f>XLOOKUP($D232&amp;"|"&amp;$E232&amp;"|"&amp;$F232,'PET_STAT_RULES'!$A$5:$A$88,'PET_STAT_RULES'!$D$5:$D$88)</x:f>
        <x:v>14</x:v>
      </x:c>
      <x:c r="L232" s="340" t="n">
        <x:f>XLOOKUP($D232&amp;"|"&amp;$E232&amp;"|"&amp;$F232,'PET_STAT_RULES'!$A$5:$A$88,'PET_STAT_RULES'!$F$5:$F$88)</x:f>
        <x:v>0</x:v>
      </x:c>
      <x:c r="M232" s="340" t="n">
        <x:f>XLOOKUP($D232&amp;"|"&amp;$E232&amp;"|"&amp;$F232,'PET_STAT_RULES'!$A$5:$A$88,'PET_STAT_RULES'!$G$5:$G$88)</x:f>
        <x:v>4</x:v>
      </x:c>
      <x:c r="N232" s="38" t="n">
        <x:v>2</x:v>
      </x:c>
      <x:c r="O232" s="38" t="str">
        <x:v>mech_counter_damage</x:v>
      </x:c>
      <x:c r="P232" s="38" t="str">
        <x:v>07 形状07</x:v>
      </x:c>
      <x:c r="Q232" s="38" t="str">
        <x:v>Toxic</x:v>
      </x:c>
      <x:c r="R232" s="38" t="str">
        <x:v>skill confirmed；来源=Poisonous Opener；攻击2格；仅保留来源商人/训练师关系。</x:v>
      </x:c>
      <x:c r="S232" s="38" t="n">
        <x:v>4</x:v>
      </x:c>
      <x:c r="T232" s="38" t="n">
        <x:v>2</x:v>
      </x:c>
      <x:c r="U232" s="15" t="str">
        <x:v>skill_vanguard,skill_flank,skill_pierce,skill_revolve,skill_chase,skill_break,skill_suppress,skill_finale</x:v>
      </x:c>
      <x:c r="V232" s="15" t="str">
        <x:v>trait_element_affinity</x:v>
      </x:c>
      <x:c r="W232" s="332" t="n">
        <x:f>XLOOKUP($D232&amp;"|"&amp;$E232&amp;"|"&amp;$F232,'PET_STAT_RULES'!$A$5:$A$88,'PET_STAT_RULES'!$E$5:$E$88)</x:f>
        <x:v>0</x:v>
      </x:c>
    </x:row>
    <x:row r="233">
      <x:c r="A233" s="38" t="str">
        <x:v>pal_232</x:v>
      </x:c>
      <x:c r="B233" s="38" t="str">
        <x:v>汐羊王</x:v>
      </x:c>
      <x:c r="C233" s="38" t="str">
        <x:v>水、雷</x:v>
      </x:c>
      <x:c r="D233" s="262" t="str">
        <x:v>黄金</x:v>
      </x:c>
      <x:c r="E233" s="38" t="str">
        <x:v>治疗</x:v>
      </x:c>
      <x:c r="F233" s="38" t="str">
        <x:v>两格</x:v>
      </x:c>
      <x:c r="G233" s="38" t="str">
        <x:v>bz_van_232</x:v>
      </x:c>
      <x:c r="H233" s="38" t="str">
        <x:v>elem_水, elem_龙, elem_无, role_召唤, role_坦克</x:v>
      </x:c>
      <x:c r="I233" s="38" t="n">
        <x:v>5</x:v>
      </x:c>
      <x:c r="J233" s="340" t="n">
        <x:f>XLOOKUP($D233&amp;"|"&amp;$E233&amp;"|"&amp;$F233,'PET_STAT_RULES'!$A$5:$A$88,'PET_STAT_RULES'!$C$5:$C$88)</x:f>
        <x:v>58</x:v>
      </x:c>
      <x:c r="K233" s="340" t="n">
        <x:f>XLOOKUP($D233&amp;"|"&amp;$E233&amp;"|"&amp;$F233,'PET_STAT_RULES'!$A$5:$A$88,'PET_STAT_RULES'!$D$5:$D$88)</x:f>
        <x:v>18</x:v>
      </x:c>
      <x:c r="L233" s="340" t="n">
        <x:f>XLOOKUP($D233&amp;"|"&amp;$E233&amp;"|"&amp;$F233,'PET_STAT_RULES'!$A$5:$A$88,'PET_STAT_RULES'!$F$5:$F$88)</x:f>
        <x:v>6</x:v>
      </x:c>
      <x:c r="M233" s="340" t="n">
        <x:f>XLOOKUP($D233&amp;"|"&amp;$E233&amp;"|"&amp;$F233,'PET_STAT_RULES'!$A$5:$A$88,'PET_STAT_RULES'!$G$5:$G$88)</x:f>
        <x:v>3</x:v>
      </x:c>
      <x:c r="N233" s="38" t="n">
        <x:v>2</x:v>
      </x:c>
      <x:c r="O233" s="38" t="str">
        <x:v>mech_shield_regen</x:v>
      </x:c>
      <x:c r="P233" s="38" t="str">
        <x:v>08 形状08</x:v>
      </x:c>
      <x:c r="Q233" s="38" t="str">
        <x:v>Deadly</x:v>
      </x:c>
      <x:c r="R233" s="38" t="str">
        <x:v>skill confirmed；来源=Quality over Quantity；攻击2格；仅保留来源商人/训练师关系。</x:v>
      </x:c>
      <x:c r="S233" s="38" t="n">
        <x:v>3</x:v>
      </x:c>
      <x:c r="T233" s="38" t="n">
        <x:v>2</x:v>
      </x:c>
      <x:c r="U233" s="15" t="str">
        <x:v>skill_vanguard,skill_flank,skill_pierce,skill_revolve,skill_chase,skill_break,skill_suppress,skill_finale</x:v>
      </x:c>
      <x:c r="V233" s="15" t="str">
        <x:v>trait_element_affinity</x:v>
      </x:c>
      <x:c r="W233" s="332" t="n">
        <x:f>XLOOKUP($D233&amp;"|"&amp;$E233&amp;"|"&amp;$F233,'PET_STAT_RULES'!$A$5:$A$88,'PET_STAT_RULES'!$E$5:$E$88)</x:f>
        <x:v>0</x:v>
      </x:c>
    </x:row>
    <x:row r="234">
      <x:c r="A234" s="38" t="str">
        <x:v>pal_233</x:v>
      </x:c>
      <x:c r="B234" s="38" t="str">
        <x:v>山象王</x:v>
      </x:c>
      <x:c r="C234" s="38" t="str">
        <x:v>地</x:v>
      </x:c>
      <x:c r="D234" s="262" t="str">
        <x:v>黄金</x:v>
      </x:c>
      <x:c r="E234" s="38" t="str">
        <x:v>坦克</x:v>
      </x:c>
      <x:c r="F234" s="38" t="str">
        <x:v>两格</x:v>
      </x:c>
      <x:c r="G234" s="38" t="str">
        <x:v>bz_van_233</x:v>
      </x:c>
      <x:c r="H234" s="38" t="str">
        <x:v>elem_水, elem_龙, elem_无, role_召唤铺场</x:v>
      </x:c>
      <x:c r="I234" s="38" t="n">
        <x:v>4</x:v>
      </x:c>
      <x:c r="J234" s="340" t="n">
        <x:f>XLOOKUP($D234&amp;"|"&amp;$E234&amp;"|"&amp;$F234,'PET_STAT_RULES'!$A$5:$A$88,'PET_STAT_RULES'!$C$5:$C$88)</x:f>
        <x:v>66</x:v>
      </x:c>
      <x:c r="K234" s="340" t="n">
        <x:f>XLOOKUP($D234&amp;"|"&amp;$E234&amp;"|"&amp;$F234,'PET_STAT_RULES'!$A$5:$A$88,'PET_STAT_RULES'!$D$5:$D$88)</x:f>
        <x:v>18</x:v>
      </x:c>
      <x:c r="L234" s="340" t="n">
        <x:f>XLOOKUP($D234&amp;"|"&amp;$E234&amp;"|"&amp;$F234,'PET_STAT_RULES'!$A$5:$A$88,'PET_STAT_RULES'!$F$5:$F$88)</x:f>
        <x:v>14</x:v>
      </x:c>
      <x:c r="M234" s="340" t="n">
        <x:f>XLOOKUP($D234&amp;"|"&amp;$E234&amp;"|"&amp;$F234,'PET_STAT_RULES'!$A$5:$A$88,'PET_STAT_RULES'!$G$5:$G$88)</x:f>
        <x:v>3</x:v>
      </x:c>
      <x:c r="N234" s="38" t="n">
        <x:v>2</x:v>
      </x:c>
      <x:c r="O234" s="38" t="str">
        <x:v>mech_shield_regen</x:v>
      </x:c>
      <x:c r="P234" s="38" t="str">
        <x:v>11 形状11</x:v>
      </x:c>
      <x:c r="Q234" s="38" t="str">
        <x:v>Turbo</x:v>
      </x:c>
      <x:c r="R234" s="38" t="str">
        <x:v>skill confirmed；来源=Quick Defenses；攻击2格；仅保留来源商人/训练师关系。</x:v>
      </x:c>
      <x:c r="S234" s="38" t="n">
        <x:v>3</x:v>
      </x:c>
      <x:c r="T234" s="38" t="n">
        <x:v>2</x:v>
      </x:c>
      <x:c r="U234" s="15" t="str">
        <x:v>skill_vanguard,skill_flank,skill_pierce,skill_revolve,skill_chase,skill_break,skill_suppress,skill_finale</x:v>
      </x:c>
      <x:c r="V234" s="15" t="str">
        <x:v>trait_combo_mastery</x:v>
      </x:c>
      <x:c r="W234" s="332" t="n">
        <x:f>XLOOKUP($D234&amp;"|"&amp;$E234&amp;"|"&amp;$F234,'PET_STAT_RULES'!$A$5:$A$88,'PET_STAT_RULES'!$E$5:$E$88)</x:f>
        <x:v>0</x:v>
      </x:c>
    </x:row>
    <x:row r="235">
      <x:c r="A235" s="38" t="str">
        <x:v>pal_234</x:v>
      </x:c>
      <x:c r="B235" s="38" t="str">
        <x:v>寒蟒卫</x:v>
      </x:c>
      <x:c r="C235" s="38" t="str">
        <x:v>冰</x:v>
      </x:c>
      <x:c r="D235" s="265" t="str">
        <x:v>白银</x:v>
      </x:c>
      <x:c r="E235" s="38" t="str">
        <x:v>控制</x:v>
      </x:c>
      <x:c r="F235" s="38" t="str">
        <x:v>两格</x:v>
      </x:c>
      <x:c r="G235" s="38" t="str">
        <x:v>bz_van_234</x:v>
      </x:c>
      <x:c r="H235" s="38" t="str">
        <x:v>elem_水, elem_雷, elem_龙, elem_无, role_控制, special_merchant</x:v>
      </x:c>
      <x:c r="I235" s="38" t="n">
        <x:v>6</x:v>
      </x:c>
      <x:c r="J235" s="340" t="n">
        <x:f>XLOOKUP($D235&amp;"|"&amp;$E235&amp;"|"&amp;$F235,'PET_STAT_RULES'!$A$5:$A$88,'PET_STAT_RULES'!$C$5:$C$88)</x:f>
        <x:v>44</x:v>
      </x:c>
      <x:c r="K235" s="340" t="n">
        <x:f>XLOOKUP($D235&amp;"|"&amp;$E235&amp;"|"&amp;$F235,'PET_STAT_RULES'!$A$5:$A$88,'PET_STAT_RULES'!$D$5:$D$88)</x:f>
        <x:v>14</x:v>
      </x:c>
      <x:c r="L235" s="340" t="n">
        <x:f>XLOOKUP($D235&amp;"|"&amp;$E235&amp;"|"&amp;$F235,'PET_STAT_RULES'!$A$5:$A$88,'PET_STAT_RULES'!$F$5:$F$88)</x:f>
        <x:v>0</x:v>
      </x:c>
      <x:c r="M235" s="340" t="n">
        <x:f>XLOOKUP($D235&amp;"|"&amp;$E235&amp;"|"&amp;$F235,'PET_STAT_RULES'!$A$5:$A$88,'PET_STAT_RULES'!$G$5:$G$88)</x:f>
        <x:v>4</x:v>
      </x:c>
      <x:c r="N235" s="38" t="n">
        <x:v>2</x:v>
      </x:c>
      <x:c r="O235" s="38" t="str">
        <x:v>mech_counter_damage</x:v>
      </x:c>
      <x:c r="P235" s="38" t="str">
        <x:v>09 形状09</x:v>
      </x:c>
      <x:c r="Q235" s="38" t="str">
        <x:v>Icy</x:v>
      </x:c>
      <x:c r="R235" s="38" t="str">
        <x:v>skill confirmed；来源=Quick Freeze；攻击2格；仅保留来源商人/训练师关系。</x:v>
      </x:c>
      <x:c r="S235" s="38" t="n">
        <x:v>4</x:v>
      </x:c>
      <x:c r="T235" s="38" t="n">
        <x:v>2</x:v>
      </x:c>
      <x:c r="U235" s="15" t="str">
        <x:v>skill_vanguard,skill_flank,skill_pierce,skill_revolve,skill_chase,skill_break,skill_suppress,skill_finale</x:v>
      </x:c>
      <x:c r="V235" s="15" t="str">
        <x:v>trait_element_affinity</x:v>
      </x:c>
      <x:c r="W235" s="332" t="n">
        <x:f>XLOOKUP($D235&amp;"|"&amp;$E235&amp;"|"&amp;$F235,'PET_STAT_RULES'!$A$5:$A$88,'PET_STAT_RULES'!$E$5:$E$88)</x:f>
        <x:v>0</x:v>
      </x:c>
    </x:row>
    <x:row r="236">
      <x:c r="A236" s="38" t="str">
        <x:v>pal_235</x:v>
      </x:c>
      <x:c r="B236" s="38" t="str">
        <x:v>朱鲭将</x:v>
      </x:c>
      <x:c r="C236" s="38" t="str">
        <x:v>火</x:v>
      </x:c>
      <x:c r="D236" s="265" t="str">
        <x:v>白银</x:v>
      </x:c>
      <x:c r="E236" s="38" t="str">
        <x:v>机动</x:v>
      </x:c>
      <x:c r="F236" s="38" t="str">
        <x:v>两格</x:v>
      </x:c>
      <x:c r="G236" s="38" t="str">
        <x:v>bz_van_235</x:v>
      </x:c>
      <x:c r="H236" s="38" t="str">
        <x:v>elem_水, elem_雷, elem_龙, elem_无, role_治疗, special_merchant</x:v>
      </x:c>
      <x:c r="I236" s="38" t="n">
        <x:v>6</x:v>
      </x:c>
      <x:c r="J236" s="340" t="n">
        <x:f>XLOOKUP($D236&amp;"|"&amp;$E236&amp;"|"&amp;$F236,'PET_STAT_RULES'!$A$5:$A$88,'PET_STAT_RULES'!$C$5:$C$88)</x:f>
        <x:v>40</x:v>
      </x:c>
      <x:c r="K236" s="340" t="n">
        <x:f>XLOOKUP($D236&amp;"|"&amp;$E236&amp;"|"&amp;$F236,'PET_STAT_RULES'!$A$5:$A$88,'PET_STAT_RULES'!$D$5:$D$88)</x:f>
        <x:v>12</x:v>
      </x:c>
      <x:c r="L236" s="340" t="n">
        <x:f>XLOOKUP($D236&amp;"|"&amp;$E236&amp;"|"&amp;$F236,'PET_STAT_RULES'!$A$5:$A$88,'PET_STAT_RULES'!$F$5:$F$88)</x:f>
        <x:v>0</x:v>
      </x:c>
      <x:c r="M236" s="340" t="n">
        <x:f>XLOOKUP($D236&amp;"|"&amp;$E236&amp;"|"&amp;$F236,'PET_STAT_RULES'!$A$5:$A$88,'PET_STAT_RULES'!$G$5:$G$88)</x:f>
        <x:v>5</x:v>
      </x:c>
      <x:c r="N236" s="38" t="n">
        <x:v>2</x:v>
      </x:c>
      <x:c r="O236" s="38" t="str">
        <x:v>mech_fire_ignite_bonus</x:v>
      </x:c>
      <x:c r="P236" s="38" t="str">
        <x:v>09 形状09</x:v>
      </x:c>
      <x:c r="Q236" s="38" t="str">
        <x:v>Fiery</x:v>
      </x:c>
      <x:c r="R236" s="38" t="str">
        <x:v>skill confirmed；来源=Quick Ignition；攻击2格；仅保留来源商人/训练师关系。</x:v>
      </x:c>
      <x:c r="S236" s="38" t="n">
        <x:v>5</x:v>
      </x:c>
      <x:c r="T236" s="38" t="n">
        <x:v>2</x:v>
      </x:c>
      <x:c r="U236" s="15" t="str">
        <x:v>skill_vanguard,skill_flank,skill_pierce,skill_revolve,skill_chase,skill_break,skill_suppress,skill_finale</x:v>
      </x:c>
      <x:c r="V236" s="15" t="str">
        <x:v>trait_relentless</x:v>
      </x:c>
      <x:c r="W236" s="332" t="n">
        <x:f>XLOOKUP($D236&amp;"|"&amp;$E236&amp;"|"&amp;$F236,'PET_STAT_RULES'!$A$5:$A$88,'PET_STAT_RULES'!$E$5:$E$88)</x:f>
        <x:v>0</x:v>
      </x:c>
    </x:row>
    <x:row r="237">
      <x:c r="A237" s="38" t="str">
        <x:v>pal_236</x:v>
      </x:c>
      <x:c r="B237" s="38" t="str">
        <x:v>寒鹰祖</x:v>
      </x:c>
      <x:c r="C237" s="38" t="str">
        <x:v>冰</x:v>
      </x:c>
      <x:c r="D237" s="268" t="str">
        <x:v>钻石</x:v>
      </x:c>
      <x:c r="E237" s="38" t="str">
        <x:v>输出</x:v>
      </x:c>
      <x:c r="F237" s="38" t="str">
        <x:v>两格</x:v>
      </x:c>
      <x:c r="G237" s="38" t="str">
        <x:v>bz_van_236</x:v>
      </x:c>
      <x:c r="H237" s="38" t="str">
        <x:v>elem_水, elem_龙</x:v>
      </x:c>
      <x:c r="I237" s="38" t="n">
        <x:v>2</x:v>
      </x:c>
      <x:c r="J237" s="340" t="n">
        <x:f>XLOOKUP($D237&amp;"|"&amp;$E237&amp;"|"&amp;$F237,'PET_STAT_RULES'!$A$5:$A$88,'PET_STAT_RULES'!$C$5:$C$88)</x:f>
        <x:v>64</x:v>
      </x:c>
      <x:c r="K237" s="340" t="n">
        <x:f>XLOOKUP($D237&amp;"|"&amp;$E237&amp;"|"&amp;$F237,'PET_STAT_RULES'!$A$5:$A$88,'PET_STAT_RULES'!$D$5:$D$88)</x:f>
        <x:v>36</x:v>
      </x:c>
      <x:c r="L237" s="340" t="n">
        <x:f>XLOOKUP($D237&amp;"|"&amp;$E237&amp;"|"&amp;$F237,'PET_STAT_RULES'!$A$5:$A$88,'PET_STAT_RULES'!$F$5:$F$88)</x:f>
        <x:v>0</x:v>
      </x:c>
      <x:c r="M237" s="340" t="n">
        <x:f>XLOOKUP($D237&amp;"|"&amp;$E237&amp;"|"&amp;$F237,'PET_STAT_RULES'!$A$5:$A$88,'PET_STAT_RULES'!$G$5:$G$88)</x:f>
        <x:v>3</x:v>
      </x:c>
      <x:c r="N237" s="38" t="n">
        <x:v>3</x:v>
      </x:c>
      <x:c r="O237" s="38" t="str">
        <x:v>mech_grow_atk_each_round</x:v>
      </x:c>
      <x:c r="P237" s="38" t="str">
        <x:v>15 形状15</x:v>
      </x:c>
      <x:c r="Q237" s="38" t="str">
        <x:v>Shiny</x:v>
      </x:c>
      <x:c r="R237" s="38" t="str">
        <x:v>skill confirmed；来源=Re-Tooled；攻击3格；仅保留来源商人/训练师关系。</x:v>
      </x:c>
      <x:c r="S237" s="38" t="n">
        <x:v>3</x:v>
      </x:c>
      <x:c r="T237" s="38" t="n">
        <x:v>3</x:v>
      </x:c>
      <x:c r="U237" s="15" t="str">
        <x:v>skill_vanguard,skill_flank,skill_pierce,skill_revolve,skill_chase,skill_break,skill_suppress,skill_finale</x:v>
      </x:c>
      <x:c r="V237" s="15" t="str">
        <x:v>trait_relentless</x:v>
      </x:c>
      <x:c r="W237" s="332" t="n">
        <x:f>XLOOKUP($D237&amp;"|"&amp;$E237&amp;"|"&amp;$F237,'PET_STAT_RULES'!$A$5:$A$88,'PET_STAT_RULES'!$E$5:$E$88)</x:f>
        <x:v>0</x:v>
      </x:c>
    </x:row>
    <x:row r="238">
      <x:c r="A238" s="38" t="str">
        <x:v>pal_237</x:v>
      </x:c>
      <x:c r="B238" s="38" t="str">
        <x:v>寒蝎尊</x:v>
      </x:c>
      <x:c r="C238" s="38" t="str">
        <x:v>冰、雷</x:v>
      </x:c>
      <x:c r="D238" s="262" t="str">
        <x:v>黄金</x:v>
      </x:c>
      <x:c r="E238" s="38" t="str">
        <x:v>控制</x:v>
      </x:c>
      <x:c r="F238" s="38" t="str">
        <x:v>两格</x:v>
      </x:c>
      <x:c r="G238" s="38" t="str">
        <x:v>bz_van_237</x:v>
      </x:c>
      <x:c r="H238" s="38" t="str">
        <x:v>elem_水, elem_龙, elem_无, role_召唤, role_控制</x:v>
      </x:c>
      <x:c r="I238" s="38" t="n">
        <x:v>5</x:v>
      </x:c>
      <x:c r="J238" s="340" t="n">
        <x:f>XLOOKUP($D238&amp;"|"&amp;$E238&amp;"|"&amp;$F238,'PET_STAT_RULES'!$A$5:$A$88,'PET_STAT_RULES'!$C$5:$C$88)</x:f>
        <x:v>56</x:v>
      </x:c>
      <x:c r="K238" s="340" t="n">
        <x:f>XLOOKUP($D238&amp;"|"&amp;$E238&amp;"|"&amp;$F238,'PET_STAT_RULES'!$A$5:$A$88,'PET_STAT_RULES'!$D$5:$D$88)</x:f>
        <x:v>20</x:v>
      </x:c>
      <x:c r="L238" s="340" t="n">
        <x:f>XLOOKUP($D238&amp;"|"&amp;$E238&amp;"|"&amp;$F238,'PET_STAT_RULES'!$A$5:$A$88,'PET_STAT_RULES'!$F$5:$F$88)</x:f>
        <x:v>0</x:v>
      </x:c>
      <x:c r="M238" s="340" t="n">
        <x:f>XLOOKUP($D238&amp;"|"&amp;$E238&amp;"|"&amp;$F238,'PET_STAT_RULES'!$A$5:$A$88,'PET_STAT_RULES'!$G$5:$G$88)</x:f>
        <x:v>4</x:v>
      </x:c>
      <x:c r="N238" s="38" t="n">
        <x:v>2</x:v>
      </x:c>
      <x:c r="O238" s="38" t="str">
        <x:v>mech_counter_damage</x:v>
      </x:c>
      <x:c r="P238" s="38" t="str">
        <x:v>07 形状07</x:v>
      </x:c>
      <x:c r="Q238" s="38" t="str">
        <x:v>Icy</x:v>
      </x:c>
      <x:c r="R238" s="38" t="str">
        <x:v>skill confirmed；来源=Reaching the Summit；攻击2格；仅保留来源商人/训练师关系。</x:v>
      </x:c>
      <x:c r="S238" s="38" t="n">
        <x:v>4</x:v>
      </x:c>
      <x:c r="T238" s="38" t="n">
        <x:v>2</x:v>
      </x:c>
      <x:c r="U238" s="15" t="str">
        <x:v>skill_vanguard,skill_flank,skill_pierce,skill_revolve,skill_chase,skill_break,skill_suppress,skill_finale</x:v>
      </x:c>
      <x:c r="V238" s="15" t="str">
        <x:v>trait_element_affinity</x:v>
      </x:c>
      <x:c r="W238" s="332" t="n">
        <x:f>XLOOKUP($D238&amp;"|"&amp;$E238&amp;"|"&amp;$F238,'PET_STAT_RULES'!$A$5:$A$88,'PET_STAT_RULES'!$E$5:$E$88)</x:f>
        <x:v>0</x:v>
      </x:c>
    </x:row>
    <x:row r="239">
      <x:c r="A239" s="38" t="str">
        <x:v>pal_238</x:v>
      </x:c>
      <x:c r="B239" s="38" t="str">
        <x:v>石甲兽</x:v>
      </x:c>
      <x:c r="C239" s="38" t="str">
        <x:v>地</x:v>
      </x:c>
      <x:c r="D239" s="259" t="str">
        <x:v>青铜</x:v>
      </x:c>
      <x:c r="E239" s="38" t="str">
        <x:v>坦克</x:v>
      </x:c>
      <x:c r="F239" s="38" t="str">
        <x:v>两格</x:v>
      </x:c>
      <x:c r="G239" s="38" t="str">
        <x:v>bz_van_238</x:v>
      </x:c>
      <x:c r="H239" s="38" t="str">
        <x:v>elem_水, elem_雷, elem_龙, elem_无, role_召唤铺场</x:v>
      </x:c>
      <x:c r="I239" s="38" t="n">
        <x:v>5</x:v>
      </x:c>
      <x:c r="J239" s="340" t="n">
        <x:f>XLOOKUP($D239&amp;"|"&amp;$E239&amp;"|"&amp;$F239,'PET_STAT_RULES'!$A$5:$A$88,'PET_STAT_RULES'!$C$5:$C$88)</x:f>
        <x:v>42</x:v>
      </x:c>
      <x:c r="K239" s="340" t="n">
        <x:f>XLOOKUP($D239&amp;"|"&amp;$E239&amp;"|"&amp;$F239,'PET_STAT_RULES'!$A$5:$A$88,'PET_STAT_RULES'!$D$5:$D$88)</x:f>
        <x:v>6</x:v>
      </x:c>
      <x:c r="L239" s="340" t="n">
        <x:f>XLOOKUP($D239&amp;"|"&amp;$E239&amp;"|"&amp;$F239,'PET_STAT_RULES'!$A$5:$A$88,'PET_STAT_RULES'!$F$5:$F$88)</x:f>
        <x:v>6</x:v>
      </x:c>
      <x:c r="M239" s="340" t="n">
        <x:f>XLOOKUP($D239&amp;"|"&amp;$E239&amp;"|"&amp;$F239,'PET_STAT_RULES'!$A$5:$A$88,'PET_STAT_RULES'!$G$5:$G$88)</x:f>
        <x:v>3</x:v>
      </x:c>
      <x:c r="N239" s="38" t="n">
        <x:v>1</x:v>
      </x:c>
      <x:c r="O239" s="38" t="str">
        <x:v>mech_armor_flat</x:v>
      </x:c>
      <x:c r="P239" s="38" t="str">
        <x:v>02 形状02</x:v>
      </x:c>
      <x:c r="Q239" s="38" t="str">
        <x:v>Shielded</x:v>
      </x:c>
      <x:c r="R239" s="38" t="str">
        <x:v>skill confirmed；来源=Rear Shielding；攻击1格；仅保留来源商人/训练师关系。</x:v>
      </x:c>
      <x:c r="S239" s="38" t="n">
        <x:v>3</x:v>
      </x:c>
      <x:c r="T239" s="38" t="n">
        <x:v>1</x:v>
      </x:c>
      <x:c r="U239" s="15" t="str">
        <x:v>skill_vanguard,skill_flank,skill_pierce,skill_revolve,skill_chase,skill_break,skill_suppress,skill_finale</x:v>
      </x:c>
      <x:c r="V239" s="15" t="str">
        <x:v>trait_combo_mastery</x:v>
      </x:c>
      <x:c r="W239" s="332" t="n">
        <x:f>XLOOKUP($D239&amp;"|"&amp;$E239&amp;"|"&amp;$F239,'PET_STAT_RULES'!$A$5:$A$88,'PET_STAT_RULES'!$E$5:$E$88)</x:f>
        <x:v>0</x:v>
      </x:c>
    </x:row>
    <x:row r="240">
      <x:c r="A240" s="38" t="str">
        <x:v>pal_239</x:v>
      </x:c>
      <x:c r="B240" s="38" t="str">
        <x:v>沧鹤神</x:v>
      </x:c>
      <x:c r="C240" s="38" t="str">
        <x:v>水、地</x:v>
      </x:c>
      <x:c r="D240" s="268" t="str">
        <x:v>钻石</x:v>
      </x:c>
      <x:c r="E240" s="38" t="str">
        <x:v>治疗</x:v>
      </x:c>
      <x:c r="F240" s="38" t="str">
        <x:v>两格</x:v>
      </x:c>
      <x:c r="G240" s="38" t="str">
        <x:v>bz_van_239</x:v>
      </x:c>
      <x:c r="H240" s="38" t="str">
        <x:v>elem_水, elem_地, elem_龙</x:v>
      </x:c>
      <x:c r="I240" s="38" t="n">
        <x:v>3</x:v>
      </x:c>
      <x:c r="J240" s="340" t="n">
        <x:f>XLOOKUP($D240&amp;"|"&amp;$E240&amp;"|"&amp;$F240,'PET_STAT_RULES'!$A$5:$A$88,'PET_STAT_RULES'!$C$5:$C$88)</x:f>
        <x:v>70</x:v>
      </x:c>
      <x:c r="K240" s="340" t="n">
        <x:f>XLOOKUP($D240&amp;"|"&amp;$E240&amp;"|"&amp;$F240,'PET_STAT_RULES'!$A$5:$A$88,'PET_STAT_RULES'!$D$5:$D$88)</x:f>
        <x:v>24</x:v>
      </x:c>
      <x:c r="L240" s="340" t="n">
        <x:f>XLOOKUP($D240&amp;"|"&amp;$E240&amp;"|"&amp;$F240,'PET_STAT_RULES'!$A$5:$A$88,'PET_STAT_RULES'!$F$5:$F$88)</x:f>
        <x:v>8</x:v>
      </x:c>
      <x:c r="M240" s="340" t="n">
        <x:f>XLOOKUP($D240&amp;"|"&amp;$E240&amp;"|"&amp;$F240,'PET_STAT_RULES'!$A$5:$A$88,'PET_STAT_RULES'!$G$5:$G$88)</x:f>
        <x:v>3</x:v>
      </x:c>
      <x:c r="N240" s="38" t="n">
        <x:v>3</x:v>
      </x:c>
      <x:c r="O240" s="38" t="str">
        <x:v>mech_shield_regen</x:v>
      </x:c>
      <x:c r="P240" s="38" t="str">
        <x:v>13 形状13</x:v>
      </x:c>
      <x:c r="Q240" s="38" t="str">
        <x:v>Turbo</x:v>
      </x:c>
      <x:c r="R240" s="38" t="str">
        <x:v>skill confirmed；来源=Reel 'Em In；攻击3格；仅保留来源商人/训练师关系。</x:v>
      </x:c>
      <x:c r="S240" s="38" t="n">
        <x:v>3</x:v>
      </x:c>
      <x:c r="T240" s="38" t="n">
        <x:v>3</x:v>
      </x:c>
      <x:c r="U240" s="15" t="str">
        <x:v>skill_vanguard,skill_flank,skill_pierce,skill_revolve,skill_chase,skill_break,skill_suppress,skill_finale</x:v>
      </x:c>
      <x:c r="V240" s="15" t="str">
        <x:v>trait_element_affinity</x:v>
      </x:c>
      <x:c r="W240" s="332" t="n">
        <x:f>XLOOKUP($D240&amp;"|"&amp;$E240&amp;"|"&amp;$F240,'PET_STAT_RULES'!$A$5:$A$88,'PET_STAT_RULES'!$E$5:$E$88)</x:f>
        <x:v>0</x:v>
      </x:c>
    </x:row>
    <x:row r="241">
      <x:c r="A241" s="38" t="str">
        <x:v>pal_240</x:v>
      </x:c>
      <x:c r="B241" s="38" t="str">
        <x:v>碧蚌将</x:v>
      </x:c>
      <x:c r="C241" s="38" t="str">
        <x:v>水</x:v>
      </x:c>
      <x:c r="D241" s="265" t="str">
        <x:v>白银</x:v>
      </x:c>
      <x:c r="E241" s="38" t="str">
        <x:v>治疗</x:v>
      </x:c>
      <x:c r="F241" s="38" t="str">
        <x:v>两格</x:v>
      </x:c>
      <x:c r="G241" s="38" t="str">
        <x:v>bz_van_240</x:v>
      </x:c>
      <x:c r="H241" s="38" t="str">
        <x:v>elem_水, elem_雷, elem_龙, elem_无, tier_pT2</x:v>
      </x:c>
      <x:c r="I241" s="38" t="n">
        <x:v>5</x:v>
      </x:c>
      <x:c r="J241" s="340" t="n">
        <x:f>XLOOKUP($D241&amp;"|"&amp;$E241&amp;"|"&amp;$F241,'PET_STAT_RULES'!$A$5:$A$88,'PET_STAT_RULES'!$C$5:$C$88)</x:f>
        <x:v>46</x:v>
      </x:c>
      <x:c r="K241" s="340" t="n">
        <x:f>XLOOKUP($D241&amp;"|"&amp;$E241&amp;"|"&amp;$F241,'PET_STAT_RULES'!$A$5:$A$88,'PET_STAT_RULES'!$D$5:$D$88)</x:f>
        <x:v>12</x:v>
      </x:c>
      <x:c r="L241" s="340" t="n">
        <x:f>XLOOKUP($D241&amp;"|"&amp;$E241&amp;"|"&amp;$F241,'PET_STAT_RULES'!$A$5:$A$88,'PET_STAT_RULES'!$F$5:$F$88)</x:f>
        <x:v>4</x:v>
      </x:c>
      <x:c r="M241" s="340" t="n">
        <x:f>XLOOKUP($D241&amp;"|"&amp;$E241&amp;"|"&amp;$F241,'PET_STAT_RULES'!$A$5:$A$88,'PET_STAT_RULES'!$G$5:$G$88)</x:f>
        <x:v>3</x:v>
      </x:c>
      <x:c r="N241" s="38" t="n">
        <x:v>2</x:v>
      </x:c>
      <x:c r="O241" s="38" t="str">
        <x:v>mech_shield_regen</x:v>
      </x:c>
      <x:c r="P241" s="38" t="str">
        <x:v>11 形状11</x:v>
      </x:c>
      <x:c r="Q241" s="38" t="str">
        <x:v>Mossy</x:v>
      </x:c>
      <x:c r="R241" s="38" t="str">
        <x:v>skill confirmed；来源=Regenerative；攻击2格；仅保留来源商人/训练师关系。</x:v>
      </x:c>
      <x:c r="S241" s="38" t="n">
        <x:v>3</x:v>
      </x:c>
      <x:c r="T241" s="38" t="n">
        <x:v>2</x:v>
      </x:c>
      <x:c r="U241" s="15" t="str">
        <x:v>skill_vanguard,skill_flank,skill_pierce,skill_revolve,skill_chase,skill_break,skill_suppress,skill_finale</x:v>
      </x:c>
      <x:c r="V241" s="15" t="str">
        <x:v>trait_element_affinity</x:v>
      </x:c>
      <x:c r="W241" s="332" t="n">
        <x:f>XLOOKUP($D241&amp;"|"&amp;$E241&amp;"|"&amp;$F241,'PET_STAT_RULES'!$A$5:$A$88,'PET_STAT_RULES'!$E$5:$E$88)</x:f>
        <x:v>0</x:v>
      </x:c>
    </x:row>
    <x:row r="242">
      <x:c r="A242" s="38" t="str">
        <x:v>pal_241</x:v>
      </x:c>
      <x:c r="B242" s="38" t="str">
        <x:v>墨蝎王</x:v>
      </x:c>
      <x:c r="C242" s="38" t="str">
        <x:v>暗</x:v>
      </x:c>
      <x:c r="D242" s="262" t="str">
        <x:v>黄金</x:v>
      </x:c>
      <x:c r="E242" s="38" t="str">
        <x:v>控制</x:v>
      </x:c>
      <x:c r="F242" s="38" t="str">
        <x:v>两格</x:v>
      </x:c>
      <x:c r="G242" s="38" t="str">
        <x:v>bz_van_241</x:v>
      </x:c>
      <x:c r="H242" s="38" t="str">
        <x:v>elem_水, elem_龙, elem_无</x:v>
      </x:c>
      <x:c r="I242" s="38" t="n">
        <x:v>3</x:v>
      </x:c>
      <x:c r="J242" s="340" t="n">
        <x:f>XLOOKUP($D242&amp;"|"&amp;$E242&amp;"|"&amp;$F242,'PET_STAT_RULES'!$A$5:$A$88,'PET_STAT_RULES'!$C$5:$C$88)</x:f>
        <x:v>56</x:v>
      </x:c>
      <x:c r="K242" s="340" t="n">
        <x:f>XLOOKUP($D242&amp;"|"&amp;$E242&amp;"|"&amp;$F242,'PET_STAT_RULES'!$A$5:$A$88,'PET_STAT_RULES'!$D$5:$D$88)</x:f>
        <x:v>20</x:v>
      </x:c>
      <x:c r="L242" s="340" t="n">
        <x:f>XLOOKUP($D242&amp;"|"&amp;$E242&amp;"|"&amp;$F242,'PET_STAT_RULES'!$A$5:$A$88,'PET_STAT_RULES'!$F$5:$F$88)</x:f>
        <x:v>0</x:v>
      </x:c>
      <x:c r="M242" s="340" t="n">
        <x:f>XLOOKUP($D242&amp;"|"&amp;$E242&amp;"|"&amp;$F242,'PET_STAT_RULES'!$A$5:$A$88,'PET_STAT_RULES'!$G$5:$G$88)</x:f>
        <x:v>4</x:v>
      </x:c>
      <x:c r="N242" s="38" t="n">
        <x:v>2</x:v>
      </x:c>
      <x:c r="O242" s="38" t="str">
        <x:v>mech_death_explosion</x:v>
      </x:c>
      <x:c r="P242" s="38" t="str">
        <x:v>06 形状06</x:v>
      </x:c>
      <x:c r="Q242" s="38" t="str">
        <x:v>Obsidian</x:v>
      </x:c>
      <x:c r="R242" s="38" t="str">
        <x:v>skill confirmed；来源=Repair Mechanic；攻击2格；仅保留来源商人/训练师关系。</x:v>
      </x:c>
      <x:c r="S242" s="38" t="n">
        <x:v>4</x:v>
      </x:c>
      <x:c r="T242" s="38" t="n">
        <x:v>2</x:v>
      </x:c>
      <x:c r="U242" s="15" t="str">
        <x:v>skill_vanguard,skill_flank,skill_pierce,skill_revolve,skill_chase,skill_break,skill_suppress,skill_finale</x:v>
      </x:c>
      <x:c r="V242" s="15" t="str">
        <x:v>trait_element_affinity</x:v>
      </x:c>
      <x:c r="W242" s="332" t="n">
        <x:f>XLOOKUP($D242&amp;"|"&amp;$E242&amp;"|"&amp;$F242,'PET_STAT_RULES'!$A$5:$A$88,'PET_STAT_RULES'!$E$5:$E$88)</x:f>
        <x:v>0</x:v>
      </x:c>
    </x:row>
    <x:row r="243">
      <x:c r="A243" s="38" t="str">
        <x:v>pal_242</x:v>
      </x:c>
      <x:c r="B243" s="38" t="str">
        <x:v>鸣螳仔</x:v>
      </x:c>
      <x:c r="C243" s="38" t="str">
        <x:v>雷</x:v>
      </x:c>
      <x:c r="D243" s="259" t="str">
        <x:v>青铜</x:v>
      </x:c>
      <x:c r="E243" s="38" t="str">
        <x:v>输出</x:v>
      </x:c>
      <x:c r="F243" s="38" t="str">
        <x:v>两格</x:v>
      </x:c>
      <x:c r="G243" s="38" t="str">
        <x:v>bz_van_242</x:v>
      </x:c>
      <x:c r="H243" s="38" t="str">
        <x:v>elem_水, elem_雷, elem_龙, elem_无, role_召唤</x:v>
      </x:c>
      <x:c r="I243" s="38" t="n">
        <x:v>5</x:v>
      </x:c>
      <x:c r="J243" s="340" t="n">
        <x:f>XLOOKUP($D243&amp;"|"&amp;$E243&amp;"|"&amp;$F243,'PET_STAT_RULES'!$A$5:$A$88,'PET_STAT_RULES'!$C$5:$C$88)</x:f>
        <x:v>28</x:v>
      </x:c>
      <x:c r="K243" s="340" t="n">
        <x:f>XLOOKUP($D243&amp;"|"&amp;$E243&amp;"|"&amp;$F243,'PET_STAT_RULES'!$A$5:$A$88,'PET_STAT_RULES'!$D$5:$D$88)</x:f>
        <x:v>12</x:v>
      </x:c>
      <x:c r="L243" s="340" t="n">
        <x:f>XLOOKUP($D243&amp;"|"&amp;$E243&amp;"|"&amp;$F243,'PET_STAT_RULES'!$A$5:$A$88,'PET_STAT_RULES'!$F$5:$F$88)</x:f>
        <x:v>0</x:v>
      </x:c>
      <x:c r="M243" s="340" t="n">
        <x:f>XLOOKUP($D243&amp;"|"&amp;$E243&amp;"|"&amp;$F243,'PET_STAT_RULES'!$A$5:$A$88,'PET_STAT_RULES'!$G$5:$G$88)</x:f>
        <x:v>3</x:v>
      </x:c>
      <x:c r="N243" s="38" t="n">
        <x:v>1</x:v>
      </x:c>
      <x:c r="O243" s="38" t="str">
        <x:v>mech_grow_atk_each_round</x:v>
      </x:c>
      <x:c r="P243" s="38" t="str">
        <x:v>02 形状02</x:v>
      </x:c>
      <x:c r="Q243" s="38" t="str">
        <x:v>Deadly</x:v>
      </x:c>
      <x:c r="R243" s="38" t="str">
        <x:v>skill confirmed；来源=Right Eye；攻击1格；仅保留来源商人/训练师关系。</x:v>
      </x:c>
      <x:c r="S243" s="38" t="n">
        <x:v>3</x:v>
      </x:c>
      <x:c r="T243" s="38" t="n">
        <x:v>1</x:v>
      </x:c>
      <x:c r="U243" s="15" t="str">
        <x:v>skill_vanguard,skill_flank,skill_pierce,skill_revolve,skill_chase,skill_break,skill_suppress,skill_finale</x:v>
      </x:c>
      <x:c r="V243" s="15" t="str">
        <x:v>trait_relentless</x:v>
      </x:c>
      <x:c r="W243" s="332" t="n">
        <x:f>XLOOKUP($D243&amp;"|"&amp;$E243&amp;"|"&amp;$F243,'PET_STAT_RULES'!$A$5:$A$88,'PET_STAT_RULES'!$E$5:$E$88)</x:f>
        <x:v>0</x:v>
      </x:c>
    </x:row>
    <x:row r="244">
      <x:c r="A244" s="38" t="str">
        <x:v>pal_243</x:v>
      </x:c>
      <x:c r="B244" s="38" t="str">
        <x:v>岩豹兽</x:v>
      </x:c>
      <x:c r="C244" s="38" t="str">
        <x:v>地</x:v>
      </x:c>
      <x:c r="D244" s="259" t="str">
        <x:v>青铜</x:v>
      </x:c>
      <x:c r="E244" s="38" t="str">
        <x:v>输出</x:v>
      </x:c>
      <x:c r="F244" s="38" t="str">
        <x:v>两格</x:v>
      </x:c>
      <x:c r="G244" s="38" t="str">
        <x:v>bz_van_243</x:v>
      </x:c>
      <x:c r="H244" s="38" t="str">
        <x:v>elem_水, elem_雷, elem_龙, elem_无, role_坦克</x:v>
      </x:c>
      <x:c r="I244" s="38" t="n">
        <x:v>5</x:v>
      </x:c>
      <x:c r="J244" s="340" t="n">
        <x:f>XLOOKUP($D244&amp;"|"&amp;$E244&amp;"|"&amp;$F244,'PET_STAT_RULES'!$A$5:$A$88,'PET_STAT_RULES'!$C$5:$C$88)</x:f>
        <x:v>28</x:v>
      </x:c>
      <x:c r="K244" s="340" t="n">
        <x:f>XLOOKUP($D244&amp;"|"&amp;$E244&amp;"|"&amp;$F244,'PET_STAT_RULES'!$A$5:$A$88,'PET_STAT_RULES'!$D$5:$D$88)</x:f>
        <x:v>12</x:v>
      </x:c>
      <x:c r="L244" s="340" t="n">
        <x:f>XLOOKUP($D244&amp;"|"&amp;$E244&amp;"|"&amp;$F244,'PET_STAT_RULES'!$A$5:$A$88,'PET_STAT_RULES'!$F$5:$F$88)</x:f>
        <x:v>0</x:v>
      </x:c>
      <x:c r="M244" s="340" t="n">
        <x:f>XLOOKUP($D244&amp;"|"&amp;$E244&amp;"|"&amp;$F244,'PET_STAT_RULES'!$A$5:$A$88,'PET_STAT_RULES'!$G$5:$G$88)</x:f>
        <x:v>3</x:v>
      </x:c>
      <x:c r="N244" s="38" t="n">
        <x:v>1</x:v>
      </x:c>
      <x:c r="O244" s="38" t="str">
        <x:v>mech_grow_atk_each_round</x:v>
      </x:c>
      <x:c r="P244" s="38" t="str">
        <x:v>01 形状01</x:v>
      </x:c>
      <x:c r="Q244" s="38" t="str">
        <x:v>Deadly</x:v>
      </x:c>
      <x:c r="R244" s="38" t="str">
        <x:v>skill confirmed；来源=Right-Handed；攻击1格；仅保留来源商人/训练师关系。</x:v>
      </x:c>
      <x:c r="S244" s="38" t="n">
        <x:v>3</x:v>
      </x:c>
      <x:c r="T244" s="38" t="n">
        <x:v>1</x:v>
      </x:c>
      <x:c r="U244" s="15" t="str">
        <x:v>skill_vanguard,skill_flank,skill_pierce,skill_revolve,skill_chase,skill_break,skill_suppress,skill_finale</x:v>
      </x:c>
      <x:c r="V244" s="15" t="str">
        <x:v>trait_relentless</x:v>
      </x:c>
      <x:c r="W244" s="332" t="n">
        <x:f>XLOOKUP($D244&amp;"|"&amp;$E244&amp;"|"&amp;$F244,'PET_STAT_RULES'!$A$5:$A$88,'PET_STAT_RULES'!$E$5:$E$88)</x:f>
        <x:v>0</x:v>
      </x:c>
    </x:row>
    <x:row r="245">
      <x:c r="A245" s="38" t="str">
        <x:v>pal_244</x:v>
      </x:c>
      <x:c r="B245" s="38" t="str">
        <x:v>雷蛛妖</x:v>
      </x:c>
      <x:c r="C245" s="38" t="str">
        <x:v>雷</x:v>
      </x:c>
      <x:c r="D245" s="265" t="str">
        <x:v>白银</x:v>
      </x:c>
      <x:c r="E245" s="38" t="str">
        <x:v>控制</x:v>
      </x:c>
      <x:c r="F245" s="38" t="str">
        <x:v>两格</x:v>
      </x:c>
      <x:c r="G245" s="38" t="str">
        <x:v>bz_van_244</x:v>
      </x:c>
      <x:c r="H245" s="38" t="str">
        <x:v>elem_水, elem_雷, elem_龙, elem_无, role_经济, special_merchant</x:v>
      </x:c>
      <x:c r="I245" s="38" t="n">
        <x:v>6</x:v>
      </x:c>
      <x:c r="J245" s="340" t="n">
        <x:f>XLOOKUP($D245&amp;"|"&amp;$E245&amp;"|"&amp;$F245,'PET_STAT_RULES'!$A$5:$A$88,'PET_STAT_RULES'!$C$5:$C$88)</x:f>
        <x:v>44</x:v>
      </x:c>
      <x:c r="K245" s="340" t="n">
        <x:f>XLOOKUP($D245&amp;"|"&amp;$E245&amp;"|"&amp;$F245,'PET_STAT_RULES'!$A$5:$A$88,'PET_STAT_RULES'!$D$5:$D$88)</x:f>
        <x:v>14</x:v>
      </x:c>
      <x:c r="L245" s="340" t="n">
        <x:f>XLOOKUP($D245&amp;"|"&amp;$E245&amp;"|"&amp;$F245,'PET_STAT_RULES'!$A$5:$A$88,'PET_STAT_RULES'!$F$5:$F$88)</x:f>
        <x:v>0</x:v>
      </x:c>
      <x:c r="M245" s="340" t="n">
        <x:f>XLOOKUP($D245&amp;"|"&amp;$E245&amp;"|"&amp;$F245,'PET_STAT_RULES'!$A$5:$A$88,'PET_STAT_RULES'!$G$5:$G$88)</x:f>
        <x:v>4</x:v>
      </x:c>
      <x:c r="N245" s="38" t="n">
        <x:v>2</x:v>
      </x:c>
      <x:c r="O245" s="38" t="str">
        <x:v>mech_counter_damage</x:v>
      </x:c>
      <x:c r="P245" s="38" t="str">
        <x:v>09 形状09</x:v>
      </x:c>
      <x:c r="Q245" s="38" t="str">
        <x:v>Icy</x:v>
      </x:c>
      <x:c r="R245" s="38" t="str">
        <x:v>skill confirmed；来源=Righty Tighty；攻击2格；仅保留来源商人/训练师关系。</x:v>
      </x:c>
      <x:c r="S245" s="38" t="n">
        <x:v>4</x:v>
      </x:c>
      <x:c r="T245" s="38" t="n">
        <x:v>2</x:v>
      </x:c>
      <x:c r="U245" s="15" t="str">
        <x:v>skill_vanguard,skill_flank,skill_pierce,skill_revolve,skill_chase,skill_break,skill_suppress,skill_finale</x:v>
      </x:c>
      <x:c r="V245" s="15" t="str">
        <x:v>trait_element_affinity</x:v>
      </x:c>
      <x:c r="W245" s="332" t="n">
        <x:f>XLOOKUP($D245&amp;"|"&amp;$E245&amp;"|"&amp;$F245,'PET_STAT_RULES'!$A$5:$A$88,'PET_STAT_RULES'!$E$5:$E$88)</x:f>
        <x:v>0</x:v>
      </x:c>
    </x:row>
    <x:row r="246">
      <x:c r="A246" s="38" t="str">
        <x:v>pal_245</x:v>
      </x:c>
      <x:c r="B246" s="38" t="str">
        <x:v>角蛙君</x:v>
      </x:c>
      <x:c r="C246" s="38" t="str">
        <x:v>龙</x:v>
      </x:c>
      <x:c r="D246" s="262" t="str">
        <x:v>黄金</x:v>
      </x:c>
      <x:c r="E246" s="38" t="str">
        <x:v>控制</x:v>
      </x:c>
      <x:c r="F246" s="38" t="str">
        <x:v>两格</x:v>
      </x:c>
      <x:c r="G246" s="38" t="str">
        <x:v>bz_van_245</x:v>
      </x:c>
      <x:c r="H246" s="38" t="str">
        <x:v>elem_水, elem_龙, elem_无, role_经济</x:v>
      </x:c>
      <x:c r="I246" s="38" t="n">
        <x:v>4</x:v>
      </x:c>
      <x:c r="J246" s="340" t="n">
        <x:f>XLOOKUP($D246&amp;"|"&amp;$E246&amp;"|"&amp;$F246,'PET_STAT_RULES'!$A$5:$A$88,'PET_STAT_RULES'!$C$5:$C$88)</x:f>
        <x:v>56</x:v>
      </x:c>
      <x:c r="K246" s="340" t="n">
        <x:f>XLOOKUP($D246&amp;"|"&amp;$E246&amp;"|"&amp;$F246,'PET_STAT_RULES'!$A$5:$A$88,'PET_STAT_RULES'!$D$5:$D$88)</x:f>
        <x:v>20</x:v>
      </x:c>
      <x:c r="L246" s="340" t="n">
        <x:f>XLOOKUP($D246&amp;"|"&amp;$E246&amp;"|"&amp;$F246,'PET_STAT_RULES'!$A$5:$A$88,'PET_STAT_RULES'!$F$5:$F$88)</x:f>
        <x:v>0</x:v>
      </x:c>
      <x:c r="M246" s="340" t="n">
        <x:f>XLOOKUP($D246&amp;"|"&amp;$E246&amp;"|"&amp;$F246,'PET_STAT_RULES'!$A$5:$A$88,'PET_STAT_RULES'!$G$5:$G$88)</x:f>
        <x:v>4</x:v>
      </x:c>
      <x:c r="N246" s="38" t="n">
        <x:v>2</x:v>
      </x:c>
      <x:c r="O246" s="38" t="str">
        <x:v>mech_counter_damage</x:v>
      </x:c>
      <x:c r="P246" s="38" t="str">
        <x:v>10 形状10</x:v>
      </x:c>
      <x:c r="Q246" s="38" t="str">
        <x:v>Icy</x:v>
      </x:c>
      <x:c r="R246" s="38" t="str">
        <x:v>skill confirmed；来源=Sabotage；攻击2格；仅保留来源商人/训练师关系。</x:v>
      </x:c>
      <x:c r="S246" s="38" t="n">
        <x:v>4</x:v>
      </x:c>
      <x:c r="T246" s="38" t="n">
        <x:v>2</x:v>
      </x:c>
      <x:c r="U246" s="15" t="str">
        <x:v>skill_vanguard,skill_flank,skill_pierce,skill_revolve,skill_chase,skill_break,skill_suppress,skill_finale</x:v>
      </x:c>
      <x:c r="V246" s="15" t="str">
        <x:v>trait_element_affinity</x:v>
      </x:c>
      <x:c r="W246" s="332" t="n">
        <x:f>XLOOKUP($D246&amp;"|"&amp;$E246&amp;"|"&amp;$F246,'PET_STAT_RULES'!$A$5:$A$88,'PET_STAT_RULES'!$E$5:$E$88)</x:f>
        <x:v>0</x:v>
      </x:c>
    </x:row>
    <x:row r="247">
      <x:c r="A247" s="38" t="str">
        <x:v>pal_246</x:v>
      </x:c>
      <x:c r="B247" s="38" t="str">
        <x:v>燎隼精</x:v>
      </x:c>
      <x:c r="C247" s="38" t="str">
        <x:v>火</x:v>
      </x:c>
      <x:c r="D247" s="265" t="str">
        <x:v>白银</x:v>
      </x:c>
      <x:c r="E247" s="38" t="str">
        <x:v>机动</x:v>
      </x:c>
      <x:c r="F247" s="38" t="str">
        <x:v>两格</x:v>
      </x:c>
      <x:c r="G247" s="38" t="str">
        <x:v>bz_van_246</x:v>
      </x:c>
      <x:c r="H247" s="38" t="str">
        <x:v>elem_水, elem_雷, elem_龙, elem_无, role_治疗, special_merchant</x:v>
      </x:c>
      <x:c r="I247" s="38" t="n">
        <x:v>6</x:v>
      </x:c>
      <x:c r="J247" s="340" t="n">
        <x:f>XLOOKUP($D247&amp;"|"&amp;$E247&amp;"|"&amp;$F247,'PET_STAT_RULES'!$A$5:$A$88,'PET_STAT_RULES'!$C$5:$C$88)</x:f>
        <x:v>40</x:v>
      </x:c>
      <x:c r="K247" s="340" t="n">
        <x:f>XLOOKUP($D247&amp;"|"&amp;$E247&amp;"|"&amp;$F247,'PET_STAT_RULES'!$A$5:$A$88,'PET_STAT_RULES'!$D$5:$D$88)</x:f>
        <x:v>12</x:v>
      </x:c>
      <x:c r="L247" s="340" t="n">
        <x:f>XLOOKUP($D247&amp;"|"&amp;$E247&amp;"|"&amp;$F247,'PET_STAT_RULES'!$A$5:$A$88,'PET_STAT_RULES'!$F$5:$F$88)</x:f>
        <x:v>0</x:v>
      </x:c>
      <x:c r="M247" s="340" t="n">
        <x:f>XLOOKUP($D247&amp;"|"&amp;$E247&amp;"|"&amp;$F247,'PET_STAT_RULES'!$A$5:$A$88,'PET_STAT_RULES'!$G$5:$G$88)</x:f>
        <x:v>5</x:v>
      </x:c>
      <x:c r="N247" s="38" t="n">
        <x:v>2</x:v>
      </x:c>
      <x:c r="O247" s="38" t="str">
        <x:v>mech_fire_ignite_bonus</x:v>
      </x:c>
      <x:c r="P247" s="38" t="str">
        <x:v>10 形状10</x:v>
      </x:c>
      <x:c r="Q247" s="38" t="str">
        <x:v>Fiery</x:v>
      </x:c>
      <x:c r="R247" s="38" t="str">
        <x:v>skill confirmed；来源=Searing Flames；攻击2格；仅保留来源商人/训练师关系。</x:v>
      </x:c>
      <x:c r="S247" s="38" t="n">
        <x:v>5</x:v>
      </x:c>
      <x:c r="T247" s="38" t="n">
        <x:v>2</x:v>
      </x:c>
      <x:c r="U247" s="15" t="str">
        <x:v>skill_vanguard,skill_flank,skill_pierce,skill_revolve,skill_chase,skill_break,skill_suppress,skill_finale</x:v>
      </x:c>
      <x:c r="V247" s="15" t="str">
        <x:v>trait_relentless</x:v>
      </x:c>
      <x:c r="W247" s="332" t="n">
        <x:f>XLOOKUP($D247&amp;"|"&amp;$E247&amp;"|"&amp;$F247,'PET_STAT_RULES'!$A$5:$A$88,'PET_STAT_RULES'!$E$5:$E$88)</x:f>
        <x:v>0</x:v>
      </x:c>
    </x:row>
    <x:row r="248">
      <x:c r="A248" s="38" t="str">
        <x:v>pal_247</x:v>
      </x:c>
      <x:c r="B248" s="38" t="str">
        <x:v>潮羊卫</x:v>
      </x:c>
      <x:c r="C248" s="38" t="str">
        <x:v>水、地</x:v>
      </x:c>
      <x:c r="D248" s="265" t="str">
        <x:v>白银</x:v>
      </x:c>
      <x:c r="E248" s="38" t="str">
        <x:v>治疗</x:v>
      </x:c>
      <x:c r="F248" s="38" t="str">
        <x:v>两格</x:v>
      </x:c>
      <x:c r="G248" s="38" t="str">
        <x:v>bz_van_247</x:v>
      </x:c>
      <x:c r="H248" s="38" t="str">
        <x:v>elem_水, elem_雷, elem_龙, elem_无, tier_pT2</x:v>
      </x:c>
      <x:c r="I248" s="38" t="n">
        <x:v>5</x:v>
      </x:c>
      <x:c r="J248" s="340" t="n">
        <x:f>XLOOKUP($D248&amp;"|"&amp;$E248&amp;"|"&amp;$F248,'PET_STAT_RULES'!$A$5:$A$88,'PET_STAT_RULES'!$C$5:$C$88)</x:f>
        <x:v>46</x:v>
      </x:c>
      <x:c r="K248" s="340" t="n">
        <x:f>XLOOKUP($D248&amp;"|"&amp;$E248&amp;"|"&amp;$F248,'PET_STAT_RULES'!$A$5:$A$88,'PET_STAT_RULES'!$D$5:$D$88)</x:f>
        <x:v>12</x:v>
      </x:c>
      <x:c r="L248" s="340" t="n">
        <x:f>XLOOKUP($D248&amp;"|"&amp;$E248&amp;"|"&amp;$F248,'PET_STAT_RULES'!$A$5:$A$88,'PET_STAT_RULES'!$F$5:$F$88)</x:f>
        <x:v>4</x:v>
      </x:c>
      <x:c r="M248" s="340" t="n">
        <x:f>XLOOKUP($D248&amp;"|"&amp;$E248&amp;"|"&amp;$F248,'PET_STAT_RULES'!$A$5:$A$88,'PET_STAT_RULES'!$G$5:$G$88)</x:f>
        <x:v>3</x:v>
      </x:c>
      <x:c r="N248" s="38" t="n">
        <x:v>2</x:v>
      </x:c>
      <x:c r="O248" s="38" t="str">
        <x:v>mech_shield_regen</x:v>
      </x:c>
      <x:c r="P248" s="38" t="str">
        <x:v>11 形状11</x:v>
      </x:c>
      <x:c r="Q248" s="38" t="str">
        <x:v>Restorative</x:v>
      </x:c>
      <x:c r="R248" s="38" t="str">
        <x:v>skill confirmed；来源=Second Wind；攻击2格；仅保留来源商人/训练师关系。</x:v>
      </x:c>
      <x:c r="S248" s="38" t="n">
        <x:v>3</x:v>
      </x:c>
      <x:c r="T248" s="38" t="n">
        <x:v>2</x:v>
      </x:c>
      <x:c r="U248" s="15" t="str">
        <x:v>skill_vanguard,skill_flank,skill_pierce,skill_revolve,skill_chase,skill_break,skill_suppress,skill_finale</x:v>
      </x:c>
      <x:c r="V248" s="15" t="str">
        <x:v>trait_element_affinity</x:v>
      </x:c>
      <x:c r="W248" s="332" t="n">
        <x:f>XLOOKUP($D248&amp;"|"&amp;$E248&amp;"|"&amp;$F248,'PET_STAT_RULES'!$A$5:$A$88,'PET_STAT_RULES'!$E$5:$E$88)</x:f>
        <x:v>0</x:v>
      </x:c>
    </x:row>
    <x:row r="249">
      <x:c r="A249" s="38" t="str">
        <x:v>pal_248</x:v>
      </x:c>
      <x:c r="B249" s="38" t="str">
        <x:v>岳熊精</x:v>
      </x:c>
      <x:c r="C249" s="38" t="str">
        <x:v>地</x:v>
      </x:c>
      <x:c r="D249" s="265" t="str">
        <x:v>白银</x:v>
      </x:c>
      <x:c r="E249" s="38" t="str">
        <x:v>坦克</x:v>
      </x:c>
      <x:c r="F249" s="38" t="str">
        <x:v>两格</x:v>
      </x:c>
      <x:c r="G249" s="38" t="str">
        <x:v>bz_van_248</x:v>
      </x:c>
      <x:c r="H249" s="38" t="str">
        <x:v>elem_水, elem_雷, elem_龙, elem_无, role_坦克, role_召唤铺场</x:v>
      </x:c>
      <x:c r="I249" s="38" t="n">
        <x:v>6</x:v>
      </x:c>
      <x:c r="J249" s="340" t="n">
        <x:f>XLOOKUP($D249&amp;"|"&amp;$E249&amp;"|"&amp;$F249,'PET_STAT_RULES'!$A$5:$A$88,'PET_STAT_RULES'!$C$5:$C$88)</x:f>
        <x:v>54</x:v>
      </x:c>
      <x:c r="K249" s="340" t="n">
        <x:f>XLOOKUP($D249&amp;"|"&amp;$E249&amp;"|"&amp;$F249,'PET_STAT_RULES'!$A$5:$A$88,'PET_STAT_RULES'!$D$5:$D$88)</x:f>
        <x:v>12</x:v>
      </x:c>
      <x:c r="L249" s="340" t="n">
        <x:f>XLOOKUP($D249&amp;"|"&amp;$E249&amp;"|"&amp;$F249,'PET_STAT_RULES'!$A$5:$A$88,'PET_STAT_RULES'!$F$5:$F$88)</x:f>
        <x:v>10</x:v>
      </x:c>
      <x:c r="M249" s="340" t="n">
        <x:f>XLOOKUP($D249&amp;"|"&amp;$E249&amp;"|"&amp;$F249,'PET_STAT_RULES'!$A$5:$A$88,'PET_STAT_RULES'!$G$5:$G$88)</x:f>
        <x:v>3</x:v>
      </x:c>
      <x:c r="N249" s="38" t="n">
        <x:v>2</x:v>
      </x:c>
      <x:c r="O249" s="38" t="str">
        <x:v>mech_armor_flat</x:v>
      </x:c>
      <x:c r="P249" s="38" t="str">
        <x:v>09 形状09</x:v>
      </x:c>
      <x:c r="Q249" s="38" t="str">
        <x:v>Shielded</x:v>
      </x:c>
      <x:c r="R249" s="38" t="str">
        <x:v>skill confirmed；来源=Sharp Corners；攻击2格；仅保留来源商人/训练师关系。</x:v>
      </x:c>
      <x:c r="S249" s="38" t="n">
        <x:v>3</x:v>
      </x:c>
      <x:c r="T249" s="38" t="n">
        <x:v>2</x:v>
      </x:c>
      <x:c r="U249" s="15" t="str">
        <x:v>skill_vanguard,skill_flank,skill_pierce,skill_revolve,skill_chase,skill_break,skill_suppress,skill_finale</x:v>
      </x:c>
      <x:c r="V249" s="15" t="str">
        <x:v>trait_combo_mastery</x:v>
      </x:c>
      <x:c r="W249" s="332" t="n">
        <x:f>XLOOKUP($D249&amp;"|"&amp;$E249&amp;"|"&amp;$F249,'PET_STAT_RULES'!$A$5:$A$88,'PET_STAT_RULES'!$E$5:$E$88)</x:f>
        <x:v>0</x:v>
      </x:c>
    </x:row>
    <x:row r="250">
      <x:c r="A250" s="38" t="str">
        <x:v>pal_249</x:v>
      </x:c>
      <x:c r="B250" s="38" t="str">
        <x:v>霆鲨皇</x:v>
      </x:c>
      <x:c r="C250" s="38" t="str">
        <x:v>雷</x:v>
      </x:c>
      <x:c r="D250" s="268" t="str">
        <x:v>钻石</x:v>
      </x:c>
      <x:c r="E250" s="38" t="str">
        <x:v>输出</x:v>
      </x:c>
      <x:c r="F250" s="38" t="str">
        <x:v>两格</x:v>
      </x:c>
      <x:c r="G250" s="38" t="str">
        <x:v>bz_van_249</x:v>
      </x:c>
      <x:c r="H250" s="38" t="str">
        <x:v>elem_水, elem_龙, role_召唤, role_坦克</x:v>
      </x:c>
      <x:c r="I250" s="38" t="n">
        <x:v>4</x:v>
      </x:c>
      <x:c r="J250" s="340" t="n">
        <x:f>XLOOKUP($D250&amp;"|"&amp;$E250&amp;"|"&amp;$F250,'PET_STAT_RULES'!$A$5:$A$88,'PET_STAT_RULES'!$C$5:$C$88)</x:f>
        <x:v>64</x:v>
      </x:c>
      <x:c r="K250" s="340" t="n">
        <x:f>XLOOKUP($D250&amp;"|"&amp;$E250&amp;"|"&amp;$F250,'PET_STAT_RULES'!$A$5:$A$88,'PET_STAT_RULES'!$D$5:$D$88)</x:f>
        <x:v>36</x:v>
      </x:c>
      <x:c r="L250" s="340" t="n">
        <x:f>XLOOKUP($D250&amp;"|"&amp;$E250&amp;"|"&amp;$F250,'PET_STAT_RULES'!$A$5:$A$88,'PET_STAT_RULES'!$F$5:$F$88)</x:f>
        <x:v>0</x:v>
      </x:c>
      <x:c r="M250" s="340" t="n">
        <x:f>XLOOKUP($D250&amp;"|"&amp;$E250&amp;"|"&amp;$F250,'PET_STAT_RULES'!$A$5:$A$88,'PET_STAT_RULES'!$G$5:$G$88)</x:f>
        <x:v>3</x:v>
      </x:c>
      <x:c r="N250" s="38" t="n">
        <x:v>3</x:v>
      </x:c>
      <x:c r="O250" s="38" t="str">
        <x:v>mech_grow_atk_each_round</x:v>
      </x:c>
      <x:c r="P250" s="38" t="str">
        <x:v>17 形状17</x:v>
      </x:c>
      <x:c r="Q250" s="38" t="str">
        <x:v>Deadly</x:v>
      </x:c>
      <x:c r="R250" s="38" t="str">
        <x:v>skill confirmed；来源=Sharpshooter；攻击3格；仅保留来源商人/训练师关系。</x:v>
      </x:c>
      <x:c r="S250" s="38" t="n">
        <x:v>3</x:v>
      </x:c>
      <x:c r="T250" s="38" t="n">
        <x:v>3</x:v>
      </x:c>
      <x:c r="U250" s="15" t="str">
        <x:v>skill_vanguard,skill_flank,skill_pierce,skill_revolve,skill_chase,skill_break,skill_suppress,skill_finale</x:v>
      </x:c>
      <x:c r="V250" s="15" t="str">
        <x:v>trait_relentless</x:v>
      </x:c>
      <x:c r="W250" s="332" t="n">
        <x:f>XLOOKUP($D250&amp;"|"&amp;$E250&amp;"|"&amp;$F250,'PET_STAT_RULES'!$A$5:$A$88,'PET_STAT_RULES'!$E$5:$E$88)</x:f>
        <x:v>0</x:v>
      </x:c>
    </x:row>
    <x:row r="251">
      <x:c r="A251" s="38" t="str">
        <x:v>pal_250</x:v>
      </x:c>
      <x:c r="B251" s="38" t="str">
        <x:v>霜貂卫</x:v>
      </x:c>
      <x:c r="C251" s="38" t="str">
        <x:v>冰</x:v>
      </x:c>
      <x:c r="D251" s="265" t="str">
        <x:v>白银</x:v>
      </x:c>
      <x:c r="E251" s="38" t="str">
        <x:v>控制</x:v>
      </x:c>
      <x:c r="F251" s="38" t="str">
        <x:v>两格</x:v>
      </x:c>
      <x:c r="G251" s="38" t="str">
        <x:v>bz_van_250</x:v>
      </x:c>
      <x:c r="H251" s="38" t="str">
        <x:v>elem_水, elem_雷, elem_龙, elem_无, role_坦克, role_控制</x:v>
      </x:c>
      <x:c r="I251" s="38" t="n">
        <x:v>6</x:v>
      </x:c>
      <x:c r="J251" s="340" t="n">
        <x:f>XLOOKUP($D251&amp;"|"&amp;$E251&amp;"|"&amp;$F251,'PET_STAT_RULES'!$A$5:$A$88,'PET_STAT_RULES'!$C$5:$C$88)</x:f>
        <x:v>44</x:v>
      </x:c>
      <x:c r="K251" s="340" t="n">
        <x:f>XLOOKUP($D251&amp;"|"&amp;$E251&amp;"|"&amp;$F251,'PET_STAT_RULES'!$A$5:$A$88,'PET_STAT_RULES'!$D$5:$D$88)</x:f>
        <x:v>14</x:v>
      </x:c>
      <x:c r="L251" s="340" t="n">
        <x:f>XLOOKUP($D251&amp;"|"&amp;$E251&amp;"|"&amp;$F251,'PET_STAT_RULES'!$A$5:$A$88,'PET_STAT_RULES'!$F$5:$F$88)</x:f>
        <x:v>0</x:v>
      </x:c>
      <x:c r="M251" s="340" t="n">
        <x:f>XLOOKUP($D251&amp;"|"&amp;$E251&amp;"|"&amp;$F251,'PET_STAT_RULES'!$A$5:$A$88,'PET_STAT_RULES'!$G$5:$G$88)</x:f>
        <x:v>4</x:v>
      </x:c>
      <x:c r="N251" s="38" t="n">
        <x:v>2</x:v>
      </x:c>
      <x:c r="O251" s="38" t="str">
        <x:v>mech_counter_damage</x:v>
      </x:c>
      <x:c r="P251" s="38" t="str">
        <x:v>11 形状11</x:v>
      </x:c>
      <x:c r="Q251" s="38" t="str">
        <x:v>Icy</x:v>
      </x:c>
      <x:c r="R251" s="38" t="str">
        <x:v>skill confirmed；来源=Shatter；攻击2格；仅保留来源商人/训练师关系。</x:v>
      </x:c>
      <x:c r="S251" s="38" t="n">
        <x:v>4</x:v>
      </x:c>
      <x:c r="T251" s="38" t="n">
        <x:v>2</x:v>
      </x:c>
      <x:c r="U251" s="15" t="str">
        <x:v>skill_vanguard,skill_flank,skill_pierce,skill_revolve,skill_chase,skill_break,skill_suppress,skill_finale</x:v>
      </x:c>
      <x:c r="V251" s="15" t="str">
        <x:v>trait_element_affinity</x:v>
      </x:c>
      <x:c r="W251" s="332" t="n">
        <x:f>XLOOKUP($D251&amp;"|"&amp;$E251&amp;"|"&amp;$F251,'PET_STAT_RULES'!$A$5:$A$88,'PET_STAT_RULES'!$E$5:$E$88)</x:f>
        <x:v>0</x:v>
      </x:c>
    </x:row>
    <x:row r="252">
      <x:c r="A252" s="38" t="str">
        <x:v>pal_251</x:v>
      </x:c>
      <x:c r="B252" s="38" t="str">
        <x:v>霆牦王</x:v>
      </x:c>
      <x:c r="C252" s="38" t="str">
        <x:v>雷、地</x:v>
      </x:c>
      <x:c r="D252" s="262" t="str">
        <x:v>黄金</x:v>
      </x:c>
      <x:c r="E252" s="38" t="str">
        <x:v>坦克</x:v>
      </x:c>
      <x:c r="F252" s="38" t="str">
        <x:v>两格</x:v>
      </x:c>
      <x:c r="G252" s="38" t="str">
        <x:v>bz_van_251</x:v>
      </x:c>
      <x:c r="H252" s="38" t="str">
        <x:v>elem_水, elem_龙, elem_无, role_坦克, special_merchant</x:v>
      </x:c>
      <x:c r="I252" s="38" t="n">
        <x:v>5</x:v>
      </x:c>
      <x:c r="J252" s="340" t="n">
        <x:f>XLOOKUP($D252&amp;"|"&amp;$E252&amp;"|"&amp;$F252,'PET_STAT_RULES'!$A$5:$A$88,'PET_STAT_RULES'!$C$5:$C$88)</x:f>
        <x:v>66</x:v>
      </x:c>
      <x:c r="K252" s="340" t="n">
        <x:f>XLOOKUP($D252&amp;"|"&amp;$E252&amp;"|"&amp;$F252,'PET_STAT_RULES'!$A$5:$A$88,'PET_STAT_RULES'!$D$5:$D$88)</x:f>
        <x:v>18</x:v>
      </x:c>
      <x:c r="L252" s="340" t="n">
        <x:f>XLOOKUP($D252&amp;"|"&amp;$E252&amp;"|"&amp;$F252,'PET_STAT_RULES'!$A$5:$A$88,'PET_STAT_RULES'!$F$5:$F$88)</x:f>
        <x:v>14</x:v>
      </x:c>
      <x:c r="M252" s="340" t="n">
        <x:f>XLOOKUP($D252&amp;"|"&amp;$E252&amp;"|"&amp;$F252,'PET_STAT_RULES'!$A$5:$A$88,'PET_STAT_RULES'!$G$5:$G$88)</x:f>
        <x:v>3</x:v>
      </x:c>
      <x:c r="N252" s="38" t="n">
        <x:v>2</x:v>
      </x:c>
      <x:c r="O252" s="38" t="str">
        <x:v>mech_armor_flat</x:v>
      </x:c>
      <x:c r="P252" s="38" t="str">
        <x:v>06 形状06</x:v>
      </x:c>
      <x:c r="Q252" s="38" t="str">
        <x:v>Turbo</x:v>
      </x:c>
      <x:c r="R252" s="38" t="str">
        <x:v>skill confirmed；来源=Shield Bash；攻击2格；仅保留来源商人/训练师关系。</x:v>
      </x:c>
      <x:c r="S252" s="38" t="n">
        <x:v>3</x:v>
      </x:c>
      <x:c r="T252" s="38" t="n">
        <x:v>2</x:v>
      </x:c>
      <x:c r="U252" s="15" t="str">
        <x:v>skill_vanguard,skill_flank,skill_pierce,skill_revolve,skill_chase,skill_break,skill_suppress,skill_finale</x:v>
      </x:c>
      <x:c r="V252" s="15" t="str">
        <x:v>trait_combo_mastery</x:v>
      </x:c>
      <x:c r="W252" s="332" t="n">
        <x:f>XLOOKUP($D252&amp;"|"&amp;$E252&amp;"|"&amp;$F252,'PET_STAT_RULES'!$A$5:$A$88,'PET_STAT_RULES'!$E$5:$E$88)</x:f>
        <x:v>0</x:v>
      </x:c>
    </x:row>
    <x:row r="253">
      <x:c r="A253" s="38" t="str">
        <x:v>pal_252</x:v>
      </x:c>
      <x:c r="B253" s="38" t="str">
        <x:v>炎蛛尊</x:v>
      </x:c>
      <x:c r="C253" s="38" t="str">
        <x:v>火、草</x:v>
      </x:c>
      <x:c r="D253" s="262" t="str">
        <x:v>黄金</x:v>
      </x:c>
      <x:c r="E253" s="38" t="str">
        <x:v>控制</x:v>
      </x:c>
      <x:c r="F253" s="38" t="str">
        <x:v>两格</x:v>
      </x:c>
      <x:c r="G253" s="38" t="str">
        <x:v>bz_van_252</x:v>
      </x:c>
      <x:c r="H253" s="38" t="str">
        <x:v>elem_水, elem_龙, elem_无, role_治疗, role_输出, special_merchant</x:v>
      </x:c>
      <x:c r="I253" s="38" t="n">
        <x:v>6</x:v>
      </x:c>
      <x:c r="J253" s="340" t="n">
        <x:f>XLOOKUP($D253&amp;"|"&amp;$E253&amp;"|"&amp;$F253,'PET_STAT_RULES'!$A$5:$A$88,'PET_STAT_RULES'!$C$5:$C$88)</x:f>
        <x:v>56</x:v>
      </x:c>
      <x:c r="K253" s="340" t="n">
        <x:f>XLOOKUP($D253&amp;"|"&amp;$E253&amp;"|"&amp;$F253,'PET_STAT_RULES'!$A$5:$A$88,'PET_STAT_RULES'!$D$5:$D$88)</x:f>
        <x:v>20</x:v>
      </x:c>
      <x:c r="L253" s="340" t="n">
        <x:f>XLOOKUP($D253&amp;"|"&amp;$E253&amp;"|"&amp;$F253,'PET_STAT_RULES'!$A$5:$A$88,'PET_STAT_RULES'!$F$5:$F$88)</x:f>
        <x:v>0</x:v>
      </x:c>
      <x:c r="M253" s="340" t="n">
        <x:f>XLOOKUP($D253&amp;"|"&amp;$E253&amp;"|"&amp;$F253,'PET_STAT_RULES'!$A$5:$A$88,'PET_STAT_RULES'!$G$5:$G$88)</x:f>
        <x:v>4</x:v>
      </x:c>
      <x:c r="N253" s="38" t="n">
        <x:v>2</x:v>
      </x:c>
      <x:c r="O253" s="38" t="str">
        <x:v>mech_fire_ignite_bonus</x:v>
      </x:c>
      <x:c r="P253" s="38" t="str">
        <x:v>12 形状12</x:v>
      </x:c>
      <x:c r="Q253" s="38" t="str">
        <x:v>Fiery</x:v>
      </x:c>
      <x:c r="R253" s="38" t="str">
        <x:v>skill confirmed；来源=Sick Burn；攻击2格；仅保留来源商人/训练师关系。</x:v>
      </x:c>
      <x:c r="S253" s="38" t="n">
        <x:v>4</x:v>
      </x:c>
      <x:c r="T253" s="38" t="n">
        <x:v>2</x:v>
      </x:c>
      <x:c r="U253" s="15" t="str">
        <x:v>skill_vanguard,skill_flank,skill_pierce,skill_revolve,skill_chase,skill_break,skill_suppress,skill_finale</x:v>
      </x:c>
      <x:c r="V253" s="15" t="str">
        <x:v>trait_element_affinity</x:v>
      </x:c>
      <x:c r="W253" s="332" t="n">
        <x:f>XLOOKUP($D253&amp;"|"&amp;$E253&amp;"|"&amp;$F253,'PET_STAT_RULES'!$A$5:$A$88,'PET_STAT_RULES'!$E$5:$E$88)</x:f>
        <x:v>0</x:v>
      </x:c>
    </x:row>
    <x:row r="254">
      <x:c r="A254" s="38" t="str">
        <x:v>pal_253</x:v>
      </x:c>
      <x:c r="B254" s="38" t="str">
        <x:v>炎鳗精</x:v>
      </x:c>
      <x:c r="C254" s="38" t="str">
        <x:v>火</x:v>
      </x:c>
      <x:c r="D254" s="265" t="str">
        <x:v>白银</x:v>
      </x:c>
      <x:c r="E254" s="38" t="str">
        <x:v>控制</x:v>
      </x:c>
      <x:c r="F254" s="38" t="str">
        <x:v>两格</x:v>
      </x:c>
      <x:c r="G254" s="38" t="str">
        <x:v>bz_van_253</x:v>
      </x:c>
      <x:c r="H254" s="38" t="str">
        <x:v>elem_水, elem_雷, elem_龙, elem_无, role_坦克, role_经济</x:v>
      </x:c>
      <x:c r="I254" s="38" t="n">
        <x:v>6</x:v>
      </x:c>
      <x:c r="J254" s="340" t="n">
        <x:f>XLOOKUP($D254&amp;"|"&amp;$E254&amp;"|"&amp;$F254,'PET_STAT_RULES'!$A$5:$A$88,'PET_STAT_RULES'!$C$5:$C$88)</x:f>
        <x:v>44</x:v>
      </x:c>
      <x:c r="K254" s="340" t="n">
        <x:f>XLOOKUP($D254&amp;"|"&amp;$E254&amp;"|"&amp;$F254,'PET_STAT_RULES'!$A$5:$A$88,'PET_STAT_RULES'!$D$5:$D$88)</x:f>
        <x:v>14</x:v>
      </x:c>
      <x:c r="L254" s="340" t="n">
        <x:f>XLOOKUP($D254&amp;"|"&amp;$E254&amp;"|"&amp;$F254,'PET_STAT_RULES'!$A$5:$A$88,'PET_STAT_RULES'!$F$5:$F$88)</x:f>
        <x:v>0</x:v>
      </x:c>
      <x:c r="M254" s="340" t="n">
        <x:f>XLOOKUP($D254&amp;"|"&amp;$E254&amp;"|"&amp;$F254,'PET_STAT_RULES'!$A$5:$A$88,'PET_STAT_RULES'!$G$5:$G$88)</x:f>
        <x:v>4</x:v>
      </x:c>
      <x:c r="N254" s="38" t="n">
        <x:v>2</x:v>
      </x:c>
      <x:c r="O254" s="38" t="str">
        <x:v>mech_counter_damage</x:v>
      </x:c>
      <x:c r="P254" s="38" t="str">
        <x:v>06 形状06</x:v>
      </x:c>
      <x:c r="Q254" s="38" t="str">
        <x:v>Icy</x:v>
      </x:c>
      <x:c r="R254" s="38" t="str">
        <x:v>skill confirmed；来源=Slow and Steady；攻击2格；仅保留来源商人/训练师关系。</x:v>
      </x:c>
      <x:c r="S254" s="38" t="n">
        <x:v>4</x:v>
      </x:c>
      <x:c r="T254" s="38" t="n">
        <x:v>2</x:v>
      </x:c>
      <x:c r="U254" s="15" t="str">
        <x:v>skill_vanguard,skill_flank,skill_pierce,skill_revolve,skill_chase,skill_break,skill_suppress,skill_finale</x:v>
      </x:c>
      <x:c r="V254" s="15" t="str">
        <x:v>trait_element_affinity</x:v>
      </x:c>
      <x:c r="W254" s="332" t="n">
        <x:f>XLOOKUP($D254&amp;"|"&amp;$E254&amp;"|"&amp;$F254,'PET_STAT_RULES'!$A$5:$A$88,'PET_STAT_RULES'!$E$5:$E$88)</x:f>
        <x:v>0</x:v>
      </x:c>
    </x:row>
    <x:row r="255">
      <x:c r="A255" s="38" t="str">
        <x:v>pal_254</x:v>
      </x:c>
      <x:c r="B255" s="38" t="str">
        <x:v>赤蟒王</x:v>
      </x:c>
      <x:c r="C255" s="38" t="str">
        <x:v>火、雷</x:v>
      </x:c>
      <x:c r="D255" s="262" t="str">
        <x:v>黄金</x:v>
      </x:c>
      <x:c r="E255" s="38" t="str">
        <x:v>控制</x:v>
      </x:c>
      <x:c r="F255" s="38" t="str">
        <x:v>两格</x:v>
      </x:c>
      <x:c r="G255" s="38" t="str">
        <x:v>bz_van_254</x:v>
      </x:c>
      <x:c r="H255" s="38" t="str">
        <x:v>elem_水, elem_龙, elem_无, role_治疗, role_经济, special_merchant</x:v>
      </x:c>
      <x:c r="I255" s="38" t="n">
        <x:v>6</x:v>
      </x:c>
      <x:c r="J255" s="340" t="n">
        <x:f>XLOOKUP($D255&amp;"|"&amp;$E255&amp;"|"&amp;$F255,'PET_STAT_RULES'!$A$5:$A$88,'PET_STAT_RULES'!$C$5:$C$88)</x:f>
        <x:v>56</x:v>
      </x:c>
      <x:c r="K255" s="340" t="n">
        <x:f>XLOOKUP($D255&amp;"|"&amp;$E255&amp;"|"&amp;$F255,'PET_STAT_RULES'!$A$5:$A$88,'PET_STAT_RULES'!$D$5:$D$88)</x:f>
        <x:v>20</x:v>
      </x:c>
      <x:c r="L255" s="340" t="n">
        <x:f>XLOOKUP($D255&amp;"|"&amp;$E255&amp;"|"&amp;$F255,'PET_STAT_RULES'!$A$5:$A$88,'PET_STAT_RULES'!$F$5:$F$88)</x:f>
        <x:v>0</x:v>
      </x:c>
      <x:c r="M255" s="340" t="n">
        <x:f>XLOOKUP($D255&amp;"|"&amp;$E255&amp;"|"&amp;$F255,'PET_STAT_RULES'!$A$5:$A$88,'PET_STAT_RULES'!$G$5:$G$88)</x:f>
        <x:v>4</x:v>
      </x:c>
      <x:c r="N255" s="38" t="n">
        <x:v>2</x:v>
      </x:c>
      <x:c r="O255" s="38" t="str">
        <x:v>mech_fire_ignite_bonus</x:v>
      </x:c>
      <x:c r="P255" s="38" t="str">
        <x:v>11 形状11</x:v>
      </x:c>
      <x:c r="Q255" s="38" t="str">
        <x:v>Fiery</x:v>
      </x:c>
      <x:c r="R255" s="38" t="str">
        <x:v>skill confirmed；来源=Slow Burn；攻击2格；仅保留来源商人/训练师关系。</x:v>
      </x:c>
      <x:c r="S255" s="38" t="n">
        <x:v>4</x:v>
      </x:c>
      <x:c r="T255" s="38" t="n">
        <x:v>2</x:v>
      </x:c>
      <x:c r="U255" s="15" t="str">
        <x:v>skill_vanguard,skill_flank,skill_pierce,skill_revolve,skill_chase,skill_break,skill_suppress,skill_finale</x:v>
      </x:c>
      <x:c r="V255" s="15" t="str">
        <x:v>trait_element_affinity</x:v>
      </x:c>
      <x:c r="W255" s="332" t="n">
        <x:f>XLOOKUP($D255&amp;"|"&amp;$E255&amp;"|"&amp;$F255,'PET_STAT_RULES'!$A$5:$A$88,'PET_STAT_RULES'!$E$5:$E$88)</x:f>
        <x:v>0</x:v>
      </x:c>
    </x:row>
    <x:row r="256">
      <x:c r="A256" s="38" t="str">
        <x:v>pal_255</x:v>
      </x:c>
      <x:c r="B256" s="38" t="str">
        <x:v>电蟒精</x:v>
      </x:c>
      <x:c r="C256" s="38" t="str">
        <x:v>雷</x:v>
      </x:c>
      <x:c r="D256" s="265" t="str">
        <x:v>白银</x:v>
      </x:c>
      <x:c r="E256" s="38" t="str">
        <x:v>控制</x:v>
      </x:c>
      <x:c r="F256" s="38" t="str">
        <x:v>两格</x:v>
      </x:c>
      <x:c r="G256" s="38" t="str">
        <x:v>bz_van_255</x:v>
      </x:c>
      <x:c r="H256" s="38" t="str">
        <x:v>elem_水, elem_雷, elem_龙, elem_无, role_召唤, role_经济</x:v>
      </x:c>
      <x:c r="I256" s="38" t="n">
        <x:v>6</x:v>
      </x:c>
      <x:c r="J256" s="340" t="n">
        <x:f>XLOOKUP($D256&amp;"|"&amp;$E256&amp;"|"&amp;$F256,'PET_STAT_RULES'!$A$5:$A$88,'PET_STAT_RULES'!$C$5:$C$88)</x:f>
        <x:v>44</x:v>
      </x:c>
      <x:c r="K256" s="340" t="n">
        <x:f>XLOOKUP($D256&amp;"|"&amp;$E256&amp;"|"&amp;$F256,'PET_STAT_RULES'!$A$5:$A$88,'PET_STAT_RULES'!$D$5:$D$88)</x:f>
        <x:v>14</x:v>
      </x:c>
      <x:c r="L256" s="340" t="n">
        <x:f>XLOOKUP($D256&amp;"|"&amp;$E256&amp;"|"&amp;$F256,'PET_STAT_RULES'!$A$5:$A$88,'PET_STAT_RULES'!$F$5:$F$88)</x:f>
        <x:v>0</x:v>
      </x:c>
      <x:c r="M256" s="340" t="n">
        <x:f>XLOOKUP($D256&amp;"|"&amp;$E256&amp;"|"&amp;$F256,'PET_STAT_RULES'!$A$5:$A$88,'PET_STAT_RULES'!$G$5:$G$88)</x:f>
        <x:v>4</x:v>
      </x:c>
      <x:c r="N256" s="38" t="n">
        <x:v>2</x:v>
      </x:c>
      <x:c r="O256" s="38" t="str">
        <x:v>mech_counter_damage</x:v>
      </x:c>
      <x:c r="P256" s="38" t="str">
        <x:v>07 形状07</x:v>
      </x:c>
      <x:c r="Q256" s="38" t="str">
        <x:v>Icy</x:v>
      </x:c>
      <x:c r="R256" s="38" t="str">
        <x:v>skill confirmed；来源=Slowed Targets；攻击2格；仅保留来源商人/训练师关系。</x:v>
      </x:c>
      <x:c r="S256" s="38" t="n">
        <x:v>4</x:v>
      </x:c>
      <x:c r="T256" s="38" t="n">
        <x:v>2</x:v>
      </x:c>
      <x:c r="U256" s="15" t="str">
        <x:v>skill_vanguard,skill_flank,skill_pierce,skill_revolve,skill_chase,skill_break,skill_suppress,skill_finale</x:v>
      </x:c>
      <x:c r="V256" s="15" t="str">
        <x:v>trait_element_affinity</x:v>
      </x:c>
      <x:c r="W256" s="332" t="n">
        <x:f>XLOOKUP($D256&amp;"|"&amp;$E256&amp;"|"&amp;$F256,'PET_STAT_RULES'!$A$5:$A$88,'PET_STAT_RULES'!$E$5:$E$88)</x:f>
        <x:v>0</x:v>
      </x:c>
    </x:row>
    <x:row r="257">
      <x:c r="A257" s="38" t="str">
        <x:v>pal_256</x:v>
      </x:c>
      <x:c r="B257" s="38" t="str">
        <x:v>震隼将</x:v>
      </x:c>
      <x:c r="C257" s="38" t="str">
        <x:v>雷</x:v>
      </x:c>
      <x:c r="D257" s="265" t="str">
        <x:v>白银</x:v>
      </x:c>
      <x:c r="E257" s="38" t="str">
        <x:v>机动</x:v>
      </x:c>
      <x:c r="F257" s="38" t="str">
        <x:v>两格</x:v>
      </x:c>
      <x:c r="G257" s="38" t="str">
        <x:v>bz_van_256</x:v>
      </x:c>
      <x:c r="H257" s="38" t="str">
        <x:v>elem_水, elem_雷, elem_龙, elem_无, role_召唤, special_merchant</x:v>
      </x:c>
      <x:c r="I257" s="38" t="n">
        <x:v>6</x:v>
      </x:c>
      <x:c r="J257" s="340" t="n">
        <x:f>XLOOKUP($D257&amp;"|"&amp;$E257&amp;"|"&amp;$F257,'PET_STAT_RULES'!$A$5:$A$88,'PET_STAT_RULES'!$C$5:$C$88)</x:f>
        <x:v>40</x:v>
      </x:c>
      <x:c r="K257" s="340" t="n">
        <x:f>XLOOKUP($D257&amp;"|"&amp;$E257&amp;"|"&amp;$F257,'PET_STAT_RULES'!$A$5:$A$88,'PET_STAT_RULES'!$D$5:$D$88)</x:f>
        <x:v>12</x:v>
      </x:c>
      <x:c r="L257" s="340" t="n">
        <x:f>XLOOKUP($D257&amp;"|"&amp;$E257&amp;"|"&amp;$F257,'PET_STAT_RULES'!$A$5:$A$88,'PET_STAT_RULES'!$F$5:$F$88)</x:f>
        <x:v>0</x:v>
      </x:c>
      <x:c r="M257" s="340" t="n">
        <x:f>XLOOKUP($D257&amp;"|"&amp;$E257&amp;"|"&amp;$F257,'PET_STAT_RULES'!$A$5:$A$88,'PET_STAT_RULES'!$G$5:$G$88)</x:f>
        <x:v>5</x:v>
      </x:c>
      <x:c r="N257" s="38" t="n">
        <x:v>2</x:v>
      </x:c>
      <x:c r="O257" s="38" t="str">
        <x:v>none</x:v>
      </x:c>
      <x:c r="P257" s="38" t="str">
        <x:v>07 形状07</x:v>
      </x:c>
      <x:c r="Q257" s="38" t="str">
        <x:v>Turbo</x:v>
      </x:c>
      <x:c r="R257" s="38" t="str">
        <x:v>skill confirmed；来源=Static Acceleration；攻击2格；仅保留来源商人/训练师关系。</x:v>
      </x:c>
      <x:c r="S257" s="38" t="n">
        <x:v>5</x:v>
      </x:c>
      <x:c r="T257" s="38" t="n">
        <x:v>2</x:v>
      </x:c>
      <x:c r="U257" s="15" t="str">
        <x:v>skill_vanguard,skill_flank,skill_pierce,skill_revolve,skill_chase,skill_break,skill_suppress,skill_finale</x:v>
      </x:c>
      <x:c r="V257" s="15" t="str">
        <x:v>trait_relentless</x:v>
      </x:c>
      <x:c r="W257" s="332" t="n">
        <x:f>XLOOKUP($D257&amp;"|"&amp;$E257&amp;"|"&amp;$F257,'PET_STAT_RULES'!$A$5:$A$88,'PET_STAT_RULES'!$E$5:$E$88)</x:f>
        <x:v>0</x:v>
      </x:c>
    </x:row>
    <x:row r="258">
      <x:c r="A258" s="38" t="str">
        <x:v>pal_257</x:v>
      </x:c>
      <x:c r="B258" s="38" t="str">
        <x:v>翠隼将</x:v>
      </x:c>
      <x:c r="C258" s="38" t="str">
        <x:v>草</x:v>
      </x:c>
      <x:c r="D258" s="265" t="str">
        <x:v>白银</x:v>
      </x:c>
      <x:c r="E258" s="38" t="str">
        <x:v>输出</x:v>
      </x:c>
      <x:c r="F258" s="38" t="str">
        <x:v>两格</x:v>
      </x:c>
      <x:c r="G258" s="38" t="str">
        <x:v>bz_van_257</x:v>
      </x:c>
      <x:c r="H258" s="38" t="str">
        <x:v>elem_水, elem_雷, elem_地, elem_龙, elem_无, role_坦克</x:v>
      </x:c>
      <x:c r="I258" s="38" t="n">
        <x:v>6</x:v>
      </x:c>
      <x:c r="J258" s="340" t="n">
        <x:f>XLOOKUP($D258&amp;"|"&amp;$E258&amp;"|"&amp;$F258,'PET_STAT_RULES'!$A$5:$A$88,'PET_STAT_RULES'!$C$5:$C$88)</x:f>
        <x:v>40</x:v>
      </x:c>
      <x:c r="K258" s="340" t="n">
        <x:f>XLOOKUP($D258&amp;"|"&amp;$E258&amp;"|"&amp;$F258,'PET_STAT_RULES'!$A$5:$A$88,'PET_STAT_RULES'!$D$5:$D$88)</x:f>
        <x:v>20</x:v>
      </x:c>
      <x:c r="L258" s="340" t="n">
        <x:f>XLOOKUP($D258&amp;"|"&amp;$E258&amp;"|"&amp;$F258,'PET_STAT_RULES'!$A$5:$A$88,'PET_STAT_RULES'!$F$5:$F$88)</x:f>
        <x:v>0</x:v>
      </x:c>
      <x:c r="M258" s="340" t="n">
        <x:f>XLOOKUP($D258&amp;"|"&amp;$E258&amp;"|"&amp;$F258,'PET_STAT_RULES'!$A$5:$A$88,'PET_STAT_RULES'!$G$5:$G$88)</x:f>
        <x:v>3</x:v>
      </x:c>
      <x:c r="N258" s="38" t="n">
        <x:v>2</x:v>
      </x:c>
      <x:c r="O258" s="38" t="str">
        <x:v>mech_grow_atk_each_round</x:v>
      </x:c>
      <x:c r="P258" s="38" t="str">
        <x:v>10 形状10</x:v>
      </x:c>
      <x:c r="Q258" s="38" t="str">
        <x:v>Deadly</x:v>
      </x:c>
      <x:c r="R258" s="38" t="str">
        <x:v>skill confirmed；来源=Steelstorm；攻击2格；仅保留来源商人/训练师关系。</x:v>
      </x:c>
      <x:c r="S258" s="38" t="n">
        <x:v>3</x:v>
      </x:c>
      <x:c r="T258" s="38" t="n">
        <x:v>2</x:v>
      </x:c>
      <x:c r="U258" s="15" t="str">
        <x:v>skill_vanguard,skill_flank,skill_pierce,skill_revolve,skill_chase,skill_break,skill_suppress,skill_finale</x:v>
      </x:c>
      <x:c r="V258" s="15" t="str">
        <x:v>trait_relentless</x:v>
      </x:c>
      <x:c r="W258" s="332" t="n">
        <x:f>XLOOKUP($D258&amp;"|"&amp;$E258&amp;"|"&amp;$F258,'PET_STAT_RULES'!$A$5:$A$88,'PET_STAT_RULES'!$E$5:$E$88)</x:f>
        <x:v>0</x:v>
      </x:c>
    </x:row>
    <x:row r="259">
      <x:c r="A259" s="38" t="str">
        <x:v>pal_258</x:v>
      </x:c>
      <x:c r="B259" s="38" t="str">
        <x:v>汐蝶精</x:v>
      </x:c>
      <x:c r="C259" s="38" t="str">
        <x:v>水、地</x:v>
      </x:c>
      <x:c r="D259" s="265" t="str">
        <x:v>白银</x:v>
      </x:c>
      <x:c r="E259" s="38" t="str">
        <x:v>治疗</x:v>
      </x:c>
      <x:c r="F259" s="38" t="str">
        <x:v>两格</x:v>
      </x:c>
      <x:c r="G259" s="38" t="str">
        <x:v>bz_van_258</x:v>
      </x:c>
      <x:c r="H259" s="38" t="str">
        <x:v>elem_水, elem_雷, elem_龙, elem_无, role_经济</x:v>
      </x:c>
      <x:c r="I259" s="38" t="n">
        <x:v>5</x:v>
      </x:c>
      <x:c r="J259" s="340" t="n">
        <x:f>XLOOKUP($D259&amp;"|"&amp;$E259&amp;"|"&amp;$F259,'PET_STAT_RULES'!$A$5:$A$88,'PET_STAT_RULES'!$C$5:$C$88)</x:f>
        <x:v>46</x:v>
      </x:c>
      <x:c r="K259" s="340" t="n">
        <x:f>XLOOKUP($D259&amp;"|"&amp;$E259&amp;"|"&amp;$F259,'PET_STAT_RULES'!$A$5:$A$88,'PET_STAT_RULES'!$D$5:$D$88)</x:f>
        <x:v>12</x:v>
      </x:c>
      <x:c r="L259" s="340" t="n">
        <x:f>XLOOKUP($D259&amp;"|"&amp;$E259&amp;"|"&amp;$F259,'PET_STAT_RULES'!$A$5:$A$88,'PET_STAT_RULES'!$F$5:$F$88)</x:f>
        <x:v>4</x:v>
      </x:c>
      <x:c r="M259" s="340" t="n">
        <x:f>XLOOKUP($D259&amp;"|"&amp;$E259&amp;"|"&amp;$F259,'PET_STAT_RULES'!$A$5:$A$88,'PET_STAT_RULES'!$G$5:$G$88)</x:f>
        <x:v>3</x:v>
      </x:c>
      <x:c r="N259" s="38" t="n">
        <x:v>3</x:v>
      </x:c>
      <x:c r="O259" s="38" t="str">
        <x:v>mech_shield_regen</x:v>
      </x:c>
      <x:c r="P259" s="38" t="str">
        <x:v>18 形状18</x:v>
      </x:c>
      <x:c r="Q259" s="38" t="str">
        <x:v>Icy</x:v>
      </x:c>
      <x:c r="R259" s="38" t="str">
        <x:v>skill confirmed；来源=Stop That!；攻击3格；仅保留来源商人/训练师关系。</x:v>
      </x:c>
      <x:c r="S259" s="38" t="n">
        <x:v>3</x:v>
      </x:c>
      <x:c r="T259" s="38" t="n">
        <x:v>2</x:v>
      </x:c>
      <x:c r="U259" s="15" t="str">
        <x:v>skill_vanguard,skill_flank,skill_pierce,skill_revolve,skill_chase,skill_break,skill_suppress,skill_finale</x:v>
      </x:c>
      <x:c r="V259" s="15" t="str">
        <x:v>trait_element_affinity</x:v>
      </x:c>
      <x:c r="W259" s="332" t="n">
        <x:f>XLOOKUP($D259&amp;"|"&amp;$E259&amp;"|"&amp;$F259,'PET_STAT_RULES'!$A$5:$A$88,'PET_STAT_RULES'!$E$5:$E$88)</x:f>
        <x:v>0</x:v>
      </x:c>
    </x:row>
    <x:row r="260">
      <x:c r="A260" s="38" t="str">
        <x:v>pal_259</x:v>
      </x:c>
      <x:c r="B260" s="38" t="str">
        <x:v>朱雀妖</x:v>
      </x:c>
      <x:c r="C260" s="38" t="str">
        <x:v>火</x:v>
      </x:c>
      <x:c r="D260" s="265" t="str">
        <x:v>白银</x:v>
      </x:c>
      <x:c r="E260" s="38" t="str">
        <x:v>机动</x:v>
      </x:c>
      <x:c r="F260" s="38" t="str">
        <x:v>两格</x:v>
      </x:c>
      <x:c r="G260" s="38" t="str">
        <x:v>bz_van_259</x:v>
      </x:c>
      <x:c r="H260" s="38" t="str">
        <x:v>elem_水, elem_雷, elem_龙, elem_无, role_坦克, special_merchant</x:v>
      </x:c>
      <x:c r="I260" s="38" t="n">
        <x:v>6</x:v>
      </x:c>
      <x:c r="J260" s="340" t="n">
        <x:f>XLOOKUP($D260&amp;"|"&amp;$E260&amp;"|"&amp;$F260,'PET_STAT_RULES'!$A$5:$A$88,'PET_STAT_RULES'!$C$5:$C$88)</x:f>
        <x:v>40</x:v>
      </x:c>
      <x:c r="K260" s="340" t="n">
        <x:f>XLOOKUP($D260&amp;"|"&amp;$E260&amp;"|"&amp;$F260,'PET_STAT_RULES'!$A$5:$A$88,'PET_STAT_RULES'!$D$5:$D$88)</x:f>
        <x:v>12</x:v>
      </x:c>
      <x:c r="L260" s="340" t="n">
        <x:f>XLOOKUP($D260&amp;"|"&amp;$E260&amp;"|"&amp;$F260,'PET_STAT_RULES'!$A$5:$A$88,'PET_STAT_RULES'!$F$5:$F$88)</x:f>
        <x:v>0</x:v>
      </x:c>
      <x:c r="M260" s="340" t="n">
        <x:f>XLOOKUP($D260&amp;"|"&amp;$E260&amp;"|"&amp;$F260,'PET_STAT_RULES'!$A$5:$A$88,'PET_STAT_RULES'!$G$5:$G$88)</x:f>
        <x:v>5</x:v>
      </x:c>
      <x:c r="N260" s="38" t="n">
        <x:v>2</x:v>
      </x:c>
      <x:c r="O260" s="38" t="str">
        <x:v>none</x:v>
      </x:c>
      <x:c r="P260" s="38" t="str">
        <x:v>11 形状11</x:v>
      </x:c>
      <x:c r="Q260" s="38" t="str">
        <x:v>Turbo</x:v>
      </x:c>
      <x:c r="R260" s="38" t="str">
        <x:v>skill confirmed；来源=Streamline Weapon；攻击2格；仅保留来源商人/训练师关系。</x:v>
      </x:c>
      <x:c r="S260" s="38" t="n">
        <x:v>5</x:v>
      </x:c>
      <x:c r="T260" s="38" t="n">
        <x:v>2</x:v>
      </x:c>
      <x:c r="U260" s="15" t="str">
        <x:v>skill_vanguard,skill_flank,skill_pierce,skill_revolve,skill_chase,skill_break,skill_suppress,skill_finale</x:v>
      </x:c>
      <x:c r="V260" s="15" t="str">
        <x:v>trait_relentless</x:v>
      </x:c>
      <x:c r="W260" s="332" t="n">
        <x:f>XLOOKUP($D260&amp;"|"&amp;$E260&amp;"|"&amp;$F260,'PET_STAT_RULES'!$A$5:$A$88,'PET_STAT_RULES'!$E$5:$E$88)</x:f>
        <x:v>0</x:v>
      </x:c>
    </x:row>
    <x:row r="261">
      <x:c r="A261" s="38" t="str">
        <x:v>pal_260</x:v>
      </x:c>
      <x:c r="B261" s="38" t="str">
        <x:v>云隼兽</x:v>
      </x:c>
      <x:c r="C261" s="38" t="str">
        <x:v>无</x:v>
      </x:c>
      <x:c r="D261" s="259" t="str">
        <x:v>青铜</x:v>
      </x:c>
      <x:c r="E261" s="38" t="str">
        <x:v>输出</x:v>
      </x:c>
      <x:c r="F261" s="38" t="str">
        <x:v>两格</x:v>
      </x:c>
      <x:c r="G261" s="38" t="str">
        <x:v>bz_van_260</x:v>
      </x:c>
      <x:c r="H261" s="38" t="str">
        <x:v>elem_水, elem_雷, elem_龙, elem_无, role_坦克</x:v>
      </x:c>
      <x:c r="I261" s="38" t="n">
        <x:v>5</x:v>
      </x:c>
      <x:c r="J261" s="340" t="n">
        <x:f>XLOOKUP($D261&amp;"|"&amp;$E261&amp;"|"&amp;$F261,'PET_STAT_RULES'!$A$5:$A$88,'PET_STAT_RULES'!$C$5:$C$88)</x:f>
        <x:v>28</x:v>
      </x:c>
      <x:c r="K261" s="340" t="n">
        <x:f>XLOOKUP($D261&amp;"|"&amp;$E261&amp;"|"&amp;$F261,'PET_STAT_RULES'!$A$5:$A$88,'PET_STAT_RULES'!$D$5:$D$88)</x:f>
        <x:v>12</x:v>
      </x:c>
      <x:c r="L261" s="340" t="n">
        <x:f>XLOOKUP($D261&amp;"|"&amp;$E261&amp;"|"&amp;$F261,'PET_STAT_RULES'!$A$5:$A$88,'PET_STAT_RULES'!$F$5:$F$88)</x:f>
        <x:v>0</x:v>
      </x:c>
      <x:c r="M261" s="340" t="n">
        <x:f>XLOOKUP($D261&amp;"|"&amp;$E261&amp;"|"&amp;$F261,'PET_STAT_RULES'!$A$5:$A$88,'PET_STAT_RULES'!$G$5:$G$88)</x:f>
        <x:v>3</x:v>
      </x:c>
      <x:c r="N261" s="38" t="n">
        <x:v>1</x:v>
      </x:c>
      <x:c r="O261" s="38" t="str">
        <x:v>mech_grow_atk_each_round</x:v>
      </x:c>
      <x:c r="P261" s="38" t="str">
        <x:v>01 形状01</x:v>
      </x:c>
      <x:c r="Q261" s="38" t="str">
        <x:v>Deadly</x:v>
      </x:c>
      <x:c r="R261" s="38" t="str">
        <x:v>skill confirmed；来源=Strength；攻击1格；仅保留来源商人/训练师关系。</x:v>
      </x:c>
      <x:c r="S261" s="38" t="n">
        <x:v>3</x:v>
      </x:c>
      <x:c r="T261" s="38" t="n">
        <x:v>1</x:v>
      </x:c>
      <x:c r="U261" s="15" t="str">
        <x:v>skill_vanguard,skill_flank,skill_pierce,skill_revolve,skill_chase,skill_break,skill_suppress,skill_finale</x:v>
      </x:c>
      <x:c r="V261" s="15" t="str">
        <x:v>trait_relentless</x:v>
      </x:c>
      <x:c r="W261" s="332" t="n">
        <x:f>XLOOKUP($D261&amp;"|"&amp;$E261&amp;"|"&amp;$F261,'PET_STAT_RULES'!$A$5:$A$88,'PET_STAT_RULES'!$E$5:$E$88)</x:f>
        <x:v>0</x:v>
      </x:c>
    </x:row>
    <x:row r="262">
      <x:c r="A262" s="38" t="str">
        <x:v>pal_261</x:v>
      </x:c>
      <x:c r="B262" s="38" t="str">
        <x:v>寒貂卫</x:v>
      </x:c>
      <x:c r="C262" s="38" t="str">
        <x:v>冰、雷</x:v>
      </x:c>
      <x:c r="D262" s="265" t="str">
        <x:v>白银</x:v>
      </x:c>
      <x:c r="E262" s="38" t="str">
        <x:v>控制</x:v>
      </x:c>
      <x:c r="F262" s="38" t="str">
        <x:v>两格</x:v>
      </x:c>
      <x:c r="G262" s="38" t="str">
        <x:v>bz_van_261</x:v>
      </x:c>
      <x:c r="H262" s="38" t="str">
        <x:v>elem_水, elem_雷, elem_龙, elem_无, role_召唤, role_控制</x:v>
      </x:c>
      <x:c r="I262" s="38" t="n">
        <x:v>6</x:v>
      </x:c>
      <x:c r="J262" s="340" t="n">
        <x:f>XLOOKUP($D262&amp;"|"&amp;$E262&amp;"|"&amp;$F262,'PET_STAT_RULES'!$A$5:$A$88,'PET_STAT_RULES'!$C$5:$C$88)</x:f>
        <x:v>44</x:v>
      </x:c>
      <x:c r="K262" s="340" t="n">
        <x:f>XLOOKUP($D262&amp;"|"&amp;$E262&amp;"|"&amp;$F262,'PET_STAT_RULES'!$A$5:$A$88,'PET_STAT_RULES'!$D$5:$D$88)</x:f>
        <x:v>14</x:v>
      </x:c>
      <x:c r="L262" s="340" t="n">
        <x:f>XLOOKUP($D262&amp;"|"&amp;$E262&amp;"|"&amp;$F262,'PET_STAT_RULES'!$A$5:$A$88,'PET_STAT_RULES'!$F$5:$F$88)</x:f>
        <x:v>0</x:v>
      </x:c>
      <x:c r="M262" s="340" t="n">
        <x:f>XLOOKUP($D262&amp;"|"&amp;$E262&amp;"|"&amp;$F262,'PET_STAT_RULES'!$A$5:$A$88,'PET_STAT_RULES'!$G$5:$G$88)</x:f>
        <x:v>4</x:v>
      </x:c>
      <x:c r="N262" s="38" t="n">
        <x:v>2</x:v>
      </x:c>
      <x:c r="O262" s="38" t="str">
        <x:v>mech_counter_damage</x:v>
      </x:c>
      <x:c r="P262" s="38" t="str">
        <x:v>05 形状05</x:v>
      </x:c>
      <x:c r="Q262" s="38" t="str">
        <x:v>Icy</x:v>
      </x:c>
      <x:c r="R262" s="38" t="str">
        <x:v>skill confirmed；来源=Stunning Strike；攻击2格；仅保留来源商人/训练师关系。</x:v>
      </x:c>
      <x:c r="S262" s="38" t="n">
        <x:v>4</x:v>
      </x:c>
      <x:c r="T262" s="38" t="n">
        <x:v>2</x:v>
      </x:c>
      <x:c r="U262" s="15" t="str">
        <x:v>skill_vanguard,skill_flank,skill_pierce,skill_revolve,skill_chase,skill_break,skill_suppress,skill_finale</x:v>
      </x:c>
      <x:c r="V262" s="15" t="str">
        <x:v>trait_element_affinity</x:v>
      </x:c>
      <x:c r="W262" s="332" t="n">
        <x:f>XLOOKUP($D262&amp;"|"&amp;$E262&amp;"|"&amp;$F262,'PET_STAT_RULES'!$A$5:$A$88,'PET_STAT_RULES'!$E$5:$E$88)</x:f>
        <x:v>0</x:v>
      </x:c>
    </x:row>
    <x:row r="263">
      <x:c r="A263" s="38" t="str">
        <x:v>pal_262</x:v>
      </x:c>
      <x:c r="B263" s="38" t="str">
        <x:v>澜象将</x:v>
      </x:c>
      <x:c r="C263" s="38" t="str">
        <x:v>水、地</x:v>
      </x:c>
      <x:c r="D263" s="265" t="str">
        <x:v>白银</x:v>
      </x:c>
      <x:c r="E263" s="38" t="str">
        <x:v>坦克</x:v>
      </x:c>
      <x:c r="F263" s="38" t="str">
        <x:v>两格</x:v>
      </x:c>
      <x:c r="G263" s="38" t="str">
        <x:v>bz_van_262</x:v>
      </x:c>
      <x:c r="H263" s="38" t="str">
        <x:v>elem_水, elem_雷, elem_地, elem_龙, elem_无, role_坦克, role_召唤铺场</x:v>
      </x:c>
      <x:c r="I263" s="38" t="n">
        <x:v>7</x:v>
      </x:c>
      <x:c r="J263" s="340" t="n">
        <x:f>XLOOKUP($D263&amp;"|"&amp;$E263&amp;"|"&amp;$F263,'PET_STAT_RULES'!$A$5:$A$88,'PET_STAT_RULES'!$C$5:$C$88)</x:f>
        <x:v>54</x:v>
      </x:c>
      <x:c r="K263" s="340" t="n">
        <x:f>XLOOKUP($D263&amp;"|"&amp;$E263&amp;"|"&amp;$F263,'PET_STAT_RULES'!$A$5:$A$88,'PET_STAT_RULES'!$D$5:$D$88)</x:f>
        <x:v>12</x:v>
      </x:c>
      <x:c r="L263" s="340" t="n">
        <x:f>XLOOKUP($D263&amp;"|"&amp;$E263&amp;"|"&amp;$F263,'PET_STAT_RULES'!$A$5:$A$88,'PET_STAT_RULES'!$F$5:$F$88)</x:f>
        <x:v>10</x:v>
      </x:c>
      <x:c r="M263" s="340" t="n">
        <x:f>XLOOKUP($D263&amp;"|"&amp;$E263&amp;"|"&amp;$F263,'PET_STAT_RULES'!$A$5:$A$88,'PET_STAT_RULES'!$G$5:$G$88)</x:f>
        <x:v>3</x:v>
      </x:c>
      <x:c r="N263" s="38" t="n">
        <x:v>2</x:v>
      </x:c>
      <x:c r="O263" s="38" t="str">
        <x:v>mech_armor_flat</x:v>
      </x:c>
      <x:c r="P263" s="38" t="str">
        <x:v>06 形状06</x:v>
      </x:c>
      <x:c r="Q263" s="38" t="str">
        <x:v>Shielded</x:v>
      </x:c>
      <x:c r="R263" s="38" t="str">
        <x:v>skill confirmed；来源=Submerged；攻击2格；仅保留来源商人/训练师关系。</x:v>
      </x:c>
      <x:c r="S263" s="38" t="n">
        <x:v>3</x:v>
      </x:c>
      <x:c r="T263" s="38" t="n">
        <x:v>2</x:v>
      </x:c>
      <x:c r="U263" s="15" t="str">
        <x:v>skill_vanguard,skill_flank,skill_pierce,skill_revolve,skill_chase,skill_break,skill_suppress,skill_finale</x:v>
      </x:c>
      <x:c r="V263" s="15" t="str">
        <x:v>trait_combo_mastery</x:v>
      </x:c>
      <x:c r="W263" s="332" t="n">
        <x:f>XLOOKUP($D263&amp;"|"&amp;$E263&amp;"|"&amp;$F263,'PET_STAT_RULES'!$A$5:$A$88,'PET_STAT_RULES'!$E$5:$E$88)</x:f>
        <x:v>0</x:v>
      </x:c>
    </x:row>
    <x:row r="264">
      <x:c r="A264" s="38" t="str">
        <x:v>pal_263</x:v>
      </x:c>
      <x:c r="B264" s="38" t="str">
        <x:v>沙鹰仔</x:v>
      </x:c>
      <x:c r="C264" s="38" t="str">
        <x:v>地</x:v>
      </x:c>
      <x:c r="D264" s="259" t="str">
        <x:v>青铜</x:v>
      </x:c>
      <x:c r="E264" s="38" t="str">
        <x:v>输出</x:v>
      </x:c>
      <x:c r="F264" s="38" t="str">
        <x:v>两格</x:v>
      </x:c>
      <x:c r="G264" s="38" t="str">
        <x:v>bz_van_263</x:v>
      </x:c>
      <x:c r="H264" s="38" t="str">
        <x:v>elem_水, elem_雷, elem_龙, elem_无</x:v>
      </x:c>
      <x:c r="I264" s="38" t="n">
        <x:v>4</x:v>
      </x:c>
      <x:c r="J264" s="340" t="n">
        <x:f>XLOOKUP($D264&amp;"|"&amp;$E264&amp;"|"&amp;$F264,'PET_STAT_RULES'!$A$5:$A$88,'PET_STAT_RULES'!$C$5:$C$88)</x:f>
        <x:v>28</x:v>
      </x:c>
      <x:c r="K264" s="340" t="n">
        <x:f>XLOOKUP($D264&amp;"|"&amp;$E264&amp;"|"&amp;$F264,'PET_STAT_RULES'!$A$5:$A$88,'PET_STAT_RULES'!$D$5:$D$88)</x:f>
        <x:v>12</x:v>
      </x:c>
      <x:c r="L264" s="340" t="n">
        <x:f>XLOOKUP($D264&amp;"|"&amp;$E264&amp;"|"&amp;$F264,'PET_STAT_RULES'!$A$5:$A$88,'PET_STAT_RULES'!$F$5:$F$88)</x:f>
        <x:v>0</x:v>
      </x:c>
      <x:c r="M264" s="340" t="n">
        <x:f>XLOOKUP($D264&amp;"|"&amp;$E264&amp;"|"&amp;$F264,'PET_STAT_RULES'!$A$5:$A$88,'PET_STAT_RULES'!$G$5:$G$88)</x:f>
        <x:v>3</x:v>
      </x:c>
      <x:c r="N264" s="38" t="n">
        <x:v>1</x:v>
      </x:c>
      <x:c r="O264" s="38" t="str">
        <x:v>mech_grow_atk_each_round</x:v>
      </x:c>
      <x:c r="P264" s="38" t="str">
        <x:v>02 形状02</x:v>
      </x:c>
      <x:c r="Q264" s="38" t="str">
        <x:v>Heavy</x:v>
      </x:c>
      <x:c r="R264" s="38" t="str">
        <x:v>skill confirmed；来源=Supply Cache；攻击1格；仅保留来源商人/训练师关系。</x:v>
      </x:c>
      <x:c r="S264" s="38" t="n">
        <x:v>3</x:v>
      </x:c>
      <x:c r="T264" s="38" t="n">
        <x:v>1</x:v>
      </x:c>
      <x:c r="U264" s="15" t="str">
        <x:v>skill_vanguard,skill_flank,skill_pierce,skill_revolve,skill_chase,skill_break,skill_suppress,skill_finale</x:v>
      </x:c>
      <x:c r="V264" s="15" t="str">
        <x:v>trait_relentless</x:v>
      </x:c>
      <x:c r="W264" s="332" t="n">
        <x:f>XLOOKUP($D264&amp;"|"&amp;$E264&amp;"|"&amp;$F264,'PET_STAT_RULES'!$A$5:$A$88,'PET_STAT_RULES'!$E$5:$E$88)</x:f>
        <x:v>0</x:v>
      </x:c>
    </x:row>
    <x:row r="265">
      <x:c r="A265" s="38" t="str">
        <x:v>pal_264</x:v>
      </x:c>
      <x:c r="B265" s="38" t="str">
        <x:v>蛟鲨精</x:v>
      </x:c>
      <x:c r="C265" s="38" t="str">
        <x:v>龙</x:v>
      </x:c>
      <x:c r="D265" s="265" t="str">
        <x:v>白银</x:v>
      </x:c>
      <x:c r="E265" s="38" t="str">
        <x:v>输出</x:v>
      </x:c>
      <x:c r="F265" s="38" t="str">
        <x:v>两格</x:v>
      </x:c>
      <x:c r="G265" s="38" t="str">
        <x:v>bz_van_264</x:v>
      </x:c>
      <x:c r="H265" s="38" t="str">
        <x:v>elem_水, elem_雷, elem_龙, elem_无, role_坦克</x:v>
      </x:c>
      <x:c r="I265" s="38" t="n">
        <x:v>5</x:v>
      </x:c>
      <x:c r="J265" s="340" t="n">
        <x:f>XLOOKUP($D265&amp;"|"&amp;$E265&amp;"|"&amp;$F265,'PET_STAT_RULES'!$A$5:$A$88,'PET_STAT_RULES'!$C$5:$C$88)</x:f>
        <x:v>40</x:v>
      </x:c>
      <x:c r="K265" s="340" t="n">
        <x:f>XLOOKUP($D265&amp;"|"&amp;$E265&amp;"|"&amp;$F265,'PET_STAT_RULES'!$A$5:$A$88,'PET_STAT_RULES'!$D$5:$D$88)</x:f>
        <x:v>20</x:v>
      </x:c>
      <x:c r="L265" s="340" t="n">
        <x:f>XLOOKUP($D265&amp;"|"&amp;$E265&amp;"|"&amp;$F265,'PET_STAT_RULES'!$A$5:$A$88,'PET_STAT_RULES'!$F$5:$F$88)</x:f>
        <x:v>0</x:v>
      </x:c>
      <x:c r="M265" s="340" t="n">
        <x:f>XLOOKUP($D265&amp;"|"&amp;$E265&amp;"|"&amp;$F265,'PET_STAT_RULES'!$A$5:$A$88,'PET_STAT_RULES'!$G$5:$G$88)</x:f>
        <x:v>3</x:v>
      </x:c>
      <x:c r="N265" s="38" t="n">
        <x:v>2</x:v>
      </x:c>
      <x:c r="O265" s="38" t="str">
        <x:v>mech_grow_atk_each_round</x:v>
      </x:c>
      <x:c r="P265" s="38" t="str">
        <x:v>09 形状09</x:v>
      </x:c>
      <x:c r="Q265" s="38" t="str">
        <x:v>Deadly</x:v>
      </x:c>
      <x:c r="R265" s="38" t="str">
        <x:v>skill confirmed；来源=Tempering；攻击2格；仅保留来源商人/训练师关系。</x:v>
      </x:c>
      <x:c r="S265" s="38" t="n">
        <x:v>3</x:v>
      </x:c>
      <x:c r="T265" s="38" t="n">
        <x:v>2</x:v>
      </x:c>
      <x:c r="U265" s="15" t="str">
        <x:v>skill_vanguard,skill_flank,skill_pierce,skill_revolve,skill_chase,skill_break,skill_suppress,skill_finale</x:v>
      </x:c>
      <x:c r="V265" s="15" t="str">
        <x:v>trait_relentless</x:v>
      </x:c>
      <x:c r="W265" s="332" t="n">
        <x:f>XLOOKUP($D265&amp;"|"&amp;$E265&amp;"|"&amp;$F265,'PET_STAT_RULES'!$A$5:$A$88,'PET_STAT_RULES'!$E$5:$E$88)</x:f>
        <x:v>0</x:v>
      </x:c>
    </x:row>
    <x:row r="266">
      <x:c r="A266" s="38" t="str">
        <x:v>pal_265</x:v>
      </x:c>
      <x:c r="B266" s="38" t="str">
        <x:v>电狐王</x:v>
      </x:c>
      <x:c r="C266" s="38" t="str">
        <x:v>雷</x:v>
      </x:c>
      <x:c r="D266" s="262" t="str">
        <x:v>黄金</x:v>
      </x:c>
      <x:c r="E266" s="38" t="str">
        <x:v>控制</x:v>
      </x:c>
      <x:c r="F266" s="38" t="str">
        <x:v>两格</x:v>
      </x:c>
      <x:c r="G266" s="38" t="str">
        <x:v>bz_van_265</x:v>
      </x:c>
      <x:c r="H266" s="38" t="str">
        <x:v>elem_水, elem_龙, elem_无, role_坦克, role_经济, special_merchant</x:v>
      </x:c>
      <x:c r="I266" s="38" t="n">
        <x:v>6</x:v>
      </x:c>
      <x:c r="J266" s="340" t="n">
        <x:f>XLOOKUP($D266&amp;"|"&amp;$E266&amp;"|"&amp;$F266,'PET_STAT_RULES'!$A$5:$A$88,'PET_STAT_RULES'!$C$5:$C$88)</x:f>
        <x:v>56</x:v>
      </x:c>
      <x:c r="K266" s="340" t="n">
        <x:f>XLOOKUP($D266&amp;"|"&amp;$E266&amp;"|"&amp;$F266,'PET_STAT_RULES'!$A$5:$A$88,'PET_STAT_RULES'!$D$5:$D$88)</x:f>
        <x:v>20</x:v>
      </x:c>
      <x:c r="L266" s="340" t="n">
        <x:f>XLOOKUP($D266&amp;"|"&amp;$E266&amp;"|"&amp;$F266,'PET_STAT_RULES'!$A$5:$A$88,'PET_STAT_RULES'!$F$5:$F$88)</x:f>
        <x:v>0</x:v>
      </x:c>
      <x:c r="M266" s="340" t="n">
        <x:f>XLOOKUP($D266&amp;"|"&amp;$E266&amp;"|"&amp;$F266,'PET_STAT_RULES'!$A$5:$A$88,'PET_STAT_RULES'!$G$5:$G$88)</x:f>
        <x:v>4</x:v>
      </x:c>
      <x:c r="N266" s="38" t="n">
        <x:v>2</x:v>
      </x:c>
      <x:c r="O266" s="38" t="str">
        <x:v>mech_counter_damage</x:v>
      </x:c>
      <x:c r="P266" s="38" t="str">
        <x:v>05 形状05</x:v>
      </x:c>
      <x:c r="Q266" s="38" t="str">
        <x:v>Icy</x:v>
      </x:c>
      <x:c r="R266" s="38" t="str">
        <x:v>skill confirmed；来源=Temporal Strike；攻击2格；仅保留来源商人/训练师关系。</x:v>
      </x:c>
      <x:c r="S266" s="38" t="n">
        <x:v>4</x:v>
      </x:c>
      <x:c r="T266" s="38" t="n">
        <x:v>2</x:v>
      </x:c>
      <x:c r="U266" s="15" t="str">
        <x:v>skill_vanguard,skill_flank,skill_pierce,skill_revolve,skill_chase,skill_break,skill_suppress,skill_finale</x:v>
      </x:c>
      <x:c r="V266" s="15" t="str">
        <x:v>trait_element_affinity</x:v>
      </x:c>
      <x:c r="W266" s="332" t="n">
        <x:f>XLOOKUP($D266&amp;"|"&amp;$E266&amp;"|"&amp;$F266,'PET_STAT_RULES'!$A$5:$A$88,'PET_STAT_RULES'!$E$5:$E$88)</x:f>
        <x:v>0</x:v>
      </x:c>
    </x:row>
    <x:row r="267">
      <x:c r="A267" s="38" t="str">
        <x:v>pal_266</x:v>
      </x:c>
      <x:c r="B267" s="38" t="str">
        <x:v>沧狮将</x:v>
      </x:c>
      <x:c r="C267" s="38" t="str">
        <x:v>水</x:v>
      </x:c>
      <x:c r="D267" s="265" t="str">
        <x:v>白银</x:v>
      </x:c>
      <x:c r="E267" s="38" t="str">
        <x:v>输出</x:v>
      </x:c>
      <x:c r="F267" s="38" t="str">
        <x:v>两格</x:v>
      </x:c>
      <x:c r="G267" s="38" t="str">
        <x:v>bz_van_266</x:v>
      </x:c>
      <x:c r="H267" s="38" t="str">
        <x:v>elem_水, elem_雷, elem_地, elem_龙, elem_无, role_坦克</x:v>
      </x:c>
      <x:c r="I267" s="38" t="n">
        <x:v>6</x:v>
      </x:c>
      <x:c r="J267" s="340" t="n">
        <x:f>XLOOKUP($D267&amp;"|"&amp;$E267&amp;"|"&amp;$F267,'PET_STAT_RULES'!$A$5:$A$88,'PET_STAT_RULES'!$C$5:$C$88)</x:f>
        <x:v>40</x:v>
      </x:c>
      <x:c r="K267" s="340" t="n">
        <x:f>XLOOKUP($D267&amp;"|"&amp;$E267&amp;"|"&amp;$F267,'PET_STAT_RULES'!$A$5:$A$88,'PET_STAT_RULES'!$D$5:$D$88)</x:f>
        <x:v>20</x:v>
      </x:c>
      <x:c r="L267" s="340" t="n">
        <x:f>XLOOKUP($D267&amp;"|"&amp;$E267&amp;"|"&amp;$F267,'PET_STAT_RULES'!$A$5:$A$88,'PET_STAT_RULES'!$F$5:$F$88)</x:f>
        <x:v>0</x:v>
      </x:c>
      <x:c r="M267" s="340" t="n">
        <x:f>XLOOKUP($D267&amp;"|"&amp;$E267&amp;"|"&amp;$F267,'PET_STAT_RULES'!$A$5:$A$88,'PET_STAT_RULES'!$G$5:$G$88)</x:f>
        <x:v>3</x:v>
      </x:c>
      <x:c r="N267" s="38" t="n">
        <x:v>2</x:v>
      </x:c>
      <x:c r="O267" s="38" t="str">
        <x:v>mech_grow_atk_each_round</x:v>
      </x:c>
      <x:c r="P267" s="38" t="str">
        <x:v>09 形状09</x:v>
      </x:c>
      <x:c r="Q267" s="38" t="str">
        <x:v>Deadly</x:v>
      </x:c>
      <x:c r="R267" s="38" t="str">
        <x:v>skill confirmed；来源=The Best Defense；攻击2格；仅保留来源商人/训练师关系。</x:v>
      </x:c>
      <x:c r="S267" s="38" t="n">
        <x:v>3</x:v>
      </x:c>
      <x:c r="T267" s="38" t="n">
        <x:v>2</x:v>
      </x:c>
      <x:c r="U267" s="15" t="str">
        <x:v>skill_vanguard,skill_flank,skill_pierce,skill_revolve,skill_chase,skill_break,skill_suppress,skill_finale</x:v>
      </x:c>
      <x:c r="V267" s="15" t="str">
        <x:v>trait_relentless</x:v>
      </x:c>
      <x:c r="W267" s="332" t="n">
        <x:f>XLOOKUP($D267&amp;"|"&amp;$E267&amp;"|"&amp;$F267,'PET_STAT_RULES'!$A$5:$A$88,'PET_STAT_RULES'!$E$5:$E$88)</x:f>
        <x:v>0</x:v>
      </x:c>
    </x:row>
    <x:row r="268">
      <x:c r="A268" s="38" t="str">
        <x:v>pal_267</x:v>
      </x:c>
      <x:c r="B268" s="38" t="str">
        <x:v>炎鲭侯</x:v>
      </x:c>
      <x:c r="C268" s="38" t="str">
        <x:v>火</x:v>
      </x:c>
      <x:c r="D268" s="262" t="str">
        <x:v>黄金</x:v>
      </x:c>
      <x:c r="E268" s="38" t="str">
        <x:v>机动</x:v>
      </x:c>
      <x:c r="F268" s="38" t="str">
        <x:v>两格</x:v>
      </x:c>
      <x:c r="G268" s="38" t="str">
        <x:v>bz_van_267</x:v>
      </x:c>
      <x:c r="H268" s="38" t="str">
        <x:v>elem_水, elem_龙, elem_无</x:v>
      </x:c>
      <x:c r="I268" s="38" t="n">
        <x:v>3</x:v>
      </x:c>
      <x:c r="J268" s="340" t="n">
        <x:f>XLOOKUP($D268&amp;"|"&amp;$E268&amp;"|"&amp;$F268,'PET_STAT_RULES'!$A$5:$A$88,'PET_STAT_RULES'!$C$5:$C$88)</x:f>
        <x:v>52</x:v>
      </x:c>
      <x:c r="K268" s="340" t="n">
        <x:f>XLOOKUP($D268&amp;"|"&amp;$E268&amp;"|"&amp;$F268,'PET_STAT_RULES'!$A$5:$A$88,'PET_STAT_RULES'!$D$5:$D$88)</x:f>
        <x:v>18</x:v>
      </x:c>
      <x:c r="L268" s="340" t="n">
        <x:f>XLOOKUP($D268&amp;"|"&amp;$E268&amp;"|"&amp;$F268,'PET_STAT_RULES'!$A$5:$A$88,'PET_STAT_RULES'!$F$5:$F$88)</x:f>
        <x:v>0</x:v>
      </x:c>
      <x:c r="M268" s="340" t="n">
        <x:f>XLOOKUP($D268&amp;"|"&amp;$E268&amp;"|"&amp;$F268,'PET_STAT_RULES'!$A$5:$A$88,'PET_STAT_RULES'!$G$5:$G$88)</x:f>
        <x:v>5</x:v>
      </x:c>
      <x:c r="N268" s="38" t="n">
        <x:v>3</x:v>
      </x:c>
      <x:c r="O268" s="38" t="str">
        <x:v>none</x:v>
      </x:c>
      <x:c r="P268" s="38" t="str">
        <x:v>16 形状16</x:v>
      </x:c>
      <x:c r="Q268" s="38" t="str">
        <x:v>Turbo</x:v>
      </x:c>
      <x:c r="R268" s="38" t="str">
        <x:v>skill confirmed；来源=Tiny Dancer；攻击3格；仅保留来源商人/训练师关系。</x:v>
      </x:c>
      <x:c r="S268" s="38" t="n">
        <x:v>5</x:v>
      </x:c>
      <x:c r="T268" s="38" t="n">
        <x:v>2</x:v>
      </x:c>
      <x:c r="U268" s="15" t="str">
        <x:v>skill_vanguard,skill_flank,skill_pierce,skill_revolve,skill_chase,skill_break,skill_suppress,skill_finale</x:v>
      </x:c>
      <x:c r="V268" s="15" t="str">
        <x:v>trait_relentless</x:v>
      </x:c>
      <x:c r="W268" s="332" t="n">
        <x:f>XLOOKUP($D268&amp;"|"&amp;$E268&amp;"|"&amp;$F268,'PET_STAT_RULES'!$A$5:$A$88,'PET_STAT_RULES'!$E$5:$E$88)</x:f>
        <x:v>0</x:v>
      </x:c>
    </x:row>
    <x:row r="269">
      <x:c r="A269" s="38" t="str">
        <x:v>pal_268</x:v>
      </x:c>
      <x:c r="B269" s="38" t="str">
        <x:v>石牦灵</x:v>
      </x:c>
      <x:c r="C269" s="38" t="str">
        <x:v>地</x:v>
      </x:c>
      <x:c r="D269" s="259" t="str">
        <x:v>青铜</x:v>
      </x:c>
      <x:c r="E269" s="38" t="str">
        <x:v>坦克</x:v>
      </x:c>
      <x:c r="F269" s="38" t="str">
        <x:v>两格</x:v>
      </x:c>
      <x:c r="G269" s="38" t="str">
        <x:v>bz_van_268</x:v>
      </x:c>
      <x:c r="H269" s="38" t="str">
        <x:v>elem_水, elem_雷, elem_龙, elem_无, role_召唤铺场</x:v>
      </x:c>
      <x:c r="I269" s="38" t="n">
        <x:v>5</x:v>
      </x:c>
      <x:c r="J269" s="340" t="n">
        <x:f>XLOOKUP($D269&amp;"|"&amp;$E269&amp;"|"&amp;$F269,'PET_STAT_RULES'!$A$5:$A$88,'PET_STAT_RULES'!$C$5:$C$88)</x:f>
        <x:v>42</x:v>
      </x:c>
      <x:c r="K269" s="340" t="n">
        <x:f>XLOOKUP($D269&amp;"|"&amp;$E269&amp;"|"&amp;$F269,'PET_STAT_RULES'!$A$5:$A$88,'PET_STAT_RULES'!$D$5:$D$88)</x:f>
        <x:v>6</x:v>
      </x:c>
      <x:c r="L269" s="340" t="n">
        <x:f>XLOOKUP($D269&amp;"|"&amp;$E269&amp;"|"&amp;$F269,'PET_STAT_RULES'!$A$5:$A$88,'PET_STAT_RULES'!$F$5:$F$88)</x:f>
        <x:v>6</x:v>
      </x:c>
      <x:c r="M269" s="340" t="n">
        <x:f>XLOOKUP($D269&amp;"|"&amp;$E269&amp;"|"&amp;$F269,'PET_STAT_RULES'!$A$5:$A$88,'PET_STAT_RULES'!$G$5:$G$88)</x:f>
        <x:v>3</x:v>
      </x:c>
      <x:c r="N269" s="38" t="n">
        <x:v>1</x:v>
      </x:c>
      <x:c r="O269" s="38" t="str">
        <x:v>mech_armor_flat</x:v>
      </x:c>
      <x:c r="P269" s="38" t="str">
        <x:v>04 形状04</x:v>
      </x:c>
      <x:c r="Q269" s="38" t="str">
        <x:v>Shielded</x:v>
      </x:c>
      <x:c r="R269" s="38" t="str">
        <x:v>skill confirmed；来源=Toughness；攻击1格；仅保留来源商人/训练师关系。</x:v>
      </x:c>
      <x:c r="S269" s="38" t="n">
        <x:v>3</x:v>
      </x:c>
      <x:c r="T269" s="38" t="n">
        <x:v>1</x:v>
      </x:c>
      <x:c r="U269" s="15" t="str">
        <x:v>skill_vanguard,skill_flank,skill_pierce,skill_revolve,skill_chase,skill_break,skill_suppress,skill_finale</x:v>
      </x:c>
      <x:c r="V269" s="15" t="str">
        <x:v>trait_combo_mastery</x:v>
      </x:c>
      <x:c r="W269" s="332" t="n">
        <x:f>XLOOKUP($D269&amp;"|"&amp;$E269&amp;"|"&amp;$F269,'PET_STAT_RULES'!$A$5:$A$88,'PET_STAT_RULES'!$E$5:$E$88)</x:f>
        <x:v>0</x:v>
      </x:c>
    </x:row>
    <x:row r="270">
      <x:c r="A270" s="38" t="str">
        <x:v>pal_269</x:v>
      </x:c>
      <x:c r="B270" s="38" t="str">
        <x:v>焰蝎妖</x:v>
      </x:c>
      <x:c r="C270" s="38" t="str">
        <x:v>火、草</x:v>
      </x:c>
      <x:c r="D270" s="265" t="str">
        <x:v>白银</x:v>
      </x:c>
      <x:c r="E270" s="38" t="str">
        <x:v>控制</x:v>
      </x:c>
      <x:c r="F270" s="38" t="str">
        <x:v>两格</x:v>
      </x:c>
      <x:c r="G270" s="38" t="str">
        <x:v>bz_van_269</x:v>
      </x:c>
      <x:c r="H270" s="38" t="str">
        <x:v>elem_水, elem_雷, elem_龙, elem_无, role_治疗, role_输出</x:v>
      </x:c>
      <x:c r="I270" s="38" t="n">
        <x:v>6</x:v>
      </x:c>
      <x:c r="J270" s="340" t="n">
        <x:f>XLOOKUP($D270&amp;"|"&amp;$E270&amp;"|"&amp;$F270,'PET_STAT_RULES'!$A$5:$A$88,'PET_STAT_RULES'!$C$5:$C$88)</x:f>
        <x:v>44</x:v>
      </x:c>
      <x:c r="K270" s="340" t="n">
        <x:f>XLOOKUP($D270&amp;"|"&amp;$E270&amp;"|"&amp;$F270,'PET_STAT_RULES'!$A$5:$A$88,'PET_STAT_RULES'!$D$5:$D$88)</x:f>
        <x:v>14</x:v>
      </x:c>
      <x:c r="L270" s="340" t="n">
        <x:f>XLOOKUP($D270&amp;"|"&amp;$E270&amp;"|"&amp;$F270,'PET_STAT_RULES'!$A$5:$A$88,'PET_STAT_RULES'!$F$5:$F$88)</x:f>
        <x:v>0</x:v>
      </x:c>
      <x:c r="M270" s="340" t="n">
        <x:f>XLOOKUP($D270&amp;"|"&amp;$E270&amp;"|"&amp;$F270,'PET_STAT_RULES'!$A$5:$A$88,'PET_STAT_RULES'!$G$5:$G$88)</x:f>
        <x:v>4</x:v>
      </x:c>
      <x:c r="N270" s="38" t="n">
        <x:v>2</x:v>
      </x:c>
      <x:c r="O270" s="38" t="str">
        <x:v>mech_fire_ignite_bonus</x:v>
      </x:c>
      <x:c r="P270" s="38" t="str">
        <x:v>11 形状11</x:v>
      </x:c>
      <x:c r="Q270" s="38" t="str">
        <x:v>Fiery</x:v>
      </x:c>
      <x:c r="R270" s="38" t="str">
        <x:v>skill confirmed；来源=Toxic Flame；攻击2格；仅保留来源商人/训练师关系。</x:v>
      </x:c>
      <x:c r="S270" s="38" t="n">
        <x:v>4</x:v>
      </x:c>
      <x:c r="T270" s="38" t="n">
        <x:v>2</x:v>
      </x:c>
      <x:c r="U270" s="15" t="str">
        <x:v>skill_vanguard,skill_flank,skill_pierce,skill_revolve,skill_chase,skill_break,skill_suppress,skill_finale</x:v>
      </x:c>
      <x:c r="V270" s="15" t="str">
        <x:v>trait_element_affinity</x:v>
      </x:c>
      <x:c r="W270" s="332" t="n">
        <x:f>XLOOKUP($D270&amp;"|"&amp;$E270&amp;"|"&amp;$F270,'PET_STAT_RULES'!$A$5:$A$88,'PET_STAT_RULES'!$E$5:$E$88)</x:f>
        <x:v>0</x:v>
      </x:c>
    </x:row>
    <x:row r="271">
      <x:c r="A271" s="38" t="str">
        <x:v>pal_270</x:v>
      </x:c>
      <x:c r="B271" s="38" t="str">
        <x:v>芽蛛将</x:v>
      </x:c>
      <x:c r="C271" s="38" t="str">
        <x:v>草</x:v>
      </x:c>
      <x:c r="D271" s="265" t="str">
        <x:v>白银</x:v>
      </x:c>
      <x:c r="E271" s="38" t="str">
        <x:v>控制</x:v>
      </x:c>
      <x:c r="F271" s="38" t="str">
        <x:v>两格</x:v>
      </x:c>
      <x:c r="G271" s="38" t="str">
        <x:v>bz_van_270</x:v>
      </x:c>
      <x:c r="H271" s="38" t="str">
        <x:v>elem_水, elem_雷, elem_龙, elem_无, role_坦克, role_输出</x:v>
      </x:c>
      <x:c r="I271" s="38" t="n">
        <x:v>6</x:v>
      </x:c>
      <x:c r="J271" s="340" t="n">
        <x:f>XLOOKUP($D271&amp;"|"&amp;$E271&amp;"|"&amp;$F271,'PET_STAT_RULES'!$A$5:$A$88,'PET_STAT_RULES'!$C$5:$C$88)</x:f>
        <x:v>44</x:v>
      </x:c>
      <x:c r="K271" s="340" t="n">
        <x:f>XLOOKUP($D271&amp;"|"&amp;$E271&amp;"|"&amp;$F271,'PET_STAT_RULES'!$A$5:$A$88,'PET_STAT_RULES'!$D$5:$D$88)</x:f>
        <x:v>14</x:v>
      </x:c>
      <x:c r="L271" s="340" t="n">
        <x:f>XLOOKUP($D271&amp;"|"&amp;$E271&amp;"|"&amp;$F271,'PET_STAT_RULES'!$A$5:$A$88,'PET_STAT_RULES'!$F$5:$F$88)</x:f>
        <x:v>0</x:v>
      </x:c>
      <x:c r="M271" s="340" t="n">
        <x:f>XLOOKUP($D271&amp;"|"&amp;$E271&amp;"|"&amp;$F271,'PET_STAT_RULES'!$A$5:$A$88,'PET_STAT_RULES'!$G$5:$G$88)</x:f>
        <x:v>4</x:v>
      </x:c>
      <x:c r="N271" s="38" t="n">
        <x:v>2</x:v>
      </x:c>
      <x:c r="O271" s="38" t="str">
        <x:v>mech_counter_damage</x:v>
      </x:c>
      <x:c r="P271" s="38" t="str">
        <x:v>05 形状05</x:v>
      </x:c>
      <x:c r="Q271" s="38" t="str">
        <x:v>Toxic</x:v>
      </x:c>
      <x:c r="R271" s="38" t="str">
        <x:v>skill confirmed；来源=Toxic Weapons；攻击2格；仅保留来源商人/训练师关系。</x:v>
      </x:c>
      <x:c r="S271" s="38" t="n">
        <x:v>4</x:v>
      </x:c>
      <x:c r="T271" s="38" t="n">
        <x:v>2</x:v>
      </x:c>
      <x:c r="U271" s="15" t="str">
        <x:v>skill_vanguard,skill_flank,skill_pierce,skill_revolve,skill_chase,skill_break,skill_suppress,skill_finale</x:v>
      </x:c>
      <x:c r="V271" s="15" t="str">
        <x:v>trait_element_affinity</x:v>
      </x:c>
      <x:c r="W271" s="332" t="n">
        <x:f>XLOOKUP($D271&amp;"|"&amp;$E271&amp;"|"&amp;$F271,'PET_STAT_RULES'!$A$5:$A$88,'PET_STAT_RULES'!$E$5:$E$88)</x:f>
        <x:v>0</x:v>
      </x:c>
    </x:row>
    <x:row r="272">
      <x:c r="A272" s="38" t="str">
        <x:v>pal_271</x:v>
      </x:c>
      <x:c r="B272" s="38" t="str">
        <x:v>青蛇将</x:v>
      </x:c>
      <x:c r="C272" s="38" t="str">
        <x:v>草</x:v>
      </x:c>
      <x:c r="D272" s="265" t="str">
        <x:v>白银</x:v>
      </x:c>
      <x:c r="E272" s="38" t="str">
        <x:v>控制</x:v>
      </x:c>
      <x:c r="F272" s="38" t="str">
        <x:v>两格</x:v>
      </x:c>
      <x:c r="G272" s="38" t="str">
        <x:v>bz_van_271</x:v>
      </x:c>
      <x:c r="H272" s="38" t="str">
        <x:v>elem_水, elem_雷, elem_龙, elem_无, role_输出</x:v>
      </x:c>
      <x:c r="I272" s="38" t="n">
        <x:v>5</x:v>
      </x:c>
      <x:c r="J272" s="340" t="n">
        <x:f>XLOOKUP($D272&amp;"|"&amp;$E272&amp;"|"&amp;$F272,'PET_STAT_RULES'!$A$5:$A$88,'PET_STAT_RULES'!$C$5:$C$88)</x:f>
        <x:v>44</x:v>
      </x:c>
      <x:c r="K272" s="340" t="n">
        <x:f>XLOOKUP($D272&amp;"|"&amp;$E272&amp;"|"&amp;$F272,'PET_STAT_RULES'!$A$5:$A$88,'PET_STAT_RULES'!$D$5:$D$88)</x:f>
        <x:v>14</x:v>
      </x:c>
      <x:c r="L272" s="340" t="n">
        <x:f>XLOOKUP($D272&amp;"|"&amp;$E272&amp;"|"&amp;$F272,'PET_STAT_RULES'!$A$5:$A$88,'PET_STAT_RULES'!$F$5:$F$88)</x:f>
        <x:v>0</x:v>
      </x:c>
      <x:c r="M272" s="340" t="n">
        <x:f>XLOOKUP($D272&amp;"|"&amp;$E272&amp;"|"&amp;$F272,'PET_STAT_RULES'!$A$5:$A$88,'PET_STAT_RULES'!$G$5:$G$88)</x:f>
        <x:v>4</x:v>
      </x:c>
      <x:c r="N272" s="38" t="n">
        <x:v>2</x:v>
      </x:c>
      <x:c r="O272" s="38" t="str">
        <x:v>mech_counter_damage</x:v>
      </x:c>
      <x:c r="P272" s="38" t="str">
        <x:v>05 形状05</x:v>
      </x:c>
      <x:c r="Q272" s="38" t="str">
        <x:v>Toxic</x:v>
      </x:c>
      <x:c r="R272" s="38" t="str">
        <x:v>skill confirmed；来源=Toxicity；攻击2格；仅保留来源商人/训练师关系。</x:v>
      </x:c>
      <x:c r="S272" s="38" t="n">
        <x:v>4</x:v>
      </x:c>
      <x:c r="T272" s="38" t="n">
        <x:v>2</x:v>
      </x:c>
      <x:c r="U272" s="15" t="str">
        <x:v>skill_vanguard,skill_flank,skill_pierce,skill_revolve,skill_chase,skill_break,skill_suppress,skill_finale</x:v>
      </x:c>
      <x:c r="V272" s="15" t="str">
        <x:v>trait_element_affinity</x:v>
      </x:c>
      <x:c r="W272" s="332" t="n">
        <x:f>XLOOKUP($D272&amp;"|"&amp;$E272&amp;"|"&amp;$F272,'PET_STAT_RULES'!$A$5:$A$88,'PET_STAT_RULES'!$E$5:$E$88)</x:f>
        <x:v>0</x:v>
      </x:c>
    </x:row>
    <x:row r="273">
      <x:c r="A273" s="38" t="str">
        <x:v>pal_272</x:v>
      </x:c>
      <x:c r="B273" s="38" t="str">
        <x:v>芽貂卫</x:v>
      </x:c>
      <x:c r="C273" s="38" t="str">
        <x:v>草</x:v>
      </x:c>
      <x:c r="D273" s="265" t="str">
        <x:v>白银</x:v>
      </x:c>
      <x:c r="E273" s="38" t="str">
        <x:v>控制</x:v>
      </x:c>
      <x:c r="F273" s="38" t="str">
        <x:v>两格</x:v>
      </x:c>
      <x:c r="G273" s="38" t="str">
        <x:v>bz_van_272</x:v>
      </x:c>
      <x:c r="H273" s="38" t="str">
        <x:v>elem_水, elem_雷, elem_龙, elem_无, role_输出, special_merchant</x:v>
      </x:c>
      <x:c r="I273" s="38" t="n">
        <x:v>6</x:v>
      </x:c>
      <x:c r="J273" s="340" t="n">
        <x:f>XLOOKUP($D273&amp;"|"&amp;$E273&amp;"|"&amp;$F273,'PET_STAT_RULES'!$A$5:$A$88,'PET_STAT_RULES'!$C$5:$C$88)</x:f>
        <x:v>44</x:v>
      </x:c>
      <x:c r="K273" s="340" t="n">
        <x:f>XLOOKUP($D273&amp;"|"&amp;$E273&amp;"|"&amp;$F273,'PET_STAT_RULES'!$A$5:$A$88,'PET_STAT_RULES'!$D$5:$D$88)</x:f>
        <x:v>14</x:v>
      </x:c>
      <x:c r="L273" s="340" t="n">
        <x:f>XLOOKUP($D273&amp;"|"&amp;$E273&amp;"|"&amp;$F273,'PET_STAT_RULES'!$A$5:$A$88,'PET_STAT_RULES'!$F$5:$F$88)</x:f>
        <x:v>0</x:v>
      </x:c>
      <x:c r="M273" s="340" t="n">
        <x:f>XLOOKUP($D273&amp;"|"&amp;$E273&amp;"|"&amp;$F273,'PET_STAT_RULES'!$A$5:$A$88,'PET_STAT_RULES'!$G$5:$G$88)</x:f>
        <x:v>4</x:v>
      </x:c>
      <x:c r="N273" s="38" t="n">
        <x:v>2</x:v>
      </x:c>
      <x:c r="O273" s="38" t="str">
        <x:v>mech_counter_damage</x:v>
      </x:c>
      <x:c r="P273" s="38" t="str">
        <x:v>11 形状11</x:v>
      </x:c>
      <x:c r="Q273" s="38" t="str">
        <x:v>Toxic</x:v>
      </x:c>
      <x:c r="R273" s="38" t="str">
        <x:v>skill confirmed；来源=Toxin Injector；攻击2格；仅保留来源商人/训练师关系。</x:v>
      </x:c>
      <x:c r="S273" s="38" t="n">
        <x:v>4</x:v>
      </x:c>
      <x:c r="T273" s="38" t="n">
        <x:v>2</x:v>
      </x:c>
      <x:c r="U273" s="15" t="str">
        <x:v>skill_vanguard,skill_flank,skill_pierce,skill_revolve,skill_chase,skill_break,skill_suppress,skill_finale</x:v>
      </x:c>
      <x:c r="V273" s="15" t="str">
        <x:v>trait_element_affinity</x:v>
      </x:c>
      <x:c r="W273" s="332" t="n">
        <x:f>XLOOKUP($D273&amp;"|"&amp;$E273&amp;"|"&amp;$F273,'PET_STAT_RULES'!$A$5:$A$88,'PET_STAT_RULES'!$E$5:$E$88)</x:f>
        <x:v>0</x:v>
      </x:c>
    </x:row>
    <x:row r="274">
      <x:c r="A274" s="38" t="str">
        <x:v>pal_273</x:v>
      </x:c>
      <x:c r="B274" s="38" t="str">
        <x:v>燎鹰卫</x:v>
      </x:c>
      <x:c r="C274" s="38" t="str">
        <x:v>火、雷</x:v>
      </x:c>
      <x:c r="D274" s="265" t="str">
        <x:v>白银</x:v>
      </x:c>
      <x:c r="E274" s="38" t="str">
        <x:v>输出</x:v>
      </x:c>
      <x:c r="F274" s="38" t="str">
        <x:v>两格</x:v>
      </x:c>
      <x:c r="G274" s="38" t="str">
        <x:v>bz_van_273</x:v>
      </x:c>
      <x:c r="H274" s="38" t="str">
        <x:v>elem_水, elem_雷, elem_龙, elem_无, role_召唤, role_治疗</x:v>
      </x:c>
      <x:c r="I274" s="38" t="n">
        <x:v>6</x:v>
      </x:c>
      <x:c r="J274" s="340" t="n">
        <x:f>XLOOKUP($D274&amp;"|"&amp;$E274&amp;"|"&amp;$F274,'PET_STAT_RULES'!$A$5:$A$88,'PET_STAT_RULES'!$C$5:$C$88)</x:f>
        <x:v>40</x:v>
      </x:c>
      <x:c r="K274" s="340" t="n">
        <x:f>XLOOKUP($D274&amp;"|"&amp;$E274&amp;"|"&amp;$F274,'PET_STAT_RULES'!$A$5:$A$88,'PET_STAT_RULES'!$D$5:$D$88)</x:f>
        <x:v>20</x:v>
      </x:c>
      <x:c r="L274" s="340" t="n">
        <x:f>XLOOKUP($D274&amp;"|"&amp;$E274&amp;"|"&amp;$F274,'PET_STAT_RULES'!$A$5:$A$88,'PET_STAT_RULES'!$F$5:$F$88)</x:f>
        <x:v>0</x:v>
      </x:c>
      <x:c r="M274" s="340" t="n">
        <x:f>XLOOKUP($D274&amp;"|"&amp;$E274&amp;"|"&amp;$F274,'PET_STAT_RULES'!$A$5:$A$88,'PET_STAT_RULES'!$G$5:$G$88)</x:f>
        <x:v>3</x:v>
      </x:c>
      <x:c r="N274" s="38" t="n">
        <x:v>2</x:v>
      </x:c>
      <x:c r="O274" s="38" t="str">
        <x:v>mech_fire_ignite_bonus</x:v>
      </x:c>
      <x:c r="P274" s="38" t="str">
        <x:v>12 形状12</x:v>
      </x:c>
      <x:c r="Q274" s="38" t="str">
        <x:v>Fiery</x:v>
      </x:c>
      <x:c r="R274" s="38" t="str">
        <x:v>skill confirmed；来源=Tracer Fire；攻击2格；仅保留来源商人/训练师关系。</x:v>
      </x:c>
      <x:c r="S274" s="38" t="n">
        <x:v>3</x:v>
      </x:c>
      <x:c r="T274" s="38" t="n">
        <x:v>2</x:v>
      </x:c>
      <x:c r="U274" s="15" t="str">
        <x:v>skill_vanguard,skill_flank,skill_pierce,skill_revolve,skill_chase,skill_break,skill_suppress,skill_finale</x:v>
      </x:c>
      <x:c r="V274" s="15" t="str">
        <x:v>trait_relentless</x:v>
      </x:c>
      <x:c r="W274" s="332" t="n">
        <x:f>XLOOKUP($D274&amp;"|"&amp;$E274&amp;"|"&amp;$F274,'PET_STAT_RULES'!$A$5:$A$88,'PET_STAT_RULES'!$E$5:$E$88)</x:f>
        <x:v>0</x:v>
      </x:c>
    </x:row>
    <x:row r="275">
      <x:c r="A275" s="38" t="str">
        <x:v>pal_274</x:v>
      </x:c>
      <x:c r="B275" s="38" t="str">
        <x:v>苔貂王</x:v>
      </x:c>
      <x:c r="C275" s="38" t="str">
        <x:v>草、雷</x:v>
      </x:c>
      <x:c r="D275" s="262" t="str">
        <x:v>黄金</x:v>
      </x:c>
      <x:c r="E275" s="38" t="str">
        <x:v>控制</x:v>
      </x:c>
      <x:c r="F275" s="38" t="str">
        <x:v>两格</x:v>
      </x:c>
      <x:c r="G275" s="38" t="str">
        <x:v>bz_van_274</x:v>
      </x:c>
      <x:c r="H275" s="38" t="str">
        <x:v>elem_水, elem_龙, elem_无, role_坦克, role_输出, special_merchant</x:v>
      </x:c>
      <x:c r="I275" s="38" t="n">
        <x:v>6</x:v>
      </x:c>
      <x:c r="J275" s="340" t="n">
        <x:f>XLOOKUP($D275&amp;"|"&amp;$E275&amp;"|"&amp;$F275,'PET_STAT_RULES'!$A$5:$A$88,'PET_STAT_RULES'!$C$5:$C$88)</x:f>
        <x:v>56</x:v>
      </x:c>
      <x:c r="K275" s="340" t="n">
        <x:f>XLOOKUP($D275&amp;"|"&amp;$E275&amp;"|"&amp;$F275,'PET_STAT_RULES'!$A$5:$A$88,'PET_STAT_RULES'!$D$5:$D$88)</x:f>
        <x:v>20</x:v>
      </x:c>
      <x:c r="L275" s="340" t="n">
        <x:f>XLOOKUP($D275&amp;"|"&amp;$E275&amp;"|"&amp;$F275,'PET_STAT_RULES'!$A$5:$A$88,'PET_STAT_RULES'!$F$5:$F$88)</x:f>
        <x:v>0</x:v>
      </x:c>
      <x:c r="M275" s="340" t="n">
        <x:f>XLOOKUP($D275&amp;"|"&amp;$E275&amp;"|"&amp;$F275,'PET_STAT_RULES'!$A$5:$A$88,'PET_STAT_RULES'!$G$5:$G$88)</x:f>
        <x:v>4</x:v>
      </x:c>
      <x:c r="N275" s="38" t="n">
        <x:v>2</x:v>
      </x:c>
      <x:c r="O275" s="38" t="str">
        <x:v>mech_counter_damage</x:v>
      </x:c>
      <x:c r="P275" s="38" t="str">
        <x:v>05 形状05</x:v>
      </x:c>
      <x:c r="Q275" s="38" t="str">
        <x:v>Toxic</x:v>
      </x:c>
      <x:c r="R275" s="38" t="str">
        <x:v>skill confirmed；来源=Venomous Blade；攻击2格；仅保留来源商人/训练师关系。</x:v>
      </x:c>
      <x:c r="S275" s="38" t="n">
        <x:v>4</x:v>
      </x:c>
      <x:c r="T275" s="38" t="n">
        <x:v>2</x:v>
      </x:c>
      <x:c r="U275" s="15" t="str">
        <x:v>skill_vanguard,skill_flank,skill_pierce,skill_revolve,skill_chase,skill_break,skill_suppress,skill_finale</x:v>
      </x:c>
      <x:c r="V275" s="15" t="str">
        <x:v>trait_element_affinity</x:v>
      </x:c>
      <x:c r="W275" s="332" t="n">
        <x:f>XLOOKUP($D275&amp;"|"&amp;$E275&amp;"|"&amp;$F275,'PET_STAT_RULES'!$A$5:$A$88,'PET_STAT_RULES'!$E$5:$E$88)</x:f>
        <x:v>0</x:v>
      </x:c>
    </x:row>
    <x:row r="276">
      <x:c r="A276" s="38" t="str">
        <x:v>pal_275</x:v>
      </x:c>
      <x:c r="B276" s="38" t="str">
        <x:v>青鹿祖</x:v>
      </x:c>
      <x:c r="C276" s="38" t="str">
        <x:v>草、水</x:v>
      </x:c>
      <x:c r="D276" s="268" t="str">
        <x:v>钻石</x:v>
      </x:c>
      <x:c r="E276" s="38" t="str">
        <x:v>治疗</x:v>
      </x:c>
      <x:c r="F276" s="38" t="str">
        <x:v>两格</x:v>
      </x:c>
      <x:c r="G276" s="38" t="str">
        <x:v>bz_van_275</x:v>
      </x:c>
      <x:c r="H276" s="38" t="str">
        <x:v>elem_水, elem_龙, role_输出, tier_pT2</x:v>
      </x:c>
      <x:c r="I276" s="38" t="n">
        <x:v>4</x:v>
      </x:c>
      <x:c r="J276" s="340" t="n">
        <x:f>XLOOKUP($D276&amp;"|"&amp;$E276&amp;"|"&amp;$F276,'PET_STAT_RULES'!$A$5:$A$88,'PET_STAT_RULES'!$C$5:$C$88)</x:f>
        <x:v>70</x:v>
      </x:c>
      <x:c r="K276" s="340" t="n">
        <x:f>XLOOKUP($D276&amp;"|"&amp;$E276&amp;"|"&amp;$F276,'PET_STAT_RULES'!$A$5:$A$88,'PET_STAT_RULES'!$D$5:$D$88)</x:f>
        <x:v>24</x:v>
      </x:c>
      <x:c r="L276" s="340" t="n">
        <x:f>XLOOKUP($D276&amp;"|"&amp;$E276&amp;"|"&amp;$F276,'PET_STAT_RULES'!$A$5:$A$88,'PET_STAT_RULES'!$F$5:$F$88)</x:f>
        <x:v>8</x:v>
      </x:c>
      <x:c r="M276" s="340" t="n">
        <x:f>XLOOKUP($D276&amp;"|"&amp;$E276&amp;"|"&amp;$F276,'PET_STAT_RULES'!$A$5:$A$88,'PET_STAT_RULES'!$G$5:$G$88)</x:f>
        <x:v>3</x:v>
      </x:c>
      <x:c r="N276" s="38" t="n">
        <x:v>2</x:v>
      </x:c>
      <x:c r="O276" s="38" t="str">
        <x:v>mech_shield_regen</x:v>
      </x:c>
      <x:c r="P276" s="38" t="str">
        <x:v>09 形状09</x:v>
      </x:c>
      <x:c r="Q276" s="38" t="str">
        <x:v>Toxic</x:v>
      </x:c>
      <x:c r="R276" s="38" t="str">
        <x:v>skill confirmed；来源=Venomous Vitality；攻击2格；仅保留来源商人/训练师关系。</x:v>
      </x:c>
      <x:c r="S276" s="38" t="n">
        <x:v>3</x:v>
      </x:c>
      <x:c r="T276" s="38" t="n">
        <x:v>3</x:v>
      </x:c>
      <x:c r="U276" s="15" t="str">
        <x:v>skill_vanguard,skill_flank,skill_pierce,skill_revolve,skill_chase,skill_break,skill_suppress,skill_finale</x:v>
      </x:c>
      <x:c r="V276" s="15" t="str">
        <x:v>trait_element_affinity</x:v>
      </x:c>
      <x:c r="W276" s="332" t="n">
        <x:f>XLOOKUP($D276&amp;"|"&amp;$E276&amp;"|"&amp;$F276,'PET_STAT_RULES'!$A$5:$A$88,'PET_STAT_RULES'!$E$5:$E$88)</x:f>
        <x:v>0</x:v>
      </x:c>
    </x:row>
    <x:row r="277">
      <x:c r="A277" s="38" t="str">
        <x:v>pal_276</x:v>
      </x:c>
      <x:c r="B277" s="38" t="str">
        <x:v>焰蟾卫</x:v>
      </x:c>
      <x:c r="C277" s="38" t="str">
        <x:v>火、龙</x:v>
      </x:c>
      <x:c r="D277" s="265" t="str">
        <x:v>白银</x:v>
      </x:c>
      <x:c r="E277" s="38" t="str">
        <x:v>召唤</x:v>
      </x:c>
      <x:c r="F277" s="38" t="str">
        <x:v>两格</x:v>
      </x:c>
      <x:c r="G277" s="38" t="str">
        <x:v>bz_van_276</x:v>
      </x:c>
      <x:c r="H277" s="38" t="str">
        <x:v>elem_水, elem_雷, elem_龙, elem_无, role_治疗</x:v>
      </x:c>
      <x:c r="I277" s="38" t="n">
        <x:v>5</x:v>
      </x:c>
      <x:c r="J277" s="340" t="n">
        <x:f>XLOOKUP($D277&amp;"|"&amp;$E277&amp;"|"&amp;$F277,'PET_STAT_RULES'!$A$5:$A$88,'PET_STAT_RULES'!$C$5:$C$88)</x:f>
        <x:v>48</x:v>
      </x:c>
      <x:c r="K277" s="340" t="n">
        <x:f>XLOOKUP($D277&amp;"|"&amp;$E277&amp;"|"&amp;$F277,'PET_STAT_RULES'!$A$5:$A$88,'PET_STAT_RULES'!$D$5:$D$88)</x:f>
        <x:v>12</x:v>
      </x:c>
      <x:c r="L277" s="340" t="n">
        <x:f>XLOOKUP($D277&amp;"|"&amp;$E277&amp;"|"&amp;$F277,'PET_STAT_RULES'!$A$5:$A$88,'PET_STAT_RULES'!$F$5:$F$88)</x:f>
        <x:v>0</x:v>
      </x:c>
      <x:c r="M277" s="340" t="n">
        <x:f>XLOOKUP($D277&amp;"|"&amp;$E277&amp;"|"&amp;$F277,'PET_STAT_RULES'!$A$5:$A$88,'PET_STAT_RULES'!$G$5:$G$88)</x:f>
        <x:v>3</x:v>
      </x:c>
      <x:c r="N277" s="38" t="n">
        <x:v>2</x:v>
      </x:c>
      <x:c r="O277" s="38" t="str">
        <x:v>mech_fire_ignite_bonus</x:v>
      </x:c>
      <x:c r="P277" s="38" t="str">
        <x:v>07 形状07</x:v>
      </x:c>
      <x:c r="Q277" s="38" t="str">
        <x:v>Fiery</x:v>
      </x:c>
      <x:c r="R277" s="38" t="str">
        <x:v>skill confirmed；来源=Warm Hugs；攻击2格；仅保留来源商人/训练师关系。</x:v>
      </x:c>
      <x:c r="S277" s="38" t="n">
        <x:v>3</x:v>
      </x:c>
      <x:c r="T277" s="38" t="n">
        <x:v>2</x:v>
      </x:c>
      <x:c r="U277" s="15" t="str">
        <x:v>skill_vanguard,skill_flank,skill_pierce,skill_revolve,skill_chase,skill_break,skill_suppress,skill_finale</x:v>
      </x:c>
      <x:c r="V277" s="15" t="str">
        <x:v>trait_combo_resonance</x:v>
      </x:c>
      <x:c r="W277" s="332" t="n">
        <x:f>XLOOKUP($D277&amp;"|"&amp;$E277&amp;"|"&amp;$F277,'PET_STAT_RULES'!$A$5:$A$88,'PET_STAT_RULES'!$E$5:$E$88)</x:f>
        <x:v>0</x:v>
      </x:c>
    </x:row>
    <x:row r="278">
      <x:c r="A278" s="38" t="str">
        <x:v>pal_277</x:v>
      </x:c>
      <x:c r="B278" s="38" t="str">
        <x:v>克诺大兽</x:v>
      </x:c>
      <x:c r="C278" s="38" t="str">
        <x:v>地</x:v>
      </x:c>
      <x:c r="D278" s="265" t="str">
        <x:v>白银</x:v>
      </x:c>
      <x:c r="E278" s="38" t="str">
        <x:v>机动</x:v>
      </x:c>
      <x:c r="F278" s="38" t="str">
        <x:v>三格</x:v>
      </x:c>
      <x:c r="G278" s="38" t="str">
        <x:v>bz_van_277</x:v>
      </x:c>
      <x:c r="H278" s="38" t="str">
        <x:v>role_经济, elite_high</x:v>
      </x:c>
      <x:c r="I278" s="38" t="n">
        <x:v>2</x:v>
      </x:c>
      <x:c r="J278" s="340" t="n">
        <x:f>XLOOKUP($D278&amp;"|"&amp;$E278&amp;"|"&amp;$F278,'PET_STAT_RULES'!$A$5:$A$88,'PET_STAT_RULES'!$C$5:$C$88)</x:f>
        <x:v>46</x:v>
      </x:c>
      <x:c r="K278" s="340" t="n">
        <x:f>XLOOKUP($D278&amp;"|"&amp;$E278&amp;"|"&amp;$F278,'PET_STAT_RULES'!$A$5:$A$88,'PET_STAT_RULES'!$D$5:$D$88)</x:f>
        <x:v>10</x:v>
      </x:c>
      <x:c r="L278" s="340" t="n">
        <x:f>XLOOKUP($D278&amp;"|"&amp;$E278&amp;"|"&amp;$F278,'PET_STAT_RULES'!$A$5:$A$88,'PET_STAT_RULES'!$F$5:$F$88)</x:f>
        <x:v>0</x:v>
      </x:c>
      <x:c r="M278" s="340" t="n">
        <x:f>XLOOKUP($D278&amp;"|"&amp;$E278&amp;"|"&amp;$F278,'PET_STAT_RULES'!$A$5:$A$88,'PET_STAT_RULES'!$G$5:$G$88)</x:f>
        <x:v>5</x:v>
      </x:c>
      <x:c r="N278" s="38" t="n">
        <x:v>2</x:v>
      </x:c>
      <x:c r="O278" s="38" t="str">
        <x:v>none</x:v>
      </x:c>
      <x:c r="P278" s="38" t="str">
        <x:v>07 形状07</x:v>
      </x:c>
      <x:c r="Q278" s="38" t="str">
        <x:v>Turbo</x:v>
      </x:c>
      <x:c r="R278" s="38" t="str">
        <x:v>merchant_package confirmed；来源=Chronos' Package；攻击2格；仅保留来源商人/训练师关系。</x:v>
      </x:c>
      <x:c r="S278" s="38" t="n">
        <x:v>5</x:v>
      </x:c>
      <x:c r="T278" s="38" t="n">
        <x:v>2</x:v>
      </x:c>
      <x:c r="U278" s="15" t="str">
        <x:v>skill_vanguard,skill_flank,skill_pierce,skill_revolve,skill_chase,skill_break,skill_suppress,skill_finale</x:v>
      </x:c>
      <x:c r="V278" s="15" t="str">
        <x:v>trait_relentless</x:v>
      </x:c>
      <x:c r="W278" s="332" t="n">
        <x:f>XLOOKUP($D278&amp;"|"&amp;$E278&amp;"|"&amp;$F278,'PET_STAT_RULES'!$A$5:$A$88,'PET_STAT_RULES'!$E$5:$E$88)</x:f>
        <x:v>0</x:v>
      </x:c>
    </x:row>
    <x:row r="279">
      <x:c r="A279" s="38" t="str">
        <x:v>pal_278</x:v>
      </x:c>
      <x:c r="B279" s="38" t="str">
        <x:v>克诺中兽</x:v>
      </x:c>
      <x:c r="C279" s="38" t="str">
        <x:v>龙</x:v>
      </x:c>
      <x:c r="D279" s="262" t="str">
        <x:v>黄金</x:v>
      </x:c>
      <x:c r="E279" s="38" t="str">
        <x:v>机动</x:v>
      </x:c>
      <x:c r="F279" s="38" t="str">
        <x:v>两格</x:v>
      </x:c>
      <x:c r="G279" s="38" t="str">
        <x:v>bz_van_278</x:v>
      </x:c>
      <x:c r="H279" s="38" t="str">
        <x:v>role_坦克, elite_high</x:v>
      </x:c>
      <x:c r="I279" s="38" t="n">
        <x:v>2</x:v>
      </x:c>
      <x:c r="J279" s="340" t="n">
        <x:f>XLOOKUP($D279&amp;"|"&amp;$E279&amp;"|"&amp;$F279,'PET_STAT_RULES'!$A$5:$A$88,'PET_STAT_RULES'!$C$5:$C$88)</x:f>
        <x:v>52</x:v>
      </x:c>
      <x:c r="K279" s="340" t="n">
        <x:f>XLOOKUP($D279&amp;"|"&amp;$E279&amp;"|"&amp;$F279,'PET_STAT_RULES'!$A$5:$A$88,'PET_STAT_RULES'!$D$5:$D$88)</x:f>
        <x:v>18</x:v>
      </x:c>
      <x:c r="L279" s="340" t="n">
        <x:f>XLOOKUP($D279&amp;"|"&amp;$E279&amp;"|"&amp;$F279,'PET_STAT_RULES'!$A$5:$A$88,'PET_STAT_RULES'!$F$5:$F$88)</x:f>
        <x:v>0</x:v>
      </x:c>
      <x:c r="M279" s="340" t="n">
        <x:f>XLOOKUP($D279&amp;"|"&amp;$E279&amp;"|"&amp;$F279,'PET_STAT_RULES'!$A$5:$A$88,'PET_STAT_RULES'!$G$5:$G$88)</x:f>
        <x:v>5</x:v>
      </x:c>
      <x:c r="N279" s="38" t="n">
        <x:v>2</x:v>
      </x:c>
      <x:c r="O279" s="38" t="str">
        <x:v>none</x:v>
      </x:c>
      <x:c r="P279" s="38" t="str">
        <x:v>11 形状11</x:v>
      </x:c>
      <x:c r="Q279" s="38" t="str">
        <x:v>Turbo</x:v>
      </x:c>
      <x:c r="R279" s="38" t="str">
        <x:v>merchant_package confirmed；来源=Chronos' Package；攻击2格；仅保留来源商人/训练师关系。</x:v>
      </x:c>
      <x:c r="S279" s="38" t="n">
        <x:v>5</x:v>
      </x:c>
      <x:c r="T279" s="38" t="n">
        <x:v>2</x:v>
      </x:c>
      <x:c r="U279" s="15" t="str">
        <x:v>skill_vanguard,skill_flank,skill_pierce,skill_revolve,skill_chase,skill_break,skill_suppress,skill_finale</x:v>
      </x:c>
      <x:c r="V279" s="15" t="str">
        <x:v>trait_relentless</x:v>
      </x:c>
      <x:c r="W279" s="332" t="n">
        <x:f>XLOOKUP($D279&amp;"|"&amp;$E279&amp;"|"&amp;$F279,'PET_STAT_RULES'!$A$5:$A$88,'PET_STAT_RULES'!$E$5:$E$88)</x:f>
        <x:v>0</x:v>
      </x:c>
    </x:row>
    <x:row r="280">
      <x:c r="A280" s="38" t="str">
        <x:v>pal_279</x:v>
      </x:c>
      <x:c r="B280" s="38" t="str">
        <x:v>克诺小兽</x:v>
      </x:c>
      <x:c r="C280" s="38" t="str">
        <x:v>地</x:v>
      </x:c>
      <x:c r="D280" s="262" t="str">
        <x:v>黄金</x:v>
      </x:c>
      <x:c r="E280" s="38" t="str">
        <x:v>机动</x:v>
      </x:c>
      <x:c r="F280" s="38" t="str">
        <x:v>一格</x:v>
      </x:c>
      <x:c r="G280" s="38" t="str">
        <x:v>bz_van_279</x:v>
      </x:c>
      <x:c r="H280" s="38" t="str">
        <x:v>role_坦克, elite_high</x:v>
      </x:c>
      <x:c r="I280" s="38" t="n">
        <x:v>2</x:v>
      </x:c>
      <x:c r="J280" s="340" t="n">
        <x:f>XLOOKUP($D280&amp;"|"&amp;$E280&amp;"|"&amp;$F280,'PET_STAT_RULES'!$A$5:$A$88,'PET_STAT_RULES'!$C$5:$C$88)</x:f>
        <x:v>46</x:v>
      </x:c>
      <x:c r="K280" s="340" t="n">
        <x:f>XLOOKUP($D280&amp;"|"&amp;$E280&amp;"|"&amp;$F280,'PET_STAT_RULES'!$A$5:$A$88,'PET_STAT_RULES'!$D$5:$D$88)</x:f>
        <x:v>20</x:v>
      </x:c>
      <x:c r="L280" s="340" t="n">
        <x:f>XLOOKUP($D280&amp;"|"&amp;$E280&amp;"|"&amp;$F280,'PET_STAT_RULES'!$A$5:$A$88,'PET_STAT_RULES'!$F$5:$F$88)</x:f>
        <x:v>0</x:v>
      </x:c>
      <x:c r="M280" s="340" t="n">
        <x:f>XLOOKUP($D280&amp;"|"&amp;$E280&amp;"|"&amp;$F280,'PET_STAT_RULES'!$A$5:$A$88,'PET_STAT_RULES'!$G$5:$G$88)</x:f>
        <x:v>5</x:v>
      </x:c>
      <x:c r="N280" s="38" t="n">
        <x:v>3</x:v>
      </x:c>
      <x:c r="O280" s="38" t="str">
        <x:v>none</x:v>
      </x:c>
      <x:c r="P280" s="38" t="str">
        <x:v>17 形状17</x:v>
      </x:c>
      <x:c r="Q280" s="38" t="str">
        <x:v>Turbo</x:v>
      </x:c>
      <x:c r="R280" s="38" t="str">
        <x:v>merchant_package confirmed；来源=Chronos' Package；攻击3格；仅保留来源商人/训练师关系。</x:v>
      </x:c>
      <x:c r="S280" s="38" t="n">
        <x:v>5</x:v>
      </x:c>
      <x:c r="T280" s="38" t="n">
        <x:v>2</x:v>
      </x:c>
      <x:c r="U280" s="15" t="str">
        <x:v>skill_vanguard,skill_flank,skill_pierce,skill_revolve,skill_chase,skill_break,skill_suppress,skill_finale</x:v>
      </x:c>
      <x:c r="V280" s="15" t="str">
        <x:v>trait_relentless</x:v>
      </x:c>
      <x:c r="W280" s="332" t="n">
        <x:f>XLOOKUP($D280&amp;"|"&amp;$E280&amp;"|"&amp;$F280,'PET_STAT_RULES'!$A$5:$A$88,'PET_STAT_RULES'!$E$5:$E$88)</x:f>
        <x:v>0</x:v>
      </x:c>
    </x:row>
    <x:row r="281">
      <x:c r="A281" s="38" t="str">
        <x:v>pal_280</x:v>
      </x:c>
      <x:c r="B281" s="38" t="str">
        <x:v>蛛婆小兽</x:v>
      </x:c>
      <x:c r="C281" s="38" t="str">
        <x:v>水</x:v>
      </x:c>
      <x:c r="D281" s="262" t="str">
        <x:v>黄金</x:v>
      </x:c>
      <x:c r="E281" s="38" t="str">
        <x:v>控制</x:v>
      </x:c>
      <x:c r="F281" s="38" t="str">
        <x:v>一格</x:v>
      </x:c>
      <x:c r="G281" s="38" t="str">
        <x:v>bz_van_280</x:v>
      </x:c>
      <x:c r="H281" s="38" t="str">
        <x:v>role_坦克, role_召唤铺场</x:v>
      </x:c>
      <x:c r="I281" s="38" t="n">
        <x:v>2</x:v>
      </x:c>
      <x:c r="J281" s="340" t="n">
        <x:f>XLOOKUP($D281&amp;"|"&amp;$E281&amp;"|"&amp;$F281,'PET_STAT_RULES'!$A$5:$A$88,'PET_STAT_RULES'!$C$5:$C$88)</x:f>
        <x:v>50</x:v>
      </x:c>
      <x:c r="K281" s="340" t="n">
        <x:f>XLOOKUP($D281&amp;"|"&amp;$E281&amp;"|"&amp;$F281,'PET_STAT_RULES'!$A$5:$A$88,'PET_STAT_RULES'!$D$5:$D$88)</x:f>
        <x:v>22</x:v>
      </x:c>
      <x:c r="L281" s="340" t="n">
        <x:f>XLOOKUP($D281&amp;"|"&amp;$E281&amp;"|"&amp;$F281,'PET_STAT_RULES'!$A$5:$A$88,'PET_STAT_RULES'!$F$5:$F$88)</x:f>
        <x:v>0</x:v>
      </x:c>
      <x:c r="M281" s="340" t="n">
        <x:f>XLOOKUP($D281&amp;"|"&amp;$E281&amp;"|"&amp;$F281,'PET_STAT_RULES'!$A$5:$A$88,'PET_STAT_RULES'!$G$5:$G$88)</x:f>
        <x:v>4</x:v>
      </x:c>
      <x:c r="N281" s="38" t="n">
        <x:v>3</x:v>
      </x:c>
      <x:c r="O281" s="38" t="str">
        <x:v>mech_counter_damage</x:v>
      </x:c>
      <x:c r="P281" s="38" t="str">
        <x:v>15 形状15</x:v>
      </x:c>
      <x:c r="Q281" s="38" t="str">
        <x:v>Icy</x:v>
      </x:c>
      <x:c r="R281" s="38" t="str">
        <x:v>merchant_package confirmed；来源=Cobweb's Package；攻击3格；仅保留来源商人/训练师关系。</x:v>
      </x:c>
      <x:c r="S281" s="38" t="n">
        <x:v>4</x:v>
      </x:c>
      <x:c r="T281" s="38" t="n">
        <x:v>2</x:v>
      </x:c>
      <x:c r="U281" s="15" t="str">
        <x:v>skill_vanguard,skill_flank,skill_pierce,skill_revolve,skill_chase,skill_break,skill_suppress,skill_finale</x:v>
      </x:c>
      <x:c r="V281" s="15" t="str">
        <x:v>trait_element_affinity</x:v>
      </x:c>
      <x:c r="W281" s="332" t="n">
        <x:f>XLOOKUP($D281&amp;"|"&amp;$E281&amp;"|"&amp;$F281,'PET_STAT_RULES'!$A$5:$A$88,'PET_STAT_RULES'!$E$5:$E$88)</x:f>
        <x:v>0</x:v>
      </x:c>
    </x:row>
    <x:row r="282">
      <x:c r="A282" s="38" t="str">
        <x:v>pal_281</x:v>
      </x:c>
      <x:c r="B282" s="38" t="str">
        <x:v>蛛婆大兽</x:v>
      </x:c>
      <x:c r="C282" s="38" t="str">
        <x:v>地</x:v>
      </x:c>
      <x:c r="D282" s="265" t="str">
        <x:v>白银</x:v>
      </x:c>
      <x:c r="E282" s="38" t="str">
        <x:v>控制</x:v>
      </x:c>
      <x:c r="F282" s="38" t="str">
        <x:v>三格</x:v>
      </x:c>
      <x:c r="G282" s="38" t="str">
        <x:v>bz_van_281</x:v>
      </x:c>
      <x:c r="H282" s="38" t="str">
        <x:v>role_经济, role_召唤铺场</x:v>
      </x:c>
      <x:c r="I282" s="38" t="n">
        <x:v>2</x:v>
      </x:c>
      <x:c r="J282" s="340" t="n">
        <x:f>XLOOKUP($D282&amp;"|"&amp;$E282&amp;"|"&amp;$F282,'PET_STAT_RULES'!$A$5:$A$88,'PET_STAT_RULES'!$C$5:$C$88)</x:f>
        <x:v>50</x:v>
      </x:c>
      <x:c r="K282" s="340" t="n">
        <x:f>XLOOKUP($D282&amp;"|"&amp;$E282&amp;"|"&amp;$F282,'PET_STAT_RULES'!$A$5:$A$88,'PET_STAT_RULES'!$D$5:$D$88)</x:f>
        <x:v>12</x:v>
      </x:c>
      <x:c r="L282" s="340" t="n">
        <x:f>XLOOKUP($D282&amp;"|"&amp;$E282&amp;"|"&amp;$F282,'PET_STAT_RULES'!$A$5:$A$88,'PET_STAT_RULES'!$F$5:$F$88)</x:f>
        <x:v>0</x:v>
      </x:c>
      <x:c r="M282" s="340" t="n">
        <x:f>XLOOKUP($D282&amp;"|"&amp;$E282&amp;"|"&amp;$F282,'PET_STAT_RULES'!$A$5:$A$88,'PET_STAT_RULES'!$G$5:$G$88)</x:f>
        <x:v>4</x:v>
      </x:c>
      <x:c r="N282" s="38" t="n">
        <x:v>2</x:v>
      </x:c>
      <x:c r="O282" s="38" t="str">
        <x:v>mech_counter_damage</x:v>
      </x:c>
      <x:c r="P282" s="38" t="str">
        <x:v>08 形状08</x:v>
      </x:c>
      <x:c r="Q282" s="38" t="str">
        <x:v>Icy</x:v>
      </x:c>
      <x:c r="R282" s="38" t="str">
        <x:v>merchant_package confirmed；来源=Cobweb's Package；攻击2格；仅保留来源商人/训练师关系。</x:v>
      </x:c>
      <x:c r="S282" s="38" t="n">
        <x:v>4</x:v>
      </x:c>
      <x:c r="T282" s="38" t="n">
        <x:v>2</x:v>
      </x:c>
      <x:c r="U282" s="15" t="str">
        <x:v>skill_vanguard,skill_flank,skill_pierce,skill_revolve,skill_chase,skill_break,skill_suppress,skill_finale</x:v>
      </x:c>
      <x:c r="V282" s="15" t="str">
        <x:v>trait_element_affinity</x:v>
      </x:c>
      <x:c r="W282" s="332" t="n">
        <x:f>XLOOKUP($D282&amp;"|"&amp;$E282&amp;"|"&amp;$F282,'PET_STAT_RULES'!$A$5:$A$88,'PET_STAT_RULES'!$E$5:$E$88)</x:f>
        <x:v>0</x:v>
      </x:c>
    </x:row>
    <x:row r="283">
      <x:c r="A283" s="38" t="str">
        <x:v>pal_282</x:v>
      </x:c>
      <x:c r="B283" s="38" t="str">
        <x:v>蛛婆中兽</x:v>
      </x:c>
      <x:c r="C283" s="38" t="str">
        <x:v>暗</x:v>
      </x:c>
      <x:c r="D283" s="262" t="str">
        <x:v>黄金</x:v>
      </x:c>
      <x:c r="E283" s="38" t="str">
        <x:v>控制</x:v>
      </x:c>
      <x:c r="F283" s="38" t="str">
        <x:v>两格</x:v>
      </x:c>
      <x:c r="G283" s="38" t="str">
        <x:v>bz_van_282</x:v>
      </x:c>
      <x:c r="H283" s="38" t="str">
        <x:v>role_坦克, role_召唤铺场</x:v>
      </x:c>
      <x:c r="I283" s="38" t="n">
        <x:v>2</x:v>
      </x:c>
      <x:c r="J283" s="340" t="n">
        <x:f>XLOOKUP($D283&amp;"|"&amp;$E283&amp;"|"&amp;$F283,'PET_STAT_RULES'!$A$5:$A$88,'PET_STAT_RULES'!$C$5:$C$88)</x:f>
        <x:v>56</x:v>
      </x:c>
      <x:c r="K283" s="340" t="n">
        <x:f>XLOOKUP($D283&amp;"|"&amp;$E283&amp;"|"&amp;$F283,'PET_STAT_RULES'!$A$5:$A$88,'PET_STAT_RULES'!$D$5:$D$88)</x:f>
        <x:v>20</x:v>
      </x:c>
      <x:c r="L283" s="340" t="n">
        <x:f>XLOOKUP($D283&amp;"|"&amp;$E283&amp;"|"&amp;$F283,'PET_STAT_RULES'!$A$5:$A$88,'PET_STAT_RULES'!$F$5:$F$88)</x:f>
        <x:v>0</x:v>
      </x:c>
      <x:c r="M283" s="340" t="n">
        <x:f>XLOOKUP($D283&amp;"|"&amp;$E283&amp;"|"&amp;$F283,'PET_STAT_RULES'!$A$5:$A$88,'PET_STAT_RULES'!$G$5:$G$88)</x:f>
        <x:v>4</x:v>
      </x:c>
      <x:c r="N283" s="38" t="n">
        <x:v>2</x:v>
      </x:c>
      <x:c r="O283" s="38" t="str">
        <x:v>mech_counter_damage</x:v>
      </x:c>
      <x:c r="P283" s="38" t="str">
        <x:v>10 形状10</x:v>
      </x:c>
      <x:c r="Q283" s="38" t="str">
        <x:v>Icy</x:v>
      </x:c>
      <x:c r="R283" s="38" t="str">
        <x:v>merchant_package confirmed；来源=Cobweb's Package；攻击2格；仅保留来源商人/训练师关系。</x:v>
      </x:c>
      <x:c r="S283" s="38" t="n">
        <x:v>4</x:v>
      </x:c>
      <x:c r="T283" s="38" t="n">
        <x:v>2</x:v>
      </x:c>
      <x:c r="U283" s="15" t="str">
        <x:v>skill_vanguard,skill_flank,skill_pierce,skill_revolve,skill_chase,skill_break,skill_suppress,skill_finale</x:v>
      </x:c>
      <x:c r="V283" s="15" t="str">
        <x:v>trait_element_affinity</x:v>
      </x:c>
      <x:c r="W283" s="332" t="n">
        <x:f>XLOOKUP($D283&amp;"|"&amp;$E283&amp;"|"&amp;$F283,'PET_STAT_RULES'!$A$5:$A$88,'PET_STAT_RULES'!$E$5:$E$88)</x:f>
        <x:v>0</x:v>
      </x:c>
    </x:row>
    <x:row r="284">
      <x:c r="A284" s="38" t="str">
        <x:v>pal_283</x:v>
      </x:c>
      <x:c r="B284" s="38" t="str">
        <x:v>芙蕾小兽</x:v>
      </x:c>
      <x:c r="C284" s="38" t="str">
        <x:v>冰</x:v>
      </x:c>
      <x:c r="D284" s="262" t="str">
        <x:v>黄金</x:v>
      </x:c>
      <x:c r="E284" s="38" t="str">
        <x:v>控制</x:v>
      </x:c>
      <x:c r="F284" s="38" t="str">
        <x:v>一格</x:v>
      </x:c>
      <x:c r="G284" s="38" t="str">
        <x:v>bz_van_283</x:v>
      </x:c>
      <x:c r="H284" s="38" t="str">
        <x:v>role_坦克, role_风系牵制</x:v>
      </x:c>
      <x:c r="I284" s="38" t="n">
        <x:v>2</x:v>
      </x:c>
      <x:c r="J284" s="340" t="n">
        <x:f>XLOOKUP($D284&amp;"|"&amp;$E284&amp;"|"&amp;$F284,'PET_STAT_RULES'!$A$5:$A$88,'PET_STAT_RULES'!$C$5:$C$88)</x:f>
        <x:v>50</x:v>
      </x:c>
      <x:c r="K284" s="340" t="n">
        <x:f>XLOOKUP($D284&amp;"|"&amp;$E284&amp;"|"&amp;$F284,'PET_STAT_RULES'!$A$5:$A$88,'PET_STAT_RULES'!$D$5:$D$88)</x:f>
        <x:v>22</x:v>
      </x:c>
      <x:c r="L284" s="340" t="n">
        <x:f>XLOOKUP($D284&amp;"|"&amp;$E284&amp;"|"&amp;$F284,'PET_STAT_RULES'!$A$5:$A$88,'PET_STAT_RULES'!$F$5:$F$88)</x:f>
        <x:v>0</x:v>
      </x:c>
      <x:c r="M284" s="340" t="n">
        <x:f>XLOOKUP($D284&amp;"|"&amp;$E284&amp;"|"&amp;$F284,'PET_STAT_RULES'!$A$5:$A$88,'PET_STAT_RULES'!$G$5:$G$88)</x:f>
        <x:v>4</x:v>
      </x:c>
      <x:c r="N284" s="38" t="n">
        <x:v>3</x:v>
      </x:c>
      <x:c r="O284" s="38" t="str">
        <x:v>mech_counter_damage</x:v>
      </x:c>
      <x:c r="P284" s="38" t="str">
        <x:v>16 形状16</x:v>
      </x:c>
      <x:c r="Q284" s="38" t="str">
        <x:v>Icy</x:v>
      </x:c>
      <x:c r="R284" s="38" t="str">
        <x:v>merchant_package confirmed；来源=Freiya's Package；攻击3格；仅保留来源商人/训练师关系。</x:v>
      </x:c>
      <x:c r="S284" s="38" t="n">
        <x:v>4</x:v>
      </x:c>
      <x:c r="T284" s="38" t="n">
        <x:v>2</x:v>
      </x:c>
      <x:c r="U284" s="15" t="str">
        <x:v>skill_vanguard,skill_flank,skill_pierce,skill_revolve,skill_chase,skill_break,skill_suppress,skill_finale</x:v>
      </x:c>
      <x:c r="V284" s="15" t="str">
        <x:v>trait_element_affinity</x:v>
      </x:c>
      <x:c r="W284" s="332" t="n">
        <x:f>XLOOKUP($D284&amp;"|"&amp;$E284&amp;"|"&amp;$F284,'PET_STAT_RULES'!$A$5:$A$88,'PET_STAT_RULES'!$E$5:$E$88)</x:f>
        <x:v>0</x:v>
      </x:c>
    </x:row>
    <x:row r="285">
      <x:c r="A285" s="38" t="str">
        <x:v>pal_284</x:v>
      </x:c>
      <x:c r="B285" s="38" t="str">
        <x:v>芙蕾大兽</x:v>
      </x:c>
      <x:c r="C285" s="38" t="str">
        <x:v>冰</x:v>
      </x:c>
      <x:c r="D285" s="265" t="str">
        <x:v>白银</x:v>
      </x:c>
      <x:c r="E285" s="38" t="str">
        <x:v>控制</x:v>
      </x:c>
      <x:c r="F285" s="38" t="str">
        <x:v>三格</x:v>
      </x:c>
      <x:c r="G285" s="38" t="str">
        <x:v>bz_van_284</x:v>
      </x:c>
      <x:c r="H285" s="38" t="str">
        <x:v>role_经济, role_风系牵制</x:v>
      </x:c>
      <x:c r="I285" s="38" t="n">
        <x:v>2</x:v>
      </x:c>
      <x:c r="J285" s="340" t="n">
        <x:f>XLOOKUP($D285&amp;"|"&amp;$E285&amp;"|"&amp;$F285,'PET_STAT_RULES'!$A$5:$A$88,'PET_STAT_RULES'!$C$5:$C$88)</x:f>
        <x:v>50</x:v>
      </x:c>
      <x:c r="K285" s="340" t="n">
        <x:f>XLOOKUP($D285&amp;"|"&amp;$E285&amp;"|"&amp;$F285,'PET_STAT_RULES'!$A$5:$A$88,'PET_STAT_RULES'!$D$5:$D$88)</x:f>
        <x:v>12</x:v>
      </x:c>
      <x:c r="L285" s="340" t="n">
        <x:f>XLOOKUP($D285&amp;"|"&amp;$E285&amp;"|"&amp;$F285,'PET_STAT_RULES'!$A$5:$A$88,'PET_STAT_RULES'!$F$5:$F$88)</x:f>
        <x:v>0</x:v>
      </x:c>
      <x:c r="M285" s="340" t="n">
        <x:f>XLOOKUP($D285&amp;"|"&amp;$E285&amp;"|"&amp;$F285,'PET_STAT_RULES'!$A$5:$A$88,'PET_STAT_RULES'!$G$5:$G$88)</x:f>
        <x:v>4</x:v>
      </x:c>
      <x:c r="N285" s="38" t="n">
        <x:v>2</x:v>
      </x:c>
      <x:c r="O285" s="38" t="str">
        <x:v>mech_counter_damage</x:v>
      </x:c>
      <x:c r="P285" s="38" t="str">
        <x:v>09 形状09</x:v>
      </x:c>
      <x:c r="Q285" s="38" t="str">
        <x:v>Icy</x:v>
      </x:c>
      <x:c r="R285" s="38" t="str">
        <x:v>merchant_package confirmed；来源=Freiya's Package；攻击2格；仅保留来源商人/训练师关系。</x:v>
      </x:c>
      <x:c r="S285" s="38" t="n">
        <x:v>4</x:v>
      </x:c>
      <x:c r="T285" s="38" t="n">
        <x:v>2</x:v>
      </x:c>
      <x:c r="U285" s="15" t="str">
        <x:v>skill_vanguard,skill_flank,skill_pierce,skill_revolve,skill_chase,skill_break,skill_suppress,skill_finale</x:v>
      </x:c>
      <x:c r="V285" s="15" t="str">
        <x:v>trait_element_affinity</x:v>
      </x:c>
      <x:c r="W285" s="332" t="n">
        <x:f>XLOOKUP($D285&amp;"|"&amp;$E285&amp;"|"&amp;$F285,'PET_STAT_RULES'!$A$5:$A$88,'PET_STAT_RULES'!$E$5:$E$88)</x:f>
        <x:v>0</x:v>
      </x:c>
    </x:row>
    <x:row r="286">
      <x:c r="A286" s="38" t="str">
        <x:v>pal_285</x:v>
      </x:c>
      <x:c r="B286" s="38" t="str">
        <x:v>芙蕾中兽</x:v>
      </x:c>
      <x:c r="C286" s="38" t="str">
        <x:v>冰</x:v>
      </x:c>
      <x:c r="D286" s="262" t="str">
        <x:v>黄金</x:v>
      </x:c>
      <x:c r="E286" s="38" t="str">
        <x:v>控制</x:v>
      </x:c>
      <x:c r="F286" s="38" t="str">
        <x:v>两格</x:v>
      </x:c>
      <x:c r="G286" s="38" t="str">
        <x:v>bz_van_285</x:v>
      </x:c>
      <x:c r="H286" s="38" t="str">
        <x:v>role_坦克, role_风系牵制</x:v>
      </x:c>
      <x:c r="I286" s="38" t="n">
        <x:v>2</x:v>
      </x:c>
      <x:c r="J286" s="340" t="n">
        <x:f>XLOOKUP($D286&amp;"|"&amp;$E286&amp;"|"&amp;$F286,'PET_STAT_RULES'!$A$5:$A$88,'PET_STAT_RULES'!$C$5:$C$88)</x:f>
        <x:v>56</x:v>
      </x:c>
      <x:c r="K286" s="340" t="n">
        <x:f>XLOOKUP($D286&amp;"|"&amp;$E286&amp;"|"&amp;$F286,'PET_STAT_RULES'!$A$5:$A$88,'PET_STAT_RULES'!$D$5:$D$88)</x:f>
        <x:v>20</x:v>
      </x:c>
      <x:c r="L286" s="340" t="n">
        <x:f>XLOOKUP($D286&amp;"|"&amp;$E286&amp;"|"&amp;$F286,'PET_STAT_RULES'!$A$5:$A$88,'PET_STAT_RULES'!$F$5:$F$88)</x:f>
        <x:v>0</x:v>
      </x:c>
      <x:c r="M286" s="340" t="n">
        <x:f>XLOOKUP($D286&amp;"|"&amp;$E286&amp;"|"&amp;$F286,'PET_STAT_RULES'!$A$5:$A$88,'PET_STAT_RULES'!$G$5:$G$88)</x:f>
        <x:v>4</x:v>
      </x:c>
      <x:c r="N286" s="38" t="n">
        <x:v>2</x:v>
      </x:c>
      <x:c r="O286" s="38" t="str">
        <x:v>mech_counter_damage</x:v>
      </x:c>
      <x:c r="P286" s="38" t="str">
        <x:v>11 形状11</x:v>
      </x:c>
      <x:c r="Q286" s="38" t="str">
        <x:v>Icy</x:v>
      </x:c>
      <x:c r="R286" s="38" t="str">
        <x:v>merchant_package confirmed；来源=Freiya's Package；攻击2格；仅保留来源商人/训练师关系。</x:v>
      </x:c>
      <x:c r="S286" s="38" t="n">
        <x:v>4</x:v>
      </x:c>
      <x:c r="T286" s="38" t="n">
        <x:v>2</x:v>
      </x:c>
      <x:c r="U286" s="15" t="str">
        <x:v>skill_vanguard,skill_flank,skill_pierce,skill_revolve,skill_chase,skill_break,skill_suppress,skill_finale</x:v>
      </x:c>
      <x:c r="V286" s="15" t="str">
        <x:v>trait_element_affinity</x:v>
      </x:c>
      <x:c r="W286" s="332" t="n">
        <x:f>XLOOKUP($D286&amp;"|"&amp;$E286&amp;"|"&amp;$F286,'PET_STAT_RULES'!$A$5:$A$88,'PET_STAT_RULES'!$E$5:$E$88)</x:f>
        <x:v>0</x:v>
      </x:c>
    </x:row>
    <x:row r="287">
      <x:c r="A287" s="38" t="str">
        <x:v>pal_286</x:v>
      </x:c>
      <x:c r="B287" s="38" t="str">
        <x:v>赫夫小兽</x:v>
      </x:c>
      <x:c r="C287" s="38" t="str">
        <x:v>火</x:v>
      </x:c>
      <x:c r="D287" s="262" t="str">
        <x:v>黄金</x:v>
      </x:c>
      <x:c r="E287" s="38" t="str">
        <x:v>经济</x:v>
      </x:c>
      <x:c r="F287" s="38" t="str">
        <x:v>一格</x:v>
      </x:c>
      <x:c r="G287" s="38" t="str">
        <x:v>bz_van_286</x:v>
      </x:c>
      <x:c r="H287" s="38" t="str">
        <x:v>role_坦克, tier_pT2</x:v>
      </x:c>
      <x:c r="I287" s="38" t="n">
        <x:v>2</x:v>
      </x:c>
      <x:c r="J287" s="340" t="n">
        <x:f>XLOOKUP($D287&amp;"|"&amp;$E287&amp;"|"&amp;$F287,'PET_STAT_RULES'!$A$5:$A$88,'PET_STAT_RULES'!$C$5:$C$88)</x:f>
        <x:v>46</x:v>
      </x:c>
      <x:c r="K287" s="340" t="n">
        <x:f>XLOOKUP($D287&amp;"|"&amp;$E287&amp;"|"&amp;$F287,'PET_STAT_RULES'!$A$5:$A$88,'PET_STAT_RULES'!$D$5:$D$88)</x:f>
        <x:v>20</x:v>
      </x:c>
      <x:c r="L287" s="340" t="n">
        <x:f>XLOOKUP($D287&amp;"|"&amp;$E287&amp;"|"&amp;$F287,'PET_STAT_RULES'!$A$5:$A$88,'PET_STAT_RULES'!$F$5:$F$88)</x:f>
        <x:v>0</x:v>
      </x:c>
      <x:c r="M287" s="340" t="n">
        <x:f>XLOOKUP($D287&amp;"|"&amp;$E287&amp;"|"&amp;$F287,'PET_STAT_RULES'!$A$5:$A$88,'PET_STAT_RULES'!$G$5:$G$88)</x:f>
        <x:v>3</x:v>
      </x:c>
      <x:c r="N287" s="38" t="n">
        <x:v>3</x:v>
      </x:c>
      <x:c r="O287" s="38" t="str">
        <x:v>mech_fire_ignite_bonus</x:v>
      </x:c>
      <x:c r="P287" s="38" t="str">
        <x:v>13 形状13</x:v>
      </x:c>
      <x:c r="Q287" s="38" t="str">
        <x:v>Fiery</x:v>
      </x:c>
      <x:c r="R287" s="38" t="str">
        <x:v>merchant_package confirmed；来源=Hef's Package；攻击3格；仅保留来源商人/训练师关系。</x:v>
      </x:c>
      <x:c r="S287" s="38" t="n">
        <x:v>3</x:v>
      </x:c>
      <x:c r="T287" s="38" t="n">
        <x:v>2</x:v>
      </x:c>
      <x:c r="U287" s="15" t="str">
        <x:v>skill_vanguard,skill_flank,skill_pierce,skill_revolve,skill_chase,skill_break,skill_suppress,skill_finale</x:v>
      </x:c>
      <x:c r="V287" s="15" t="str">
        <x:v>trait_combo_resonance</x:v>
      </x:c>
      <x:c r="W287" s="332" t="n">
        <x:f>XLOOKUP($D287&amp;"|"&amp;$E287&amp;"|"&amp;$F287,'PET_STAT_RULES'!$A$5:$A$88,'PET_STAT_RULES'!$E$5:$E$88)</x:f>
        <x:v>0</x:v>
      </x:c>
    </x:row>
    <x:row r="288">
      <x:c r="A288" s="38" t="str">
        <x:v>pal_287</x:v>
      </x:c>
      <x:c r="B288" s="38" t="str">
        <x:v>赫夫中兽</x:v>
      </x:c>
      <x:c r="C288" s="38" t="str">
        <x:v>火</x:v>
      </x:c>
      <x:c r="D288" s="262" t="str">
        <x:v>黄金</x:v>
      </x:c>
      <x:c r="E288" s="38" t="str">
        <x:v>经济</x:v>
      </x:c>
      <x:c r="F288" s="38" t="str">
        <x:v>两格</x:v>
      </x:c>
      <x:c r="G288" s="38" t="str">
        <x:v>bz_van_287</x:v>
      </x:c>
      <x:c r="H288" s="38" t="str">
        <x:v>role_坦克, tier_pT2</x:v>
      </x:c>
      <x:c r="I288" s="38" t="n">
        <x:v>2</x:v>
      </x:c>
      <x:c r="J288" s="340" t="n">
        <x:f>XLOOKUP($D288&amp;"|"&amp;$E288&amp;"|"&amp;$F288,'PET_STAT_RULES'!$A$5:$A$88,'PET_STAT_RULES'!$C$5:$C$88)</x:f>
        <x:v>52</x:v>
      </x:c>
      <x:c r="K288" s="340" t="n">
        <x:f>XLOOKUP($D288&amp;"|"&amp;$E288&amp;"|"&amp;$F288,'PET_STAT_RULES'!$A$5:$A$88,'PET_STAT_RULES'!$D$5:$D$88)</x:f>
        <x:v>18</x:v>
      </x:c>
      <x:c r="L288" s="340" t="n">
        <x:f>XLOOKUP($D288&amp;"|"&amp;$E288&amp;"|"&amp;$F288,'PET_STAT_RULES'!$A$5:$A$88,'PET_STAT_RULES'!$F$5:$F$88)</x:f>
        <x:v>0</x:v>
      </x:c>
      <x:c r="M288" s="340" t="n">
        <x:f>XLOOKUP($D288&amp;"|"&amp;$E288&amp;"|"&amp;$F288,'PET_STAT_RULES'!$A$5:$A$88,'PET_STAT_RULES'!$G$5:$G$88)</x:f>
        <x:v>3</x:v>
      </x:c>
      <x:c r="N288" s="38" t="n">
        <x:v>2</x:v>
      </x:c>
      <x:c r="O288" s="38" t="str">
        <x:v>mech_fire_ignite_bonus</x:v>
      </x:c>
      <x:c r="P288" s="38" t="str">
        <x:v>12 形状12</x:v>
      </x:c>
      <x:c r="Q288" s="38" t="str">
        <x:v>Fiery</x:v>
      </x:c>
      <x:c r="R288" s="38" t="str">
        <x:v>merchant_package confirmed；来源=Hef's Package；攻击2格；仅保留来源商人/训练师关系。</x:v>
      </x:c>
      <x:c r="S288" s="38" t="n">
        <x:v>3</x:v>
      </x:c>
      <x:c r="T288" s="38" t="n">
        <x:v>2</x:v>
      </x:c>
      <x:c r="U288" s="15" t="str">
        <x:v>skill_vanguard,skill_flank,skill_pierce,skill_revolve,skill_chase,skill_break,skill_suppress,skill_finale</x:v>
      </x:c>
      <x:c r="V288" s="15" t="str">
        <x:v>trait_combo_resonance</x:v>
      </x:c>
      <x:c r="W288" s="332" t="n">
        <x:f>XLOOKUP($D288&amp;"|"&amp;$E288&amp;"|"&amp;$F288,'PET_STAT_RULES'!$A$5:$A$88,'PET_STAT_RULES'!$E$5:$E$88)</x:f>
        <x:v>0</x:v>
      </x:c>
    </x:row>
    <x:row r="289">
      <x:c r="A289" s="38" t="str">
        <x:v>pal_288</x:v>
      </x:c>
      <x:c r="B289" s="38" t="str">
        <x:v>赫夫大兽</x:v>
      </x:c>
      <x:c r="C289" s="38" t="str">
        <x:v>火</x:v>
      </x:c>
      <x:c r="D289" s="265" t="str">
        <x:v>白银</x:v>
      </x:c>
      <x:c r="E289" s="38" t="str">
        <x:v>经济</x:v>
      </x:c>
      <x:c r="F289" s="38" t="str">
        <x:v>三格</x:v>
      </x:c>
      <x:c r="G289" s="38" t="str">
        <x:v>bz_van_288</x:v>
      </x:c>
      <x:c r="H289" s="38" t="str">
        <x:v>role_经济, tier_pT2</x:v>
      </x:c>
      <x:c r="I289" s="38" t="n">
        <x:v>2</x:v>
      </x:c>
      <x:c r="J289" s="340" t="n">
        <x:f>XLOOKUP($D289&amp;"|"&amp;$E289&amp;"|"&amp;$F289,'PET_STAT_RULES'!$A$5:$A$88,'PET_STAT_RULES'!$C$5:$C$88)</x:f>
        <x:v>46</x:v>
      </x:c>
      <x:c r="K289" s="340" t="n">
        <x:f>XLOOKUP($D289&amp;"|"&amp;$E289&amp;"|"&amp;$F289,'PET_STAT_RULES'!$A$5:$A$88,'PET_STAT_RULES'!$D$5:$D$88)</x:f>
        <x:v>10</x:v>
      </x:c>
      <x:c r="L289" s="340" t="n">
        <x:f>XLOOKUP($D289&amp;"|"&amp;$E289&amp;"|"&amp;$F289,'PET_STAT_RULES'!$A$5:$A$88,'PET_STAT_RULES'!$F$5:$F$88)</x:f>
        <x:v>0</x:v>
      </x:c>
      <x:c r="M289" s="340" t="n">
        <x:f>XLOOKUP($D289&amp;"|"&amp;$E289&amp;"|"&amp;$F289,'PET_STAT_RULES'!$A$5:$A$88,'PET_STAT_RULES'!$G$5:$G$88)</x:f>
        <x:v>2</x:v>
      </x:c>
      <x:c r="N289" s="38" t="n">
        <x:v>2</x:v>
      </x:c>
      <x:c r="O289" s="38" t="str">
        <x:v>mech_fire_ignite_bonus</x:v>
      </x:c>
      <x:c r="P289" s="38" t="str">
        <x:v>10 形状10</x:v>
      </x:c>
      <x:c r="Q289" s="38" t="str">
        <x:v>Fiery</x:v>
      </x:c>
      <x:c r="R289" s="38" t="str">
        <x:v>merchant_package confirmed；来源=Hef's Package；攻击2格；仅保留来源商人/训练师关系。</x:v>
      </x:c>
      <x:c r="S289" s="38" t="n">
        <x:v>2</x:v>
      </x:c>
      <x:c r="T289" s="38" t="n">
        <x:v>2</x:v>
      </x:c>
      <x:c r="U289" s="15" t="str">
        <x:v>skill_vanguard,skill_flank,skill_pierce,skill_revolve,skill_chase,skill_break,skill_suppress,skill_finale</x:v>
      </x:c>
      <x:c r="V289" s="15" t="str">
        <x:v>trait_combo_resonance</x:v>
      </x:c>
      <x:c r="W289" s="332" t="n">
        <x:f>XLOOKUP($D289&amp;"|"&amp;$E289&amp;"|"&amp;$F289,'PET_STAT_RULES'!$A$5:$A$88,'PET_STAT_RULES'!$E$5:$E$88)</x:f>
        <x:v>0</x:v>
      </x:c>
    </x:row>
    <x:row r="290">
      <x:c r="A290" s="38" t="str">
        <x:v>pal_289</x:v>
      </x:c>
      <x:c r="B290" s="38" t="str">
        <x:v>夜爵大兽</x:v>
      </x:c>
      <x:c r="C290" s="38" t="str">
        <x:v>草</x:v>
      </x:c>
      <x:c r="D290" s="265" t="str">
        <x:v>白银</x:v>
      </x:c>
      <x:c r="E290" s="38" t="str">
        <x:v>控制</x:v>
      </x:c>
      <x:c r="F290" s="38" t="str">
        <x:v>三格</x:v>
      </x:c>
      <x:c r="G290" s="38" t="str">
        <x:v>bz_van_289</x:v>
      </x:c>
      <x:c r="H290" s="38" t="str">
        <x:v>role_经济, role_火系压制</x:v>
      </x:c>
      <x:c r="I290" s="38" t="n">
        <x:v>2</x:v>
      </x:c>
      <x:c r="J290" s="340" t="n">
        <x:f>XLOOKUP($D290&amp;"|"&amp;$E290&amp;"|"&amp;$F290,'PET_STAT_RULES'!$A$5:$A$88,'PET_STAT_RULES'!$C$5:$C$88)</x:f>
        <x:v>50</x:v>
      </x:c>
      <x:c r="K290" s="340" t="n">
        <x:f>XLOOKUP($D290&amp;"|"&amp;$E290&amp;"|"&amp;$F290,'PET_STAT_RULES'!$A$5:$A$88,'PET_STAT_RULES'!$D$5:$D$88)</x:f>
        <x:v>12</x:v>
      </x:c>
      <x:c r="L290" s="340" t="n">
        <x:f>XLOOKUP($D290&amp;"|"&amp;$E290&amp;"|"&amp;$F290,'PET_STAT_RULES'!$A$5:$A$88,'PET_STAT_RULES'!$F$5:$F$88)</x:f>
        <x:v>0</x:v>
      </x:c>
      <x:c r="M290" s="340" t="n">
        <x:f>XLOOKUP($D290&amp;"|"&amp;$E290&amp;"|"&amp;$F290,'PET_STAT_RULES'!$A$5:$A$88,'PET_STAT_RULES'!$G$5:$G$88)</x:f>
        <x:v>4</x:v>
      </x:c>
      <x:c r="N290" s="38" t="n">
        <x:v>2</x:v>
      </x:c>
      <x:c r="O290" s="38" t="str">
        <x:v>mech_counter_damage</x:v>
      </x:c>
      <x:c r="P290" s="38" t="str">
        <x:v>10 形状10</x:v>
      </x:c>
      <x:c r="Q290" s="38" t="str">
        <x:v>Toxic</x:v>
      </x:c>
      <x:c r="R290" s="38" t="str">
        <x:v>merchant_package confirmed；来源=Knightshade's Package；攻击2格；仅保留来源商人/训练师关系。</x:v>
      </x:c>
      <x:c r="S290" s="38" t="n">
        <x:v>4</x:v>
      </x:c>
      <x:c r="T290" s="38" t="n">
        <x:v>2</x:v>
      </x:c>
      <x:c r="U290" s="15" t="str">
        <x:v>skill_vanguard,skill_flank,skill_pierce,skill_revolve,skill_chase,skill_break,skill_suppress,skill_finale</x:v>
      </x:c>
      <x:c r="V290" s="15" t="str">
        <x:v>trait_element_affinity</x:v>
      </x:c>
      <x:c r="W290" s="332" t="n">
        <x:f>XLOOKUP($D290&amp;"|"&amp;$E290&amp;"|"&amp;$F290,'PET_STAT_RULES'!$A$5:$A$88,'PET_STAT_RULES'!$E$5:$E$88)</x:f>
        <x:v>0</x:v>
      </x:c>
    </x:row>
    <x:row r="291">
      <x:c r="A291" s="38" t="str">
        <x:v>pal_290</x:v>
      </x:c>
      <x:c r="B291" s="38" t="str">
        <x:v>夜爵小兽</x:v>
      </x:c>
      <x:c r="C291" s="38" t="str">
        <x:v>草</x:v>
      </x:c>
      <x:c r="D291" s="262" t="str">
        <x:v>黄金</x:v>
      </x:c>
      <x:c r="E291" s="38" t="str">
        <x:v>控制</x:v>
      </x:c>
      <x:c r="F291" s="38" t="str">
        <x:v>一格</x:v>
      </x:c>
      <x:c r="G291" s="38" t="str">
        <x:v>bz_van_290</x:v>
      </x:c>
      <x:c r="H291" s="38" t="str">
        <x:v>role_坦克, role_火系压制</x:v>
      </x:c>
      <x:c r="I291" s="38" t="n">
        <x:v>2</x:v>
      </x:c>
      <x:c r="J291" s="340" t="n">
        <x:f>XLOOKUP($D291&amp;"|"&amp;$E291&amp;"|"&amp;$F291,'PET_STAT_RULES'!$A$5:$A$88,'PET_STAT_RULES'!$C$5:$C$88)</x:f>
        <x:v>50</x:v>
      </x:c>
      <x:c r="K291" s="340" t="n">
        <x:f>XLOOKUP($D291&amp;"|"&amp;$E291&amp;"|"&amp;$F291,'PET_STAT_RULES'!$A$5:$A$88,'PET_STAT_RULES'!$D$5:$D$88)</x:f>
        <x:v>22</x:v>
      </x:c>
      <x:c r="L291" s="340" t="n">
        <x:f>XLOOKUP($D291&amp;"|"&amp;$E291&amp;"|"&amp;$F291,'PET_STAT_RULES'!$A$5:$A$88,'PET_STAT_RULES'!$F$5:$F$88)</x:f>
        <x:v>0</x:v>
      </x:c>
      <x:c r="M291" s="340" t="n">
        <x:f>XLOOKUP($D291&amp;"|"&amp;$E291&amp;"|"&amp;$F291,'PET_STAT_RULES'!$A$5:$A$88,'PET_STAT_RULES'!$G$5:$G$88)</x:f>
        <x:v>4</x:v>
      </x:c>
      <x:c r="N291" s="38" t="n">
        <x:v>3</x:v>
      </x:c>
      <x:c r="O291" s="38" t="str">
        <x:v>mech_counter_damage</x:v>
      </x:c>
      <x:c r="P291" s="38" t="str">
        <x:v>15 形状15</x:v>
      </x:c>
      <x:c r="Q291" s="38" t="str">
        <x:v>Toxic</x:v>
      </x:c>
      <x:c r="R291" s="38" t="str">
        <x:v>merchant_package confirmed；来源=Knightshade's Package；攻击3格；仅保留来源商人/训练师关系。</x:v>
      </x:c>
      <x:c r="S291" s="38" t="n">
        <x:v>4</x:v>
      </x:c>
      <x:c r="T291" s="38" t="n">
        <x:v>2</x:v>
      </x:c>
      <x:c r="U291" s="15" t="str">
        <x:v>skill_vanguard,skill_flank,skill_pierce,skill_revolve,skill_chase,skill_break,skill_suppress,skill_finale</x:v>
      </x:c>
      <x:c r="V291" s="15" t="str">
        <x:v>trait_element_affinity</x:v>
      </x:c>
      <x:c r="W291" s="332" t="n">
        <x:f>XLOOKUP($D291&amp;"|"&amp;$E291&amp;"|"&amp;$F291,'PET_STAT_RULES'!$A$5:$A$88,'PET_STAT_RULES'!$E$5:$E$88)</x:f>
        <x:v>0</x:v>
      </x:c>
    </x:row>
    <x:row r="292">
      <x:c r="A292" s="38" t="str">
        <x:v>pal_291</x:v>
      </x:c>
      <x:c r="B292" s="38" t="str">
        <x:v>夜爵中兽</x:v>
      </x:c>
      <x:c r="C292" s="38" t="str">
        <x:v>草</x:v>
      </x:c>
      <x:c r="D292" s="262" t="str">
        <x:v>黄金</x:v>
      </x:c>
      <x:c r="E292" s="38" t="str">
        <x:v>控制</x:v>
      </x:c>
      <x:c r="F292" s="38" t="str">
        <x:v>两格</x:v>
      </x:c>
      <x:c r="G292" s="38" t="str">
        <x:v>bz_van_291</x:v>
      </x:c>
      <x:c r="H292" s="38" t="str">
        <x:v>role_坦克, role_火系压制</x:v>
      </x:c>
      <x:c r="I292" s="38" t="n">
        <x:v>2</x:v>
      </x:c>
      <x:c r="J292" s="340" t="n">
        <x:f>XLOOKUP($D292&amp;"|"&amp;$E292&amp;"|"&amp;$F292,'PET_STAT_RULES'!$A$5:$A$88,'PET_STAT_RULES'!$C$5:$C$88)</x:f>
        <x:v>56</x:v>
      </x:c>
      <x:c r="K292" s="340" t="n">
        <x:f>XLOOKUP($D292&amp;"|"&amp;$E292&amp;"|"&amp;$F292,'PET_STAT_RULES'!$A$5:$A$88,'PET_STAT_RULES'!$D$5:$D$88)</x:f>
        <x:v>20</x:v>
      </x:c>
      <x:c r="L292" s="340" t="n">
        <x:f>XLOOKUP($D292&amp;"|"&amp;$E292&amp;"|"&amp;$F292,'PET_STAT_RULES'!$A$5:$A$88,'PET_STAT_RULES'!$F$5:$F$88)</x:f>
        <x:v>0</x:v>
      </x:c>
      <x:c r="M292" s="340" t="n">
        <x:f>XLOOKUP($D292&amp;"|"&amp;$E292&amp;"|"&amp;$F292,'PET_STAT_RULES'!$A$5:$A$88,'PET_STAT_RULES'!$G$5:$G$88)</x:f>
        <x:v>4</x:v>
      </x:c>
      <x:c r="N292" s="38" t="n">
        <x:v>2</x:v>
      </x:c>
      <x:c r="O292" s="38" t="str">
        <x:v>mech_counter_damage</x:v>
      </x:c>
      <x:c r="P292" s="38" t="str">
        <x:v>06 形状06</x:v>
      </x:c>
      <x:c r="Q292" s="38" t="str">
        <x:v>Toxic</x:v>
      </x:c>
      <x:c r="R292" s="38" t="str">
        <x:v>merchant_package confirmed；来源=Knightshade's Package；攻击2格；仅保留来源商人/训练师关系。</x:v>
      </x:c>
      <x:c r="S292" s="38" t="n">
        <x:v>4</x:v>
      </x:c>
      <x:c r="T292" s="38" t="n">
        <x:v>2</x:v>
      </x:c>
      <x:c r="U292" s="15" t="str">
        <x:v>skill_vanguard,skill_flank,skill_pierce,skill_revolve,skill_chase,skill_break,skill_suppress,skill_finale</x:v>
      </x:c>
      <x:c r="V292" s="15" t="str">
        <x:v>trait_element_affinity</x:v>
      </x:c>
      <x:c r="W292" s="332" t="n">
        <x:f>XLOOKUP($D292&amp;"|"&amp;$E292&amp;"|"&amp;$F292,'PET_STAT_RULES'!$A$5:$A$88,'PET_STAT_RULES'!$E$5:$E$88)</x:f>
        <x:v>0</x:v>
      </x:c>
    </x:row>
    <x:row r="293">
      <x:c r="A293" s="38" t="str">
        <x:v>pal_292</x:v>
      </x:c>
      <x:c r="B293" s="38" t="str">
        <x:v>瑟菲小兽</x:v>
      </x:c>
      <x:c r="C293" s="38" t="str">
        <x:v>雷</x:v>
      </x:c>
      <x:c r="D293" s="262" t="str">
        <x:v>黄金</x:v>
      </x:c>
      <x:c r="E293" s="38" t="str">
        <x:v>经济</x:v>
      </x:c>
      <x:c r="F293" s="38" t="str">
        <x:v>一格</x:v>
      </x:c>
      <x:c r="G293" s="38" t="str">
        <x:v>bz_van_292</x:v>
      </x:c>
      <x:c r="H293" s="38" t="str">
        <x:v>role_坦克, role_治疗</x:v>
      </x:c>
      <x:c r="I293" s="38" t="n">
        <x:v>2</x:v>
      </x:c>
      <x:c r="J293" s="340" t="n">
        <x:f>XLOOKUP($D293&amp;"|"&amp;$E293&amp;"|"&amp;$F293,'PET_STAT_RULES'!$A$5:$A$88,'PET_STAT_RULES'!$C$5:$C$88)</x:f>
        <x:v>46</x:v>
      </x:c>
      <x:c r="K293" s="340" t="n">
        <x:f>XLOOKUP($D293&amp;"|"&amp;$E293&amp;"|"&amp;$F293,'PET_STAT_RULES'!$A$5:$A$88,'PET_STAT_RULES'!$D$5:$D$88)</x:f>
        <x:v>20</x:v>
      </x:c>
      <x:c r="L293" s="340" t="n">
        <x:f>XLOOKUP($D293&amp;"|"&amp;$E293&amp;"|"&amp;$F293,'PET_STAT_RULES'!$A$5:$A$88,'PET_STAT_RULES'!$F$5:$F$88)</x:f>
        <x:v>0</x:v>
      </x:c>
      <x:c r="M293" s="340" t="n">
        <x:f>XLOOKUP($D293&amp;"|"&amp;$E293&amp;"|"&amp;$F293,'PET_STAT_RULES'!$A$5:$A$88,'PET_STAT_RULES'!$G$5:$G$88)</x:f>
        <x:v>3</x:v>
      </x:c>
      <x:c r="N293" s="38" t="n">
        <x:v>3</x:v>
      </x:c>
      <x:c r="O293" s="38" t="str">
        <x:v>none</x:v>
      </x:c>
      <x:c r="P293" s="38" t="str">
        <x:v>14 形状14</x:v>
      </x:c>
      <x:c r="Q293" s="38" t="str">
        <x:v>Golden</x:v>
      </x:c>
      <x:c r="R293" s="38" t="str">
        <x:v>merchant_package confirmed；来源=Serafina's Package；攻击3格；仅保留来源商人/训练师关系。</x:v>
      </x:c>
      <x:c r="S293" s="38" t="n">
        <x:v>3</x:v>
      </x:c>
      <x:c r="T293" s="38" t="n">
        <x:v>2</x:v>
      </x:c>
      <x:c r="U293" s="15" t="str">
        <x:v>skill_vanguard,skill_flank,skill_pierce,skill_revolve,skill_chase,skill_break,skill_suppress,skill_finale</x:v>
      </x:c>
      <x:c r="V293" s="15" t="str">
        <x:v>trait_combo_resonance</x:v>
      </x:c>
      <x:c r="W293" s="332" t="n">
        <x:f>XLOOKUP($D293&amp;"|"&amp;$E293&amp;"|"&amp;$F293,'PET_STAT_RULES'!$A$5:$A$88,'PET_STAT_RULES'!$E$5:$E$88)</x:f>
        <x:v>0</x:v>
      </x:c>
    </x:row>
    <x:row r="294">
      <x:c r="A294" s="38" t="str">
        <x:v>pal_293</x:v>
      </x:c>
      <x:c r="B294" s="38" t="str">
        <x:v>瑟菲大兽</x:v>
      </x:c>
      <x:c r="C294" s="38" t="str">
        <x:v>地</x:v>
      </x:c>
      <x:c r="D294" s="265" t="str">
        <x:v>白银</x:v>
      </x:c>
      <x:c r="E294" s="38" t="str">
        <x:v>经济</x:v>
      </x:c>
      <x:c r="F294" s="38" t="str">
        <x:v>三格</x:v>
      </x:c>
      <x:c r="G294" s="38" t="str">
        <x:v>bz_van_293</x:v>
      </x:c>
      <x:c r="H294" s="38" t="str">
        <x:v>role_治疗, role_经济</x:v>
      </x:c>
      <x:c r="I294" s="38" t="n">
        <x:v>2</x:v>
      </x:c>
      <x:c r="J294" s="340" t="n">
        <x:f>XLOOKUP($D294&amp;"|"&amp;$E294&amp;"|"&amp;$F294,'PET_STAT_RULES'!$A$5:$A$88,'PET_STAT_RULES'!$C$5:$C$88)</x:f>
        <x:v>46</x:v>
      </x:c>
      <x:c r="K294" s="340" t="n">
        <x:f>XLOOKUP($D294&amp;"|"&amp;$E294&amp;"|"&amp;$F294,'PET_STAT_RULES'!$A$5:$A$88,'PET_STAT_RULES'!$D$5:$D$88)</x:f>
        <x:v>10</x:v>
      </x:c>
      <x:c r="L294" s="340" t="n">
        <x:f>XLOOKUP($D294&amp;"|"&amp;$E294&amp;"|"&amp;$F294,'PET_STAT_RULES'!$A$5:$A$88,'PET_STAT_RULES'!$F$5:$F$88)</x:f>
        <x:v>0</x:v>
      </x:c>
      <x:c r="M294" s="340" t="n">
        <x:f>XLOOKUP($D294&amp;"|"&amp;$E294&amp;"|"&amp;$F294,'PET_STAT_RULES'!$A$5:$A$88,'PET_STAT_RULES'!$G$5:$G$88)</x:f>
        <x:v>2</x:v>
      </x:c>
      <x:c r="N294" s="38" t="n">
        <x:v>2</x:v>
      </x:c>
      <x:c r="O294" s="38" t="str">
        <x:v>none</x:v>
      </x:c>
      <x:c r="P294" s="38" t="str">
        <x:v>05 形状05</x:v>
      </x:c>
      <x:c r="Q294" s="38" t="str">
        <x:v>Golden</x:v>
      </x:c>
      <x:c r="R294" s="38" t="str">
        <x:v>merchant_package confirmed；来源=Serafina's Package；攻击2格；仅保留来源商人/训练师关系。</x:v>
      </x:c>
      <x:c r="S294" s="38" t="n">
        <x:v>2</x:v>
      </x:c>
      <x:c r="T294" s="38" t="n">
        <x:v>2</x:v>
      </x:c>
      <x:c r="U294" s="15" t="str">
        <x:v>skill_vanguard,skill_flank,skill_pierce,skill_revolve,skill_chase,skill_break,skill_suppress,skill_finale</x:v>
      </x:c>
      <x:c r="V294" s="15" t="str">
        <x:v>trait_combo_resonance</x:v>
      </x:c>
      <x:c r="W294" s="332" t="n">
        <x:f>XLOOKUP($D294&amp;"|"&amp;$E294&amp;"|"&amp;$F294,'PET_STAT_RULES'!$A$5:$A$88,'PET_STAT_RULES'!$E$5:$E$88)</x:f>
        <x:v>0</x:v>
      </x:c>
    </x:row>
    <x:row r="295">
      <x:c r="A295" s="38" t="str">
        <x:v>pal_294</x:v>
      </x:c>
      <x:c r="B295" s="38" t="str">
        <x:v>瑟菲中兽</x:v>
      </x:c>
      <x:c r="C295" s="38" t="str">
        <x:v>无</x:v>
      </x:c>
      <x:c r="D295" s="262" t="str">
        <x:v>黄金</x:v>
      </x:c>
      <x:c r="E295" s="38" t="str">
        <x:v>经济</x:v>
      </x:c>
      <x:c r="F295" s="38" t="str">
        <x:v>两格</x:v>
      </x:c>
      <x:c r="G295" s="38" t="str">
        <x:v>bz_van_294</x:v>
      </x:c>
      <x:c r="H295" s="38" t="str">
        <x:v>role_坦克, role_治疗</x:v>
      </x:c>
      <x:c r="I295" s="38" t="n">
        <x:v>2</x:v>
      </x:c>
      <x:c r="J295" s="340" t="n">
        <x:f>XLOOKUP($D295&amp;"|"&amp;$E295&amp;"|"&amp;$F295,'PET_STAT_RULES'!$A$5:$A$88,'PET_STAT_RULES'!$C$5:$C$88)</x:f>
        <x:v>52</x:v>
      </x:c>
      <x:c r="K295" s="340" t="n">
        <x:f>XLOOKUP($D295&amp;"|"&amp;$E295&amp;"|"&amp;$F295,'PET_STAT_RULES'!$A$5:$A$88,'PET_STAT_RULES'!$D$5:$D$88)</x:f>
        <x:v>18</x:v>
      </x:c>
      <x:c r="L295" s="340" t="n">
        <x:f>XLOOKUP($D295&amp;"|"&amp;$E295&amp;"|"&amp;$F295,'PET_STAT_RULES'!$A$5:$A$88,'PET_STAT_RULES'!$F$5:$F$88)</x:f>
        <x:v>0</x:v>
      </x:c>
      <x:c r="M295" s="340" t="n">
        <x:f>XLOOKUP($D295&amp;"|"&amp;$E295&amp;"|"&amp;$F295,'PET_STAT_RULES'!$A$5:$A$88,'PET_STAT_RULES'!$G$5:$G$88)</x:f>
        <x:v>3</x:v>
      </x:c>
      <x:c r="N295" s="38" t="n">
        <x:v>2</x:v>
      </x:c>
      <x:c r="O295" s="38" t="str">
        <x:v>none</x:v>
      </x:c>
      <x:c r="P295" s="38" t="str">
        <x:v>09 形状09</x:v>
      </x:c>
      <x:c r="Q295" s="38" t="str">
        <x:v>Golden</x:v>
      </x:c>
      <x:c r="R295" s="38" t="str">
        <x:v>merchant_package confirmed；来源=Serafina's Package；攻击2格；仅保留来源商人/训练师关系。</x:v>
      </x:c>
      <x:c r="S295" s="38" t="n">
        <x:v>3</x:v>
      </x:c>
      <x:c r="T295" s="38" t="n">
        <x:v>2</x:v>
      </x:c>
      <x:c r="U295" s="15" t="str">
        <x:v>skill_vanguard,skill_flank,skill_pierce,skill_revolve,skill_chase,skill_break,skill_suppress,skill_finale</x:v>
      </x:c>
      <x:c r="V295" s="15" t="str">
        <x:v>trait_combo_resonance</x:v>
      </x:c>
      <x:c r="W295" s="332" t="n">
        <x:f>XLOOKUP($D295&amp;"|"&amp;$E295&amp;"|"&amp;$F295,'PET_STAT_RULES'!$A$5:$A$88,'PET_STAT_RULES'!$E$5:$E$88)</x:f>
        <x:v>0</x:v>
      </x:c>
    </x:row>
    <x:row r="296">
      <x:c r="A296" s="38" t="str">
        <x:v>pal_295</x:v>
      </x:c>
      <x:c r="B296" s="38" t="str">
        <x:v>凯夫中兽</x:v>
      </x:c>
      <x:c r="C296" s="38" t="str">
        <x:v>地</x:v>
      </x:c>
      <x:c r="D296" s="259" t="str">
        <x:v>青铜</x:v>
      </x:c>
      <x:c r="E296" s="38" t="str">
        <x:v>坦克</x:v>
      </x:c>
      <x:c r="F296" s="38" t="str">
        <x:v>两格</x:v>
      </x:c>
      <x:c r="G296" s="38" t="str">
        <x:v>bz_van_295</x:v>
      </x:c>
      <x:c r="H296" s="38" t="str">
        <x:v>elem_草, tier_pT3</x:v>
      </x:c>
      <x:c r="I296" s="38" t="n">
        <x:v>2</x:v>
      </x:c>
      <x:c r="J296" s="340" t="n">
        <x:f>XLOOKUP($D296&amp;"|"&amp;$E296&amp;"|"&amp;$F296,'PET_STAT_RULES'!$A$5:$A$88,'PET_STAT_RULES'!$C$5:$C$88)</x:f>
        <x:v>42</x:v>
      </x:c>
      <x:c r="K296" s="340" t="n">
        <x:f>XLOOKUP($D296&amp;"|"&amp;$E296&amp;"|"&amp;$F296,'PET_STAT_RULES'!$A$5:$A$88,'PET_STAT_RULES'!$D$5:$D$88)</x:f>
        <x:v>6</x:v>
      </x:c>
      <x:c r="L296" s="340" t="n">
        <x:f>XLOOKUP($D296&amp;"|"&amp;$E296&amp;"|"&amp;$F296,'PET_STAT_RULES'!$A$5:$A$88,'PET_STAT_RULES'!$F$5:$F$88)</x:f>
        <x:v>6</x:v>
      </x:c>
      <x:c r="M296" s="340" t="n">
        <x:f>XLOOKUP($D296&amp;"|"&amp;$E296&amp;"|"&amp;$F296,'PET_STAT_RULES'!$A$5:$A$88,'PET_STAT_RULES'!$G$5:$G$88)</x:f>
        <x:v>3</x:v>
      </x:c>
      <x:c r="N296" s="38" t="n">
        <x:v>1</x:v>
      </x:c>
      <x:c r="O296" s="38" t="str">
        <x:v>mech_armor_flat</x:v>
      </x:c>
      <x:c r="P296" s="38" t="str">
        <x:v>02 形状02</x:v>
      </x:c>
      <x:c r="Q296" s="38" t="str">
        <x:v>Shielded</x:v>
      </x:c>
      <x:c r="R296" s="38" t="str">
        <x:v>merchant_package confirmed；来源=凯夫军械库的包裹；攻击1格；仅保留来源商人/训练师关系。</x:v>
      </x:c>
      <x:c r="S296" s="38" t="n">
        <x:v>3</x:v>
      </x:c>
      <x:c r="T296" s="38" t="n">
        <x:v>1</x:v>
      </x:c>
      <x:c r="U296" s="15" t="str">
        <x:v>skill_vanguard,skill_flank,skill_pierce,skill_revolve,skill_chase,skill_break,skill_suppress,skill_finale</x:v>
      </x:c>
      <x:c r="V296" s="15" t="str">
        <x:v>trait_combo_mastery</x:v>
      </x:c>
      <x:c r="W296" s="332" t="n">
        <x:f>XLOOKUP($D296&amp;"|"&amp;$E296&amp;"|"&amp;$F296,'PET_STAT_RULES'!$A$5:$A$88,'PET_STAT_RULES'!$E$5:$E$88)</x:f>
        <x:v>0</x:v>
      </x:c>
    </x:row>
    <x:row r="297">
      <x:c r="A297" s="38" t="str">
        <x:v>pal_296</x:v>
      </x:c>
      <x:c r="B297" s="38" t="str">
        <x:v>凯夫小兽</x:v>
      </x:c>
      <x:c r="C297" s="38" t="str">
        <x:v>地</x:v>
      </x:c>
      <x:c r="D297" s="259" t="str">
        <x:v>青铜</x:v>
      </x:c>
      <x:c r="E297" s="38" t="str">
        <x:v>坦克</x:v>
      </x:c>
      <x:c r="F297" s="38" t="str">
        <x:v>一格</x:v>
      </x:c>
      <x:c r="G297" s="38" t="str">
        <x:v>bz_van_296</x:v>
      </x:c>
      <x:c r="H297" s="38" t="str">
        <x:v>elem_草, tier_pT3</x:v>
      </x:c>
      <x:c r="I297" s="38" t="n">
        <x:v>2</x:v>
      </x:c>
      <x:c r="J297" s="340" t="n">
        <x:f>XLOOKUP($D297&amp;"|"&amp;$E297&amp;"|"&amp;$F297,'PET_STAT_RULES'!$A$5:$A$88,'PET_STAT_RULES'!$C$5:$C$88)</x:f>
        <x:v>36</x:v>
      </x:c>
      <x:c r="K297" s="340" t="n">
        <x:f>XLOOKUP($D297&amp;"|"&amp;$E297&amp;"|"&amp;$F297,'PET_STAT_RULES'!$A$5:$A$88,'PET_STAT_RULES'!$D$5:$D$88)</x:f>
        <x:v>8</x:v>
      </x:c>
      <x:c r="L297" s="340" t="n">
        <x:f>XLOOKUP($D297&amp;"|"&amp;$E297&amp;"|"&amp;$F297,'PET_STAT_RULES'!$A$5:$A$88,'PET_STAT_RULES'!$F$5:$F$88)</x:f>
        <x:v>6</x:v>
      </x:c>
      <x:c r="M297" s="340" t="n">
        <x:f>XLOOKUP($D297&amp;"|"&amp;$E297&amp;"|"&amp;$F297,'PET_STAT_RULES'!$A$5:$A$88,'PET_STAT_RULES'!$G$5:$G$88)</x:f>
        <x:v>3</x:v>
      </x:c>
      <x:c r="N297" s="38" t="n">
        <x:v>3</x:v>
      </x:c>
      <x:c r="O297" s="38" t="str">
        <x:v>mech_shield_flat</x:v>
      </x:c>
      <x:c r="P297" s="38" t="str">
        <x:v>16 形状16</x:v>
      </x:c>
      <x:c r="Q297" s="38" t="str">
        <x:v>Shielded</x:v>
      </x:c>
      <x:c r="R297" s="38" t="str">
        <x:v>merchant_package confirmed；来源=凯夫军械库的包裹；攻击3格；仅保留来源商人/训练师关系。</x:v>
      </x:c>
      <x:c r="S297" s="38" t="n">
        <x:v>3</x:v>
      </x:c>
      <x:c r="T297" s="38" t="n">
        <x:v>1</x:v>
      </x:c>
      <x:c r="U297" s="15" t="str">
        <x:v>skill_vanguard,skill_flank,skill_pierce,skill_revolve,skill_chase,skill_break,skill_suppress,skill_finale</x:v>
      </x:c>
      <x:c r="V297" s="15" t="str">
        <x:v>trait_combo_mastery</x:v>
      </x:c>
      <x:c r="W297" s="332" t="n">
        <x:f>XLOOKUP($D297&amp;"|"&amp;$E297&amp;"|"&amp;$F297,'PET_STAT_RULES'!$A$5:$A$88,'PET_STAT_RULES'!$E$5:$E$88)</x:f>
        <x:v>0</x:v>
      </x:c>
    </x:row>
    <x:row r="298">
      <x:c r="A298" s="38" t="str">
        <x:v>pal_297</x:v>
      </x:c>
      <x:c r="B298" s="38" t="str">
        <x:v>加瑟中兽</x:v>
      </x:c>
      <x:c r="C298" s="38" t="str">
        <x:v>火</x:v>
      </x:c>
      <x:c r="D298" s="265" t="str">
        <x:v>白银</x:v>
      </x:c>
      <x:c r="E298" s="38" t="str">
        <x:v>输出</x:v>
      </x:c>
      <x:c r="F298" s="38" t="str">
        <x:v>两格</x:v>
      </x:c>
      <x:c r="G298" s="38" t="str">
        <x:v>bz_van_297</x:v>
      </x:c>
      <x:c r="H298" s="38" t="str">
        <x:v>role_经济, role_重甲抗压</x:v>
      </x:c>
      <x:c r="I298" s="38" t="n">
        <x:v>2</x:v>
      </x:c>
      <x:c r="J298" s="340" t="n">
        <x:f>XLOOKUP($D298&amp;"|"&amp;$E298&amp;"|"&amp;$F298,'PET_STAT_RULES'!$A$5:$A$88,'PET_STAT_RULES'!$C$5:$C$88)</x:f>
        <x:v>40</x:v>
      </x:c>
      <x:c r="K298" s="340" t="n">
        <x:f>XLOOKUP($D298&amp;"|"&amp;$E298&amp;"|"&amp;$F298,'PET_STAT_RULES'!$A$5:$A$88,'PET_STAT_RULES'!$D$5:$D$88)</x:f>
        <x:v>20</x:v>
      </x:c>
      <x:c r="L298" s="340" t="n">
        <x:f>XLOOKUP($D298&amp;"|"&amp;$E298&amp;"|"&amp;$F298,'PET_STAT_RULES'!$A$5:$A$88,'PET_STAT_RULES'!$F$5:$F$88)</x:f>
        <x:v>0</x:v>
      </x:c>
      <x:c r="M298" s="340" t="n">
        <x:f>XLOOKUP($D298&amp;"|"&amp;$E298&amp;"|"&amp;$F298,'PET_STAT_RULES'!$A$5:$A$88,'PET_STAT_RULES'!$G$5:$G$88)</x:f>
        <x:v>3</x:v>
      </x:c>
      <x:c r="N298" s="38" t="n">
        <x:v>2</x:v>
      </x:c>
      <x:c r="O298" s="38" t="str">
        <x:v>mech_grow_atk_each_round</x:v>
      </x:c>
      <x:c r="P298" s="38" t="str">
        <x:v>12 形状12</x:v>
      </x:c>
      <x:c r="Q298" s="38" t="str">
        <x:v>Heavy</x:v>
      </x:c>
      <x:c r="R298" s="38" t="str">
        <x:v>merchant_package confirmed；来源=加瑟欧的包裹；攻击2格；仅保留来源商人/训练师关系。</x:v>
      </x:c>
      <x:c r="S298" s="38" t="n">
        <x:v>3</x:v>
      </x:c>
      <x:c r="T298" s="38" t="n">
        <x:v>2</x:v>
      </x:c>
      <x:c r="U298" s="15" t="str">
        <x:v>skill_vanguard,skill_flank,skill_pierce,skill_revolve,skill_chase,skill_break,skill_suppress,skill_finale</x:v>
      </x:c>
      <x:c r="V298" s="15" t="str">
        <x:v>trait_relentless</x:v>
      </x:c>
      <x:c r="W298" s="332" t="n">
        <x:f>XLOOKUP($D298&amp;"|"&amp;$E298&amp;"|"&amp;$F298,'PET_STAT_RULES'!$A$5:$A$88,'PET_STAT_RULES'!$E$5:$E$88)</x:f>
        <x:v>0</x:v>
      </x:c>
    </x:row>
    <x:row r="299">
      <x:c r="A299" s="38" t="str">
        <x:v>pal_298</x:v>
      </x:c>
      <x:c r="B299" s="38" t="str">
        <x:v>加瑟大兽</x:v>
      </x:c>
      <x:c r="C299" s="38" t="str">
        <x:v>草</x:v>
      </x:c>
      <x:c r="D299" s="265" t="str">
        <x:v>白银</x:v>
      </x:c>
      <x:c r="E299" s="38" t="str">
        <x:v>经济</x:v>
      </x:c>
      <x:c r="F299" s="38" t="str">
        <x:v>三格</x:v>
      </x:c>
      <x:c r="G299" s="38" t="str">
        <x:v>bz_van_298</x:v>
      </x:c>
      <x:c r="H299" s="38" t="str">
        <x:v>role_经济, role_重甲抗压</x:v>
      </x:c>
      <x:c r="I299" s="38" t="n">
        <x:v>2</x:v>
      </x:c>
      <x:c r="J299" s="340" t="n">
        <x:f>XLOOKUP($D299&amp;"|"&amp;$E299&amp;"|"&amp;$F299,'PET_STAT_RULES'!$A$5:$A$88,'PET_STAT_RULES'!$C$5:$C$88)</x:f>
        <x:v>46</x:v>
      </x:c>
      <x:c r="K299" s="340" t="n">
        <x:f>XLOOKUP($D299&amp;"|"&amp;$E299&amp;"|"&amp;$F299,'PET_STAT_RULES'!$A$5:$A$88,'PET_STAT_RULES'!$D$5:$D$88)</x:f>
        <x:v>10</x:v>
      </x:c>
      <x:c r="L299" s="340" t="n">
        <x:f>XLOOKUP($D299&amp;"|"&amp;$E299&amp;"|"&amp;$F299,'PET_STAT_RULES'!$A$5:$A$88,'PET_STAT_RULES'!$F$5:$F$88)</x:f>
        <x:v>0</x:v>
      </x:c>
      <x:c r="M299" s="340" t="n">
        <x:f>XLOOKUP($D299&amp;"|"&amp;$E299&amp;"|"&amp;$F299,'PET_STAT_RULES'!$A$5:$A$88,'PET_STAT_RULES'!$G$5:$G$88)</x:f>
        <x:v>2</x:v>
      </x:c>
      <x:c r="N299" s="38" t="n">
        <x:v>2</x:v>
      </x:c>
      <x:c r="O299" s="38" t="str">
        <x:v>none</x:v>
      </x:c>
      <x:c r="P299" s="38" t="str">
        <x:v>08 形状08</x:v>
      </x:c>
      <x:c r="Q299" s="38" t="str">
        <x:v>Golden</x:v>
      </x:c>
      <x:c r="R299" s="38" t="str">
        <x:v>merchant_package confirmed；来源=加瑟欧的包裹；攻击2格；仅保留来源商人/训练师关系。</x:v>
      </x:c>
      <x:c r="S299" s="38" t="n">
        <x:v>2</x:v>
      </x:c>
      <x:c r="T299" s="38" t="n">
        <x:v>2</x:v>
      </x:c>
      <x:c r="U299" s="15" t="str">
        <x:v>skill_vanguard,skill_flank,skill_pierce,skill_revolve,skill_chase,skill_break,skill_suppress,skill_finale</x:v>
      </x:c>
      <x:c r="V299" s="15" t="str">
        <x:v>trait_combo_resonance</x:v>
      </x:c>
      <x:c r="W299" s="332" t="n">
        <x:f>XLOOKUP($D299&amp;"|"&amp;$E299&amp;"|"&amp;$F299,'PET_STAT_RULES'!$A$5:$A$88,'PET_STAT_RULES'!$E$5:$E$88)</x:f>
        <x:v>0</x:v>
      </x:c>
    </x:row>
    <x:row r="300">
      <x:c r="A300" s="38" t="str">
        <x:v>pal_299</x:v>
      </x:c>
      <x:c r="B300" s="38" t="str">
        <x:v>加瑟小兽</x:v>
      </x:c>
      <x:c r="C300" s="38" t="str">
        <x:v>雷</x:v>
      </x:c>
      <x:c r="D300" s="265" t="str">
        <x:v>白银</x:v>
      </x:c>
      <x:c r="E300" s="38" t="str">
        <x:v>输出</x:v>
      </x:c>
      <x:c r="F300" s="38" t="str">
        <x:v>一格</x:v>
      </x:c>
      <x:c r="G300" s="38" t="str">
        <x:v>bz_van_299</x:v>
      </x:c>
      <x:c r="H300" s="38" t="str">
        <x:v>role_经济, role_重甲抗压</x:v>
      </x:c>
      <x:c r="I300" s="38" t="n">
        <x:v>2</x:v>
      </x:c>
      <x:c r="J300" s="340" t="n">
        <x:f>XLOOKUP($D300&amp;"|"&amp;$E300&amp;"|"&amp;$F300,'PET_STAT_RULES'!$A$5:$A$88,'PET_STAT_RULES'!$C$5:$C$88)</x:f>
        <x:v>34</x:v>
      </x:c>
      <x:c r="K300" s="340" t="n">
        <x:f>XLOOKUP($D300&amp;"|"&amp;$E300&amp;"|"&amp;$F300,'PET_STAT_RULES'!$A$5:$A$88,'PET_STAT_RULES'!$D$5:$D$88)</x:f>
        <x:v>22</x:v>
      </x:c>
      <x:c r="L300" s="340" t="n">
        <x:f>XLOOKUP($D300&amp;"|"&amp;$E300&amp;"|"&amp;$F300,'PET_STAT_RULES'!$A$5:$A$88,'PET_STAT_RULES'!$F$5:$F$88)</x:f>
        <x:v>0</x:v>
      </x:c>
      <x:c r="M300" s="340" t="n">
        <x:f>XLOOKUP($D300&amp;"|"&amp;$E300&amp;"|"&amp;$F300,'PET_STAT_RULES'!$A$5:$A$88,'PET_STAT_RULES'!$G$5:$G$88)</x:f>
        <x:v>3</x:v>
      </x:c>
      <x:c r="N300" s="38" t="n">
        <x:v>3</x:v>
      </x:c>
      <x:c r="O300" s="38" t="str">
        <x:v>mech_grow_atk_each_round</x:v>
      </x:c>
      <x:c r="P300" s="38" t="str">
        <x:v>17 形状17</x:v>
      </x:c>
      <x:c r="Q300" s="38" t="str">
        <x:v>Shiny</x:v>
      </x:c>
      <x:c r="R300" s="38" t="str">
        <x:v>merchant_package confirmed；来源=加瑟欧的包裹；攻击3格；仅保留来源商人/训练师关系。</x:v>
      </x:c>
      <x:c r="S300" s="38" t="n">
        <x:v>3</x:v>
      </x:c>
      <x:c r="T300" s="38" t="n">
        <x:v>2</x:v>
      </x:c>
      <x:c r="U300" s="15" t="str">
        <x:v>skill_vanguard,skill_flank,skill_pierce,skill_revolve,skill_chase,skill_break,skill_suppress,skill_finale</x:v>
      </x:c>
      <x:c r="V300" s="15" t="str">
        <x:v>trait_relentless</x:v>
      </x:c>
      <x:c r="W300" s="332" t="n">
        <x:f>XLOOKUP($D300&amp;"|"&amp;$E300&amp;"|"&amp;$F300,'PET_STAT_RULES'!$A$5:$A$88,'PET_STAT_RULES'!$E$5:$E$88)</x:f>
        <x:v>0</x:v>
      </x:c>
    </x:row>
    <x:row r="301">
      <x:c r="A301" s="38" t="str">
        <x:v>pal_300</x:v>
      </x:c>
      <x:c r="B301" s="38" t="str">
        <x:v>古董大兽</x:v>
      </x:c>
      <x:c r="C301" s="38" t="str">
        <x:v>雷</x:v>
      </x:c>
      <x:c r="D301" s="265" t="str">
        <x:v>白银</x:v>
      </x:c>
      <x:c r="E301" s="38" t="str">
        <x:v>输出</x:v>
      </x:c>
      <x:c r="F301" s="38" t="str">
        <x:v>三格</x:v>
      </x:c>
      <x:c r="G301" s="38" t="str">
        <x:v>bz_van_300</x:v>
      </x:c>
      <x:c r="H301" s="38" t="str">
        <x:v>elem_冰, role_经济</x:v>
      </x:c>
      <x:c r="I301" s="38" t="n">
        <x:v>2</x:v>
      </x:c>
      <x:c r="J301" s="340" t="n">
        <x:f>XLOOKUP($D301&amp;"|"&amp;$E301&amp;"|"&amp;$F301,'PET_STAT_RULES'!$A$5:$A$88,'PET_STAT_RULES'!$C$5:$C$88)</x:f>
        <x:v>46</x:v>
      </x:c>
      <x:c r="K301" s="340" t="n">
        <x:f>XLOOKUP($D301&amp;"|"&amp;$E301&amp;"|"&amp;$F301,'PET_STAT_RULES'!$A$5:$A$88,'PET_STAT_RULES'!$D$5:$D$88)</x:f>
        <x:v>18</x:v>
      </x:c>
      <x:c r="L301" s="340" t="n">
        <x:f>XLOOKUP($D301&amp;"|"&amp;$E301&amp;"|"&amp;$F301,'PET_STAT_RULES'!$A$5:$A$88,'PET_STAT_RULES'!$F$5:$F$88)</x:f>
        <x:v>0</x:v>
      </x:c>
      <x:c r="M301" s="340" t="n">
        <x:f>XLOOKUP($D301&amp;"|"&amp;$E301&amp;"|"&amp;$F301,'PET_STAT_RULES'!$A$5:$A$88,'PET_STAT_RULES'!$G$5:$G$88)</x:f>
        <x:v>2</x:v>
      </x:c>
      <x:c r="N301" s="38" t="n">
        <x:v>2</x:v>
      </x:c>
      <x:c r="O301" s="38" t="str">
        <x:v>mech_grow_atk_each_round</x:v>
      </x:c>
      <x:c r="P301" s="38" t="str">
        <x:v>07 形状07</x:v>
      </x:c>
      <x:c r="Q301" s="38" t="str">
        <x:v>Shiny</x:v>
      </x:c>
      <x:c r="R301" s="38" t="str">
        <x:v>merchant_package confirmed；来源=古董商的包裹；攻击2格；仅保留来源商人/训练师关系。</x:v>
      </x:c>
      <x:c r="S301" s="38" t="n">
        <x:v>2</x:v>
      </x:c>
      <x:c r="T301" s="38" t="n">
        <x:v>2</x:v>
      </x:c>
      <x:c r="U301" s="15" t="str">
        <x:v>skill_vanguard,skill_flank,skill_pierce,skill_revolve,skill_chase,skill_break,skill_suppress,skill_finale</x:v>
      </x:c>
      <x:c r="V301" s="15" t="str">
        <x:v>trait_relentless</x:v>
      </x:c>
      <x:c r="W301" s="332" t="n">
        <x:f>XLOOKUP($D301&amp;"|"&amp;$E301&amp;"|"&amp;$F301,'PET_STAT_RULES'!$A$5:$A$88,'PET_STAT_RULES'!$E$5:$E$88)</x:f>
        <x:v>0</x:v>
      </x:c>
    </x:row>
    <x:row r="302">
      <x:c r="A302" s="38" t="str">
        <x:v>pal_301</x:v>
      </x:c>
      <x:c r="B302" s="38" t="str">
        <x:v>古董中兽</x:v>
      </x:c>
      <x:c r="C302" s="38" t="str">
        <x:v>无</x:v>
      </x:c>
      <x:c r="D302" s="265" t="str">
        <x:v>白银</x:v>
      </x:c>
      <x:c r="E302" s="38" t="str">
        <x:v>输出</x:v>
      </x:c>
      <x:c r="F302" s="38" t="str">
        <x:v>两格</x:v>
      </x:c>
      <x:c r="G302" s="38" t="str">
        <x:v>bz_van_301</x:v>
      </x:c>
      <x:c r="H302" s="38" t="str">
        <x:v>elem_冰, role_经济</x:v>
      </x:c>
      <x:c r="I302" s="38" t="n">
        <x:v>2</x:v>
      </x:c>
      <x:c r="J302" s="340" t="n">
        <x:f>XLOOKUP($D302&amp;"|"&amp;$E302&amp;"|"&amp;$F302,'PET_STAT_RULES'!$A$5:$A$88,'PET_STAT_RULES'!$C$5:$C$88)</x:f>
        <x:v>40</x:v>
      </x:c>
      <x:c r="K302" s="340" t="n">
        <x:f>XLOOKUP($D302&amp;"|"&amp;$E302&amp;"|"&amp;$F302,'PET_STAT_RULES'!$A$5:$A$88,'PET_STAT_RULES'!$D$5:$D$88)</x:f>
        <x:v>20</x:v>
      </x:c>
      <x:c r="L302" s="340" t="n">
        <x:f>XLOOKUP($D302&amp;"|"&amp;$E302&amp;"|"&amp;$F302,'PET_STAT_RULES'!$A$5:$A$88,'PET_STAT_RULES'!$F$5:$F$88)</x:f>
        <x:v>0</x:v>
      </x:c>
      <x:c r="M302" s="340" t="n">
        <x:f>XLOOKUP($D302&amp;"|"&amp;$E302&amp;"|"&amp;$F302,'PET_STAT_RULES'!$A$5:$A$88,'PET_STAT_RULES'!$G$5:$G$88)</x:f>
        <x:v>3</x:v>
      </x:c>
      <x:c r="N302" s="38" t="n">
        <x:v>2</x:v>
      </x:c>
      <x:c r="O302" s="38" t="str">
        <x:v>mech_grow_atk_each_round</x:v>
      </x:c>
      <x:c r="P302" s="38" t="str">
        <x:v>07 形状07</x:v>
      </x:c>
      <x:c r="Q302" s="38" t="str">
        <x:v>Shiny</x:v>
      </x:c>
      <x:c r="R302" s="38" t="str">
        <x:v>merchant_package confirmed；来源=古董商的包裹；攻击2格；仅保留来源商人/训练师关系。</x:v>
      </x:c>
      <x:c r="S302" s="38" t="n">
        <x:v>3</x:v>
      </x:c>
      <x:c r="T302" s="38" t="n">
        <x:v>2</x:v>
      </x:c>
      <x:c r="U302" s="15" t="str">
        <x:v>skill_vanguard,skill_flank,skill_pierce,skill_revolve,skill_chase,skill_break,skill_suppress,skill_finale</x:v>
      </x:c>
      <x:c r="V302" s="15" t="str">
        <x:v>trait_relentless</x:v>
      </x:c>
      <x:c r="W302" s="332" t="n">
        <x:f>XLOOKUP($D302&amp;"|"&amp;$E302&amp;"|"&amp;$F302,'PET_STAT_RULES'!$A$5:$A$88,'PET_STAT_RULES'!$E$5:$E$88)</x:f>
        <x:v>0</x:v>
      </x:c>
    </x:row>
    <x:row r="303">
      <x:c r="A303" s="38" t="str">
        <x:v>pal_302</x:v>
      </x:c>
      <x:c r="B303" s="38" t="str">
        <x:v>古董小兽</x:v>
      </x:c>
      <x:c r="C303" s="38" t="str">
        <x:v>龙</x:v>
      </x:c>
      <x:c r="D303" s="265" t="str">
        <x:v>白银</x:v>
      </x:c>
      <x:c r="E303" s="38" t="str">
        <x:v>输出</x:v>
      </x:c>
      <x:c r="F303" s="38" t="str">
        <x:v>一格</x:v>
      </x:c>
      <x:c r="G303" s="38" t="str">
        <x:v>bz_van_302</x:v>
      </x:c>
      <x:c r="H303" s="38" t="str">
        <x:v>elem_冰, role_经济</x:v>
      </x:c>
      <x:c r="I303" s="38" t="n">
        <x:v>2</x:v>
      </x:c>
      <x:c r="J303" s="340" t="n">
        <x:f>XLOOKUP($D303&amp;"|"&amp;$E303&amp;"|"&amp;$F303,'PET_STAT_RULES'!$A$5:$A$88,'PET_STAT_RULES'!$C$5:$C$88)</x:f>
        <x:v>34</x:v>
      </x:c>
      <x:c r="K303" s="340" t="n">
        <x:f>XLOOKUP($D303&amp;"|"&amp;$E303&amp;"|"&amp;$F303,'PET_STAT_RULES'!$A$5:$A$88,'PET_STAT_RULES'!$D$5:$D$88)</x:f>
        <x:v>22</x:v>
      </x:c>
      <x:c r="L303" s="340" t="n">
        <x:f>XLOOKUP($D303&amp;"|"&amp;$E303&amp;"|"&amp;$F303,'PET_STAT_RULES'!$A$5:$A$88,'PET_STAT_RULES'!$F$5:$F$88)</x:f>
        <x:v>0</x:v>
      </x:c>
      <x:c r="M303" s="340" t="n">
        <x:f>XLOOKUP($D303&amp;"|"&amp;$E303&amp;"|"&amp;$F303,'PET_STAT_RULES'!$A$5:$A$88,'PET_STAT_RULES'!$G$5:$G$88)</x:f>
        <x:v>3</x:v>
      </x:c>
      <x:c r="N303" s="38" t="n">
        <x:v>3</x:v>
      </x:c>
      <x:c r="O303" s="38" t="str">
        <x:v>mech_grow_atk_each_round</x:v>
      </x:c>
      <x:c r="P303" s="38" t="str">
        <x:v>14 形状14</x:v>
      </x:c>
      <x:c r="Q303" s="38" t="str">
        <x:v>Heavy</x:v>
      </x:c>
      <x:c r="R303" s="38" t="str">
        <x:v>merchant_package confirmed；来源=古董商的包裹；攻击3格；仅保留来源商人/训练师关系。</x:v>
      </x:c>
      <x:c r="S303" s="38" t="n">
        <x:v>3</x:v>
      </x:c>
      <x:c r="T303" s="38" t="n">
        <x:v>2</x:v>
      </x:c>
      <x:c r="U303" s="15" t="str">
        <x:v>skill_vanguard,skill_flank,skill_pierce,skill_revolve,skill_chase,skill_break,skill_suppress,skill_finale</x:v>
      </x:c>
      <x:c r="V303" s="15" t="str">
        <x:v>trait_relentless</x:v>
      </x:c>
      <x:c r="W303" s="332" t="n">
        <x:f>XLOOKUP($D303&amp;"|"&amp;$E303&amp;"|"&amp;$F303,'PET_STAT_RULES'!$A$5:$A$88,'PET_STAT_RULES'!$E$5:$E$88)</x:f>
        <x:v>0</x:v>
      </x:c>
    </x:row>
    <x:row r="304">
      <x:c r="A304" s="38" t="str">
        <x:v>pal_303</x:v>
      </x:c>
      <x:c r="B304" s="38" t="str">
        <x:v>吉娜小兽</x:v>
      </x:c>
      <x:c r="C304" s="38" t="str">
        <x:v>水</x:v>
      </x:c>
      <x:c r="D304" s="259" t="str">
        <x:v>青铜</x:v>
      </x:c>
      <x:c r="E304" s="38" t="str">
        <x:v>输出</x:v>
      </x:c>
      <x:c r="F304" s="38" t="str">
        <x:v>一格</x:v>
      </x:c>
      <x:c r="G304" s="38" t="str">
        <x:v>bz_van_303</x:v>
      </x:c>
      <x:c r="H304" s="38" t="str">
        <x:v>elem_草, elem_冰</x:v>
      </x:c>
      <x:c r="I304" s="38" t="n">
        <x:v>2</x:v>
      </x:c>
      <x:c r="J304" s="340" t="n">
        <x:f>XLOOKUP($D304&amp;"|"&amp;$E304&amp;"|"&amp;$F304,'PET_STAT_RULES'!$A$5:$A$88,'PET_STAT_RULES'!$C$5:$C$88)</x:f>
        <x:v>22</x:v>
      </x:c>
      <x:c r="K304" s="340" t="n">
        <x:f>XLOOKUP($D304&amp;"|"&amp;$E304&amp;"|"&amp;$F304,'PET_STAT_RULES'!$A$5:$A$88,'PET_STAT_RULES'!$D$5:$D$88)</x:f>
        <x:v>14</x:v>
      </x:c>
      <x:c r="L304" s="340" t="n">
        <x:f>XLOOKUP($D304&amp;"|"&amp;$E304&amp;"|"&amp;$F304,'PET_STAT_RULES'!$A$5:$A$88,'PET_STAT_RULES'!$F$5:$F$88)</x:f>
        <x:v>0</x:v>
      </x:c>
      <x:c r="M304" s="340" t="n">
        <x:f>XLOOKUP($D304&amp;"|"&amp;$E304&amp;"|"&amp;$F304,'PET_STAT_RULES'!$A$5:$A$88,'PET_STAT_RULES'!$G$5:$G$88)</x:f>
        <x:v>3</x:v>
      </x:c>
      <x:c r="N304" s="38" t="n">
        <x:v>3</x:v>
      </x:c>
      <x:c r="O304" s="38" t="str">
        <x:v>mech_grow_atk_each_round</x:v>
      </x:c>
      <x:c r="P304" s="38" t="str">
        <x:v>13 形状13</x:v>
      </x:c>
      <x:c r="Q304" s="38" t="str">
        <x:v>Heavy</x:v>
      </x:c>
      <x:c r="R304" s="38" t="str">
        <x:v>merchant_package confirmed；来源=吉娜的包裹；攻击3格；仅保留来源商人/训练师关系。</x:v>
      </x:c>
      <x:c r="S304" s="38" t="n">
        <x:v>3</x:v>
      </x:c>
      <x:c r="T304" s="38" t="n">
        <x:v>1</x:v>
      </x:c>
      <x:c r="U304" s="15" t="str">
        <x:v>skill_vanguard,skill_flank,skill_pierce,skill_revolve,skill_chase,skill_break,skill_suppress,skill_finale</x:v>
      </x:c>
      <x:c r="V304" s="15" t="str">
        <x:v>trait_relentless</x:v>
      </x:c>
      <x:c r="W304" s="332" t="n">
        <x:f>XLOOKUP($D304&amp;"|"&amp;$E304&amp;"|"&amp;$F304,'PET_STAT_RULES'!$A$5:$A$88,'PET_STAT_RULES'!$E$5:$E$88)</x:f>
        <x:v>0</x:v>
      </x:c>
    </x:row>
    <x:row r="305">
      <x:c r="A305" s="38" t="str">
        <x:v>pal_304</x:v>
      </x:c>
      <x:c r="B305" s="38" t="str">
        <x:v>吉娜大兽</x:v>
      </x:c>
      <x:c r="C305" s="38" t="str">
        <x:v>无</x:v>
      </x:c>
      <x:c r="D305" s="265" t="str">
        <x:v>白银</x:v>
      </x:c>
      <x:c r="E305" s="38" t="str">
        <x:v>输出</x:v>
      </x:c>
      <x:c r="F305" s="38" t="str">
        <x:v>三格</x:v>
      </x:c>
      <x:c r="G305" s="38" t="str">
        <x:v>bz_van_304</x:v>
      </x:c>
      <x:c r="H305" s="38" t="str">
        <x:v>elem_冰, role_经济</x:v>
      </x:c>
      <x:c r="I305" s="38" t="n">
        <x:v>2</x:v>
      </x:c>
      <x:c r="J305" s="340" t="n">
        <x:f>XLOOKUP($D305&amp;"|"&amp;$E305&amp;"|"&amp;$F305,'PET_STAT_RULES'!$A$5:$A$88,'PET_STAT_RULES'!$C$5:$C$88)</x:f>
        <x:v>46</x:v>
      </x:c>
      <x:c r="K305" s="340" t="n">
        <x:f>XLOOKUP($D305&amp;"|"&amp;$E305&amp;"|"&amp;$F305,'PET_STAT_RULES'!$A$5:$A$88,'PET_STAT_RULES'!$D$5:$D$88)</x:f>
        <x:v>18</x:v>
      </x:c>
      <x:c r="L305" s="340" t="n">
        <x:f>XLOOKUP($D305&amp;"|"&amp;$E305&amp;"|"&amp;$F305,'PET_STAT_RULES'!$A$5:$A$88,'PET_STAT_RULES'!$F$5:$F$88)</x:f>
        <x:v>0</x:v>
      </x:c>
      <x:c r="M305" s="340" t="n">
        <x:f>XLOOKUP($D305&amp;"|"&amp;$E305&amp;"|"&amp;$F305,'PET_STAT_RULES'!$A$5:$A$88,'PET_STAT_RULES'!$G$5:$G$88)</x:f>
        <x:v>2</x:v>
      </x:c>
      <x:c r="N305" s="38" t="n">
        <x:v>2</x:v>
      </x:c>
      <x:c r="O305" s="38" t="str">
        <x:v>mech_grow_atk_each_round</x:v>
      </x:c>
      <x:c r="P305" s="38" t="str">
        <x:v>10 形状10</x:v>
      </x:c>
      <x:c r="Q305" s="38" t="str">
        <x:v>Heavy</x:v>
      </x:c>
      <x:c r="R305" s="38" t="str">
        <x:v>merchant_package confirmed；来源=吉娜的包裹；攻击2格；仅保留来源商人/训练师关系。</x:v>
      </x:c>
      <x:c r="S305" s="38" t="n">
        <x:v>2</x:v>
      </x:c>
      <x:c r="T305" s="38" t="n">
        <x:v>2</x:v>
      </x:c>
      <x:c r="U305" s="15" t="str">
        <x:v>skill_vanguard,skill_flank,skill_pierce,skill_revolve,skill_chase,skill_break,skill_suppress,skill_finale</x:v>
      </x:c>
      <x:c r="V305" s="15" t="str">
        <x:v>trait_relentless</x:v>
      </x:c>
      <x:c r="W305" s="332" t="n">
        <x:f>XLOOKUP($D305&amp;"|"&amp;$E305&amp;"|"&amp;$F305,'PET_STAT_RULES'!$A$5:$A$88,'PET_STAT_RULES'!$E$5:$E$88)</x:f>
        <x:v>0</x:v>
      </x:c>
    </x:row>
    <x:row r="306">
      <x:c r="A306" s="38" t="str">
        <x:v>pal_305</x:v>
      </x:c>
      <x:c r="B306" s="38" t="str">
        <x:v>吉娜中兽</x:v>
      </x:c>
      <x:c r="C306" s="38" t="str">
        <x:v>无</x:v>
      </x:c>
      <x:c r="D306" s="259" t="str">
        <x:v>青铜</x:v>
      </x:c>
      <x:c r="E306" s="38" t="str">
        <x:v>输出</x:v>
      </x:c>
      <x:c r="F306" s="38" t="str">
        <x:v>两格</x:v>
      </x:c>
      <x:c r="G306" s="38" t="str">
        <x:v>bz_van_305</x:v>
      </x:c>
      <x:c r="H306" s="38" t="str">
        <x:v>elem_草, elem_冰</x:v>
      </x:c>
      <x:c r="I306" s="38" t="n">
        <x:v>2</x:v>
      </x:c>
      <x:c r="J306" s="340" t="n">
        <x:f>XLOOKUP($D306&amp;"|"&amp;$E306&amp;"|"&amp;$F306,'PET_STAT_RULES'!$A$5:$A$88,'PET_STAT_RULES'!$C$5:$C$88)</x:f>
        <x:v>28</x:v>
      </x:c>
      <x:c r="K306" s="340" t="n">
        <x:f>XLOOKUP($D306&amp;"|"&amp;$E306&amp;"|"&amp;$F306,'PET_STAT_RULES'!$A$5:$A$88,'PET_STAT_RULES'!$D$5:$D$88)</x:f>
        <x:v>12</x:v>
      </x:c>
      <x:c r="L306" s="340" t="n">
        <x:f>XLOOKUP($D306&amp;"|"&amp;$E306&amp;"|"&amp;$F306,'PET_STAT_RULES'!$A$5:$A$88,'PET_STAT_RULES'!$F$5:$F$88)</x:f>
        <x:v>0</x:v>
      </x:c>
      <x:c r="M306" s="340" t="n">
        <x:f>XLOOKUP($D306&amp;"|"&amp;$E306&amp;"|"&amp;$F306,'PET_STAT_RULES'!$A$5:$A$88,'PET_STAT_RULES'!$G$5:$G$88)</x:f>
        <x:v>3</x:v>
      </x:c>
      <x:c r="N306" s="38" t="n">
        <x:v>1</x:v>
      </x:c>
      <x:c r="O306" s="38" t="str">
        <x:v>mech_grow_atk_each_round</x:v>
      </x:c>
      <x:c r="P306" s="38" t="str">
        <x:v>02 形状02</x:v>
      </x:c>
      <x:c r="Q306" s="38" t="str">
        <x:v>Heavy</x:v>
      </x:c>
      <x:c r="R306" s="38" t="str">
        <x:v>merchant_package confirmed；来源=吉娜的包裹；攻击1格；仅保留来源商人/训练师关系。</x:v>
      </x:c>
      <x:c r="S306" s="38" t="n">
        <x:v>3</x:v>
      </x:c>
      <x:c r="T306" s="38" t="n">
        <x:v>1</x:v>
      </x:c>
      <x:c r="U306" s="15" t="str">
        <x:v>skill_vanguard,skill_flank,skill_pierce,skill_revolve,skill_chase,skill_break,skill_suppress,skill_finale</x:v>
      </x:c>
      <x:c r="V306" s="15" t="str">
        <x:v>trait_relentless</x:v>
      </x:c>
      <x:c r="W306" s="332" t="n">
        <x:f>XLOOKUP($D306&amp;"|"&amp;$E306&amp;"|"&amp;$F306,'PET_STAT_RULES'!$A$5:$A$88,'PET_STAT_RULES'!$E$5:$E$88)</x:f>
        <x:v>0</x:v>
      </x:c>
    </x:row>
    <x:row r="307">
      <x:c r="A307" s="38" t="str">
        <x:v>pal_306</x:v>
      </x:c>
      <x:c r="B307" s="38" t="str">
        <x:v>塔季中兽</x:v>
      </x:c>
      <x:c r="C307" s="38" t="str">
        <x:v>龙</x:v>
      </x:c>
      <x:c r="D307" s="265" t="str">
        <x:v>白银</x:v>
      </x:c>
      <x:c r="E307" s="38" t="str">
        <x:v>输出</x:v>
      </x:c>
      <x:c r="F307" s="38" t="str">
        <x:v>两格</x:v>
      </x:c>
      <x:c r="G307" s="38" t="str">
        <x:v>bz_van_306</x:v>
      </x:c>
      <x:c r="H307" s="38" t="str">
        <x:v>role_经济, role_重甲抗压</x:v>
      </x:c>
      <x:c r="I307" s="38" t="n">
        <x:v>2</x:v>
      </x:c>
      <x:c r="J307" s="340" t="n">
        <x:f>XLOOKUP($D307&amp;"|"&amp;$E307&amp;"|"&amp;$F307,'PET_STAT_RULES'!$A$5:$A$88,'PET_STAT_RULES'!$C$5:$C$88)</x:f>
        <x:v>40</x:v>
      </x:c>
      <x:c r="K307" s="340" t="n">
        <x:f>XLOOKUP($D307&amp;"|"&amp;$E307&amp;"|"&amp;$F307,'PET_STAT_RULES'!$A$5:$A$88,'PET_STAT_RULES'!$D$5:$D$88)</x:f>
        <x:v>20</x:v>
      </x:c>
      <x:c r="L307" s="340" t="n">
        <x:f>XLOOKUP($D307&amp;"|"&amp;$E307&amp;"|"&amp;$F307,'PET_STAT_RULES'!$A$5:$A$88,'PET_STAT_RULES'!$F$5:$F$88)</x:f>
        <x:v>0</x:v>
      </x:c>
      <x:c r="M307" s="340" t="n">
        <x:f>XLOOKUP($D307&amp;"|"&amp;$E307&amp;"|"&amp;$F307,'PET_STAT_RULES'!$A$5:$A$88,'PET_STAT_RULES'!$G$5:$G$88)</x:f>
        <x:v>3</x:v>
      </x:c>
      <x:c r="N307" s="38" t="n">
        <x:v>2</x:v>
      </x:c>
      <x:c r="O307" s="38" t="str">
        <x:v>mech_grow_atk_each_round</x:v>
      </x:c>
      <x:c r="P307" s="38" t="str">
        <x:v>10 形状10</x:v>
      </x:c>
      <x:c r="Q307" s="38" t="str">
        <x:v>Heavy</x:v>
      </x:c>
      <x:c r="R307" s="38" t="str">
        <x:v>merchant_package confirmed；来源=塔季扬娜的包裹；攻击2格；仅保留来源商人/训练师关系。</x:v>
      </x:c>
      <x:c r="S307" s="38" t="n">
        <x:v>3</x:v>
      </x:c>
      <x:c r="T307" s="38" t="n">
        <x:v>2</x:v>
      </x:c>
      <x:c r="U307" s="15" t="str">
        <x:v>skill_vanguard,skill_flank,skill_pierce,skill_revolve,skill_chase,skill_break,skill_suppress,skill_finale</x:v>
      </x:c>
      <x:c r="V307" s="15" t="str">
        <x:v>trait_relentless</x:v>
      </x:c>
      <x:c r="W307" s="332" t="n">
        <x:f>XLOOKUP($D307&amp;"|"&amp;$E307&amp;"|"&amp;$F307,'PET_STAT_RULES'!$A$5:$A$88,'PET_STAT_RULES'!$E$5:$E$88)</x:f>
        <x:v>0</x:v>
      </x:c>
    </x:row>
    <x:row r="308">
      <x:c r="A308" s="38" t="str">
        <x:v>pal_307</x:v>
      </x:c>
      <x:c r="B308" s="38" t="str">
        <x:v>塔季大兽</x:v>
      </x:c>
      <x:c r="C308" s="38" t="str">
        <x:v>无</x:v>
      </x:c>
      <x:c r="D308" s="265" t="str">
        <x:v>白银</x:v>
      </x:c>
      <x:c r="E308" s="38" t="str">
        <x:v>经济</x:v>
      </x:c>
      <x:c r="F308" s="38" t="str">
        <x:v>三格</x:v>
      </x:c>
      <x:c r="G308" s="38" t="str">
        <x:v>bz_van_307</x:v>
      </x:c>
      <x:c r="H308" s="38" t="str">
        <x:v>role_经济, role_重甲抗压</x:v>
      </x:c>
      <x:c r="I308" s="38" t="n">
        <x:v>2</x:v>
      </x:c>
      <x:c r="J308" s="340" t="n">
        <x:f>XLOOKUP($D308&amp;"|"&amp;$E308&amp;"|"&amp;$F308,'PET_STAT_RULES'!$A$5:$A$88,'PET_STAT_RULES'!$C$5:$C$88)</x:f>
        <x:v>46</x:v>
      </x:c>
      <x:c r="K308" s="340" t="n">
        <x:f>XLOOKUP($D308&amp;"|"&amp;$E308&amp;"|"&amp;$F308,'PET_STAT_RULES'!$A$5:$A$88,'PET_STAT_RULES'!$D$5:$D$88)</x:f>
        <x:v>10</x:v>
      </x:c>
      <x:c r="L308" s="340" t="n">
        <x:f>XLOOKUP($D308&amp;"|"&amp;$E308&amp;"|"&amp;$F308,'PET_STAT_RULES'!$A$5:$A$88,'PET_STAT_RULES'!$F$5:$F$88)</x:f>
        <x:v>0</x:v>
      </x:c>
      <x:c r="M308" s="340" t="n">
        <x:f>XLOOKUP($D308&amp;"|"&amp;$E308&amp;"|"&amp;$F308,'PET_STAT_RULES'!$A$5:$A$88,'PET_STAT_RULES'!$G$5:$G$88)</x:f>
        <x:v>2</x:v>
      </x:c>
      <x:c r="N308" s="38" t="n">
        <x:v>2</x:v>
      </x:c>
      <x:c r="O308" s="38" t="str">
        <x:v>none</x:v>
      </x:c>
      <x:c r="P308" s="38" t="str">
        <x:v>08 形状08</x:v>
      </x:c>
      <x:c r="Q308" s="38" t="str">
        <x:v>Golden</x:v>
      </x:c>
      <x:c r="R308" s="38" t="str">
        <x:v>merchant_package confirmed；来源=塔季扬娜的包裹；攻击2格；仅保留来源商人/训练师关系。</x:v>
      </x:c>
      <x:c r="S308" s="38" t="n">
        <x:v>2</x:v>
      </x:c>
      <x:c r="T308" s="38" t="n">
        <x:v>2</x:v>
      </x:c>
      <x:c r="U308" s="15" t="str">
        <x:v>skill_vanguard,skill_flank,skill_pierce,skill_revolve,skill_chase,skill_break,skill_suppress,skill_finale</x:v>
      </x:c>
      <x:c r="V308" s="15" t="str">
        <x:v>trait_combo_resonance</x:v>
      </x:c>
      <x:c r="W308" s="332" t="n">
        <x:f>XLOOKUP($D308&amp;"|"&amp;$E308&amp;"|"&amp;$F308,'PET_STAT_RULES'!$A$5:$A$88,'PET_STAT_RULES'!$E$5:$E$88)</x:f>
        <x:v>0</x:v>
      </x:c>
    </x:row>
    <x:row r="309">
      <x:c r="A309" s="38" t="str">
        <x:v>pal_308</x:v>
      </x:c>
      <x:c r="B309" s="38" t="str">
        <x:v>塔季小兽</x:v>
      </x:c>
      <x:c r="C309" s="38" t="str">
        <x:v>水</x:v>
      </x:c>
      <x:c r="D309" s="265" t="str">
        <x:v>白银</x:v>
      </x:c>
      <x:c r="E309" s="38" t="str">
        <x:v>输出</x:v>
      </x:c>
      <x:c r="F309" s="38" t="str">
        <x:v>一格</x:v>
      </x:c>
      <x:c r="G309" s="38" t="str">
        <x:v>bz_van_308</x:v>
      </x:c>
      <x:c r="H309" s="38" t="str">
        <x:v>role_经济, role_重甲抗压</x:v>
      </x:c>
      <x:c r="I309" s="38" t="n">
        <x:v>2</x:v>
      </x:c>
      <x:c r="J309" s="340" t="n">
        <x:f>XLOOKUP($D309&amp;"|"&amp;$E309&amp;"|"&amp;$F309,'PET_STAT_RULES'!$A$5:$A$88,'PET_STAT_RULES'!$C$5:$C$88)</x:f>
        <x:v>34</x:v>
      </x:c>
      <x:c r="K309" s="340" t="n">
        <x:f>XLOOKUP($D309&amp;"|"&amp;$E309&amp;"|"&amp;$F309,'PET_STAT_RULES'!$A$5:$A$88,'PET_STAT_RULES'!$D$5:$D$88)</x:f>
        <x:v>22</x:v>
      </x:c>
      <x:c r="L309" s="340" t="n">
        <x:f>XLOOKUP($D309&amp;"|"&amp;$E309&amp;"|"&amp;$F309,'PET_STAT_RULES'!$A$5:$A$88,'PET_STAT_RULES'!$F$5:$F$88)</x:f>
        <x:v>0</x:v>
      </x:c>
      <x:c r="M309" s="340" t="n">
        <x:f>XLOOKUP($D309&amp;"|"&amp;$E309&amp;"|"&amp;$F309,'PET_STAT_RULES'!$A$5:$A$88,'PET_STAT_RULES'!$G$5:$G$88)</x:f>
        <x:v>3</x:v>
      </x:c>
      <x:c r="N309" s="38" t="n">
        <x:v>3</x:v>
      </x:c>
      <x:c r="O309" s="38" t="str">
        <x:v>mech_grow_atk_each_round</x:v>
      </x:c>
      <x:c r="P309" s="38" t="str">
        <x:v>13 形状13</x:v>
      </x:c>
      <x:c r="Q309" s="38" t="str">
        <x:v>Shiny</x:v>
      </x:c>
      <x:c r="R309" s="38" t="str">
        <x:v>merchant_package confirmed；来源=塔季扬娜的包裹；攻击3格；仅保留来源商人/训练师关系。</x:v>
      </x:c>
      <x:c r="S309" s="38" t="n">
        <x:v>3</x:v>
      </x:c>
      <x:c r="T309" s="38" t="n">
        <x:v>2</x:v>
      </x:c>
      <x:c r="U309" s="15" t="str">
        <x:v>skill_vanguard,skill_flank,skill_pierce,skill_revolve,skill_chase,skill_break,skill_suppress,skill_finale</x:v>
      </x:c>
      <x:c r="V309" s="15" t="str">
        <x:v>trait_relentless</x:v>
      </x:c>
      <x:c r="W309" s="332" t="n">
        <x:f>XLOOKUP($D309&amp;"|"&amp;$E309&amp;"|"&amp;$F309,'PET_STAT_RULES'!$A$5:$A$88,'PET_STAT_RULES'!$E$5:$E$88)</x:f>
        <x:v>0</x:v>
      </x:c>
    </x:row>
    <x:row r="310">
      <x:c r="A310" s="38" t="str">
        <x:v>pal_309</x:v>
      </x:c>
      <x:c r="B310" s="38" t="str">
        <x:v>奥利中兽</x:v>
      </x:c>
      <x:c r="C310" s="38" t="str">
        <x:v>无</x:v>
      </x:c>
      <x:c r="D310" s="259" t="str">
        <x:v>青铜</x:v>
      </x:c>
      <x:c r="E310" s="38" t="str">
        <x:v>输出</x:v>
      </x:c>
      <x:c r="F310" s="38" t="str">
        <x:v>两格</x:v>
      </x:c>
      <x:c r="G310" s="38" t="str">
        <x:v>bz_van_309</x:v>
      </x:c>
      <x:c r="H310" s="38" t="str">
        <x:v>elem_草, role_远点压制</x:v>
      </x:c>
      <x:c r="I310" s="38" t="n">
        <x:v>2</x:v>
      </x:c>
      <x:c r="J310" s="340" t="n">
        <x:f>XLOOKUP($D310&amp;"|"&amp;$E310&amp;"|"&amp;$F310,'PET_STAT_RULES'!$A$5:$A$88,'PET_STAT_RULES'!$C$5:$C$88)</x:f>
        <x:v>28</x:v>
      </x:c>
      <x:c r="K310" s="340" t="n">
        <x:f>XLOOKUP($D310&amp;"|"&amp;$E310&amp;"|"&amp;$F310,'PET_STAT_RULES'!$A$5:$A$88,'PET_STAT_RULES'!$D$5:$D$88)</x:f>
        <x:v>12</x:v>
      </x:c>
      <x:c r="L310" s="340" t="n">
        <x:f>XLOOKUP($D310&amp;"|"&amp;$E310&amp;"|"&amp;$F310,'PET_STAT_RULES'!$A$5:$A$88,'PET_STAT_RULES'!$F$5:$F$88)</x:f>
        <x:v>0</x:v>
      </x:c>
      <x:c r="M310" s="340" t="n">
        <x:f>XLOOKUP($D310&amp;"|"&amp;$E310&amp;"|"&amp;$F310,'PET_STAT_RULES'!$A$5:$A$88,'PET_STAT_RULES'!$G$5:$G$88)</x:f>
        <x:v>3</x:v>
      </x:c>
      <x:c r="N310" s="38" t="n">
        <x:v>1</x:v>
      </x:c>
      <x:c r="O310" s="38" t="str">
        <x:v>mech_grow_atk_each_round</x:v>
      </x:c>
      <x:c r="P310" s="38" t="str">
        <x:v>01 形状01</x:v>
      </x:c>
      <x:c r="Q310" s="38" t="str">
        <x:v>Shiny</x:v>
      </x:c>
      <x:c r="R310" s="38" t="str">
        <x:v>merchant_package confirmed；来源=奥利恩的包裹；攻击1格；仅保留来源商人/训练师关系。</x:v>
      </x:c>
      <x:c r="S310" s="38" t="n">
        <x:v>3</x:v>
      </x:c>
      <x:c r="T310" s="38" t="n">
        <x:v>1</x:v>
      </x:c>
      <x:c r="U310" s="15" t="str">
        <x:v>skill_vanguard,skill_flank,skill_pierce,skill_revolve,skill_chase,skill_break,skill_suppress,skill_finale</x:v>
      </x:c>
      <x:c r="V310" s="15" t="str">
        <x:v>trait_relentless</x:v>
      </x:c>
      <x:c r="W310" s="332" t="n">
        <x:f>XLOOKUP($D310&amp;"|"&amp;$E310&amp;"|"&amp;$F310,'PET_STAT_RULES'!$A$5:$A$88,'PET_STAT_RULES'!$E$5:$E$88)</x:f>
        <x:v>0</x:v>
      </x:c>
    </x:row>
    <x:row r="311">
      <x:c r="A311" s="38" t="str">
        <x:v>pal_310</x:v>
      </x:c>
      <x:c r="B311" s="38" t="str">
        <x:v>奥利小兽</x:v>
      </x:c>
      <x:c r="C311" s="38" t="str">
        <x:v>水</x:v>
      </x:c>
      <x:c r="D311" s="259" t="str">
        <x:v>青铜</x:v>
      </x:c>
      <x:c r="E311" s="38" t="str">
        <x:v>输出</x:v>
      </x:c>
      <x:c r="F311" s="38" t="str">
        <x:v>一格</x:v>
      </x:c>
      <x:c r="G311" s="38" t="str">
        <x:v>bz_van_310</x:v>
      </x:c>
      <x:c r="H311" s="38" t="str">
        <x:v>elem_草, role_远点压制</x:v>
      </x:c>
      <x:c r="I311" s="38" t="n">
        <x:v>2</x:v>
      </x:c>
      <x:c r="J311" s="340" t="n">
        <x:f>XLOOKUP($D311&amp;"|"&amp;$E311&amp;"|"&amp;$F311,'PET_STAT_RULES'!$A$5:$A$88,'PET_STAT_RULES'!$C$5:$C$88)</x:f>
        <x:v>22</x:v>
      </x:c>
      <x:c r="K311" s="340" t="n">
        <x:f>XLOOKUP($D311&amp;"|"&amp;$E311&amp;"|"&amp;$F311,'PET_STAT_RULES'!$A$5:$A$88,'PET_STAT_RULES'!$D$5:$D$88)</x:f>
        <x:v>14</x:v>
      </x:c>
      <x:c r="L311" s="340" t="n">
        <x:f>XLOOKUP($D311&amp;"|"&amp;$E311&amp;"|"&amp;$F311,'PET_STAT_RULES'!$A$5:$A$88,'PET_STAT_RULES'!$F$5:$F$88)</x:f>
        <x:v>0</x:v>
      </x:c>
      <x:c r="M311" s="340" t="n">
        <x:f>XLOOKUP($D311&amp;"|"&amp;$E311&amp;"|"&amp;$F311,'PET_STAT_RULES'!$A$5:$A$88,'PET_STAT_RULES'!$G$5:$G$88)</x:f>
        <x:v>3</x:v>
      </x:c>
      <x:c r="N311" s="38" t="n">
        <x:v>3</x:v>
      </x:c>
      <x:c r="O311" s="38" t="str">
        <x:v>mech_grow_atk_each_round</x:v>
      </x:c>
      <x:c r="P311" s="38" t="str">
        <x:v>15 形状15</x:v>
      </x:c>
      <x:c r="Q311" s="38" t="str">
        <x:v>Shiny</x:v>
      </x:c>
      <x:c r="R311" s="38" t="str">
        <x:v>merchant_package confirmed；来源=奥利恩的包裹；攻击3格；仅保留来源商人/训练师关系。</x:v>
      </x:c>
      <x:c r="S311" s="38" t="n">
        <x:v>3</x:v>
      </x:c>
      <x:c r="T311" s="38" t="n">
        <x:v>1</x:v>
      </x:c>
      <x:c r="U311" s="15" t="str">
        <x:v>skill_vanguard,skill_flank,skill_pierce,skill_revolve,skill_chase,skill_break,skill_suppress,skill_finale</x:v>
      </x:c>
      <x:c r="V311" s="15" t="str">
        <x:v>trait_relentless</x:v>
      </x:c>
      <x:c r="W311" s="332" t="n">
        <x:f>XLOOKUP($D311&amp;"|"&amp;$E311&amp;"|"&amp;$F311,'PET_STAT_RULES'!$A$5:$A$88,'PET_STAT_RULES'!$E$5:$E$88)</x:f>
        <x:v>0</x:v>
      </x:c>
    </x:row>
    <x:row r="312">
      <x:c r="A312" s="38" t="str">
        <x:v>pal_311</x:v>
      </x:c>
      <x:c r="B312" s="38" t="str">
        <x:v>安德大兽</x:v>
      </x:c>
      <x:c r="C312" s="38" t="str">
        <x:v>暗</x:v>
      </x:c>
      <x:c r="D312" s="265" t="str">
        <x:v>白银</x:v>
      </x:c>
      <x:c r="E312" s="38" t="str">
        <x:v>输出</x:v>
      </x:c>
      <x:c r="F312" s="38" t="str">
        <x:v>三格</x:v>
      </x:c>
      <x:c r="G312" s="38" t="str">
        <x:v>bz_van_311</x:v>
      </x:c>
      <x:c r="H312" s="38" t="str">
        <x:v>elem_火, role_经济</x:v>
      </x:c>
      <x:c r="I312" s="38" t="n">
        <x:v>2</x:v>
      </x:c>
      <x:c r="J312" s="340" t="n">
        <x:f>XLOOKUP($D312&amp;"|"&amp;$E312&amp;"|"&amp;$F312,'PET_STAT_RULES'!$A$5:$A$88,'PET_STAT_RULES'!$C$5:$C$88)</x:f>
        <x:v>46</x:v>
      </x:c>
      <x:c r="K312" s="340" t="n">
        <x:f>XLOOKUP($D312&amp;"|"&amp;$E312&amp;"|"&amp;$F312,'PET_STAT_RULES'!$A$5:$A$88,'PET_STAT_RULES'!$D$5:$D$88)</x:f>
        <x:v>18</x:v>
      </x:c>
      <x:c r="L312" s="340" t="n">
        <x:f>XLOOKUP($D312&amp;"|"&amp;$E312&amp;"|"&amp;$F312,'PET_STAT_RULES'!$A$5:$A$88,'PET_STAT_RULES'!$F$5:$F$88)</x:f>
        <x:v>0</x:v>
      </x:c>
      <x:c r="M312" s="340" t="n">
        <x:f>XLOOKUP($D312&amp;"|"&amp;$E312&amp;"|"&amp;$F312,'PET_STAT_RULES'!$A$5:$A$88,'PET_STAT_RULES'!$G$5:$G$88)</x:f>
        <x:v>2</x:v>
      </x:c>
      <x:c r="N312" s="38" t="n">
        <x:v>2</x:v>
      </x:c>
      <x:c r="O312" s="38" t="str">
        <x:v>mech_grow_atk_each_round</x:v>
      </x:c>
      <x:c r="P312" s="38" t="str">
        <x:v>12 形状12</x:v>
      </x:c>
      <x:c r="Q312" s="38" t="str">
        <x:v>Heavy</x:v>
      </x:c>
      <x:c r="R312" s="38" t="str">
        <x:v>merchant_package confirmed；来源=安德的包裹；攻击2格；仅保留来源商人/训练师关系。</x:v>
      </x:c>
      <x:c r="S312" s="38" t="n">
        <x:v>2</x:v>
      </x:c>
      <x:c r="T312" s="38" t="n">
        <x:v>2</x:v>
      </x:c>
      <x:c r="U312" s="15" t="str">
        <x:v>skill_vanguard,skill_flank,skill_pierce,skill_revolve,skill_chase,skill_break,skill_suppress,skill_finale</x:v>
      </x:c>
      <x:c r="V312" s="15" t="str">
        <x:v>trait_relentless</x:v>
      </x:c>
      <x:c r="W312" s="332" t="n">
        <x:f>XLOOKUP($D312&amp;"|"&amp;$E312&amp;"|"&amp;$F312,'PET_STAT_RULES'!$A$5:$A$88,'PET_STAT_RULES'!$E$5:$E$88)</x:f>
        <x:v>0</x:v>
      </x:c>
    </x:row>
    <x:row r="313">
      <x:c r="A313" s="38" t="str">
        <x:v>pal_312</x:v>
      </x:c>
      <x:c r="B313" s="38" t="str">
        <x:v>安德小兽</x:v>
      </x:c>
      <x:c r="C313" s="38" t="str">
        <x:v>草</x:v>
      </x:c>
      <x:c r="D313" s="259" t="str">
        <x:v>青铜</x:v>
      </x:c>
      <x:c r="E313" s="38" t="str">
        <x:v>输出</x:v>
      </x:c>
      <x:c r="F313" s="38" t="str">
        <x:v>一格</x:v>
      </x:c>
      <x:c r="G313" s="38" t="str">
        <x:v>bz_van_312</x:v>
      </x:c>
      <x:c r="H313" s="38" t="str">
        <x:v>elem_火, elem_草</x:v>
      </x:c>
      <x:c r="I313" s="38" t="n">
        <x:v>2</x:v>
      </x:c>
      <x:c r="J313" s="340" t="n">
        <x:f>XLOOKUP($D313&amp;"|"&amp;$E313&amp;"|"&amp;$F313,'PET_STAT_RULES'!$A$5:$A$88,'PET_STAT_RULES'!$C$5:$C$88)</x:f>
        <x:v>22</x:v>
      </x:c>
      <x:c r="K313" s="340" t="n">
        <x:f>XLOOKUP($D313&amp;"|"&amp;$E313&amp;"|"&amp;$F313,'PET_STAT_RULES'!$A$5:$A$88,'PET_STAT_RULES'!$D$5:$D$88)</x:f>
        <x:v>14</x:v>
      </x:c>
      <x:c r="L313" s="340" t="n">
        <x:f>XLOOKUP($D313&amp;"|"&amp;$E313&amp;"|"&amp;$F313,'PET_STAT_RULES'!$A$5:$A$88,'PET_STAT_RULES'!$F$5:$F$88)</x:f>
        <x:v>0</x:v>
      </x:c>
      <x:c r="M313" s="340" t="n">
        <x:f>XLOOKUP($D313&amp;"|"&amp;$E313&amp;"|"&amp;$F313,'PET_STAT_RULES'!$A$5:$A$88,'PET_STAT_RULES'!$G$5:$G$88)</x:f>
        <x:v>3</x:v>
      </x:c>
      <x:c r="N313" s="38" t="n">
        <x:v>3</x:v>
      </x:c>
      <x:c r="O313" s="38" t="str">
        <x:v>mech_grow_atk_each_round</x:v>
      </x:c>
      <x:c r="P313" s="38" t="str">
        <x:v>15 形状15</x:v>
      </x:c>
      <x:c r="Q313" s="38" t="str">
        <x:v>Shiny</x:v>
      </x:c>
      <x:c r="R313" s="38" t="str">
        <x:v>merchant_package confirmed；来源=安德的包裹；攻击3格；仅保留来源商人/训练师关系。</x:v>
      </x:c>
      <x:c r="S313" s="38" t="n">
        <x:v>3</x:v>
      </x:c>
      <x:c r="T313" s="38" t="n">
        <x:v>1</x:v>
      </x:c>
      <x:c r="U313" s="15" t="str">
        <x:v>skill_vanguard,skill_flank,skill_pierce,skill_revolve,skill_chase,skill_break,skill_suppress,skill_finale</x:v>
      </x:c>
      <x:c r="V313" s="15" t="str">
        <x:v>trait_relentless</x:v>
      </x:c>
      <x:c r="W313" s="332" t="n">
        <x:f>XLOOKUP($D313&amp;"|"&amp;$E313&amp;"|"&amp;$F313,'PET_STAT_RULES'!$A$5:$A$88,'PET_STAT_RULES'!$E$5:$E$88)</x:f>
        <x:v>0</x:v>
      </x:c>
    </x:row>
    <x:row r="314">
      <x:c r="A314" s="38" t="str">
        <x:v>pal_313</x:v>
      </x:c>
      <x:c r="B314" s="38" t="str">
        <x:v>安德中兽</x:v>
      </x:c>
      <x:c r="C314" s="38" t="str">
        <x:v>龙</x:v>
      </x:c>
      <x:c r="D314" s="259" t="str">
        <x:v>青铜</x:v>
      </x:c>
      <x:c r="E314" s="38" t="str">
        <x:v>输出</x:v>
      </x:c>
      <x:c r="F314" s="38" t="str">
        <x:v>两格</x:v>
      </x:c>
      <x:c r="G314" s="38" t="str">
        <x:v>bz_van_313</x:v>
      </x:c>
      <x:c r="H314" s="38" t="str">
        <x:v>elem_火, elem_草</x:v>
      </x:c>
      <x:c r="I314" s="38" t="n">
        <x:v>2</x:v>
      </x:c>
      <x:c r="J314" s="340" t="n">
        <x:f>XLOOKUP($D314&amp;"|"&amp;$E314&amp;"|"&amp;$F314,'PET_STAT_RULES'!$A$5:$A$88,'PET_STAT_RULES'!$C$5:$C$88)</x:f>
        <x:v>28</x:v>
      </x:c>
      <x:c r="K314" s="340" t="n">
        <x:f>XLOOKUP($D314&amp;"|"&amp;$E314&amp;"|"&amp;$F314,'PET_STAT_RULES'!$A$5:$A$88,'PET_STAT_RULES'!$D$5:$D$88)</x:f>
        <x:v>12</x:v>
      </x:c>
      <x:c r="L314" s="340" t="n">
        <x:f>XLOOKUP($D314&amp;"|"&amp;$E314&amp;"|"&amp;$F314,'PET_STAT_RULES'!$A$5:$A$88,'PET_STAT_RULES'!$F$5:$F$88)</x:f>
        <x:v>0</x:v>
      </x:c>
      <x:c r="M314" s="340" t="n">
        <x:f>XLOOKUP($D314&amp;"|"&amp;$E314&amp;"|"&amp;$F314,'PET_STAT_RULES'!$A$5:$A$88,'PET_STAT_RULES'!$G$5:$G$88)</x:f>
        <x:v>3</x:v>
      </x:c>
      <x:c r="N314" s="38" t="n">
        <x:v>1</x:v>
      </x:c>
      <x:c r="O314" s="38" t="str">
        <x:v>mech_grow_atk_each_round</x:v>
      </x:c>
      <x:c r="P314" s="38" t="str">
        <x:v>02 形状02</x:v>
      </x:c>
      <x:c r="Q314" s="38" t="str">
        <x:v>Heavy</x:v>
      </x:c>
      <x:c r="R314" s="38" t="str">
        <x:v>merchant_package confirmed；来源=安德的包裹；攻击1格；仅保留来源商人/训练师关系。</x:v>
      </x:c>
      <x:c r="S314" s="38" t="n">
        <x:v>3</x:v>
      </x:c>
      <x:c r="T314" s="38" t="n">
        <x:v>1</x:v>
      </x:c>
      <x:c r="U314" s="15" t="str">
        <x:v>skill_vanguard,skill_flank,skill_pierce,skill_revolve,skill_chase,skill_break,skill_suppress,skill_finale</x:v>
      </x:c>
      <x:c r="V314" s="15" t="str">
        <x:v>trait_relentless</x:v>
      </x:c>
      <x:c r="W314" s="332" t="n">
        <x:f>XLOOKUP($D314&amp;"|"&amp;$E314&amp;"|"&amp;$F314,'PET_STAT_RULES'!$A$5:$A$88,'PET_STAT_RULES'!$E$5:$E$88)</x:f>
        <x:v>0</x:v>
      </x:c>
    </x:row>
    <x:row r="315">
      <x:c r="A315" s="38" t="str">
        <x:v>pal_314</x:v>
      </x:c>
      <x:c r="B315" s="38" t="str">
        <x:v>寇特大兽</x:v>
      </x:c>
      <x:c r="C315" s="38" t="str">
        <x:v>龙</x:v>
      </x:c>
      <x:c r="D315" s="265" t="str">
        <x:v>白银</x:v>
      </x:c>
      <x:c r="E315" s="38" t="str">
        <x:v>输出</x:v>
      </x:c>
      <x:c r="F315" s="38" t="str">
        <x:v>三格</x:v>
      </x:c>
      <x:c r="G315" s="38" t="str">
        <x:v>bz_van_314</x:v>
      </x:c>
      <x:c r="H315" s="38" t="str">
        <x:v>role_经济, role_机动</x:v>
      </x:c>
      <x:c r="I315" s="38" t="n">
        <x:v>2</x:v>
      </x:c>
      <x:c r="J315" s="340" t="n">
        <x:f>XLOOKUP($D315&amp;"|"&amp;$E315&amp;"|"&amp;$F315,'PET_STAT_RULES'!$A$5:$A$88,'PET_STAT_RULES'!$C$5:$C$88)</x:f>
        <x:v>46</x:v>
      </x:c>
      <x:c r="K315" s="340" t="n">
        <x:f>XLOOKUP($D315&amp;"|"&amp;$E315&amp;"|"&amp;$F315,'PET_STAT_RULES'!$A$5:$A$88,'PET_STAT_RULES'!$D$5:$D$88)</x:f>
        <x:v>18</x:v>
      </x:c>
      <x:c r="L315" s="340" t="n">
        <x:f>XLOOKUP($D315&amp;"|"&amp;$E315&amp;"|"&amp;$F315,'PET_STAT_RULES'!$A$5:$A$88,'PET_STAT_RULES'!$F$5:$F$88)</x:f>
        <x:v>0</x:v>
      </x:c>
      <x:c r="M315" s="340" t="n">
        <x:f>XLOOKUP($D315&amp;"|"&amp;$E315&amp;"|"&amp;$F315,'PET_STAT_RULES'!$A$5:$A$88,'PET_STAT_RULES'!$G$5:$G$88)</x:f>
        <x:v>2</x:v>
      </x:c>
      <x:c r="N315" s="38" t="n">
        <x:v>2</x:v>
      </x:c>
      <x:c r="O315" s="38" t="str">
        <x:v>mech_grow_atk_each_round</x:v>
      </x:c>
      <x:c r="P315" s="38" t="str">
        <x:v>05 形状05</x:v>
      </x:c>
      <x:c r="Q315" s="38" t="str">
        <x:v>Shiny</x:v>
      </x:c>
      <x:c r="R315" s="38" t="str">
        <x:v>merchant_package confirmed；来源=寇特的包裹；攻击2格；仅保留来源商人/训练师关系。</x:v>
      </x:c>
      <x:c r="S315" s="38" t="n">
        <x:v>2</x:v>
      </x:c>
      <x:c r="T315" s="38" t="n">
        <x:v>2</x:v>
      </x:c>
      <x:c r="U315" s="15" t="str">
        <x:v>skill_vanguard,skill_flank,skill_pierce,skill_revolve,skill_chase,skill_break,skill_suppress,skill_finale</x:v>
      </x:c>
      <x:c r="V315" s="15" t="str">
        <x:v>trait_relentless</x:v>
      </x:c>
      <x:c r="W315" s="332" t="n">
        <x:f>XLOOKUP($D315&amp;"|"&amp;$E315&amp;"|"&amp;$F315,'PET_STAT_RULES'!$A$5:$A$88,'PET_STAT_RULES'!$E$5:$E$88)</x:f>
        <x:v>0</x:v>
      </x:c>
    </x:row>
    <x:row r="316">
      <x:c r="A316" s="38" t="str">
        <x:v>pal_315</x:v>
      </x:c>
      <x:c r="B316" s="38" t="str">
        <x:v>寇特小兽</x:v>
      </x:c>
      <x:c r="C316" s="38" t="str">
        <x:v>暗</x:v>
      </x:c>
      <x:c r="D316" s="259" t="str">
        <x:v>青铜</x:v>
      </x:c>
      <x:c r="E316" s="38" t="str">
        <x:v>输出</x:v>
      </x:c>
      <x:c r="F316" s="38" t="str">
        <x:v>一格</x:v>
      </x:c>
      <x:c r="G316" s="38" t="str">
        <x:v>bz_van_315</x:v>
      </x:c>
      <x:c r="H316" s="38" t="str">
        <x:v>elem_草, role_机动</x:v>
      </x:c>
      <x:c r="I316" s="38" t="n">
        <x:v>2</x:v>
      </x:c>
      <x:c r="J316" s="340" t="n">
        <x:f>XLOOKUP($D316&amp;"|"&amp;$E316&amp;"|"&amp;$F316,'PET_STAT_RULES'!$A$5:$A$88,'PET_STAT_RULES'!$C$5:$C$88)</x:f>
        <x:v>22</x:v>
      </x:c>
      <x:c r="K316" s="340" t="n">
        <x:f>XLOOKUP($D316&amp;"|"&amp;$E316&amp;"|"&amp;$F316,'PET_STAT_RULES'!$A$5:$A$88,'PET_STAT_RULES'!$D$5:$D$88)</x:f>
        <x:v>14</x:v>
      </x:c>
      <x:c r="L316" s="340" t="n">
        <x:f>XLOOKUP($D316&amp;"|"&amp;$E316&amp;"|"&amp;$F316,'PET_STAT_RULES'!$A$5:$A$88,'PET_STAT_RULES'!$F$5:$F$88)</x:f>
        <x:v>0</x:v>
      </x:c>
      <x:c r="M316" s="340" t="n">
        <x:f>XLOOKUP($D316&amp;"|"&amp;$E316&amp;"|"&amp;$F316,'PET_STAT_RULES'!$A$5:$A$88,'PET_STAT_RULES'!$G$5:$G$88)</x:f>
        <x:v>3</x:v>
      </x:c>
      <x:c r="N316" s="38" t="n">
        <x:v>3</x:v>
      </x:c>
      <x:c r="O316" s="38" t="str">
        <x:v>mech_grow_atk_each_round</x:v>
      </x:c>
      <x:c r="P316" s="38" t="str">
        <x:v>15 形状15</x:v>
      </x:c>
      <x:c r="Q316" s="38" t="str">
        <x:v>Heavy</x:v>
      </x:c>
      <x:c r="R316" s="38" t="str">
        <x:v>merchant_package confirmed；来源=寇特的包裹；攻击3格；仅保留来源商人/训练师关系。</x:v>
      </x:c>
      <x:c r="S316" s="38" t="n">
        <x:v>3</x:v>
      </x:c>
      <x:c r="T316" s="38" t="n">
        <x:v>1</x:v>
      </x:c>
      <x:c r="U316" s="15" t="str">
        <x:v>skill_vanguard,skill_flank,skill_pierce,skill_revolve,skill_chase,skill_break,skill_suppress,skill_finale</x:v>
      </x:c>
      <x:c r="V316" s="15" t="str">
        <x:v>trait_relentless</x:v>
      </x:c>
      <x:c r="W316" s="332" t="n">
        <x:f>XLOOKUP($D316&amp;"|"&amp;$E316&amp;"|"&amp;$F316,'PET_STAT_RULES'!$A$5:$A$88,'PET_STAT_RULES'!$E$5:$E$88)</x:f>
        <x:v>0</x:v>
      </x:c>
    </x:row>
    <x:row r="317">
      <x:c r="A317" s="38" t="str">
        <x:v>pal_316</x:v>
      </x:c>
      <x:c r="B317" s="38" t="str">
        <x:v>寇特中兽</x:v>
      </x:c>
      <x:c r="C317" s="38" t="str">
        <x:v>火</x:v>
      </x:c>
      <x:c r="D317" s="259" t="str">
        <x:v>青铜</x:v>
      </x:c>
      <x:c r="E317" s="38" t="str">
        <x:v>输出</x:v>
      </x:c>
      <x:c r="F317" s="38" t="str">
        <x:v>两格</x:v>
      </x:c>
      <x:c r="G317" s="38" t="str">
        <x:v>bz_van_316</x:v>
      </x:c>
      <x:c r="H317" s="38" t="str">
        <x:v>elem_草, role_机动</x:v>
      </x:c>
      <x:c r="I317" s="38" t="n">
        <x:v>2</x:v>
      </x:c>
      <x:c r="J317" s="340" t="n">
        <x:f>XLOOKUP($D317&amp;"|"&amp;$E317&amp;"|"&amp;$F317,'PET_STAT_RULES'!$A$5:$A$88,'PET_STAT_RULES'!$C$5:$C$88)</x:f>
        <x:v>28</x:v>
      </x:c>
      <x:c r="K317" s="340" t="n">
        <x:f>XLOOKUP($D317&amp;"|"&amp;$E317&amp;"|"&amp;$F317,'PET_STAT_RULES'!$A$5:$A$88,'PET_STAT_RULES'!$D$5:$D$88)</x:f>
        <x:v>12</x:v>
      </x:c>
      <x:c r="L317" s="340" t="n">
        <x:f>XLOOKUP($D317&amp;"|"&amp;$E317&amp;"|"&amp;$F317,'PET_STAT_RULES'!$A$5:$A$88,'PET_STAT_RULES'!$F$5:$F$88)</x:f>
        <x:v>0</x:v>
      </x:c>
      <x:c r="M317" s="340" t="n">
        <x:f>XLOOKUP($D317&amp;"|"&amp;$E317&amp;"|"&amp;$F317,'PET_STAT_RULES'!$A$5:$A$88,'PET_STAT_RULES'!$G$5:$G$88)</x:f>
        <x:v>3</x:v>
      </x:c>
      <x:c r="N317" s="38" t="n">
        <x:v>1</x:v>
      </x:c>
      <x:c r="O317" s="38" t="str">
        <x:v>mech_grow_atk_each_round</x:v>
      </x:c>
      <x:c r="P317" s="38" t="str">
        <x:v>03 形状03</x:v>
      </x:c>
      <x:c r="Q317" s="38" t="str">
        <x:v>Shiny</x:v>
      </x:c>
      <x:c r="R317" s="38" t="str">
        <x:v>merchant_package confirmed；来源=寇特的包裹；攻击1格；仅保留来源商人/训练师关系。</x:v>
      </x:c>
      <x:c r="S317" s="38" t="n">
        <x:v>3</x:v>
      </x:c>
      <x:c r="T317" s="38" t="n">
        <x:v>1</x:v>
      </x:c>
      <x:c r="U317" s="15" t="str">
        <x:v>skill_vanguard,skill_flank,skill_pierce,skill_revolve,skill_chase,skill_break,skill_suppress,skill_finale</x:v>
      </x:c>
      <x:c r="V317" s="15" t="str">
        <x:v>trait_relentless</x:v>
      </x:c>
      <x:c r="W317" s="332" t="n">
        <x:f>XLOOKUP($D317&amp;"|"&amp;$E317&amp;"|"&amp;$F317,'PET_STAT_RULES'!$A$5:$A$88,'PET_STAT_RULES'!$E$5:$E$88)</x:f>
        <x:v>0</x:v>
      </x:c>
    </x:row>
    <x:row r="318">
      <x:c r="A318" s="38" t="str">
        <x:v>pal_317</x:v>
      </x:c>
      <x:c r="B318" s="38" t="str">
        <x:v>库里中兽</x:v>
      </x:c>
      <x:c r="C318" s="38" t="str">
        <x:v>龙</x:v>
      </x:c>
      <x:c r="D318" s="259" t="str">
        <x:v>青铜</x:v>
      </x:c>
      <x:c r="E318" s="38" t="str">
        <x:v>输出</x:v>
      </x:c>
      <x:c r="F318" s="38" t="str">
        <x:v>两格</x:v>
      </x:c>
      <x:c r="G318" s="38" t="str">
        <x:v>bz_van_317</x:v>
      </x:c>
      <x:c r="H318" s="38" t="str">
        <x:v>elem_草</x:v>
      </x:c>
      <x:c r="I318" s="38" t="n">
        <x:v>1</x:v>
      </x:c>
      <x:c r="J318" s="340" t="n">
        <x:f>XLOOKUP($D318&amp;"|"&amp;$E318&amp;"|"&amp;$F318,'PET_STAT_RULES'!$A$5:$A$88,'PET_STAT_RULES'!$C$5:$C$88)</x:f>
        <x:v>28</x:v>
      </x:c>
      <x:c r="K318" s="340" t="n">
        <x:f>XLOOKUP($D318&amp;"|"&amp;$E318&amp;"|"&amp;$F318,'PET_STAT_RULES'!$A$5:$A$88,'PET_STAT_RULES'!$D$5:$D$88)</x:f>
        <x:v>12</x:v>
      </x:c>
      <x:c r="L318" s="340" t="n">
        <x:f>XLOOKUP($D318&amp;"|"&amp;$E318&amp;"|"&amp;$F318,'PET_STAT_RULES'!$A$5:$A$88,'PET_STAT_RULES'!$F$5:$F$88)</x:f>
        <x:v>0</x:v>
      </x:c>
      <x:c r="M318" s="340" t="n">
        <x:f>XLOOKUP($D318&amp;"|"&amp;$E318&amp;"|"&amp;$F318,'PET_STAT_RULES'!$A$5:$A$88,'PET_STAT_RULES'!$G$5:$G$88)</x:f>
        <x:v>3</x:v>
      </x:c>
      <x:c r="N318" s="38" t="n">
        <x:v>1</x:v>
      </x:c>
      <x:c r="O318" s="38" t="str">
        <x:v>mech_grow_atk_each_round</x:v>
      </x:c>
      <x:c r="P318" s="38" t="str">
        <x:v>01 形状01</x:v>
      </x:c>
      <x:c r="Q318" s="38" t="str">
        <x:v>Shiny</x:v>
      </x:c>
      <x:c r="R318" s="38" t="str">
        <x:v>merchant_package confirmed；来源=库里欧的包裹；攻击1格；仅保留来源商人/训练师关系。</x:v>
      </x:c>
      <x:c r="S318" s="38" t="n">
        <x:v>3</x:v>
      </x:c>
      <x:c r="T318" s="38" t="n">
        <x:v>1</x:v>
      </x:c>
      <x:c r="U318" s="15" t="str">
        <x:v>skill_vanguard,skill_flank,skill_pierce,skill_revolve,skill_chase,skill_break,skill_suppress,skill_finale</x:v>
      </x:c>
      <x:c r="V318" s="15" t="str">
        <x:v>trait_relentless</x:v>
      </x:c>
      <x:c r="W318" s="332" t="n">
        <x:f>XLOOKUP($D318&amp;"|"&amp;$E318&amp;"|"&amp;$F318,'PET_STAT_RULES'!$A$5:$A$88,'PET_STAT_RULES'!$E$5:$E$88)</x:f>
        <x:v>0</x:v>
      </x:c>
    </x:row>
    <x:row r="319">
      <x:c r="A319" s="38" t="str">
        <x:v>pal_318</x:v>
      </x:c>
      <x:c r="B319" s="38" t="str">
        <x:v>库里小兽</x:v>
      </x:c>
      <x:c r="C319" s="38" t="str">
        <x:v>无</x:v>
      </x:c>
      <x:c r="D319" s="259" t="str">
        <x:v>青铜</x:v>
      </x:c>
      <x:c r="E319" s="38" t="str">
        <x:v>输出</x:v>
      </x:c>
      <x:c r="F319" s="38" t="str">
        <x:v>一格</x:v>
      </x:c>
      <x:c r="G319" s="38" t="str">
        <x:v>bz_van_318</x:v>
      </x:c>
      <x:c r="H319" s="38" t="str">
        <x:v>elem_草</x:v>
      </x:c>
      <x:c r="I319" s="38" t="n">
        <x:v>1</x:v>
      </x:c>
      <x:c r="J319" s="340" t="n">
        <x:f>XLOOKUP($D319&amp;"|"&amp;$E319&amp;"|"&amp;$F319,'PET_STAT_RULES'!$A$5:$A$88,'PET_STAT_RULES'!$C$5:$C$88)</x:f>
        <x:v>22</x:v>
      </x:c>
      <x:c r="K319" s="340" t="n">
        <x:f>XLOOKUP($D319&amp;"|"&amp;$E319&amp;"|"&amp;$F319,'PET_STAT_RULES'!$A$5:$A$88,'PET_STAT_RULES'!$D$5:$D$88)</x:f>
        <x:v>14</x:v>
      </x:c>
      <x:c r="L319" s="340" t="n">
        <x:f>XLOOKUP($D319&amp;"|"&amp;$E319&amp;"|"&amp;$F319,'PET_STAT_RULES'!$A$5:$A$88,'PET_STAT_RULES'!$F$5:$F$88)</x:f>
        <x:v>0</x:v>
      </x:c>
      <x:c r="M319" s="340" t="n">
        <x:f>XLOOKUP($D319&amp;"|"&amp;$E319&amp;"|"&amp;$F319,'PET_STAT_RULES'!$A$5:$A$88,'PET_STAT_RULES'!$G$5:$G$88)</x:f>
        <x:v>3</x:v>
      </x:c>
      <x:c r="N319" s="38" t="n">
        <x:v>3</x:v>
      </x:c>
      <x:c r="O319" s="38" t="str">
        <x:v>mech_grow_atk_each_round</x:v>
      </x:c>
      <x:c r="P319" s="38" t="str">
        <x:v>18 形状18</x:v>
      </x:c>
      <x:c r="Q319" s="38" t="str">
        <x:v>Heavy</x:v>
      </x:c>
      <x:c r="R319" s="38" t="str">
        <x:v>merchant_package confirmed；来源=库里欧的包裹；攻击3格；仅保留来源商人/训练师关系。</x:v>
      </x:c>
      <x:c r="S319" s="38" t="n">
        <x:v>3</x:v>
      </x:c>
      <x:c r="T319" s="38" t="n">
        <x:v>1</x:v>
      </x:c>
      <x:c r="U319" s="15" t="str">
        <x:v>skill_vanguard,skill_flank,skill_pierce,skill_revolve,skill_chase,skill_break,skill_suppress,skill_finale</x:v>
      </x:c>
      <x:c r="V319" s="15" t="str">
        <x:v>trait_relentless</x:v>
      </x:c>
      <x:c r="W319" s="332" t="n">
        <x:f>XLOOKUP($D319&amp;"|"&amp;$E319&amp;"|"&amp;$F319,'PET_STAT_RULES'!$A$5:$A$88,'PET_STAT_RULES'!$E$5:$E$88)</x:f>
        <x:v>0</x:v>
      </x:c>
    </x:row>
    <x:row r="320">
      <x:c r="A320" s="38" t="str">
        <x:v>pal_319</x:v>
      </x:c>
      <x:c r="B320" s="38" t="str">
        <x:v>库里大兽</x:v>
      </x:c>
      <x:c r="C320" s="38" t="str">
        <x:v>水</x:v>
      </x:c>
      <x:c r="D320" s="265" t="str">
        <x:v>白银</x:v>
      </x:c>
      <x:c r="E320" s="38" t="str">
        <x:v>输出</x:v>
      </x:c>
      <x:c r="F320" s="38" t="str">
        <x:v>三格</x:v>
      </x:c>
      <x:c r="G320" s="38" t="str">
        <x:v>bz_van_319</x:v>
      </x:c>
      <x:c r="H320" s="38" t="str">
        <x:v>elem_草, role_经济</x:v>
      </x:c>
      <x:c r="I320" s="38" t="n">
        <x:v>2</x:v>
      </x:c>
      <x:c r="J320" s="340" t="n">
        <x:f>XLOOKUP($D320&amp;"|"&amp;$E320&amp;"|"&amp;$F320,'PET_STAT_RULES'!$A$5:$A$88,'PET_STAT_RULES'!$C$5:$C$88)</x:f>
        <x:v>46</x:v>
      </x:c>
      <x:c r="K320" s="340" t="n">
        <x:f>XLOOKUP($D320&amp;"|"&amp;$E320&amp;"|"&amp;$F320,'PET_STAT_RULES'!$A$5:$A$88,'PET_STAT_RULES'!$D$5:$D$88)</x:f>
        <x:v>18</x:v>
      </x:c>
      <x:c r="L320" s="340" t="n">
        <x:f>XLOOKUP($D320&amp;"|"&amp;$E320&amp;"|"&amp;$F320,'PET_STAT_RULES'!$A$5:$A$88,'PET_STAT_RULES'!$F$5:$F$88)</x:f>
        <x:v>0</x:v>
      </x:c>
      <x:c r="M320" s="340" t="n">
        <x:f>XLOOKUP($D320&amp;"|"&amp;$E320&amp;"|"&amp;$F320,'PET_STAT_RULES'!$A$5:$A$88,'PET_STAT_RULES'!$G$5:$G$88)</x:f>
        <x:v>2</x:v>
      </x:c>
      <x:c r="N320" s="38" t="n">
        <x:v>2</x:v>
      </x:c>
      <x:c r="O320" s="38" t="str">
        <x:v>mech_grow_atk_each_round</x:v>
      </x:c>
      <x:c r="P320" s="38" t="str">
        <x:v>09 形状09</x:v>
      </x:c>
      <x:c r="Q320" s="38" t="str">
        <x:v>Shiny</x:v>
      </x:c>
      <x:c r="R320" s="38" t="str">
        <x:v>merchant_package confirmed；来源=库里欧的包裹；攻击2格；仅保留来源商人/训练师关系。</x:v>
      </x:c>
      <x:c r="S320" s="38" t="n">
        <x:v>2</x:v>
      </x:c>
      <x:c r="T320" s="38" t="n">
        <x:v>2</x:v>
      </x:c>
      <x:c r="U320" s="15" t="str">
        <x:v>skill_vanguard,skill_flank,skill_pierce,skill_revolve,skill_chase,skill_break,skill_suppress,skill_finale</x:v>
      </x:c>
      <x:c r="V320" s="15" t="str">
        <x:v>trait_relentless</x:v>
      </x:c>
      <x:c r="W320" s="332" t="n">
        <x:f>XLOOKUP($D320&amp;"|"&amp;$E320&amp;"|"&amp;$F320,'PET_STAT_RULES'!$A$5:$A$88,'PET_STAT_RULES'!$E$5:$E$88)</x:f>
        <x:v>0</x:v>
      </x:c>
    </x:row>
    <x:row r="321">
      <x:c r="A321" s="38" t="str">
        <x:v>pal_320</x:v>
      </x:c>
      <x:c r="B321" s="38" t="str">
        <x:v>戈迪小兽</x:v>
      </x:c>
      <x:c r="C321" s="38" t="str">
        <x:v>草</x:v>
      </x:c>
      <x:c r="D321" s="265" t="str">
        <x:v>白银</x:v>
      </x:c>
      <x:c r="E321" s="38" t="str">
        <x:v>经济</x:v>
      </x:c>
      <x:c r="F321" s="38" t="str">
        <x:v>一格</x:v>
      </x:c>
      <x:c r="G321" s="38" t="str">
        <x:v>bz_van_320</x:v>
      </x:c>
      <x:c r="H321" s="38" t="str">
        <x:v>role_坦克, role_经济</x:v>
      </x:c>
      <x:c r="I321" s="38" t="n">
        <x:v>2</x:v>
      </x:c>
      <x:c r="J321" s="340" t="n">
        <x:f>XLOOKUP($D321&amp;"|"&amp;$E321&amp;"|"&amp;$F321,'PET_STAT_RULES'!$A$5:$A$88,'PET_STAT_RULES'!$C$5:$C$88)</x:f>
        <x:v>34</x:v>
      </x:c>
      <x:c r="K321" s="340" t="n">
        <x:f>XLOOKUP($D321&amp;"|"&amp;$E321&amp;"|"&amp;$F321,'PET_STAT_RULES'!$A$5:$A$88,'PET_STAT_RULES'!$D$5:$D$88)</x:f>
        <x:v>14</x:v>
      </x:c>
      <x:c r="L321" s="340" t="n">
        <x:f>XLOOKUP($D321&amp;"|"&amp;$E321&amp;"|"&amp;$F321,'PET_STAT_RULES'!$A$5:$A$88,'PET_STAT_RULES'!$F$5:$F$88)</x:f>
        <x:v>0</x:v>
      </x:c>
      <x:c r="M321" s="340" t="n">
        <x:f>XLOOKUP($D321&amp;"|"&amp;$E321&amp;"|"&amp;$F321,'PET_STAT_RULES'!$A$5:$A$88,'PET_STAT_RULES'!$G$5:$G$88)</x:f>
        <x:v>3</x:v>
      </x:c>
      <x:c r="N321" s="38" t="n">
        <x:v>3</x:v>
      </x:c>
      <x:c r="O321" s="38" t="str">
        <x:v>none</x:v>
      </x:c>
      <x:c r="P321" s="38" t="str">
        <x:v>18 形状18</x:v>
      </x:c>
      <x:c r="Q321" s="38" t="str">
        <x:v>Golden</x:v>
      </x:c>
      <x:c r="R321" s="38" t="str">
        <x:v>merchant_package confirmed；来源=戈尔迪的包裹；攻击3格；仅保留来源商人/训练师关系。</x:v>
      </x:c>
      <x:c r="S321" s="38" t="n">
        <x:v>3</x:v>
      </x:c>
      <x:c r="T321" s="38" t="n">
        <x:v>2</x:v>
      </x:c>
      <x:c r="U321" s="15" t="str">
        <x:v>skill_vanguard,skill_flank,skill_pierce,skill_revolve,skill_chase,skill_break,skill_suppress,skill_finale</x:v>
      </x:c>
      <x:c r="V321" s="15" t="str">
        <x:v>trait_combo_resonance</x:v>
      </x:c>
      <x:c r="W321" s="332" t="n">
        <x:f>XLOOKUP($D321&amp;"|"&amp;$E321&amp;"|"&amp;$F321,'PET_STAT_RULES'!$A$5:$A$88,'PET_STAT_RULES'!$E$5:$E$88)</x:f>
        <x:v>0</x:v>
      </x:c>
    </x:row>
    <x:row r="322">
      <x:c r="A322" s="38" t="str">
        <x:v>pal_321</x:v>
      </x:c>
      <x:c r="B322" s="38" t="str">
        <x:v>戈迪中兽</x:v>
      </x:c>
      <x:c r="C322" s="38" t="str">
        <x:v>龙</x:v>
      </x:c>
      <x:c r="D322" s="265" t="str">
        <x:v>白银</x:v>
      </x:c>
      <x:c r="E322" s="38" t="str">
        <x:v>经济</x:v>
      </x:c>
      <x:c r="F322" s="38" t="str">
        <x:v>两格</x:v>
      </x:c>
      <x:c r="G322" s="38" t="str">
        <x:v>bz_van_321</x:v>
      </x:c>
      <x:c r="H322" s="38" t="str">
        <x:v>role_坦克, role_经济</x:v>
      </x:c>
      <x:c r="I322" s="38" t="n">
        <x:v>2</x:v>
      </x:c>
      <x:c r="J322" s="340" t="n">
        <x:f>XLOOKUP($D322&amp;"|"&amp;$E322&amp;"|"&amp;$F322,'PET_STAT_RULES'!$A$5:$A$88,'PET_STAT_RULES'!$C$5:$C$88)</x:f>
        <x:v>40</x:v>
      </x:c>
      <x:c r="K322" s="340" t="n">
        <x:f>XLOOKUP($D322&amp;"|"&amp;$E322&amp;"|"&amp;$F322,'PET_STAT_RULES'!$A$5:$A$88,'PET_STAT_RULES'!$D$5:$D$88)</x:f>
        <x:v>12</x:v>
      </x:c>
      <x:c r="L322" s="340" t="n">
        <x:f>XLOOKUP($D322&amp;"|"&amp;$E322&amp;"|"&amp;$F322,'PET_STAT_RULES'!$A$5:$A$88,'PET_STAT_RULES'!$F$5:$F$88)</x:f>
        <x:v>0</x:v>
      </x:c>
      <x:c r="M322" s="340" t="n">
        <x:f>XLOOKUP($D322&amp;"|"&amp;$E322&amp;"|"&amp;$F322,'PET_STAT_RULES'!$A$5:$A$88,'PET_STAT_RULES'!$G$5:$G$88)</x:f>
        <x:v>3</x:v>
      </x:c>
      <x:c r="N322" s="38" t="n">
        <x:v>2</x:v>
      </x:c>
      <x:c r="O322" s="38" t="str">
        <x:v>none</x:v>
      </x:c>
      <x:c r="P322" s="38" t="str">
        <x:v>08 形状08</x:v>
      </x:c>
      <x:c r="Q322" s="38" t="str">
        <x:v>Golden</x:v>
      </x:c>
      <x:c r="R322" s="38" t="str">
        <x:v>merchant_package confirmed；来源=戈尔迪的包裹；攻击2格；仅保留来源商人/训练师关系。</x:v>
      </x:c>
      <x:c r="S322" s="38" t="n">
        <x:v>3</x:v>
      </x:c>
      <x:c r="T322" s="38" t="n">
        <x:v>2</x:v>
      </x:c>
      <x:c r="U322" s="15" t="str">
        <x:v>skill_vanguard,skill_flank,skill_pierce,skill_revolve,skill_chase,skill_break,skill_suppress,skill_finale</x:v>
      </x:c>
      <x:c r="V322" s="15" t="str">
        <x:v>trait_combo_resonance</x:v>
      </x:c>
      <x:c r="W322" s="332" t="n">
        <x:f>XLOOKUP($D322&amp;"|"&amp;$E322&amp;"|"&amp;$F322,'PET_STAT_RULES'!$A$5:$A$88,'PET_STAT_RULES'!$E$5:$E$88)</x:f>
        <x:v>0</x:v>
      </x:c>
    </x:row>
    <x:row r="323">
      <x:c r="A323" s="38" t="str">
        <x:v>pal_322</x:v>
      </x:c>
      <x:c r="B323" s="38" t="str">
        <x:v>戈迪大兽</x:v>
      </x:c>
      <x:c r="C323" s="38" t="str">
        <x:v>龙</x:v>
      </x:c>
      <x:c r="D323" s="265" t="str">
        <x:v>白银</x:v>
      </x:c>
      <x:c r="E323" s="38" t="str">
        <x:v>经济</x:v>
      </x:c>
      <x:c r="F323" s="38" t="str">
        <x:v>三格</x:v>
      </x:c>
      <x:c r="G323" s="38" t="str">
        <x:v>bz_van_322</x:v>
      </x:c>
      <x:c r="H323" s="38" t="str">
        <x:v>role_坦克, role_经济</x:v>
      </x:c>
      <x:c r="I323" s="38" t="n">
        <x:v>2</x:v>
      </x:c>
      <x:c r="J323" s="340" t="n">
        <x:f>XLOOKUP($D323&amp;"|"&amp;$E323&amp;"|"&amp;$F323,'PET_STAT_RULES'!$A$5:$A$88,'PET_STAT_RULES'!$C$5:$C$88)</x:f>
        <x:v>46</x:v>
      </x:c>
      <x:c r="K323" s="340" t="n">
        <x:f>XLOOKUP($D323&amp;"|"&amp;$E323&amp;"|"&amp;$F323,'PET_STAT_RULES'!$A$5:$A$88,'PET_STAT_RULES'!$D$5:$D$88)</x:f>
        <x:v>10</x:v>
      </x:c>
      <x:c r="L323" s="340" t="n">
        <x:f>XLOOKUP($D323&amp;"|"&amp;$E323&amp;"|"&amp;$F323,'PET_STAT_RULES'!$A$5:$A$88,'PET_STAT_RULES'!$F$5:$F$88)</x:f>
        <x:v>0</x:v>
      </x:c>
      <x:c r="M323" s="340" t="n">
        <x:f>XLOOKUP($D323&amp;"|"&amp;$E323&amp;"|"&amp;$F323,'PET_STAT_RULES'!$A$5:$A$88,'PET_STAT_RULES'!$G$5:$G$88)</x:f>
        <x:v>2</x:v>
      </x:c>
      <x:c r="N323" s="38" t="n">
        <x:v>2</x:v>
      </x:c>
      <x:c r="O323" s="38" t="str">
        <x:v>none</x:v>
      </x:c>
      <x:c r="P323" s="38" t="str">
        <x:v>05 形状05</x:v>
      </x:c>
      <x:c r="Q323" s="38" t="str">
        <x:v>Golden</x:v>
      </x:c>
      <x:c r="R323" s="38" t="str">
        <x:v>merchant_package confirmed；来源=戈尔迪的包裹；攻击2格；仅保留来源商人/训练师关系。</x:v>
      </x:c>
      <x:c r="S323" s="38" t="n">
        <x:v>2</x:v>
      </x:c>
      <x:c r="T323" s="38" t="n">
        <x:v>2</x:v>
      </x:c>
      <x:c r="U323" s="15" t="str">
        <x:v>skill_vanguard,skill_flank,skill_pierce,skill_revolve,skill_chase,skill_break,skill_suppress,skill_finale</x:v>
      </x:c>
      <x:c r="V323" s="15" t="str">
        <x:v>trait_combo_resonance</x:v>
      </x:c>
      <x:c r="W323" s="332" t="n">
        <x:f>XLOOKUP($D323&amp;"|"&amp;$E323&amp;"|"&amp;$F323,'PET_STAT_RULES'!$A$5:$A$88,'PET_STAT_RULES'!$E$5:$E$88)</x:f>
        <x:v>0</x:v>
      </x:c>
    </x:row>
    <x:row r="324">
      <x:c r="A324" s="38" t="str">
        <x:v>pal_323</x:v>
      </x:c>
      <x:c r="B324" s="38" t="str">
        <x:v>托克大兽</x:v>
      </x:c>
      <x:c r="C324" s="38" t="str">
        <x:v>水</x:v>
      </x:c>
      <x:c r="D324" s="265" t="str">
        <x:v>白银</x:v>
      </x:c>
      <x:c r="E324" s="38" t="str">
        <x:v>输出</x:v>
      </x:c>
      <x:c r="F324" s="38" t="str">
        <x:v>三格</x:v>
      </x:c>
      <x:c r="G324" s="38" t="str">
        <x:v>bz_van_323</x:v>
      </x:c>
      <x:c r="H324" s="38" t="str">
        <x:v>role_经济, special_merchant</x:v>
      </x:c>
      <x:c r="I324" s="38" t="n">
        <x:v>2</x:v>
      </x:c>
      <x:c r="J324" s="340" t="n">
        <x:f>XLOOKUP($D324&amp;"|"&amp;$E324&amp;"|"&amp;$F324,'PET_STAT_RULES'!$A$5:$A$88,'PET_STAT_RULES'!$C$5:$C$88)</x:f>
        <x:v>46</x:v>
      </x:c>
      <x:c r="K324" s="340" t="n">
        <x:f>XLOOKUP($D324&amp;"|"&amp;$E324&amp;"|"&amp;$F324,'PET_STAT_RULES'!$A$5:$A$88,'PET_STAT_RULES'!$D$5:$D$88)</x:f>
        <x:v>18</x:v>
      </x:c>
      <x:c r="L324" s="340" t="n">
        <x:f>XLOOKUP($D324&amp;"|"&amp;$E324&amp;"|"&amp;$F324,'PET_STAT_RULES'!$A$5:$A$88,'PET_STAT_RULES'!$F$5:$F$88)</x:f>
        <x:v>0</x:v>
      </x:c>
      <x:c r="M324" s="340" t="n">
        <x:f>XLOOKUP($D324&amp;"|"&amp;$E324&amp;"|"&amp;$F324,'PET_STAT_RULES'!$A$5:$A$88,'PET_STAT_RULES'!$G$5:$G$88)</x:f>
        <x:v>2</x:v>
      </x:c>
      <x:c r="N324" s="38" t="n">
        <x:v>2</x:v>
      </x:c>
      <x:c r="O324" s="38" t="str">
        <x:v>mech_grow_atk_each_round</x:v>
      </x:c>
      <x:c r="P324" s="38" t="str">
        <x:v>09 形状09</x:v>
      </x:c>
      <x:c r="Q324" s="38" t="str">
        <x:v>Shiny</x:v>
      </x:c>
      <x:c r="R324" s="38" t="str">
        <x:v>merchant_package confirmed；来源=托克钟表店的包裹；攻击2格；仅保留来源商人/训练师关系。</x:v>
      </x:c>
      <x:c r="S324" s="38" t="n">
        <x:v>2</x:v>
      </x:c>
      <x:c r="T324" s="38" t="n">
        <x:v>2</x:v>
      </x:c>
      <x:c r="U324" s="15" t="str">
        <x:v>skill_vanguard,skill_flank,skill_pierce,skill_revolve,skill_chase,skill_break,skill_suppress,skill_finale</x:v>
      </x:c>
      <x:c r="V324" s="15" t="str">
        <x:v>trait_relentless</x:v>
      </x:c>
      <x:c r="W324" s="332" t="n">
        <x:f>XLOOKUP($D324&amp;"|"&amp;$E324&amp;"|"&amp;$F324,'PET_STAT_RULES'!$A$5:$A$88,'PET_STAT_RULES'!$E$5:$E$88)</x:f>
        <x:v>0</x:v>
      </x:c>
    </x:row>
    <x:row r="325">
      <x:c r="A325" s="38" t="str">
        <x:v>pal_324</x:v>
      </x:c>
      <x:c r="B325" s="38" t="str">
        <x:v>托克中兽</x:v>
      </x:c>
      <x:c r="C325" s="38" t="str">
        <x:v>地</x:v>
      </x:c>
      <x:c r="D325" s="265" t="str">
        <x:v>白银</x:v>
      </x:c>
      <x:c r="E325" s="38" t="str">
        <x:v>输出</x:v>
      </x:c>
      <x:c r="F325" s="38" t="str">
        <x:v>两格</x:v>
      </x:c>
      <x:c r="G325" s="38" t="str">
        <x:v>bz_van_324</x:v>
      </x:c>
      <x:c r="H325" s="38" t="str">
        <x:v>role_经济, special_merchant</x:v>
      </x:c>
      <x:c r="I325" s="38" t="n">
        <x:v>2</x:v>
      </x:c>
      <x:c r="J325" s="340" t="n">
        <x:f>XLOOKUP($D325&amp;"|"&amp;$E325&amp;"|"&amp;$F325,'PET_STAT_RULES'!$A$5:$A$88,'PET_STAT_RULES'!$C$5:$C$88)</x:f>
        <x:v>40</x:v>
      </x:c>
      <x:c r="K325" s="340" t="n">
        <x:f>XLOOKUP($D325&amp;"|"&amp;$E325&amp;"|"&amp;$F325,'PET_STAT_RULES'!$A$5:$A$88,'PET_STAT_RULES'!$D$5:$D$88)</x:f>
        <x:v>20</x:v>
      </x:c>
      <x:c r="L325" s="340" t="n">
        <x:f>XLOOKUP($D325&amp;"|"&amp;$E325&amp;"|"&amp;$F325,'PET_STAT_RULES'!$A$5:$A$88,'PET_STAT_RULES'!$F$5:$F$88)</x:f>
        <x:v>0</x:v>
      </x:c>
      <x:c r="M325" s="340" t="n">
        <x:f>XLOOKUP($D325&amp;"|"&amp;$E325&amp;"|"&amp;$F325,'PET_STAT_RULES'!$A$5:$A$88,'PET_STAT_RULES'!$G$5:$G$88)</x:f>
        <x:v>3</x:v>
      </x:c>
      <x:c r="N325" s="38" t="n">
        <x:v>2</x:v>
      </x:c>
      <x:c r="O325" s="38" t="str">
        <x:v>mech_grow_atk_each_round</x:v>
      </x:c>
      <x:c r="P325" s="38" t="str">
        <x:v>09 形状09</x:v>
      </x:c>
      <x:c r="Q325" s="38" t="str">
        <x:v>Shiny</x:v>
      </x:c>
      <x:c r="R325" s="38" t="str">
        <x:v>merchant_package confirmed；来源=托克钟表店的包裹；攻击2格；仅保留来源商人/训练师关系。</x:v>
      </x:c>
      <x:c r="S325" s="38" t="n">
        <x:v>3</x:v>
      </x:c>
      <x:c r="T325" s="38" t="n">
        <x:v>2</x:v>
      </x:c>
      <x:c r="U325" s="15" t="str">
        <x:v>skill_vanguard,skill_flank,skill_pierce,skill_revolve,skill_chase,skill_break,skill_suppress,skill_finale</x:v>
      </x:c>
      <x:c r="V325" s="15" t="str">
        <x:v>trait_relentless</x:v>
      </x:c>
      <x:c r="W325" s="332" t="n">
        <x:f>XLOOKUP($D325&amp;"|"&amp;$E325&amp;"|"&amp;$F325,'PET_STAT_RULES'!$A$5:$A$88,'PET_STAT_RULES'!$E$5:$E$88)</x:f>
        <x:v>0</x:v>
      </x:c>
    </x:row>
    <x:row r="326">
      <x:c r="A326" s="38" t="str">
        <x:v>pal_325</x:v>
      </x:c>
      <x:c r="B326" s="38" t="str">
        <x:v>托克小兽</x:v>
      </x:c>
      <x:c r="C326" s="38" t="str">
        <x:v>水</x:v>
      </x:c>
      <x:c r="D326" s="259" t="str">
        <x:v>青铜</x:v>
      </x:c>
      <x:c r="E326" s="38" t="str">
        <x:v>输出</x:v>
      </x:c>
      <x:c r="F326" s="38" t="str">
        <x:v>一格</x:v>
      </x:c>
      <x:c r="G326" s="38" t="str">
        <x:v>bz_van_325</x:v>
      </x:c>
      <x:c r="H326" s="38" t="str">
        <x:v>elem_草, special_merchant</x:v>
      </x:c>
      <x:c r="I326" s="38" t="n">
        <x:v>2</x:v>
      </x:c>
      <x:c r="J326" s="340" t="n">
        <x:f>XLOOKUP($D326&amp;"|"&amp;$E326&amp;"|"&amp;$F326,'PET_STAT_RULES'!$A$5:$A$88,'PET_STAT_RULES'!$C$5:$C$88)</x:f>
        <x:v>22</x:v>
      </x:c>
      <x:c r="K326" s="340" t="n">
        <x:f>XLOOKUP($D326&amp;"|"&amp;$E326&amp;"|"&amp;$F326,'PET_STAT_RULES'!$A$5:$A$88,'PET_STAT_RULES'!$D$5:$D$88)</x:f>
        <x:v>14</x:v>
      </x:c>
      <x:c r="L326" s="340" t="n">
        <x:f>XLOOKUP($D326&amp;"|"&amp;$E326&amp;"|"&amp;$F326,'PET_STAT_RULES'!$A$5:$A$88,'PET_STAT_RULES'!$F$5:$F$88)</x:f>
        <x:v>0</x:v>
      </x:c>
      <x:c r="M326" s="340" t="n">
        <x:f>XLOOKUP($D326&amp;"|"&amp;$E326&amp;"|"&amp;$F326,'PET_STAT_RULES'!$A$5:$A$88,'PET_STAT_RULES'!$G$5:$G$88)</x:f>
        <x:v>3</x:v>
      </x:c>
      <x:c r="N326" s="38" t="n">
        <x:v>3</x:v>
      </x:c>
      <x:c r="O326" s="38" t="str">
        <x:v>mech_grow_atk_each_round</x:v>
      </x:c>
      <x:c r="P326" s="38" t="str">
        <x:v>16 形状16</x:v>
      </x:c>
      <x:c r="Q326" s="38" t="str">
        <x:v>Heavy</x:v>
      </x:c>
      <x:c r="R326" s="38" t="str">
        <x:v>merchant_package confirmed；来源=托克钟表店的包裹；攻击3格；仅保留来源商人/训练师关系。</x:v>
      </x:c>
      <x:c r="S326" s="38" t="n">
        <x:v>3</x:v>
      </x:c>
      <x:c r="T326" s="38" t="n">
        <x:v>1</x:v>
      </x:c>
      <x:c r="U326" s="15" t="str">
        <x:v>skill_vanguard,skill_flank,skill_pierce,skill_revolve,skill_chase,skill_break,skill_suppress,skill_finale</x:v>
      </x:c>
      <x:c r="V326" s="15" t="str">
        <x:v>trait_relentless</x:v>
      </x:c>
      <x:c r="W326" s="332" t="n">
        <x:f>XLOOKUP($D326&amp;"|"&amp;$E326&amp;"|"&amp;$F326,'PET_STAT_RULES'!$A$5:$A$88,'PET_STAT_RULES'!$E$5:$E$88)</x:f>
        <x:v>0</x:v>
      </x:c>
    </x:row>
    <x:row r="327">
      <x:c r="A327" s="38" t="str">
        <x:v>pal_326</x:v>
      </x:c>
      <x:c r="B327" s="38" t="str">
        <x:v>谢尔小兽</x:v>
      </x:c>
      <x:c r="C327" s="38" t="str">
        <x:v>草</x:v>
      </x:c>
      <x:c r="D327" s="259" t="str">
        <x:v>青铜</x:v>
      </x:c>
      <x:c r="E327" s="38" t="str">
        <x:v>输出</x:v>
      </x:c>
      <x:c r="F327" s="38" t="str">
        <x:v>一格</x:v>
      </x:c>
      <x:c r="G327" s="38" t="str">
        <x:v>bz_van_326</x:v>
      </x:c>
      <x:c r="H327" s="38" t="str">
        <x:v>elem_草, role_抗压承伤</x:v>
      </x:c>
      <x:c r="I327" s="38" t="n">
        <x:v>2</x:v>
      </x:c>
      <x:c r="J327" s="340" t="n">
        <x:f>XLOOKUP($D327&amp;"|"&amp;$E327&amp;"|"&amp;$F327,'PET_STAT_RULES'!$A$5:$A$88,'PET_STAT_RULES'!$C$5:$C$88)</x:f>
        <x:v>22</x:v>
      </x:c>
      <x:c r="K327" s="340" t="n">
        <x:f>XLOOKUP($D327&amp;"|"&amp;$E327&amp;"|"&amp;$F327,'PET_STAT_RULES'!$A$5:$A$88,'PET_STAT_RULES'!$D$5:$D$88)</x:f>
        <x:v>14</x:v>
      </x:c>
      <x:c r="L327" s="340" t="n">
        <x:f>XLOOKUP($D327&amp;"|"&amp;$E327&amp;"|"&amp;$F327,'PET_STAT_RULES'!$A$5:$A$88,'PET_STAT_RULES'!$F$5:$F$88)</x:f>
        <x:v>0</x:v>
      </x:c>
      <x:c r="M327" s="340" t="n">
        <x:f>XLOOKUP($D327&amp;"|"&amp;$E327&amp;"|"&amp;$F327,'PET_STAT_RULES'!$A$5:$A$88,'PET_STAT_RULES'!$G$5:$G$88)</x:f>
        <x:v>3</x:v>
      </x:c>
      <x:c r="N327" s="38" t="n">
        <x:v>3</x:v>
      </x:c>
      <x:c r="O327" s="38" t="str">
        <x:v>mech_grow_atk_each_round</x:v>
      </x:c>
      <x:c r="P327" s="38" t="str">
        <x:v>13 形状13</x:v>
      </x:c>
      <x:c r="Q327" s="38" t="str">
        <x:v>Shiny</x:v>
      </x:c>
      <x:c r="R327" s="38" t="str">
        <x:v>merchant_package confirmed；来源=收容所谢尔比的包裹；攻击3格；仅保留来源商人/训练师关系。</x:v>
      </x:c>
      <x:c r="S327" s="38" t="n">
        <x:v>3</x:v>
      </x:c>
      <x:c r="T327" s="38" t="n">
        <x:v>1</x:v>
      </x:c>
      <x:c r="U327" s="15" t="str">
        <x:v>skill_vanguard,skill_flank,skill_pierce,skill_revolve,skill_chase,skill_break,skill_suppress,skill_finale</x:v>
      </x:c>
      <x:c r="V327" s="15" t="str">
        <x:v>trait_relentless</x:v>
      </x:c>
      <x:c r="W327" s="332" t="n">
        <x:f>XLOOKUP($D327&amp;"|"&amp;$E327&amp;"|"&amp;$F327,'PET_STAT_RULES'!$A$5:$A$88,'PET_STAT_RULES'!$E$5:$E$88)</x:f>
        <x:v>0</x:v>
      </x:c>
    </x:row>
    <x:row r="328">
      <x:c r="A328" s="38" t="str">
        <x:v>pal_327</x:v>
      </x:c>
      <x:c r="B328" s="38" t="str">
        <x:v>谢尔中兽</x:v>
      </x:c>
      <x:c r="C328" s="38" t="str">
        <x:v>暗</x:v>
      </x:c>
      <x:c r="D328" s="265" t="str">
        <x:v>白银</x:v>
      </x:c>
      <x:c r="E328" s="38" t="str">
        <x:v>输出</x:v>
      </x:c>
      <x:c r="F328" s="38" t="str">
        <x:v>两格</x:v>
      </x:c>
      <x:c r="G328" s="38" t="str">
        <x:v>bz_van_327</x:v>
      </x:c>
      <x:c r="H328" s="38" t="str">
        <x:v>role_经济, role_抗压承伤</x:v>
      </x:c>
      <x:c r="I328" s="38" t="n">
        <x:v>2</x:v>
      </x:c>
      <x:c r="J328" s="340" t="n">
        <x:f>XLOOKUP($D328&amp;"|"&amp;$E328&amp;"|"&amp;$F328,'PET_STAT_RULES'!$A$5:$A$88,'PET_STAT_RULES'!$C$5:$C$88)</x:f>
        <x:v>40</x:v>
      </x:c>
      <x:c r="K328" s="340" t="n">
        <x:f>XLOOKUP($D328&amp;"|"&amp;$E328&amp;"|"&amp;$F328,'PET_STAT_RULES'!$A$5:$A$88,'PET_STAT_RULES'!$D$5:$D$88)</x:f>
        <x:v>20</x:v>
      </x:c>
      <x:c r="L328" s="340" t="n">
        <x:f>XLOOKUP($D328&amp;"|"&amp;$E328&amp;"|"&amp;$F328,'PET_STAT_RULES'!$A$5:$A$88,'PET_STAT_RULES'!$F$5:$F$88)</x:f>
        <x:v>0</x:v>
      </x:c>
      <x:c r="M328" s="340" t="n">
        <x:f>XLOOKUP($D328&amp;"|"&amp;$E328&amp;"|"&amp;$F328,'PET_STAT_RULES'!$A$5:$A$88,'PET_STAT_RULES'!$G$5:$G$88)</x:f>
        <x:v>3</x:v>
      </x:c>
      <x:c r="N328" s="38" t="n">
        <x:v>2</x:v>
      </x:c>
      <x:c r="O328" s="38" t="str">
        <x:v>mech_grow_atk_each_round</x:v>
      </x:c>
      <x:c r="P328" s="38" t="str">
        <x:v>09 形状09</x:v>
      </x:c>
      <x:c r="Q328" s="38" t="str">
        <x:v>Shiny</x:v>
      </x:c>
      <x:c r="R328" s="38" t="str">
        <x:v>merchant_package confirmed；来源=收容所谢尔比的包裹；攻击2格；仅保留来源商人/训练师关系。</x:v>
      </x:c>
      <x:c r="S328" s="38" t="n">
        <x:v>3</x:v>
      </x:c>
      <x:c r="T328" s="38" t="n">
        <x:v>2</x:v>
      </x:c>
      <x:c r="U328" s="15" t="str">
        <x:v>skill_vanguard,skill_flank,skill_pierce,skill_revolve,skill_chase,skill_break,skill_suppress,skill_finale</x:v>
      </x:c>
      <x:c r="V328" s="15" t="str">
        <x:v>trait_relentless</x:v>
      </x:c>
      <x:c r="W328" s="332" t="n">
        <x:f>XLOOKUP($D328&amp;"|"&amp;$E328&amp;"|"&amp;$F328,'PET_STAT_RULES'!$A$5:$A$88,'PET_STAT_RULES'!$E$5:$E$88)</x:f>
        <x:v>0</x:v>
      </x:c>
    </x:row>
    <x:row r="329">
      <x:c r="A329" s="38" t="str">
        <x:v>pal_328</x:v>
      </x:c>
      <x:c r="B329" s="38" t="str">
        <x:v>谢尔大兽</x:v>
      </x:c>
      <x:c r="C329" s="38" t="str">
        <x:v>龙</x:v>
      </x:c>
      <x:c r="D329" s="265" t="str">
        <x:v>白银</x:v>
      </x:c>
      <x:c r="E329" s="38" t="str">
        <x:v>经济</x:v>
      </x:c>
      <x:c r="F329" s="38" t="str">
        <x:v>三格</x:v>
      </x:c>
      <x:c r="G329" s="38" t="str">
        <x:v>bz_van_328</x:v>
      </x:c>
      <x:c r="H329" s="38" t="str">
        <x:v>role_经济, role_抗压承伤</x:v>
      </x:c>
      <x:c r="I329" s="38" t="n">
        <x:v>2</x:v>
      </x:c>
      <x:c r="J329" s="340" t="n">
        <x:f>XLOOKUP($D329&amp;"|"&amp;$E329&amp;"|"&amp;$F329,'PET_STAT_RULES'!$A$5:$A$88,'PET_STAT_RULES'!$C$5:$C$88)</x:f>
        <x:v>46</x:v>
      </x:c>
      <x:c r="K329" s="340" t="n">
        <x:f>XLOOKUP($D329&amp;"|"&amp;$E329&amp;"|"&amp;$F329,'PET_STAT_RULES'!$A$5:$A$88,'PET_STAT_RULES'!$D$5:$D$88)</x:f>
        <x:v>10</x:v>
      </x:c>
      <x:c r="L329" s="340" t="n">
        <x:f>XLOOKUP($D329&amp;"|"&amp;$E329&amp;"|"&amp;$F329,'PET_STAT_RULES'!$A$5:$A$88,'PET_STAT_RULES'!$F$5:$F$88)</x:f>
        <x:v>0</x:v>
      </x:c>
      <x:c r="M329" s="340" t="n">
        <x:f>XLOOKUP($D329&amp;"|"&amp;$E329&amp;"|"&amp;$F329,'PET_STAT_RULES'!$A$5:$A$88,'PET_STAT_RULES'!$G$5:$G$88)</x:f>
        <x:v>2</x:v>
      </x:c>
      <x:c r="N329" s="38" t="n">
        <x:v>2</x:v>
      </x:c>
      <x:c r="O329" s="38" t="str">
        <x:v>none</x:v>
      </x:c>
      <x:c r="P329" s="38" t="str">
        <x:v>10 形状10</x:v>
      </x:c>
      <x:c r="Q329" s="38" t="str">
        <x:v>Golden</x:v>
      </x:c>
      <x:c r="R329" s="38" t="str">
        <x:v>merchant_package confirmed；来源=收容所谢尔比的包裹；攻击2格；仅保留来源商人/训练师关系。</x:v>
      </x:c>
      <x:c r="S329" s="38" t="n">
        <x:v>2</x:v>
      </x:c>
      <x:c r="T329" s="38" t="n">
        <x:v>2</x:v>
      </x:c>
      <x:c r="U329" s="15" t="str">
        <x:v>skill_vanguard,skill_flank,skill_pierce,skill_revolve,skill_chase,skill_break,skill_suppress,skill_finale</x:v>
      </x:c>
      <x:c r="V329" s="15" t="str">
        <x:v>trait_combo_resonance</x:v>
      </x:c>
      <x:c r="W329" s="332" t="n">
        <x:f>XLOOKUP($D329&amp;"|"&amp;$E329&amp;"|"&amp;$F329,'PET_STAT_RULES'!$A$5:$A$88,'PET_STAT_RULES'!$E$5:$E$88)</x:f>
        <x:v>0</x:v>
      </x:c>
    </x:row>
    <x:row r="330">
      <x:c r="A330" s="38" t="str">
        <x:v>pal_329</x:v>
      </x:c>
      <x:c r="B330" s="38" t="str">
        <x:v>杰杰大兽</x:v>
      </x:c>
      <x:c r="C330" s="38" t="str">
        <x:v>火</x:v>
      </x:c>
      <x:c r="D330" s="265" t="str">
        <x:v>白银</x:v>
      </x:c>
      <x:c r="E330" s="38" t="str">
        <x:v>输出</x:v>
      </x:c>
      <x:c r="F330" s="38" t="str">
        <x:v>三格</x:v>
      </x:c>
      <x:c r="G330" s="38" t="str">
        <x:v>bz_van_329</x:v>
      </x:c>
      <x:c r="H330" s="38" t="str">
        <x:v>elem_雷, role_经济</x:v>
      </x:c>
      <x:c r="I330" s="38" t="n">
        <x:v>2</x:v>
      </x:c>
      <x:c r="J330" s="340" t="n">
        <x:f>XLOOKUP($D330&amp;"|"&amp;$E330&amp;"|"&amp;$F330,'PET_STAT_RULES'!$A$5:$A$88,'PET_STAT_RULES'!$C$5:$C$88)</x:f>
        <x:v>46</x:v>
      </x:c>
      <x:c r="K330" s="340" t="n">
        <x:f>XLOOKUP($D330&amp;"|"&amp;$E330&amp;"|"&amp;$F330,'PET_STAT_RULES'!$A$5:$A$88,'PET_STAT_RULES'!$D$5:$D$88)</x:f>
        <x:v>18</x:v>
      </x:c>
      <x:c r="L330" s="340" t="n">
        <x:f>XLOOKUP($D330&amp;"|"&amp;$E330&amp;"|"&amp;$F330,'PET_STAT_RULES'!$A$5:$A$88,'PET_STAT_RULES'!$F$5:$F$88)</x:f>
        <x:v>0</x:v>
      </x:c>
      <x:c r="M330" s="340" t="n">
        <x:f>XLOOKUP($D330&amp;"|"&amp;$E330&amp;"|"&amp;$F330,'PET_STAT_RULES'!$A$5:$A$88,'PET_STAT_RULES'!$G$5:$G$88)</x:f>
        <x:v>2</x:v>
      </x:c>
      <x:c r="N330" s="38" t="n">
        <x:v>2</x:v>
      </x:c>
      <x:c r="O330" s="38" t="str">
        <x:v>mech_grow_atk_each_round</x:v>
      </x:c>
      <x:c r="P330" s="38" t="str">
        <x:v>12 形状12</x:v>
      </x:c>
      <x:c r="Q330" s="38" t="str">
        <x:v>Heavy</x:v>
      </x:c>
      <x:c r="R330" s="38" t="str">
        <x:v>merchant_package confirmed；来源=杰杰的包裹；攻击2格；仅保留来源商人/训练师关系。</x:v>
      </x:c>
      <x:c r="S330" s="38" t="n">
        <x:v>2</x:v>
      </x:c>
      <x:c r="T330" s="38" t="n">
        <x:v>2</x:v>
      </x:c>
      <x:c r="U330" s="15" t="str">
        <x:v>skill_vanguard,skill_flank,skill_pierce,skill_revolve,skill_chase,skill_break,skill_suppress,skill_finale</x:v>
      </x:c>
      <x:c r="V330" s="15" t="str">
        <x:v>trait_relentless</x:v>
      </x:c>
      <x:c r="W330" s="332" t="n">
        <x:f>XLOOKUP($D330&amp;"|"&amp;$E330&amp;"|"&amp;$F330,'PET_STAT_RULES'!$A$5:$A$88,'PET_STAT_RULES'!$E$5:$E$88)</x:f>
        <x:v>0</x:v>
      </x:c>
    </x:row>
    <x:row r="331">
      <x:c r="A331" s="38" t="str">
        <x:v>pal_330</x:v>
      </x:c>
      <x:c r="B331" s="38" t="str">
        <x:v>杰杰中兽</x:v>
      </x:c>
      <x:c r="C331" s="38" t="str">
        <x:v>地</x:v>
      </x:c>
      <x:c r="D331" s="259" t="str">
        <x:v>青铜</x:v>
      </x:c>
      <x:c r="E331" s="38" t="str">
        <x:v>输出</x:v>
      </x:c>
      <x:c r="F331" s="38" t="str">
        <x:v>两格</x:v>
      </x:c>
      <x:c r="G331" s="38" t="str">
        <x:v>bz_van_330</x:v>
      </x:c>
      <x:c r="H331" s="38" t="str">
        <x:v>elem_草, elem_雷</x:v>
      </x:c>
      <x:c r="I331" s="38" t="n">
        <x:v>2</x:v>
      </x:c>
      <x:c r="J331" s="340" t="n">
        <x:f>XLOOKUP($D331&amp;"|"&amp;$E331&amp;"|"&amp;$F331,'PET_STAT_RULES'!$A$5:$A$88,'PET_STAT_RULES'!$C$5:$C$88)</x:f>
        <x:v>28</x:v>
      </x:c>
      <x:c r="K331" s="340" t="n">
        <x:f>XLOOKUP($D331&amp;"|"&amp;$E331&amp;"|"&amp;$F331,'PET_STAT_RULES'!$A$5:$A$88,'PET_STAT_RULES'!$D$5:$D$88)</x:f>
        <x:v>12</x:v>
      </x:c>
      <x:c r="L331" s="340" t="n">
        <x:f>XLOOKUP($D331&amp;"|"&amp;$E331&amp;"|"&amp;$F331,'PET_STAT_RULES'!$A$5:$A$88,'PET_STAT_RULES'!$F$5:$F$88)</x:f>
        <x:v>0</x:v>
      </x:c>
      <x:c r="M331" s="340" t="n">
        <x:f>XLOOKUP($D331&amp;"|"&amp;$E331&amp;"|"&amp;$F331,'PET_STAT_RULES'!$A$5:$A$88,'PET_STAT_RULES'!$G$5:$G$88)</x:f>
        <x:v>3</x:v>
      </x:c>
      <x:c r="N331" s="38" t="n">
        <x:v>1</x:v>
      </x:c>
      <x:c r="O331" s="38" t="str">
        <x:v>mech_grow_atk_each_round</x:v>
      </x:c>
      <x:c r="P331" s="38" t="str">
        <x:v>03 形状03</x:v>
      </x:c>
      <x:c r="Q331" s="38" t="str">
        <x:v>Shiny</x:v>
      </x:c>
      <x:c r="R331" s="38" t="str">
        <x:v>merchant_package confirmed；来源=杰杰的包裹；攻击1格；仅保留来源商人/训练师关系。</x:v>
      </x:c>
      <x:c r="S331" s="38" t="n">
        <x:v>3</x:v>
      </x:c>
      <x:c r="T331" s="38" t="n">
        <x:v>1</x:v>
      </x:c>
      <x:c r="U331" s="15" t="str">
        <x:v>skill_vanguard,skill_flank,skill_pierce,skill_revolve,skill_chase,skill_break,skill_suppress,skill_finale</x:v>
      </x:c>
      <x:c r="V331" s="15" t="str">
        <x:v>trait_relentless</x:v>
      </x:c>
      <x:c r="W331" s="332" t="n">
        <x:f>XLOOKUP($D331&amp;"|"&amp;$E331&amp;"|"&amp;$F331,'PET_STAT_RULES'!$A$5:$A$88,'PET_STAT_RULES'!$E$5:$E$88)</x:f>
        <x:v>0</x:v>
      </x:c>
    </x:row>
    <x:row r="332">
      <x:c r="A332" s="38" t="str">
        <x:v>pal_331</x:v>
      </x:c>
      <x:c r="B332" s="38" t="str">
        <x:v>橡君大兽</x:v>
      </x:c>
      <x:c r="C332" s="38" t="str">
        <x:v>草</x:v>
      </x:c>
      <x:c r="D332" s="265" t="str">
        <x:v>白银</x:v>
      </x:c>
      <x:c r="E332" s="38" t="str">
        <x:v>输出</x:v>
      </x:c>
      <x:c r="F332" s="38" t="str">
        <x:v>三格</x:v>
      </x:c>
      <x:c r="G332" s="38" t="str">
        <x:v>bz_van_331</x:v>
      </x:c>
      <x:c r="H332" s="38" t="str">
        <x:v>role_经济, role_机动压制</x:v>
      </x:c>
      <x:c r="I332" s="38" t="n">
        <x:v>2</x:v>
      </x:c>
      <x:c r="J332" s="340" t="n">
        <x:f>XLOOKUP($D332&amp;"|"&amp;$E332&amp;"|"&amp;$F332,'PET_STAT_RULES'!$A$5:$A$88,'PET_STAT_RULES'!$C$5:$C$88)</x:f>
        <x:v>46</x:v>
      </x:c>
      <x:c r="K332" s="340" t="n">
        <x:f>XLOOKUP($D332&amp;"|"&amp;$E332&amp;"|"&amp;$F332,'PET_STAT_RULES'!$A$5:$A$88,'PET_STAT_RULES'!$D$5:$D$88)</x:f>
        <x:v>18</x:v>
      </x:c>
      <x:c r="L332" s="340" t="n">
        <x:f>XLOOKUP($D332&amp;"|"&amp;$E332&amp;"|"&amp;$F332,'PET_STAT_RULES'!$A$5:$A$88,'PET_STAT_RULES'!$F$5:$F$88)</x:f>
        <x:v>0</x:v>
      </x:c>
      <x:c r="M332" s="340" t="n">
        <x:f>XLOOKUP($D332&amp;"|"&amp;$E332&amp;"|"&amp;$F332,'PET_STAT_RULES'!$A$5:$A$88,'PET_STAT_RULES'!$G$5:$G$88)</x:f>
        <x:v>2</x:v>
      </x:c>
      <x:c r="N332" s="38" t="n">
        <x:v>2</x:v>
      </x:c>
      <x:c r="O332" s="38" t="str">
        <x:v>mech_grow_atk_each_round</x:v>
      </x:c>
      <x:c r="P332" s="38" t="str">
        <x:v>12 形状12</x:v>
      </x:c>
      <x:c r="Q332" s="38" t="str">
        <x:v>Heavy</x:v>
      </x:c>
      <x:c r="R332" s="38" t="str">
        <x:v>merchant_package confirmed；来源=橡树君的包裹；攻击2格；仅保留来源商人/训练师关系。</x:v>
      </x:c>
      <x:c r="S332" s="38" t="n">
        <x:v>2</x:v>
      </x:c>
      <x:c r="T332" s="38" t="n">
        <x:v>2</x:v>
      </x:c>
      <x:c r="U332" s="15" t="str">
        <x:v>skill_vanguard,skill_flank,skill_pierce,skill_revolve,skill_chase,skill_break,skill_suppress,skill_finale</x:v>
      </x:c>
      <x:c r="V332" s="15" t="str">
        <x:v>trait_relentless</x:v>
      </x:c>
      <x:c r="W332" s="332" t="n">
        <x:f>XLOOKUP($D332&amp;"|"&amp;$E332&amp;"|"&amp;$F332,'PET_STAT_RULES'!$A$5:$A$88,'PET_STAT_RULES'!$E$5:$E$88)</x:f>
        <x:v>0</x:v>
      </x:c>
    </x:row>
    <x:row r="333">
      <x:c r="A333" s="38" t="str">
        <x:v>pal_332</x:v>
      </x:c>
      <x:c r="B333" s="38" t="str">
        <x:v>橡君小兽</x:v>
      </x:c>
      <x:c r="C333" s="38" t="str">
        <x:v>龙</x:v>
      </x:c>
      <x:c r="D333" s="259" t="str">
        <x:v>青铜</x:v>
      </x:c>
      <x:c r="E333" s="38" t="str">
        <x:v>输出</x:v>
      </x:c>
      <x:c r="F333" s="38" t="str">
        <x:v>一格</x:v>
      </x:c>
      <x:c r="G333" s="38" t="str">
        <x:v>bz_van_332</x:v>
      </x:c>
      <x:c r="H333" s="38" t="str">
        <x:v>elem_草, role_机动压制</x:v>
      </x:c>
      <x:c r="I333" s="38" t="n">
        <x:v>2</x:v>
      </x:c>
      <x:c r="J333" s="340" t="n">
        <x:f>XLOOKUP($D333&amp;"|"&amp;$E333&amp;"|"&amp;$F333,'PET_STAT_RULES'!$A$5:$A$88,'PET_STAT_RULES'!$C$5:$C$88)</x:f>
        <x:v>22</x:v>
      </x:c>
      <x:c r="K333" s="340" t="n">
        <x:f>XLOOKUP($D333&amp;"|"&amp;$E333&amp;"|"&amp;$F333,'PET_STAT_RULES'!$A$5:$A$88,'PET_STAT_RULES'!$D$5:$D$88)</x:f>
        <x:v>14</x:v>
      </x:c>
      <x:c r="L333" s="340" t="n">
        <x:f>XLOOKUP($D333&amp;"|"&amp;$E333&amp;"|"&amp;$F333,'PET_STAT_RULES'!$A$5:$A$88,'PET_STAT_RULES'!$F$5:$F$88)</x:f>
        <x:v>0</x:v>
      </x:c>
      <x:c r="M333" s="340" t="n">
        <x:f>XLOOKUP($D333&amp;"|"&amp;$E333&amp;"|"&amp;$F333,'PET_STAT_RULES'!$A$5:$A$88,'PET_STAT_RULES'!$G$5:$G$88)</x:f>
        <x:v>3</x:v>
      </x:c>
      <x:c r="N333" s="38" t="n">
        <x:v>3</x:v>
      </x:c>
      <x:c r="O333" s="38" t="str">
        <x:v>mech_grow_atk_each_round</x:v>
      </x:c>
      <x:c r="P333" s="38" t="str">
        <x:v>13 形状13</x:v>
      </x:c>
      <x:c r="Q333" s="38" t="str">
        <x:v>Shiny</x:v>
      </x:c>
      <x:c r="R333" s="38" t="str">
        <x:v>merchant_package confirmed；来源=橡树君的包裹；攻击3格；仅保留来源商人/训练师关系。</x:v>
      </x:c>
      <x:c r="S333" s="38" t="n">
        <x:v>3</x:v>
      </x:c>
      <x:c r="T333" s="38" t="n">
        <x:v>1</x:v>
      </x:c>
      <x:c r="U333" s="15" t="str">
        <x:v>skill_vanguard,skill_flank,skill_pierce,skill_revolve,skill_chase,skill_break,skill_suppress,skill_finale</x:v>
      </x:c>
      <x:c r="V333" s="15" t="str">
        <x:v>trait_relentless</x:v>
      </x:c>
      <x:c r="W333" s="332" t="n">
        <x:f>XLOOKUP($D333&amp;"|"&amp;$E333&amp;"|"&amp;$F333,'PET_STAT_RULES'!$A$5:$A$88,'PET_STAT_RULES'!$E$5:$E$88)</x:f>
        <x:v>0</x:v>
      </x:c>
    </x:row>
    <x:row r="334">
      <x:c r="A334" s="38" t="str">
        <x:v>pal_333</x:v>
      </x:c>
      <x:c r="B334" s="38" t="str">
        <x:v>橡君中兽</x:v>
      </x:c>
      <x:c r="C334" s="38" t="str">
        <x:v>水</x:v>
      </x:c>
      <x:c r="D334" s="259" t="str">
        <x:v>青铜</x:v>
      </x:c>
      <x:c r="E334" s="38" t="str">
        <x:v>输出</x:v>
      </x:c>
      <x:c r="F334" s="38" t="str">
        <x:v>两格</x:v>
      </x:c>
      <x:c r="G334" s="38" t="str">
        <x:v>bz_van_333</x:v>
      </x:c>
      <x:c r="H334" s="38" t="str">
        <x:v>elem_草, role_机动压制</x:v>
      </x:c>
      <x:c r="I334" s="38" t="n">
        <x:v>2</x:v>
      </x:c>
      <x:c r="J334" s="340" t="n">
        <x:f>XLOOKUP($D334&amp;"|"&amp;$E334&amp;"|"&amp;$F334,'PET_STAT_RULES'!$A$5:$A$88,'PET_STAT_RULES'!$C$5:$C$88)</x:f>
        <x:v>28</x:v>
      </x:c>
      <x:c r="K334" s="340" t="n">
        <x:f>XLOOKUP($D334&amp;"|"&amp;$E334&amp;"|"&amp;$F334,'PET_STAT_RULES'!$A$5:$A$88,'PET_STAT_RULES'!$D$5:$D$88)</x:f>
        <x:v>12</x:v>
      </x:c>
      <x:c r="L334" s="340" t="n">
        <x:f>XLOOKUP($D334&amp;"|"&amp;$E334&amp;"|"&amp;$F334,'PET_STAT_RULES'!$A$5:$A$88,'PET_STAT_RULES'!$F$5:$F$88)</x:f>
        <x:v>0</x:v>
      </x:c>
      <x:c r="M334" s="340" t="n">
        <x:f>XLOOKUP($D334&amp;"|"&amp;$E334&amp;"|"&amp;$F334,'PET_STAT_RULES'!$A$5:$A$88,'PET_STAT_RULES'!$G$5:$G$88)</x:f>
        <x:v>3</x:v>
      </x:c>
      <x:c r="N334" s="38" t="n">
        <x:v>1</x:v>
      </x:c>
      <x:c r="O334" s="38" t="str">
        <x:v>mech_grow_atk_each_round</x:v>
      </x:c>
      <x:c r="P334" s="38" t="str">
        <x:v>03 形状03</x:v>
      </x:c>
      <x:c r="Q334" s="38" t="str">
        <x:v>Shiny</x:v>
      </x:c>
      <x:c r="R334" s="38" t="str">
        <x:v>merchant_package confirmed；来源=橡树君的包裹；攻击1格；仅保留来源商人/训练师关系。</x:v>
      </x:c>
      <x:c r="S334" s="38" t="n">
        <x:v>3</x:v>
      </x:c>
      <x:c r="T334" s="38" t="n">
        <x:v>1</x:v>
      </x:c>
      <x:c r="U334" s="15" t="str">
        <x:v>skill_vanguard,skill_flank,skill_pierce,skill_revolve,skill_chase,skill_break,skill_suppress,skill_finale</x:v>
      </x:c>
      <x:c r="V334" s="15" t="str">
        <x:v>trait_relentless</x:v>
      </x:c>
      <x:c r="W334" s="332" t="n">
        <x:f>XLOOKUP($D334&amp;"|"&amp;$E334&amp;"|"&amp;$F334,'PET_STAT_RULES'!$A$5:$A$88,'PET_STAT_RULES'!$E$5:$E$88)</x:f>
        <x:v>0</x:v>
      </x:c>
    </x:row>
    <x:row r="335">
      <x:c r="A335" s="38" t="str">
        <x:v>pal_334</x:v>
      </x:c>
      <x:c r="B335" s="38" t="str">
        <x:v>波尔小兽</x:v>
      </x:c>
      <x:c r="C335" s="38" t="str">
        <x:v>水</x:v>
      </x:c>
      <x:c r="D335" s="262" t="str">
        <x:v>黄金</x:v>
      </x:c>
      <x:c r="E335" s="38" t="str">
        <x:v>经济</x:v>
      </x:c>
      <x:c r="F335" s="38" t="str">
        <x:v>一格</x:v>
      </x:c>
      <x:c r="G335" s="38" t="str">
        <x:v>bz_van_334</x:v>
      </x:c>
      <x:c r="H335" s="38" t="str">
        <x:v>role_坦克, role_风系铺场</x:v>
      </x:c>
      <x:c r="I335" s="38" t="n">
        <x:v>2</x:v>
      </x:c>
      <x:c r="J335" s="340" t="n">
        <x:f>XLOOKUP($D335&amp;"|"&amp;$E335&amp;"|"&amp;$F335,'PET_STAT_RULES'!$A$5:$A$88,'PET_STAT_RULES'!$C$5:$C$88)</x:f>
        <x:v>46</x:v>
      </x:c>
      <x:c r="K335" s="340" t="n">
        <x:f>XLOOKUP($D335&amp;"|"&amp;$E335&amp;"|"&amp;$F335,'PET_STAT_RULES'!$A$5:$A$88,'PET_STAT_RULES'!$D$5:$D$88)</x:f>
        <x:v>20</x:v>
      </x:c>
      <x:c r="L335" s="340" t="n">
        <x:f>XLOOKUP($D335&amp;"|"&amp;$E335&amp;"|"&amp;$F335,'PET_STAT_RULES'!$A$5:$A$88,'PET_STAT_RULES'!$F$5:$F$88)</x:f>
        <x:v>0</x:v>
      </x:c>
      <x:c r="M335" s="340" t="n">
        <x:f>XLOOKUP($D335&amp;"|"&amp;$E335&amp;"|"&amp;$F335,'PET_STAT_RULES'!$A$5:$A$88,'PET_STAT_RULES'!$G$5:$G$88)</x:f>
        <x:v>3</x:v>
      </x:c>
      <x:c r="N335" s="38" t="n">
        <x:v>3</x:v>
      </x:c>
      <x:c r="O335" s="38" t="str">
        <x:v>none</x:v>
      </x:c>
      <x:c r="P335" s="38" t="str">
        <x:v>14 形状14</x:v>
      </x:c>
      <x:c r="Q335" s="38" t="str">
        <x:v>Golden</x:v>
      </x:c>
      <x:c r="R335" s="38" t="str">
        <x:v>merchant_package confirmed；来源=波尔的包裹；攻击3格；仅保留来源商人/训练师关系。</x:v>
      </x:c>
      <x:c r="S335" s="38" t="n">
        <x:v>3</x:v>
      </x:c>
      <x:c r="T335" s="38" t="n">
        <x:v>2</x:v>
      </x:c>
      <x:c r="U335" s="15" t="str">
        <x:v>skill_vanguard,skill_flank,skill_pierce,skill_revolve,skill_chase,skill_break,skill_suppress,skill_finale</x:v>
      </x:c>
      <x:c r="V335" s="15" t="str">
        <x:v>trait_combo_resonance</x:v>
      </x:c>
      <x:c r="W335" s="332" t="n">
        <x:f>XLOOKUP($D335&amp;"|"&amp;$E335&amp;"|"&amp;$F335,'PET_STAT_RULES'!$A$5:$A$88,'PET_STAT_RULES'!$E$5:$E$88)</x:f>
        <x:v>0</x:v>
      </x:c>
    </x:row>
    <x:row r="336">
      <x:c r="A336" s="38" t="str">
        <x:v>pal_335</x:v>
      </x:c>
      <x:c r="B336" s="38" t="str">
        <x:v>波尔大兽</x:v>
      </x:c>
      <x:c r="C336" s="38" t="str">
        <x:v>水</x:v>
      </x:c>
      <x:c r="D336" s="265" t="str">
        <x:v>白银</x:v>
      </x:c>
      <x:c r="E336" s="38" t="str">
        <x:v>输出</x:v>
      </x:c>
      <x:c r="F336" s="38" t="str">
        <x:v>三格</x:v>
      </x:c>
      <x:c r="G336" s="38" t="str">
        <x:v>bz_van_335</x:v>
      </x:c>
      <x:c r="H336" s="38" t="str">
        <x:v>role_经济, role_风系铺场</x:v>
      </x:c>
      <x:c r="I336" s="38" t="n">
        <x:v>2</x:v>
      </x:c>
      <x:c r="J336" s="340" t="n">
        <x:f>XLOOKUP($D336&amp;"|"&amp;$E336&amp;"|"&amp;$F336,'PET_STAT_RULES'!$A$5:$A$88,'PET_STAT_RULES'!$C$5:$C$88)</x:f>
        <x:v>46</x:v>
      </x:c>
      <x:c r="K336" s="340" t="n">
        <x:f>XLOOKUP($D336&amp;"|"&amp;$E336&amp;"|"&amp;$F336,'PET_STAT_RULES'!$A$5:$A$88,'PET_STAT_RULES'!$D$5:$D$88)</x:f>
        <x:v>18</x:v>
      </x:c>
      <x:c r="L336" s="340" t="n">
        <x:f>XLOOKUP($D336&amp;"|"&amp;$E336&amp;"|"&amp;$F336,'PET_STAT_RULES'!$A$5:$A$88,'PET_STAT_RULES'!$F$5:$F$88)</x:f>
        <x:v>0</x:v>
      </x:c>
      <x:c r="M336" s="340" t="n">
        <x:f>XLOOKUP($D336&amp;"|"&amp;$E336&amp;"|"&amp;$F336,'PET_STAT_RULES'!$A$5:$A$88,'PET_STAT_RULES'!$G$5:$G$88)</x:f>
        <x:v>2</x:v>
      </x:c>
      <x:c r="N336" s="38" t="n">
        <x:v>2</x:v>
      </x:c>
      <x:c r="O336" s="38" t="str">
        <x:v>mech_grow_atk_each_round</x:v>
      </x:c>
      <x:c r="P336" s="38" t="str">
        <x:v>06 形状06</x:v>
      </x:c>
      <x:c r="Q336" s="38" t="str">
        <x:v>Heavy</x:v>
      </x:c>
      <x:c r="R336" s="38" t="str">
        <x:v>merchant_package confirmed；来源=波尔的包裹；攻击2格；仅保留来源商人/训练师关系。</x:v>
      </x:c>
      <x:c r="S336" s="38" t="n">
        <x:v>2</x:v>
      </x:c>
      <x:c r="T336" s="38" t="n">
        <x:v>2</x:v>
      </x:c>
      <x:c r="U336" s="15" t="str">
        <x:v>skill_vanguard,skill_flank,skill_pierce,skill_revolve,skill_chase,skill_break,skill_suppress,skill_finale</x:v>
      </x:c>
      <x:c r="V336" s="15" t="str">
        <x:v>trait_relentless</x:v>
      </x:c>
      <x:c r="W336" s="332" t="n">
        <x:f>XLOOKUP($D336&amp;"|"&amp;$E336&amp;"|"&amp;$F336,'PET_STAT_RULES'!$A$5:$A$88,'PET_STAT_RULES'!$E$5:$E$88)</x:f>
        <x:v>0</x:v>
      </x:c>
    </x:row>
    <x:row r="337">
      <x:c r="A337" s="38" t="str">
        <x:v>pal_336</x:v>
      </x:c>
      <x:c r="B337" s="38" t="str">
        <x:v>波尔中兽</x:v>
      </x:c>
      <x:c r="C337" s="38" t="str">
        <x:v>龙</x:v>
      </x:c>
      <x:c r="D337" s="262" t="str">
        <x:v>黄金</x:v>
      </x:c>
      <x:c r="E337" s="38" t="str">
        <x:v>经济</x:v>
      </x:c>
      <x:c r="F337" s="38" t="str">
        <x:v>两格</x:v>
      </x:c>
      <x:c r="G337" s="38" t="str">
        <x:v>bz_van_336</x:v>
      </x:c>
      <x:c r="H337" s="38" t="str">
        <x:v>role_坦克, role_风系铺场</x:v>
      </x:c>
      <x:c r="I337" s="38" t="n">
        <x:v>2</x:v>
      </x:c>
      <x:c r="J337" s="340" t="n">
        <x:f>XLOOKUP($D337&amp;"|"&amp;$E337&amp;"|"&amp;$F337,'PET_STAT_RULES'!$A$5:$A$88,'PET_STAT_RULES'!$C$5:$C$88)</x:f>
        <x:v>52</x:v>
      </x:c>
      <x:c r="K337" s="340" t="n">
        <x:f>XLOOKUP($D337&amp;"|"&amp;$E337&amp;"|"&amp;$F337,'PET_STAT_RULES'!$A$5:$A$88,'PET_STAT_RULES'!$D$5:$D$88)</x:f>
        <x:v>18</x:v>
      </x:c>
      <x:c r="L337" s="340" t="n">
        <x:f>XLOOKUP($D337&amp;"|"&amp;$E337&amp;"|"&amp;$F337,'PET_STAT_RULES'!$A$5:$A$88,'PET_STAT_RULES'!$F$5:$F$88)</x:f>
        <x:v>0</x:v>
      </x:c>
      <x:c r="M337" s="340" t="n">
        <x:f>XLOOKUP($D337&amp;"|"&amp;$E337&amp;"|"&amp;$F337,'PET_STAT_RULES'!$A$5:$A$88,'PET_STAT_RULES'!$G$5:$G$88)</x:f>
        <x:v>3</x:v>
      </x:c>
      <x:c r="N337" s="38" t="n">
        <x:v>2</x:v>
      </x:c>
      <x:c r="O337" s="38" t="str">
        <x:v>none</x:v>
      </x:c>
      <x:c r="P337" s="38" t="str">
        <x:v>08 形状08</x:v>
      </x:c>
      <x:c r="Q337" s="38" t="str">
        <x:v>Golden</x:v>
      </x:c>
      <x:c r="R337" s="38" t="str">
        <x:v>merchant_package confirmed；来源=波尔的包裹；攻击2格；仅保留来源商人/训练师关系。</x:v>
      </x:c>
      <x:c r="S337" s="38" t="n">
        <x:v>3</x:v>
      </x:c>
      <x:c r="T337" s="38" t="n">
        <x:v>2</x:v>
      </x:c>
      <x:c r="U337" s="15" t="str">
        <x:v>skill_vanguard,skill_flank,skill_pierce,skill_revolve,skill_chase,skill_break,skill_suppress,skill_finale</x:v>
      </x:c>
      <x:c r="V337" s="15" t="str">
        <x:v>trait_combo_resonance</x:v>
      </x:c>
      <x:c r="W337" s="332" t="n">
        <x:f>XLOOKUP($D337&amp;"|"&amp;$E337&amp;"|"&amp;$F337,'PET_STAT_RULES'!$A$5:$A$88,'PET_STAT_RULES'!$E$5:$E$88)</x:f>
        <x:v>0</x:v>
      </x:c>
    </x:row>
    <x:row r="338">
      <x:c r="A338" s="38" t="str">
        <x:v>pal_337</x:v>
      </x:c>
      <x:c r="B338" s="38" t="str">
        <x:v>试家大兽</x:v>
      </x:c>
      <x:c r="C338" s="38" t="str">
        <x:v>冰</x:v>
      </x:c>
      <x:c r="D338" s="265" t="str">
        <x:v>白银</x:v>
      </x:c>
      <x:c r="E338" s="38" t="str">
        <x:v>输出</x:v>
      </x:c>
      <x:c r="F338" s="38" t="str">
        <x:v>三格</x:v>
      </x:c>
      <x:c r="G338" s="38" t="str">
        <x:v>bz_van_337</x:v>
      </x:c>
      <x:c r="H338" s="38" t="str">
        <x:v>role_经济, role_抗压承伤</x:v>
      </x:c>
      <x:c r="I338" s="38" t="n">
        <x:v>2</x:v>
      </x:c>
      <x:c r="J338" s="340" t="n">
        <x:f>XLOOKUP($D338&amp;"|"&amp;$E338&amp;"|"&amp;$F338,'PET_STAT_RULES'!$A$5:$A$88,'PET_STAT_RULES'!$C$5:$C$88)</x:f>
        <x:v>46</x:v>
      </x:c>
      <x:c r="K338" s="340" t="n">
        <x:f>XLOOKUP($D338&amp;"|"&amp;$E338&amp;"|"&amp;$F338,'PET_STAT_RULES'!$A$5:$A$88,'PET_STAT_RULES'!$D$5:$D$88)</x:f>
        <x:v>18</x:v>
      </x:c>
      <x:c r="L338" s="340" t="n">
        <x:f>XLOOKUP($D338&amp;"|"&amp;$E338&amp;"|"&amp;$F338,'PET_STAT_RULES'!$A$5:$A$88,'PET_STAT_RULES'!$F$5:$F$88)</x:f>
        <x:v>0</x:v>
      </x:c>
      <x:c r="M338" s="340" t="n">
        <x:f>XLOOKUP($D338&amp;"|"&amp;$E338&amp;"|"&amp;$F338,'PET_STAT_RULES'!$A$5:$A$88,'PET_STAT_RULES'!$G$5:$G$88)</x:f>
        <x:v>2</x:v>
      </x:c>
      <x:c r="N338" s="38" t="n">
        <x:v>2</x:v>
      </x:c>
      <x:c r="O338" s="38" t="str">
        <x:v>mech_grow_atk_each_round</x:v>
      </x:c>
      <x:c r="P338" s="38" t="str">
        <x:v>10 形状10</x:v>
      </x:c>
      <x:c r="Q338" s="38" t="str">
        <x:v>Heavy</x:v>
      </x:c>
      <x:c r="R338" s="38" t="str">
        <x:v>merchant_package confirmed；来源=测试家的包裹；攻击2格；仅保留来源商人/训练师关系。</x:v>
      </x:c>
      <x:c r="S338" s="38" t="n">
        <x:v>2</x:v>
      </x:c>
      <x:c r="T338" s="38" t="n">
        <x:v>2</x:v>
      </x:c>
      <x:c r="U338" s="15" t="str">
        <x:v>skill_vanguard,skill_flank,skill_pierce,skill_revolve,skill_chase,skill_break,skill_suppress,skill_finale</x:v>
      </x:c>
      <x:c r="V338" s="15" t="str">
        <x:v>trait_relentless</x:v>
      </x:c>
      <x:c r="W338" s="332" t="n">
        <x:f>XLOOKUP($D338&amp;"|"&amp;$E338&amp;"|"&amp;$F338,'PET_STAT_RULES'!$A$5:$A$88,'PET_STAT_RULES'!$E$5:$E$88)</x:f>
        <x:v>0</x:v>
      </x:c>
    </x:row>
    <x:row r="339">
      <x:c r="A339" s="38" t="str">
        <x:v>pal_338</x:v>
      </x:c>
      <x:c r="B339" s="38" t="str">
        <x:v>试家中兽</x:v>
      </x:c>
      <x:c r="C339" s="38" t="str">
        <x:v>无</x:v>
      </x:c>
      <x:c r="D339" s="265" t="str">
        <x:v>白银</x:v>
      </x:c>
      <x:c r="E339" s="38" t="str">
        <x:v>输出</x:v>
      </x:c>
      <x:c r="F339" s="38" t="str">
        <x:v>两格</x:v>
      </x:c>
      <x:c r="G339" s="38" t="str">
        <x:v>bz_van_338</x:v>
      </x:c>
      <x:c r="H339" s="38" t="str">
        <x:v>role_经济, role_抗压承伤</x:v>
      </x:c>
      <x:c r="I339" s="38" t="n">
        <x:v>2</x:v>
      </x:c>
      <x:c r="J339" s="340" t="n">
        <x:f>XLOOKUP($D339&amp;"|"&amp;$E339&amp;"|"&amp;$F339,'PET_STAT_RULES'!$A$5:$A$88,'PET_STAT_RULES'!$C$5:$C$88)</x:f>
        <x:v>40</x:v>
      </x:c>
      <x:c r="K339" s="340" t="n">
        <x:f>XLOOKUP($D339&amp;"|"&amp;$E339&amp;"|"&amp;$F339,'PET_STAT_RULES'!$A$5:$A$88,'PET_STAT_RULES'!$D$5:$D$88)</x:f>
        <x:v>20</x:v>
      </x:c>
      <x:c r="L339" s="340" t="n">
        <x:f>XLOOKUP($D339&amp;"|"&amp;$E339&amp;"|"&amp;$F339,'PET_STAT_RULES'!$A$5:$A$88,'PET_STAT_RULES'!$F$5:$F$88)</x:f>
        <x:v>0</x:v>
      </x:c>
      <x:c r="M339" s="340" t="n">
        <x:f>XLOOKUP($D339&amp;"|"&amp;$E339&amp;"|"&amp;$F339,'PET_STAT_RULES'!$A$5:$A$88,'PET_STAT_RULES'!$G$5:$G$88)</x:f>
        <x:v>3</x:v>
      </x:c>
      <x:c r="N339" s="38" t="n">
        <x:v>2</x:v>
      </x:c>
      <x:c r="O339" s="38" t="str">
        <x:v>mech_grow_atk_each_round</x:v>
      </x:c>
      <x:c r="P339" s="38" t="str">
        <x:v>08 形状08</x:v>
      </x:c>
      <x:c r="Q339" s="38" t="str">
        <x:v>Heavy</x:v>
      </x:c>
      <x:c r="R339" s="38" t="str">
        <x:v>merchant_package confirmed；来源=测试家的包裹；攻击2格；仅保留来源商人/训练师关系。</x:v>
      </x:c>
      <x:c r="S339" s="38" t="n">
        <x:v>3</x:v>
      </x:c>
      <x:c r="T339" s="38" t="n">
        <x:v>2</x:v>
      </x:c>
      <x:c r="U339" s="15" t="str">
        <x:v>skill_vanguard,skill_flank,skill_pierce,skill_revolve,skill_chase,skill_break,skill_suppress,skill_finale</x:v>
      </x:c>
      <x:c r="V339" s="15" t="str">
        <x:v>trait_relentless</x:v>
      </x:c>
      <x:c r="W339" s="332" t="n">
        <x:f>XLOOKUP($D339&amp;"|"&amp;$E339&amp;"|"&amp;$F339,'PET_STAT_RULES'!$A$5:$A$88,'PET_STAT_RULES'!$E$5:$E$88)</x:f>
        <x:v>0</x:v>
      </x:c>
    </x:row>
    <x:row r="340">
      <x:c r="A340" s="38" t="str">
        <x:v>pal_339</x:v>
      </x:c>
      <x:c r="B340" s="38" t="str">
        <x:v>试家小兽</x:v>
      </x:c>
      <x:c r="C340" s="38" t="str">
        <x:v>草</x:v>
      </x:c>
      <x:c r="D340" s="265" t="str">
        <x:v>白银</x:v>
      </x:c>
      <x:c r="E340" s="38" t="str">
        <x:v>输出</x:v>
      </x:c>
      <x:c r="F340" s="38" t="str">
        <x:v>一格</x:v>
      </x:c>
      <x:c r="G340" s="38" t="str">
        <x:v>bz_van_339</x:v>
      </x:c>
      <x:c r="H340" s="38" t="str">
        <x:v>role_经济, role_抗压承伤</x:v>
      </x:c>
      <x:c r="I340" s="38" t="n">
        <x:v>2</x:v>
      </x:c>
      <x:c r="J340" s="340" t="n">
        <x:f>XLOOKUP($D340&amp;"|"&amp;$E340&amp;"|"&amp;$F340,'PET_STAT_RULES'!$A$5:$A$88,'PET_STAT_RULES'!$C$5:$C$88)</x:f>
        <x:v>34</x:v>
      </x:c>
      <x:c r="K340" s="340" t="n">
        <x:f>XLOOKUP($D340&amp;"|"&amp;$E340&amp;"|"&amp;$F340,'PET_STAT_RULES'!$A$5:$A$88,'PET_STAT_RULES'!$D$5:$D$88)</x:f>
        <x:v>22</x:v>
      </x:c>
      <x:c r="L340" s="340" t="n">
        <x:f>XLOOKUP($D340&amp;"|"&amp;$E340&amp;"|"&amp;$F340,'PET_STAT_RULES'!$A$5:$A$88,'PET_STAT_RULES'!$F$5:$F$88)</x:f>
        <x:v>0</x:v>
      </x:c>
      <x:c r="M340" s="340" t="n">
        <x:f>XLOOKUP($D340&amp;"|"&amp;$E340&amp;"|"&amp;$F340,'PET_STAT_RULES'!$A$5:$A$88,'PET_STAT_RULES'!$G$5:$G$88)</x:f>
        <x:v>3</x:v>
      </x:c>
      <x:c r="N340" s="38" t="n">
        <x:v>3</x:v>
      </x:c>
      <x:c r="O340" s="38" t="str">
        <x:v>mech_grow_atk_each_round</x:v>
      </x:c>
      <x:c r="P340" s="38" t="str">
        <x:v>13 形状13</x:v>
      </x:c>
      <x:c r="Q340" s="38" t="str">
        <x:v>Shiny</x:v>
      </x:c>
      <x:c r="R340" s="38" t="str">
        <x:v>merchant_package confirmed；来源=测试家的包裹；攻击3格；仅保留来源商人/训练师关系。</x:v>
      </x:c>
      <x:c r="S340" s="38" t="n">
        <x:v>3</x:v>
      </x:c>
      <x:c r="T340" s="38" t="n">
        <x:v>2</x:v>
      </x:c>
      <x:c r="U340" s="15" t="str">
        <x:v>skill_vanguard,skill_flank,skill_pierce,skill_revolve,skill_chase,skill_break,skill_suppress,skill_finale</x:v>
      </x:c>
      <x:c r="V340" s="15" t="str">
        <x:v>trait_relentless</x:v>
      </x:c>
      <x:c r="W340" s="332" t="n">
        <x:f>XLOOKUP($D340&amp;"|"&amp;$E340&amp;"|"&amp;$F340,'PET_STAT_RULES'!$A$5:$A$88,'PET_STAT_RULES'!$E$5:$E$88)</x:f>
        <x:v>0</x:v>
      </x:c>
    </x:row>
    <x:row r="341">
      <x:c r="A341" s="38" t="str">
        <x:v>pal_340</x:v>
      </x:c>
      <x:c r="B341" s="38" t="str">
        <x:v>爱拉中兽</x:v>
      </x:c>
      <x:c r="C341" s="38" t="str">
        <x:v>龙</x:v>
      </x:c>
      <x:c r="D341" s="259" t="str">
        <x:v>青铜</x:v>
      </x:c>
      <x:c r="E341" s="38" t="str">
        <x:v>输出</x:v>
      </x:c>
      <x:c r="F341" s="38" t="str">
        <x:v>两格</x:v>
      </x:c>
      <x:c r="G341" s="38" t="str">
        <x:v>bz_van_340</x:v>
      </x:c>
      <x:c r="H341" s="38" t="str">
        <x:v>night_base, elem_草</x:v>
      </x:c>
      <x:c r="I341" s="38" t="n">
        <x:v>2</x:v>
      </x:c>
      <x:c r="J341" s="340" t="n">
        <x:f>XLOOKUP($D341&amp;"|"&amp;$E341&amp;"|"&amp;$F341,'PET_STAT_RULES'!$A$5:$A$88,'PET_STAT_RULES'!$C$5:$C$88)</x:f>
        <x:v>28</x:v>
      </x:c>
      <x:c r="K341" s="340" t="n">
        <x:f>XLOOKUP($D341&amp;"|"&amp;$E341&amp;"|"&amp;$F341,'PET_STAT_RULES'!$A$5:$A$88,'PET_STAT_RULES'!$D$5:$D$88)</x:f>
        <x:v>12</x:v>
      </x:c>
      <x:c r="L341" s="340" t="n">
        <x:f>XLOOKUP($D341&amp;"|"&amp;$E341&amp;"|"&amp;$F341,'PET_STAT_RULES'!$A$5:$A$88,'PET_STAT_RULES'!$F$5:$F$88)</x:f>
        <x:v>0</x:v>
      </x:c>
      <x:c r="M341" s="340" t="n">
        <x:f>XLOOKUP($D341&amp;"|"&amp;$E341&amp;"|"&amp;$F341,'PET_STAT_RULES'!$A$5:$A$88,'PET_STAT_RULES'!$G$5:$G$88)</x:f>
        <x:v>3</x:v>
      </x:c>
      <x:c r="N341" s="38" t="n">
        <x:v>1</x:v>
      </x:c>
      <x:c r="O341" s="38" t="str">
        <x:v>mech_grow_atk_each_round</x:v>
      </x:c>
      <x:c r="P341" s="38" t="str">
        <x:v>02 形状02</x:v>
      </x:c>
      <x:c r="Q341" s="38" t="str">
        <x:v>Heavy</x:v>
      </x:c>
      <x:c r="R341" s="38" t="str">
        <x:v>merchant_package confirmed；来源=爱伊拉的包裹；攻击1格；仅保留来源商人/训练师关系。</x:v>
      </x:c>
      <x:c r="S341" s="38" t="n">
        <x:v>3</x:v>
      </x:c>
      <x:c r="T341" s="38" t="n">
        <x:v>1</x:v>
      </x:c>
      <x:c r="U341" s="15" t="str">
        <x:v>skill_vanguard,skill_flank,skill_pierce,skill_revolve,skill_chase,skill_break,skill_suppress,skill_finale</x:v>
      </x:c>
      <x:c r="V341" s="15" t="str">
        <x:v>trait_relentless</x:v>
      </x:c>
      <x:c r="W341" s="332" t="n">
        <x:f>XLOOKUP($D341&amp;"|"&amp;$E341&amp;"|"&amp;$F341,'PET_STAT_RULES'!$A$5:$A$88,'PET_STAT_RULES'!$E$5:$E$88)</x:f>
        <x:v>0</x:v>
      </x:c>
    </x:row>
    <x:row r="342">
      <x:c r="A342" s="38" t="str">
        <x:v>pal_341</x:v>
      </x:c>
      <x:c r="B342" s="38" t="str">
        <x:v>爱拉大兽</x:v>
      </x:c>
      <x:c r="C342" s="38" t="str">
        <x:v>冰</x:v>
      </x:c>
      <x:c r="D342" s="265" t="str">
        <x:v>白银</x:v>
      </x:c>
      <x:c r="E342" s="38" t="str">
        <x:v>输出</x:v>
      </x:c>
      <x:c r="F342" s="38" t="str">
        <x:v>三格</x:v>
      </x:c>
      <x:c r="G342" s="38" t="str">
        <x:v>bz_van_341</x:v>
      </x:c>
      <x:c r="H342" s="38" t="str">
        <x:v>night_base, role_经济</x:v>
      </x:c>
      <x:c r="I342" s="38" t="n">
        <x:v>2</x:v>
      </x:c>
      <x:c r="J342" s="340" t="n">
        <x:f>XLOOKUP($D342&amp;"|"&amp;$E342&amp;"|"&amp;$F342,'PET_STAT_RULES'!$A$5:$A$88,'PET_STAT_RULES'!$C$5:$C$88)</x:f>
        <x:v>46</x:v>
      </x:c>
      <x:c r="K342" s="340" t="n">
        <x:f>XLOOKUP($D342&amp;"|"&amp;$E342&amp;"|"&amp;$F342,'PET_STAT_RULES'!$A$5:$A$88,'PET_STAT_RULES'!$D$5:$D$88)</x:f>
        <x:v>18</x:v>
      </x:c>
      <x:c r="L342" s="340" t="n">
        <x:f>XLOOKUP($D342&amp;"|"&amp;$E342&amp;"|"&amp;$F342,'PET_STAT_RULES'!$A$5:$A$88,'PET_STAT_RULES'!$F$5:$F$88)</x:f>
        <x:v>0</x:v>
      </x:c>
      <x:c r="M342" s="340" t="n">
        <x:f>XLOOKUP($D342&amp;"|"&amp;$E342&amp;"|"&amp;$F342,'PET_STAT_RULES'!$A$5:$A$88,'PET_STAT_RULES'!$G$5:$G$88)</x:f>
        <x:v>2</x:v>
      </x:c>
      <x:c r="N342" s="38" t="n">
        <x:v>2</x:v>
      </x:c>
      <x:c r="O342" s="38" t="str">
        <x:v>mech_grow_atk_each_round</x:v>
      </x:c>
      <x:c r="P342" s="38" t="str">
        <x:v>06 形状06</x:v>
      </x:c>
      <x:c r="Q342" s="38" t="str">
        <x:v>Heavy</x:v>
      </x:c>
      <x:c r="R342" s="38" t="str">
        <x:v>merchant_package confirmed；来源=爱伊拉的包裹；攻击2格；仅保留来源商人/训练师关系。</x:v>
      </x:c>
      <x:c r="S342" s="38" t="n">
        <x:v>2</x:v>
      </x:c>
      <x:c r="T342" s="38" t="n">
        <x:v>2</x:v>
      </x:c>
      <x:c r="U342" s="15" t="str">
        <x:v>skill_vanguard,skill_flank,skill_pierce,skill_revolve,skill_chase,skill_break,skill_suppress,skill_finale</x:v>
      </x:c>
      <x:c r="V342" s="15" t="str">
        <x:v>trait_relentless</x:v>
      </x:c>
      <x:c r="W342" s="332" t="n">
        <x:f>XLOOKUP($D342&amp;"|"&amp;$E342&amp;"|"&amp;$F342,'PET_STAT_RULES'!$A$5:$A$88,'PET_STAT_RULES'!$E$5:$E$88)</x:f>
        <x:v>0</x:v>
      </x:c>
    </x:row>
    <x:row r="343">
      <x:c r="A343" s="38" t="str">
        <x:v>pal_342</x:v>
      </x:c>
      <x:c r="B343" s="38" t="str">
        <x:v>爱拉小兽</x:v>
      </x:c>
      <x:c r="C343" s="38" t="str">
        <x:v>冰</x:v>
      </x:c>
      <x:c r="D343" s="259" t="str">
        <x:v>青铜</x:v>
      </x:c>
      <x:c r="E343" s="38" t="str">
        <x:v>输出</x:v>
      </x:c>
      <x:c r="F343" s="38" t="str">
        <x:v>一格</x:v>
      </x:c>
      <x:c r="G343" s="38" t="str">
        <x:v>bz_van_342</x:v>
      </x:c>
      <x:c r="H343" s="38" t="str">
        <x:v>night_base, elem_草</x:v>
      </x:c>
      <x:c r="I343" s="38" t="n">
        <x:v>2</x:v>
      </x:c>
      <x:c r="J343" s="340" t="n">
        <x:f>XLOOKUP($D343&amp;"|"&amp;$E343&amp;"|"&amp;$F343,'PET_STAT_RULES'!$A$5:$A$88,'PET_STAT_RULES'!$C$5:$C$88)</x:f>
        <x:v>22</x:v>
      </x:c>
      <x:c r="K343" s="340" t="n">
        <x:f>XLOOKUP($D343&amp;"|"&amp;$E343&amp;"|"&amp;$F343,'PET_STAT_RULES'!$A$5:$A$88,'PET_STAT_RULES'!$D$5:$D$88)</x:f>
        <x:v>14</x:v>
      </x:c>
      <x:c r="L343" s="340" t="n">
        <x:f>XLOOKUP($D343&amp;"|"&amp;$E343&amp;"|"&amp;$F343,'PET_STAT_RULES'!$A$5:$A$88,'PET_STAT_RULES'!$F$5:$F$88)</x:f>
        <x:v>0</x:v>
      </x:c>
      <x:c r="M343" s="340" t="n">
        <x:f>XLOOKUP($D343&amp;"|"&amp;$E343&amp;"|"&amp;$F343,'PET_STAT_RULES'!$A$5:$A$88,'PET_STAT_RULES'!$G$5:$G$88)</x:f>
        <x:v>3</x:v>
      </x:c>
      <x:c r="N343" s="38" t="n">
        <x:v>3</x:v>
      </x:c>
      <x:c r="O343" s="38" t="str">
        <x:v>mech_grow_atk_each_round</x:v>
      </x:c>
      <x:c r="P343" s="38" t="str">
        <x:v>17 形状17</x:v>
      </x:c>
      <x:c r="Q343" s="38" t="str">
        <x:v>Heavy</x:v>
      </x:c>
      <x:c r="R343" s="38" t="str">
        <x:v>merchant_package confirmed；来源=爱伊拉的包裹；攻击3格；仅保留来源商人/训练师关系。</x:v>
      </x:c>
      <x:c r="S343" s="38" t="n">
        <x:v>3</x:v>
      </x:c>
      <x:c r="T343" s="38" t="n">
        <x:v>1</x:v>
      </x:c>
      <x:c r="U343" s="15" t="str">
        <x:v>skill_vanguard,skill_flank,skill_pierce,skill_revolve,skill_chase,skill_break,skill_suppress,skill_finale</x:v>
      </x:c>
      <x:c r="V343" s="15" t="str">
        <x:v>trait_relentless</x:v>
      </x:c>
      <x:c r="W343" s="332" t="n">
        <x:f>XLOOKUP($D343&amp;"|"&amp;$E343&amp;"|"&amp;$F343,'PET_STAT_RULES'!$A$5:$A$88,'PET_STAT_RULES'!$E$5:$E$88)</x:f>
        <x:v>0</x:v>
      </x:c>
    </x:row>
    <x:row r="344">
      <x:c r="A344" s="38" t="str">
        <x:v>pal_343</x:v>
      </x:c>
      <x:c r="B344" s="38" t="str">
        <x:v>瓦尔大兽</x:v>
      </x:c>
      <x:c r="C344" s="38" t="str">
        <x:v>地</x:v>
      </x:c>
      <x:c r="D344" s="265" t="str">
        <x:v>白银</x:v>
      </x:c>
      <x:c r="E344" s="38" t="str">
        <x:v>输出</x:v>
      </x:c>
      <x:c r="F344" s="38" t="str">
        <x:v>三格</x:v>
      </x:c>
      <x:c r="G344" s="38" t="str">
        <x:v>bz_van_343</x:v>
      </x:c>
      <x:c r="H344" s="38" t="str">
        <x:v>elem_暗, role_经济</x:v>
      </x:c>
      <x:c r="I344" s="38" t="n">
        <x:v>2</x:v>
      </x:c>
      <x:c r="J344" s="340" t="n">
        <x:f>XLOOKUP($D344&amp;"|"&amp;$E344&amp;"|"&amp;$F344,'PET_STAT_RULES'!$A$5:$A$88,'PET_STAT_RULES'!$C$5:$C$88)</x:f>
        <x:v>46</x:v>
      </x:c>
      <x:c r="K344" s="340" t="n">
        <x:f>XLOOKUP($D344&amp;"|"&amp;$E344&amp;"|"&amp;$F344,'PET_STAT_RULES'!$A$5:$A$88,'PET_STAT_RULES'!$D$5:$D$88)</x:f>
        <x:v>18</x:v>
      </x:c>
      <x:c r="L344" s="340" t="n">
        <x:f>XLOOKUP($D344&amp;"|"&amp;$E344&amp;"|"&amp;$F344,'PET_STAT_RULES'!$A$5:$A$88,'PET_STAT_RULES'!$F$5:$F$88)</x:f>
        <x:v>0</x:v>
      </x:c>
      <x:c r="M344" s="340" t="n">
        <x:f>XLOOKUP($D344&amp;"|"&amp;$E344&amp;"|"&amp;$F344,'PET_STAT_RULES'!$A$5:$A$88,'PET_STAT_RULES'!$G$5:$G$88)</x:f>
        <x:v>2</x:v>
      </x:c>
      <x:c r="N344" s="38" t="n">
        <x:v>2</x:v>
      </x:c>
      <x:c r="O344" s="38" t="str">
        <x:v>mech_grow_atk_each_round</x:v>
      </x:c>
      <x:c r="P344" s="38" t="str">
        <x:v>07 形状07</x:v>
      </x:c>
      <x:c r="Q344" s="38" t="str">
        <x:v>Shiny</x:v>
      </x:c>
      <x:c r="R344" s="38" t="str">
        <x:v>merchant_package confirmed；来源=瓦尔帕克的包裹；攻击2格；仅保留来源商人/训练师关系。</x:v>
      </x:c>
      <x:c r="S344" s="38" t="n">
        <x:v>2</x:v>
      </x:c>
      <x:c r="T344" s="38" t="n">
        <x:v>2</x:v>
      </x:c>
      <x:c r="U344" s="15" t="str">
        <x:v>skill_vanguard,skill_flank,skill_pierce,skill_revolve,skill_chase,skill_break,skill_suppress,skill_finale</x:v>
      </x:c>
      <x:c r="V344" s="15" t="str">
        <x:v>trait_relentless</x:v>
      </x:c>
      <x:c r="W344" s="332" t="n">
        <x:f>XLOOKUP($D344&amp;"|"&amp;$E344&amp;"|"&amp;$F344,'PET_STAT_RULES'!$A$5:$A$88,'PET_STAT_RULES'!$E$5:$E$88)</x:f>
        <x:v>0</x:v>
      </x:c>
    </x:row>
    <x:row r="345">
      <x:c r="A345" s="38" t="str">
        <x:v>pal_344</x:v>
      </x:c>
      <x:c r="B345" s="38" t="str">
        <x:v>瓦尔小兽</x:v>
      </x:c>
      <x:c r="C345" s="38" t="str">
        <x:v>火</x:v>
      </x:c>
      <x:c r="D345" s="259" t="str">
        <x:v>青铜</x:v>
      </x:c>
      <x:c r="E345" s="38" t="str">
        <x:v>输出</x:v>
      </x:c>
      <x:c r="F345" s="38" t="str">
        <x:v>一格</x:v>
      </x:c>
      <x:c r="G345" s="38" t="str">
        <x:v>bz_van_344</x:v>
      </x:c>
      <x:c r="H345" s="38" t="str">
        <x:v>elem_草, elem_暗</x:v>
      </x:c>
      <x:c r="I345" s="38" t="n">
        <x:v>2</x:v>
      </x:c>
      <x:c r="J345" s="340" t="n">
        <x:f>XLOOKUP($D345&amp;"|"&amp;$E345&amp;"|"&amp;$F345,'PET_STAT_RULES'!$A$5:$A$88,'PET_STAT_RULES'!$C$5:$C$88)</x:f>
        <x:v>22</x:v>
      </x:c>
      <x:c r="K345" s="340" t="n">
        <x:f>XLOOKUP($D345&amp;"|"&amp;$E345&amp;"|"&amp;$F345,'PET_STAT_RULES'!$A$5:$A$88,'PET_STAT_RULES'!$D$5:$D$88)</x:f>
        <x:v>14</x:v>
      </x:c>
      <x:c r="L345" s="340" t="n">
        <x:f>XLOOKUP($D345&amp;"|"&amp;$E345&amp;"|"&amp;$F345,'PET_STAT_RULES'!$A$5:$A$88,'PET_STAT_RULES'!$F$5:$F$88)</x:f>
        <x:v>0</x:v>
      </x:c>
      <x:c r="M345" s="340" t="n">
        <x:f>XLOOKUP($D345&amp;"|"&amp;$E345&amp;"|"&amp;$F345,'PET_STAT_RULES'!$A$5:$A$88,'PET_STAT_RULES'!$G$5:$G$88)</x:f>
        <x:v>3</x:v>
      </x:c>
      <x:c r="N345" s="38" t="n">
        <x:v>3</x:v>
      </x:c>
      <x:c r="O345" s="38" t="str">
        <x:v>mech_grow_atk_each_round</x:v>
      </x:c>
      <x:c r="P345" s="38" t="str">
        <x:v>17 形状17</x:v>
      </x:c>
      <x:c r="Q345" s="38" t="str">
        <x:v>Heavy</x:v>
      </x:c>
      <x:c r="R345" s="38" t="str">
        <x:v>merchant_package confirmed；来源=瓦尔帕克的包裹；攻击3格；仅保留来源商人/训练师关系。</x:v>
      </x:c>
      <x:c r="S345" s="38" t="n">
        <x:v>3</x:v>
      </x:c>
      <x:c r="T345" s="38" t="n">
        <x:v>1</x:v>
      </x:c>
      <x:c r="U345" s="15" t="str">
        <x:v>skill_vanguard,skill_flank,skill_pierce,skill_revolve,skill_chase,skill_break,skill_suppress,skill_finale</x:v>
      </x:c>
      <x:c r="V345" s="15" t="str">
        <x:v>trait_relentless</x:v>
      </x:c>
      <x:c r="W345" s="332" t="n">
        <x:f>XLOOKUP($D345&amp;"|"&amp;$E345&amp;"|"&amp;$F345,'PET_STAT_RULES'!$A$5:$A$88,'PET_STAT_RULES'!$E$5:$E$88)</x:f>
        <x:v>0</x:v>
      </x:c>
    </x:row>
    <x:row r="346">
      <x:c r="A346" s="38" t="str">
        <x:v>pal_345</x:v>
      </x:c>
      <x:c r="B346" s="38" t="str">
        <x:v>瓦尔中兽</x:v>
      </x:c>
      <x:c r="C346" s="38" t="str">
        <x:v>火</x:v>
      </x:c>
      <x:c r="D346" s="259" t="str">
        <x:v>青铜</x:v>
      </x:c>
      <x:c r="E346" s="38" t="str">
        <x:v>输出</x:v>
      </x:c>
      <x:c r="F346" s="38" t="str">
        <x:v>两格</x:v>
      </x:c>
      <x:c r="G346" s="38" t="str">
        <x:v>bz_van_345</x:v>
      </x:c>
      <x:c r="H346" s="38" t="str">
        <x:v>elem_草, elem_暗</x:v>
      </x:c>
      <x:c r="I346" s="38" t="n">
        <x:v>2</x:v>
      </x:c>
      <x:c r="J346" s="340" t="n">
        <x:f>XLOOKUP($D346&amp;"|"&amp;$E346&amp;"|"&amp;$F346,'PET_STAT_RULES'!$A$5:$A$88,'PET_STAT_RULES'!$C$5:$C$88)</x:f>
        <x:v>28</x:v>
      </x:c>
      <x:c r="K346" s="340" t="n">
        <x:f>XLOOKUP($D346&amp;"|"&amp;$E346&amp;"|"&amp;$F346,'PET_STAT_RULES'!$A$5:$A$88,'PET_STAT_RULES'!$D$5:$D$88)</x:f>
        <x:v>12</x:v>
      </x:c>
      <x:c r="L346" s="340" t="n">
        <x:f>XLOOKUP($D346&amp;"|"&amp;$E346&amp;"|"&amp;$F346,'PET_STAT_RULES'!$A$5:$A$88,'PET_STAT_RULES'!$F$5:$F$88)</x:f>
        <x:v>0</x:v>
      </x:c>
      <x:c r="M346" s="340" t="n">
        <x:f>XLOOKUP($D346&amp;"|"&amp;$E346&amp;"|"&amp;$F346,'PET_STAT_RULES'!$A$5:$A$88,'PET_STAT_RULES'!$G$5:$G$88)</x:f>
        <x:v>3</x:v>
      </x:c>
      <x:c r="N346" s="38" t="n">
        <x:v>1</x:v>
      </x:c>
      <x:c r="O346" s="38" t="str">
        <x:v>mech_grow_atk_each_round</x:v>
      </x:c>
      <x:c r="P346" s="38" t="str">
        <x:v>03 形状03</x:v>
      </x:c>
      <x:c r="Q346" s="38" t="str">
        <x:v>Shiny</x:v>
      </x:c>
      <x:c r="R346" s="38" t="str">
        <x:v>merchant_package confirmed；来源=瓦尔帕克的包裹；攻击1格；仅保留来源商人/训练师关系。</x:v>
      </x:c>
      <x:c r="S346" s="38" t="n">
        <x:v>3</x:v>
      </x:c>
      <x:c r="T346" s="38" t="n">
        <x:v>1</x:v>
      </x:c>
      <x:c r="U346" s="15" t="str">
        <x:v>skill_vanguard,skill_flank,skill_pierce,skill_revolve,skill_chase,skill_break,skill_suppress,skill_finale</x:v>
      </x:c>
      <x:c r="V346" s="15" t="str">
        <x:v>trait_relentless</x:v>
      </x:c>
      <x:c r="W346" s="332" t="n">
        <x:f>XLOOKUP($D346&amp;"|"&amp;$E346&amp;"|"&amp;$F346,'PET_STAT_RULES'!$A$5:$A$88,'PET_STAT_RULES'!$E$5:$E$88)</x:f>
        <x:v>0</x:v>
      </x:c>
    </x:row>
    <x:row r="347">
      <x:c r="A347" s="38" t="str">
        <x:v>pal_346</x:v>
      </x:c>
      <x:c r="B347" s="38" t="str">
        <x:v>米兹中兽</x:v>
      </x:c>
      <x:c r="C347" s="38" t="str">
        <x:v>水</x:v>
      </x:c>
      <x:c r="D347" s="259" t="str">
        <x:v>青铜</x:v>
      </x:c>
      <x:c r="E347" s="38" t="str">
        <x:v>输出</x:v>
      </x:c>
      <x:c r="F347" s="38" t="str">
        <x:v>两格</x:v>
      </x:c>
      <x:c r="G347" s="38" t="str">
        <x:v>bz_van_346</x:v>
      </x:c>
      <x:c r="H347" s="38" t="str">
        <x:v>elem_草, elem_地</x:v>
      </x:c>
      <x:c r="I347" s="38" t="n">
        <x:v>2</x:v>
      </x:c>
      <x:c r="J347" s="340" t="n">
        <x:f>XLOOKUP($D347&amp;"|"&amp;$E347&amp;"|"&amp;$F347,'PET_STAT_RULES'!$A$5:$A$88,'PET_STAT_RULES'!$C$5:$C$88)</x:f>
        <x:v>28</x:v>
      </x:c>
      <x:c r="K347" s="340" t="n">
        <x:f>XLOOKUP($D347&amp;"|"&amp;$E347&amp;"|"&amp;$F347,'PET_STAT_RULES'!$A$5:$A$88,'PET_STAT_RULES'!$D$5:$D$88)</x:f>
        <x:v>12</x:v>
      </x:c>
      <x:c r="L347" s="340" t="n">
        <x:f>XLOOKUP($D347&amp;"|"&amp;$E347&amp;"|"&amp;$F347,'PET_STAT_RULES'!$A$5:$A$88,'PET_STAT_RULES'!$F$5:$F$88)</x:f>
        <x:v>0</x:v>
      </x:c>
      <x:c r="M347" s="340" t="n">
        <x:f>XLOOKUP($D347&amp;"|"&amp;$E347&amp;"|"&amp;$F347,'PET_STAT_RULES'!$A$5:$A$88,'PET_STAT_RULES'!$G$5:$G$88)</x:f>
        <x:v>3</x:v>
      </x:c>
      <x:c r="N347" s="38" t="n">
        <x:v>1</x:v>
      </x:c>
      <x:c r="O347" s="38" t="str">
        <x:v>mech_grow_atk_each_round</x:v>
      </x:c>
      <x:c r="P347" s="38" t="str">
        <x:v>03 形状03</x:v>
      </x:c>
      <x:c r="Q347" s="38" t="str">
        <x:v>Shiny</x:v>
      </x:c>
      <x:c r="R347" s="38" t="str">
        <x:v>merchant_package confirmed；来源=米兹沃斯的包裹；攻击1格；仅保留来源商人/训练师关系。</x:v>
      </x:c>
      <x:c r="S347" s="38" t="n">
        <x:v>3</x:v>
      </x:c>
      <x:c r="T347" s="38" t="n">
        <x:v>1</x:v>
      </x:c>
      <x:c r="U347" s="15" t="str">
        <x:v>skill_vanguard,skill_flank,skill_pierce,skill_revolve,skill_chase,skill_break,skill_suppress,skill_finale</x:v>
      </x:c>
      <x:c r="V347" s="15" t="str">
        <x:v>trait_relentless</x:v>
      </x:c>
      <x:c r="W347" s="332" t="n">
        <x:f>XLOOKUP($D347&amp;"|"&amp;$E347&amp;"|"&amp;$F347,'PET_STAT_RULES'!$A$5:$A$88,'PET_STAT_RULES'!$E$5:$E$88)</x:f>
        <x:v>0</x:v>
      </x:c>
    </x:row>
    <x:row r="348">
      <x:c r="A348" s="38" t="str">
        <x:v>pal_347</x:v>
      </x:c>
      <x:c r="B348" s="38" t="str">
        <x:v>米兹大兽</x:v>
      </x:c>
      <x:c r="C348" s="38" t="str">
        <x:v>地</x:v>
      </x:c>
      <x:c r="D348" s="265" t="str">
        <x:v>白银</x:v>
      </x:c>
      <x:c r="E348" s="38" t="str">
        <x:v>输出</x:v>
      </x:c>
      <x:c r="F348" s="38" t="str">
        <x:v>三格</x:v>
      </x:c>
      <x:c r="G348" s="38" t="str">
        <x:v>bz_van_347</x:v>
      </x:c>
      <x:c r="H348" s="38" t="str">
        <x:v>elem_地, role_经济</x:v>
      </x:c>
      <x:c r="I348" s="38" t="n">
        <x:v>2</x:v>
      </x:c>
      <x:c r="J348" s="340" t="n">
        <x:f>XLOOKUP($D348&amp;"|"&amp;$E348&amp;"|"&amp;$F348,'PET_STAT_RULES'!$A$5:$A$88,'PET_STAT_RULES'!$C$5:$C$88)</x:f>
        <x:v>46</x:v>
      </x:c>
      <x:c r="K348" s="340" t="n">
        <x:f>XLOOKUP($D348&amp;"|"&amp;$E348&amp;"|"&amp;$F348,'PET_STAT_RULES'!$A$5:$A$88,'PET_STAT_RULES'!$D$5:$D$88)</x:f>
        <x:v>18</x:v>
      </x:c>
      <x:c r="L348" s="340" t="n">
        <x:f>XLOOKUP($D348&amp;"|"&amp;$E348&amp;"|"&amp;$F348,'PET_STAT_RULES'!$A$5:$A$88,'PET_STAT_RULES'!$F$5:$F$88)</x:f>
        <x:v>0</x:v>
      </x:c>
      <x:c r="M348" s="340" t="n">
        <x:f>XLOOKUP($D348&amp;"|"&amp;$E348&amp;"|"&amp;$F348,'PET_STAT_RULES'!$A$5:$A$88,'PET_STAT_RULES'!$G$5:$G$88)</x:f>
        <x:v>2</x:v>
      </x:c>
      <x:c r="N348" s="38" t="n">
        <x:v>2</x:v>
      </x:c>
      <x:c r="O348" s="38" t="str">
        <x:v>mech_grow_atk_each_round</x:v>
      </x:c>
      <x:c r="P348" s="38" t="str">
        <x:v>09 形状09</x:v>
      </x:c>
      <x:c r="Q348" s="38" t="str">
        <x:v>Shiny</x:v>
      </x:c>
      <x:c r="R348" s="38" t="str">
        <x:v>merchant_package confirmed；来源=米兹沃斯的包裹；攻击2格；仅保留来源商人/训练师关系。</x:v>
      </x:c>
      <x:c r="S348" s="38" t="n">
        <x:v>2</x:v>
      </x:c>
      <x:c r="T348" s="38" t="n">
        <x:v>2</x:v>
      </x:c>
      <x:c r="U348" s="15" t="str">
        <x:v>skill_vanguard,skill_flank,skill_pierce,skill_revolve,skill_chase,skill_break,skill_suppress,skill_finale</x:v>
      </x:c>
      <x:c r="V348" s="15" t="str">
        <x:v>trait_relentless</x:v>
      </x:c>
      <x:c r="W348" s="332" t="n">
        <x:f>XLOOKUP($D348&amp;"|"&amp;$E348&amp;"|"&amp;$F348,'PET_STAT_RULES'!$A$5:$A$88,'PET_STAT_RULES'!$E$5:$E$88)</x:f>
        <x:v>0</x:v>
      </x:c>
    </x:row>
    <x:row r="349">
      <x:c r="A349" s="38" t="str">
        <x:v>pal_348</x:v>
      </x:c>
      <x:c r="B349" s="38" t="str">
        <x:v>米兹小兽</x:v>
      </x:c>
      <x:c r="C349" s="38" t="str">
        <x:v>地</x:v>
      </x:c>
      <x:c r="D349" s="259" t="str">
        <x:v>青铜</x:v>
      </x:c>
      <x:c r="E349" s="38" t="str">
        <x:v>输出</x:v>
      </x:c>
      <x:c r="F349" s="38" t="str">
        <x:v>一格</x:v>
      </x:c>
      <x:c r="G349" s="38" t="str">
        <x:v>bz_van_348</x:v>
      </x:c>
      <x:c r="H349" s="38" t="str">
        <x:v>elem_草, elem_地</x:v>
      </x:c>
      <x:c r="I349" s="38" t="n">
        <x:v>2</x:v>
      </x:c>
      <x:c r="J349" s="340" t="n">
        <x:f>XLOOKUP($D349&amp;"|"&amp;$E349&amp;"|"&amp;$F349,'PET_STAT_RULES'!$A$5:$A$88,'PET_STAT_RULES'!$C$5:$C$88)</x:f>
        <x:v>22</x:v>
      </x:c>
      <x:c r="K349" s="340" t="n">
        <x:f>XLOOKUP($D349&amp;"|"&amp;$E349&amp;"|"&amp;$F349,'PET_STAT_RULES'!$A$5:$A$88,'PET_STAT_RULES'!$D$5:$D$88)</x:f>
        <x:v>14</x:v>
      </x:c>
      <x:c r="L349" s="340" t="n">
        <x:f>XLOOKUP($D349&amp;"|"&amp;$E349&amp;"|"&amp;$F349,'PET_STAT_RULES'!$A$5:$A$88,'PET_STAT_RULES'!$F$5:$F$88)</x:f>
        <x:v>0</x:v>
      </x:c>
      <x:c r="M349" s="340" t="n">
        <x:f>XLOOKUP($D349&amp;"|"&amp;$E349&amp;"|"&amp;$F349,'PET_STAT_RULES'!$A$5:$A$88,'PET_STAT_RULES'!$G$5:$G$88)</x:f>
        <x:v>3</x:v>
      </x:c>
      <x:c r="N349" s="38" t="n">
        <x:v>3</x:v>
      </x:c>
      <x:c r="O349" s="38" t="str">
        <x:v>mech_grow_atk_each_round</x:v>
      </x:c>
      <x:c r="P349" s="38" t="str">
        <x:v>13 形状13</x:v>
      </x:c>
      <x:c r="Q349" s="38" t="str">
        <x:v>Shiny</x:v>
      </x:c>
      <x:c r="R349" s="38" t="str">
        <x:v>merchant_package confirmed；来源=米兹沃斯的包裹；攻击3格；仅保留来源商人/训练师关系。</x:v>
      </x:c>
      <x:c r="S349" s="38" t="n">
        <x:v>3</x:v>
      </x:c>
      <x:c r="T349" s="38" t="n">
        <x:v>1</x:v>
      </x:c>
      <x:c r="U349" s="15" t="str">
        <x:v>skill_vanguard,skill_flank,skill_pierce,skill_revolve,skill_chase,skill_break,skill_suppress,skill_finale</x:v>
      </x:c>
      <x:c r="V349" s="15" t="str">
        <x:v>trait_relentless</x:v>
      </x:c>
      <x:c r="W349" s="332" t="n">
        <x:f>XLOOKUP($D349&amp;"|"&amp;$E349&amp;"|"&amp;$F349,'PET_STAT_RULES'!$A$5:$A$88,'PET_STAT_RULES'!$E$5:$E$88)</x:f>
        <x:v>0</x:v>
      </x:c>
    </x:row>
    <x:row r="350">
      <x:c r="A350" s="38" t="str">
        <x:v>pal_349</x:v>
      </x:c>
      <x:c r="B350" s="38" t="str">
        <x:v>米透小兽</x:v>
      </x:c>
      <x:c r="C350" s="38" t="str">
        <x:v>无</x:v>
      </x:c>
      <x:c r="D350" s="259" t="str">
        <x:v>青铜</x:v>
      </x:c>
      <x:c r="E350" s="38" t="str">
        <x:v>输出</x:v>
      </x:c>
      <x:c r="F350" s="38" t="str">
        <x:v>一格</x:v>
      </x:c>
      <x:c r="G350" s="38" t="str">
        <x:v>bz_van_349</x:v>
      </x:c>
      <x:c r="H350" s="38" t="str">
        <x:v>elem_草, elem_无</x:v>
      </x:c>
      <x:c r="I350" s="38" t="n">
        <x:v>2</x:v>
      </x:c>
      <x:c r="J350" s="340" t="n">
        <x:f>XLOOKUP($D350&amp;"|"&amp;$E350&amp;"|"&amp;$F350,'PET_STAT_RULES'!$A$5:$A$88,'PET_STAT_RULES'!$C$5:$C$88)</x:f>
        <x:v>22</x:v>
      </x:c>
      <x:c r="K350" s="340" t="n">
        <x:f>XLOOKUP($D350&amp;"|"&amp;$E350&amp;"|"&amp;$F350,'PET_STAT_RULES'!$A$5:$A$88,'PET_STAT_RULES'!$D$5:$D$88)</x:f>
        <x:v>14</x:v>
      </x:c>
      <x:c r="L350" s="340" t="n">
        <x:f>XLOOKUP($D350&amp;"|"&amp;$E350&amp;"|"&amp;$F350,'PET_STAT_RULES'!$A$5:$A$88,'PET_STAT_RULES'!$F$5:$F$88)</x:f>
        <x:v>0</x:v>
      </x:c>
      <x:c r="M350" s="340" t="n">
        <x:f>XLOOKUP($D350&amp;"|"&amp;$E350&amp;"|"&amp;$F350,'PET_STAT_RULES'!$A$5:$A$88,'PET_STAT_RULES'!$G$5:$G$88)</x:f>
        <x:v>3</x:v>
      </x:c>
      <x:c r="N350" s="38" t="n">
        <x:v>3</x:v>
      </x:c>
      <x:c r="O350" s="38" t="str">
        <x:v>mech_grow_atk_each_round</x:v>
      </x:c>
      <x:c r="P350" s="38" t="str">
        <x:v>15 形状15</x:v>
      </x:c>
      <x:c r="Q350" s="38" t="str">
        <x:v>Shiny</x:v>
      </x:c>
      <x:c r="R350" s="38" t="str">
        <x:v>merchant_package confirmed；来源=米透的包裹；攻击3格；仅保留来源商人/训练师关系。</x:v>
      </x:c>
      <x:c r="S350" s="38" t="n">
        <x:v>3</x:v>
      </x:c>
      <x:c r="T350" s="38" t="n">
        <x:v>1</x:v>
      </x:c>
      <x:c r="U350" s="15" t="str">
        <x:v>skill_vanguard,skill_flank,skill_pierce,skill_revolve,skill_chase,skill_break,skill_suppress,skill_finale</x:v>
      </x:c>
      <x:c r="V350" s="15" t="str">
        <x:v>trait_relentless</x:v>
      </x:c>
      <x:c r="W350" s="332" t="n">
        <x:f>XLOOKUP($D350&amp;"|"&amp;$E350&amp;"|"&amp;$F350,'PET_STAT_RULES'!$A$5:$A$88,'PET_STAT_RULES'!$E$5:$E$88)</x:f>
        <x:v>0</x:v>
      </x:c>
    </x:row>
    <x:row r="351">
      <x:c r="A351" s="38" t="str">
        <x:v>pal_350</x:v>
      </x:c>
      <x:c r="B351" s="38" t="str">
        <x:v>米透大兽</x:v>
      </x:c>
      <x:c r="C351" s="38" t="str">
        <x:v>无</x:v>
      </x:c>
      <x:c r="D351" s="265" t="str">
        <x:v>白银</x:v>
      </x:c>
      <x:c r="E351" s="38" t="str">
        <x:v>输出</x:v>
      </x:c>
      <x:c r="F351" s="38" t="str">
        <x:v>三格</x:v>
      </x:c>
      <x:c r="G351" s="38" t="str">
        <x:v>bz_van_350</x:v>
      </x:c>
      <x:c r="H351" s="38" t="str">
        <x:v>elem_无, role_经济</x:v>
      </x:c>
      <x:c r="I351" s="38" t="n">
        <x:v>2</x:v>
      </x:c>
      <x:c r="J351" s="340" t="n">
        <x:f>XLOOKUP($D351&amp;"|"&amp;$E351&amp;"|"&amp;$F351,'PET_STAT_RULES'!$A$5:$A$88,'PET_STAT_RULES'!$C$5:$C$88)</x:f>
        <x:v>46</x:v>
      </x:c>
      <x:c r="K351" s="340" t="n">
        <x:f>XLOOKUP($D351&amp;"|"&amp;$E351&amp;"|"&amp;$F351,'PET_STAT_RULES'!$A$5:$A$88,'PET_STAT_RULES'!$D$5:$D$88)</x:f>
        <x:v>18</x:v>
      </x:c>
      <x:c r="L351" s="340" t="n">
        <x:f>XLOOKUP($D351&amp;"|"&amp;$E351&amp;"|"&amp;$F351,'PET_STAT_RULES'!$A$5:$A$88,'PET_STAT_RULES'!$F$5:$F$88)</x:f>
        <x:v>0</x:v>
      </x:c>
      <x:c r="M351" s="340" t="n">
        <x:f>XLOOKUP($D351&amp;"|"&amp;$E351&amp;"|"&amp;$F351,'PET_STAT_RULES'!$A$5:$A$88,'PET_STAT_RULES'!$G$5:$G$88)</x:f>
        <x:v>2</x:v>
      </x:c>
      <x:c r="N351" s="38" t="n">
        <x:v>2</x:v>
      </x:c>
      <x:c r="O351" s="38" t="str">
        <x:v>mech_grow_atk_each_round</x:v>
      </x:c>
      <x:c r="P351" s="38" t="str">
        <x:v>06 形状06</x:v>
      </x:c>
      <x:c r="Q351" s="38" t="str">
        <x:v>Heavy</x:v>
      </x:c>
      <x:c r="R351" s="38" t="str">
        <x:v>merchant_package confirmed；来源=米透的包裹；攻击2格；仅保留来源商人/训练师关系。</x:v>
      </x:c>
      <x:c r="S351" s="38" t="n">
        <x:v>2</x:v>
      </x:c>
      <x:c r="T351" s="38" t="n">
        <x:v>2</x:v>
      </x:c>
      <x:c r="U351" s="15" t="str">
        <x:v>skill_vanguard,skill_flank,skill_pierce,skill_revolve,skill_chase,skill_break,skill_suppress,skill_finale</x:v>
      </x:c>
      <x:c r="V351" s="15" t="str">
        <x:v>trait_relentless</x:v>
      </x:c>
      <x:c r="W351" s="332" t="n">
        <x:f>XLOOKUP($D351&amp;"|"&amp;$E351&amp;"|"&amp;$F351,'PET_STAT_RULES'!$A$5:$A$88,'PET_STAT_RULES'!$E$5:$E$88)</x:f>
        <x:v>0</x:v>
      </x:c>
    </x:row>
    <x:row r="352">
      <x:c r="A352" s="38" t="str">
        <x:v>pal_351</x:v>
      </x:c>
      <x:c r="B352" s="38" t="str">
        <x:v>米透中兽</x:v>
      </x:c>
      <x:c r="C352" s="38" t="str">
        <x:v>水</x:v>
      </x:c>
      <x:c r="D352" s="265" t="str">
        <x:v>白银</x:v>
      </x:c>
      <x:c r="E352" s="38" t="str">
        <x:v>输出</x:v>
      </x:c>
      <x:c r="F352" s="38" t="str">
        <x:v>两格</x:v>
      </x:c>
      <x:c r="G352" s="38" t="str">
        <x:v>bz_van_351</x:v>
      </x:c>
      <x:c r="H352" s="38" t="str">
        <x:v>elem_无, role_经济</x:v>
      </x:c>
      <x:c r="I352" s="38" t="n">
        <x:v>2</x:v>
      </x:c>
      <x:c r="J352" s="340" t="n">
        <x:f>XLOOKUP($D352&amp;"|"&amp;$E352&amp;"|"&amp;$F352,'PET_STAT_RULES'!$A$5:$A$88,'PET_STAT_RULES'!$C$5:$C$88)</x:f>
        <x:v>40</x:v>
      </x:c>
      <x:c r="K352" s="340" t="n">
        <x:f>XLOOKUP($D352&amp;"|"&amp;$E352&amp;"|"&amp;$F352,'PET_STAT_RULES'!$A$5:$A$88,'PET_STAT_RULES'!$D$5:$D$88)</x:f>
        <x:v>20</x:v>
      </x:c>
      <x:c r="L352" s="340" t="n">
        <x:f>XLOOKUP($D352&amp;"|"&amp;$E352&amp;"|"&amp;$F352,'PET_STAT_RULES'!$A$5:$A$88,'PET_STAT_RULES'!$F$5:$F$88)</x:f>
        <x:v>0</x:v>
      </x:c>
      <x:c r="M352" s="340" t="n">
        <x:f>XLOOKUP($D352&amp;"|"&amp;$E352&amp;"|"&amp;$F352,'PET_STAT_RULES'!$A$5:$A$88,'PET_STAT_RULES'!$G$5:$G$88)</x:f>
        <x:v>3</x:v>
      </x:c>
      <x:c r="N352" s="38" t="n">
        <x:v>2</x:v>
      </x:c>
      <x:c r="O352" s="38" t="str">
        <x:v>mech_grow_atk_each_round</x:v>
      </x:c>
      <x:c r="P352" s="38" t="str">
        <x:v>07 形状07</x:v>
      </x:c>
      <x:c r="Q352" s="38" t="str">
        <x:v>Shiny</x:v>
      </x:c>
      <x:c r="R352" s="38" t="str">
        <x:v>merchant_package confirmed；来源=米透的包裹；攻击2格；仅保留来源商人/训练师关系。</x:v>
      </x:c>
      <x:c r="S352" s="38" t="n">
        <x:v>3</x:v>
      </x:c>
      <x:c r="T352" s="38" t="n">
        <x:v>2</x:v>
      </x:c>
      <x:c r="U352" s="15" t="str">
        <x:v>skill_vanguard,skill_flank,skill_pierce,skill_revolve,skill_chase,skill_break,skill_suppress,skill_finale</x:v>
      </x:c>
      <x:c r="V352" s="15" t="str">
        <x:v>trait_relentless</x:v>
      </x:c>
      <x:c r="W352" s="332" t="n">
        <x:f>XLOOKUP($D352&amp;"|"&amp;$E352&amp;"|"&amp;$F352,'PET_STAT_RULES'!$A$5:$A$88,'PET_STAT_RULES'!$E$5:$E$88)</x:f>
        <x:v>0</x:v>
      </x:c>
    </x:row>
    <x:row r="353">
      <x:c r="A353" s="38" t="str">
        <x:v>pal_352</x:v>
      </x:c>
      <x:c r="B353" s="38" t="str">
        <x:v>自瞄大兽</x:v>
      </x:c>
      <x:c r="C353" s="38" t="str">
        <x:v>水</x:v>
      </x:c>
      <x:c r="D353" s="265" t="str">
        <x:v>白银</x:v>
      </x:c>
      <x:c r="E353" s="38" t="str">
        <x:v>输出</x:v>
      </x:c>
      <x:c r="F353" s="38" t="str">
        <x:v>三格</x:v>
      </x:c>
      <x:c r="G353" s="38" t="str">
        <x:v>bz_van_352</x:v>
      </x:c>
      <x:c r="H353" s="38" t="str">
        <x:v>role_经济, tier_pT1</x:v>
      </x:c>
      <x:c r="I353" s="38" t="n">
        <x:v>2</x:v>
      </x:c>
      <x:c r="J353" s="340" t="n">
        <x:f>XLOOKUP($D353&amp;"|"&amp;$E353&amp;"|"&amp;$F353,'PET_STAT_RULES'!$A$5:$A$88,'PET_STAT_RULES'!$C$5:$C$88)</x:f>
        <x:v>46</x:v>
      </x:c>
      <x:c r="K353" s="340" t="n">
        <x:f>XLOOKUP($D353&amp;"|"&amp;$E353&amp;"|"&amp;$F353,'PET_STAT_RULES'!$A$5:$A$88,'PET_STAT_RULES'!$D$5:$D$88)</x:f>
        <x:v>18</x:v>
      </x:c>
      <x:c r="L353" s="340" t="n">
        <x:f>XLOOKUP($D353&amp;"|"&amp;$E353&amp;"|"&amp;$F353,'PET_STAT_RULES'!$A$5:$A$88,'PET_STAT_RULES'!$F$5:$F$88)</x:f>
        <x:v>0</x:v>
      </x:c>
      <x:c r="M353" s="340" t="n">
        <x:f>XLOOKUP($D353&amp;"|"&amp;$E353&amp;"|"&amp;$F353,'PET_STAT_RULES'!$A$5:$A$88,'PET_STAT_RULES'!$G$5:$G$88)</x:f>
        <x:v>2</x:v>
      </x:c>
      <x:c r="N353" s="38" t="n">
        <x:v>2</x:v>
      </x:c>
      <x:c r="O353" s="38" t="str">
        <x:v>mech_grow_atk_each_round</x:v>
      </x:c>
      <x:c r="P353" s="38" t="str">
        <x:v>11 形状11</x:v>
      </x:c>
      <x:c r="Q353" s="38" t="str">
        <x:v>Shiny</x:v>
      </x:c>
      <x:c r="R353" s="38" t="str">
        <x:v>merchant_package confirmed；来源=自瞄机的包裹；攻击2格；仅保留来源商人/训练师关系。</x:v>
      </x:c>
      <x:c r="S353" s="38" t="n">
        <x:v>2</x:v>
      </x:c>
      <x:c r="T353" s="38" t="n">
        <x:v>2</x:v>
      </x:c>
      <x:c r="U353" s="15" t="str">
        <x:v>skill_vanguard,skill_flank,skill_pierce,skill_revolve,skill_chase,skill_break,skill_suppress,skill_finale</x:v>
      </x:c>
      <x:c r="V353" s="15" t="str">
        <x:v>trait_relentless</x:v>
      </x:c>
      <x:c r="W353" s="332" t="n">
        <x:f>XLOOKUP($D353&amp;"|"&amp;$E353&amp;"|"&amp;$F353,'PET_STAT_RULES'!$A$5:$A$88,'PET_STAT_RULES'!$E$5:$E$88)</x:f>
        <x:v>0</x:v>
      </x:c>
    </x:row>
    <x:row r="354">
      <x:c r="A354" s="38" t="str">
        <x:v>pal_353</x:v>
      </x:c>
      <x:c r="B354" s="38" t="str">
        <x:v>自瞄中兽</x:v>
      </x:c>
      <x:c r="C354" s="38" t="str">
        <x:v>地</x:v>
      </x:c>
      <x:c r="D354" s="265" t="str">
        <x:v>白银</x:v>
      </x:c>
      <x:c r="E354" s="38" t="str">
        <x:v>输出</x:v>
      </x:c>
      <x:c r="F354" s="38" t="str">
        <x:v>两格</x:v>
      </x:c>
      <x:c r="G354" s="38" t="str">
        <x:v>bz_van_353</x:v>
      </x:c>
      <x:c r="H354" s="38" t="str">
        <x:v>role_经济, tier_pT1</x:v>
      </x:c>
      <x:c r="I354" s="38" t="n">
        <x:v>2</x:v>
      </x:c>
      <x:c r="J354" s="340" t="n">
        <x:f>XLOOKUP($D354&amp;"|"&amp;$E354&amp;"|"&amp;$F354,'PET_STAT_RULES'!$A$5:$A$88,'PET_STAT_RULES'!$C$5:$C$88)</x:f>
        <x:v>40</x:v>
      </x:c>
      <x:c r="K354" s="340" t="n">
        <x:f>XLOOKUP($D354&amp;"|"&amp;$E354&amp;"|"&amp;$F354,'PET_STAT_RULES'!$A$5:$A$88,'PET_STAT_RULES'!$D$5:$D$88)</x:f>
        <x:v>20</x:v>
      </x:c>
      <x:c r="L354" s="340" t="n">
        <x:f>XLOOKUP($D354&amp;"|"&amp;$E354&amp;"|"&amp;$F354,'PET_STAT_RULES'!$A$5:$A$88,'PET_STAT_RULES'!$F$5:$F$88)</x:f>
        <x:v>0</x:v>
      </x:c>
      <x:c r="M354" s="340" t="n">
        <x:f>XLOOKUP($D354&amp;"|"&amp;$E354&amp;"|"&amp;$F354,'PET_STAT_RULES'!$A$5:$A$88,'PET_STAT_RULES'!$G$5:$G$88)</x:f>
        <x:v>3</x:v>
      </x:c>
      <x:c r="N354" s="38" t="n">
        <x:v>2</x:v>
      </x:c>
      <x:c r="O354" s="38" t="str">
        <x:v>mech_grow_atk_each_round</x:v>
      </x:c>
      <x:c r="P354" s="38" t="str">
        <x:v>05 形状05</x:v>
      </x:c>
      <x:c r="Q354" s="38" t="str">
        <x:v>Shiny</x:v>
      </x:c>
      <x:c r="R354" s="38" t="str">
        <x:v>merchant_package confirmed；来源=自瞄机的包裹；攻击2格；仅保留来源商人/训练师关系。</x:v>
      </x:c>
      <x:c r="S354" s="38" t="n">
        <x:v>3</x:v>
      </x:c>
      <x:c r="T354" s="38" t="n">
        <x:v>2</x:v>
      </x:c>
      <x:c r="U354" s="15" t="str">
        <x:v>skill_vanguard,skill_flank,skill_pierce,skill_revolve,skill_chase,skill_break,skill_suppress,skill_finale</x:v>
      </x:c>
      <x:c r="V354" s="15" t="str">
        <x:v>trait_relentless</x:v>
      </x:c>
      <x:c r="W354" s="332" t="n">
        <x:f>XLOOKUP($D354&amp;"|"&amp;$E354&amp;"|"&amp;$F354,'PET_STAT_RULES'!$A$5:$A$88,'PET_STAT_RULES'!$E$5:$E$88)</x:f>
        <x:v>0</x:v>
      </x:c>
    </x:row>
    <x:row r="355">
      <x:c r="A355" s="38" t="str">
        <x:v>pal_354</x:v>
      </x:c>
      <x:c r="B355" s="38" t="str">
        <x:v>自瞄小兽</x:v>
      </x:c>
      <x:c r="C355" s="38" t="str">
        <x:v>水</x:v>
      </x:c>
      <x:c r="D355" s="265" t="str">
        <x:v>白银</x:v>
      </x:c>
      <x:c r="E355" s="38" t="str">
        <x:v>输出</x:v>
      </x:c>
      <x:c r="F355" s="38" t="str">
        <x:v>一格</x:v>
      </x:c>
      <x:c r="G355" s="38" t="str">
        <x:v>bz_van_354</x:v>
      </x:c>
      <x:c r="H355" s="38" t="str">
        <x:v>role_经济, tier_pT1</x:v>
      </x:c>
      <x:c r="I355" s="38" t="n">
        <x:v>2</x:v>
      </x:c>
      <x:c r="J355" s="340" t="n">
        <x:f>XLOOKUP($D355&amp;"|"&amp;$E355&amp;"|"&amp;$F355,'PET_STAT_RULES'!$A$5:$A$88,'PET_STAT_RULES'!$C$5:$C$88)</x:f>
        <x:v>34</x:v>
      </x:c>
      <x:c r="K355" s="340" t="n">
        <x:f>XLOOKUP($D355&amp;"|"&amp;$E355&amp;"|"&amp;$F355,'PET_STAT_RULES'!$A$5:$A$88,'PET_STAT_RULES'!$D$5:$D$88)</x:f>
        <x:v>22</x:v>
      </x:c>
      <x:c r="L355" s="340" t="n">
        <x:f>XLOOKUP($D355&amp;"|"&amp;$E355&amp;"|"&amp;$F355,'PET_STAT_RULES'!$A$5:$A$88,'PET_STAT_RULES'!$F$5:$F$88)</x:f>
        <x:v>0</x:v>
      </x:c>
      <x:c r="M355" s="340" t="n">
        <x:f>XLOOKUP($D355&amp;"|"&amp;$E355&amp;"|"&amp;$F355,'PET_STAT_RULES'!$A$5:$A$88,'PET_STAT_RULES'!$G$5:$G$88)</x:f>
        <x:v>3</x:v>
      </x:c>
      <x:c r="N355" s="38" t="n">
        <x:v>3</x:v>
      </x:c>
      <x:c r="O355" s="38" t="str">
        <x:v>mech_grow_atk_each_round</x:v>
      </x:c>
      <x:c r="P355" s="38" t="str">
        <x:v>13 形状13</x:v>
      </x:c>
      <x:c r="Q355" s="38" t="str">
        <x:v>Heavy</x:v>
      </x:c>
      <x:c r="R355" s="38" t="str">
        <x:v>merchant_package confirmed；来源=自瞄机的包裹；攻击3格；仅保留来源商人/训练师关系。</x:v>
      </x:c>
      <x:c r="S355" s="38" t="n">
        <x:v>3</x:v>
      </x:c>
      <x:c r="T355" s="38" t="n">
        <x:v>2</x:v>
      </x:c>
      <x:c r="U355" s="15" t="str">
        <x:v>skill_vanguard,skill_flank,skill_pierce,skill_revolve,skill_chase,skill_break,skill_suppress,skill_finale</x:v>
      </x:c>
      <x:c r="V355" s="15" t="str">
        <x:v>trait_relentless</x:v>
      </x:c>
      <x:c r="W355" s="332" t="n">
        <x:f>XLOOKUP($D355&amp;"|"&amp;$E355&amp;"|"&amp;$F355,'PET_STAT_RULES'!$A$5:$A$88,'PET_STAT_RULES'!$E$5:$E$88)</x:f>
        <x:v>0</x:v>
      </x:c>
    </x:row>
    <x:row r="356">
      <x:c r="A356" s="38" t="str">
        <x:v>pal_355</x:v>
      </x:c>
      <x:c r="B356" s="38" t="str">
        <x:v>葵仙中兽</x:v>
      </x:c>
      <x:c r="C356" s="38" t="str">
        <x:v>无</x:v>
      </x:c>
      <x:c r="D356" s="259" t="str">
        <x:v>青铜</x:v>
      </x:c>
      <x:c r="E356" s="38" t="str">
        <x:v>输出</x:v>
      </x:c>
      <x:c r="F356" s="38" t="str">
        <x:v>两格</x:v>
      </x:c>
      <x:c r="G356" s="38" t="str">
        <x:v>bz_van_355</x:v>
      </x:c>
      <x:c r="H356" s="38" t="str">
        <x:v>elem_草, role_机动压制</x:v>
      </x:c>
      <x:c r="I356" s="38" t="n">
        <x:v>2</x:v>
      </x:c>
      <x:c r="J356" s="340" t="n">
        <x:f>XLOOKUP($D356&amp;"|"&amp;$E356&amp;"|"&amp;$F356,'PET_STAT_RULES'!$A$5:$A$88,'PET_STAT_RULES'!$C$5:$C$88)</x:f>
        <x:v>28</x:v>
      </x:c>
      <x:c r="K356" s="340" t="n">
        <x:f>XLOOKUP($D356&amp;"|"&amp;$E356&amp;"|"&amp;$F356,'PET_STAT_RULES'!$A$5:$A$88,'PET_STAT_RULES'!$D$5:$D$88)</x:f>
        <x:v>12</x:v>
      </x:c>
      <x:c r="L356" s="340" t="n">
        <x:f>XLOOKUP($D356&amp;"|"&amp;$E356&amp;"|"&amp;$F356,'PET_STAT_RULES'!$A$5:$A$88,'PET_STAT_RULES'!$F$5:$F$88)</x:f>
        <x:v>0</x:v>
      </x:c>
      <x:c r="M356" s="340" t="n">
        <x:f>XLOOKUP($D356&amp;"|"&amp;$E356&amp;"|"&amp;$F356,'PET_STAT_RULES'!$A$5:$A$88,'PET_STAT_RULES'!$G$5:$G$88)</x:f>
        <x:v>3</x:v>
      </x:c>
      <x:c r="N356" s="38" t="n">
        <x:v>1</x:v>
      </x:c>
      <x:c r="O356" s="38" t="str">
        <x:v>mech_grow_atk_each_round</x:v>
      </x:c>
      <x:c r="P356" s="38" t="str">
        <x:v>02 形状02</x:v>
      </x:c>
      <x:c r="Q356" s="38" t="str">
        <x:v>Heavy</x:v>
      </x:c>
      <x:c r="R356" s="38" t="str">
        <x:v>merchant_package confirmed；来源=葵仙子的包裹；攻击1格；仅保留来源商人/训练师关系。</x:v>
      </x:c>
      <x:c r="S356" s="38" t="n">
        <x:v>3</x:v>
      </x:c>
      <x:c r="T356" s="38" t="n">
        <x:v>1</x:v>
      </x:c>
      <x:c r="U356" s="15" t="str">
        <x:v>skill_vanguard,skill_flank,skill_pierce,skill_revolve,skill_chase,skill_break,skill_suppress,skill_finale</x:v>
      </x:c>
      <x:c r="V356" s="15" t="str">
        <x:v>trait_relentless</x:v>
      </x:c>
      <x:c r="W356" s="332" t="n">
        <x:f>XLOOKUP($D356&amp;"|"&amp;$E356&amp;"|"&amp;$F356,'PET_STAT_RULES'!$A$5:$A$88,'PET_STAT_RULES'!$E$5:$E$88)</x:f>
        <x:v>0</x:v>
      </x:c>
    </x:row>
    <x:row r="357">
      <x:c r="A357" s="38" t="str">
        <x:v>pal_356</x:v>
      </x:c>
      <x:c r="B357" s="38" t="str">
        <x:v>葵仙小兽</x:v>
      </x:c>
      <x:c r="C357" s="38" t="str">
        <x:v>龙</x:v>
      </x:c>
      <x:c r="D357" s="259" t="str">
        <x:v>青铜</x:v>
      </x:c>
      <x:c r="E357" s="38" t="str">
        <x:v>输出</x:v>
      </x:c>
      <x:c r="F357" s="38" t="str">
        <x:v>一格</x:v>
      </x:c>
      <x:c r="G357" s="38" t="str">
        <x:v>bz_van_356</x:v>
      </x:c>
      <x:c r="H357" s="38" t="str">
        <x:v>elem_草, role_机动压制</x:v>
      </x:c>
      <x:c r="I357" s="38" t="n">
        <x:v>2</x:v>
      </x:c>
      <x:c r="J357" s="340" t="n">
        <x:f>XLOOKUP($D357&amp;"|"&amp;$E357&amp;"|"&amp;$F357,'PET_STAT_RULES'!$A$5:$A$88,'PET_STAT_RULES'!$C$5:$C$88)</x:f>
        <x:v>22</x:v>
      </x:c>
      <x:c r="K357" s="340" t="n">
        <x:f>XLOOKUP($D357&amp;"|"&amp;$E357&amp;"|"&amp;$F357,'PET_STAT_RULES'!$A$5:$A$88,'PET_STAT_RULES'!$D$5:$D$88)</x:f>
        <x:v>14</x:v>
      </x:c>
      <x:c r="L357" s="340" t="n">
        <x:f>XLOOKUP($D357&amp;"|"&amp;$E357&amp;"|"&amp;$F357,'PET_STAT_RULES'!$A$5:$A$88,'PET_STAT_RULES'!$F$5:$F$88)</x:f>
        <x:v>0</x:v>
      </x:c>
      <x:c r="M357" s="340" t="n">
        <x:f>XLOOKUP($D357&amp;"|"&amp;$E357&amp;"|"&amp;$F357,'PET_STAT_RULES'!$A$5:$A$88,'PET_STAT_RULES'!$G$5:$G$88)</x:f>
        <x:v>3</x:v>
      </x:c>
      <x:c r="N357" s="38" t="n">
        <x:v>3</x:v>
      </x:c>
      <x:c r="O357" s="38" t="str">
        <x:v>mech_grow_atk_each_round</x:v>
      </x:c>
      <x:c r="P357" s="38" t="str">
        <x:v>16 形状16</x:v>
      </x:c>
      <x:c r="Q357" s="38" t="str">
        <x:v>Shiny</x:v>
      </x:c>
      <x:c r="R357" s="38" t="str">
        <x:v>merchant_package confirmed；来源=葵仙子的包裹；攻击3格；仅保留来源商人/训练师关系。</x:v>
      </x:c>
      <x:c r="S357" s="38" t="n">
        <x:v>3</x:v>
      </x:c>
      <x:c r="T357" s="38" t="n">
        <x:v>1</x:v>
      </x:c>
      <x:c r="U357" s="15" t="str">
        <x:v>skill_vanguard,skill_flank,skill_pierce,skill_revolve,skill_chase,skill_break,skill_suppress,skill_finale</x:v>
      </x:c>
      <x:c r="V357" s="15" t="str">
        <x:v>trait_relentless</x:v>
      </x:c>
      <x:c r="W357" s="332" t="n">
        <x:f>XLOOKUP($D357&amp;"|"&amp;$E357&amp;"|"&amp;$F357,'PET_STAT_RULES'!$A$5:$A$88,'PET_STAT_RULES'!$E$5:$E$88)</x:f>
        <x:v>0</x:v>
      </x:c>
    </x:row>
    <x:row r="358">
      <x:c r="A358" s="38" t="str">
        <x:v>pal_357</x:v>
      </x:c>
      <x:c r="B358" s="38" t="str">
        <x:v>葵仙大兽</x:v>
      </x:c>
      <x:c r="C358" s="38" t="str">
        <x:v>水</x:v>
      </x:c>
      <x:c r="D358" s="265" t="str">
        <x:v>白银</x:v>
      </x:c>
      <x:c r="E358" s="38" t="str">
        <x:v>输出</x:v>
      </x:c>
      <x:c r="F358" s="38" t="str">
        <x:v>三格</x:v>
      </x:c>
      <x:c r="G358" s="38" t="str">
        <x:v>bz_van_357</x:v>
      </x:c>
      <x:c r="H358" s="38" t="str">
        <x:v>role_经济, role_机动压制</x:v>
      </x:c>
      <x:c r="I358" s="38" t="n">
        <x:v>2</x:v>
      </x:c>
      <x:c r="J358" s="340" t="n">
        <x:f>XLOOKUP($D358&amp;"|"&amp;$E358&amp;"|"&amp;$F358,'PET_STAT_RULES'!$A$5:$A$88,'PET_STAT_RULES'!$C$5:$C$88)</x:f>
        <x:v>46</x:v>
      </x:c>
      <x:c r="K358" s="340" t="n">
        <x:f>XLOOKUP($D358&amp;"|"&amp;$E358&amp;"|"&amp;$F358,'PET_STAT_RULES'!$A$5:$A$88,'PET_STAT_RULES'!$D$5:$D$88)</x:f>
        <x:v>18</x:v>
      </x:c>
      <x:c r="L358" s="340" t="n">
        <x:f>XLOOKUP($D358&amp;"|"&amp;$E358&amp;"|"&amp;$F358,'PET_STAT_RULES'!$A$5:$A$88,'PET_STAT_RULES'!$F$5:$F$88)</x:f>
        <x:v>0</x:v>
      </x:c>
      <x:c r="M358" s="340" t="n">
        <x:f>XLOOKUP($D358&amp;"|"&amp;$E358&amp;"|"&amp;$F358,'PET_STAT_RULES'!$A$5:$A$88,'PET_STAT_RULES'!$G$5:$G$88)</x:f>
        <x:v>2</x:v>
      </x:c>
      <x:c r="N358" s="38" t="n">
        <x:v>2</x:v>
      </x:c>
      <x:c r="O358" s="38" t="str">
        <x:v>mech_grow_atk_each_round</x:v>
      </x:c>
      <x:c r="P358" s="38" t="str">
        <x:v>12 形状12</x:v>
      </x:c>
      <x:c r="Q358" s="38" t="str">
        <x:v>Heavy</x:v>
      </x:c>
      <x:c r="R358" s="38" t="str">
        <x:v>merchant_package confirmed；来源=葵仙子的包裹；攻击2格；仅保留来源商人/训练师关系。</x:v>
      </x:c>
      <x:c r="S358" s="38" t="n">
        <x:v>2</x:v>
      </x:c>
      <x:c r="T358" s="38" t="n">
        <x:v>2</x:v>
      </x:c>
      <x:c r="U358" s="15" t="str">
        <x:v>skill_vanguard,skill_flank,skill_pierce,skill_revolve,skill_chase,skill_break,skill_suppress,skill_finale</x:v>
      </x:c>
      <x:c r="V358" s="15" t="str">
        <x:v>trait_relentless</x:v>
      </x:c>
      <x:c r="W358" s="332" t="n">
        <x:f>XLOOKUP($D358&amp;"|"&amp;$E358&amp;"|"&amp;$F358,'PET_STAT_RULES'!$A$5:$A$88,'PET_STAT_RULES'!$E$5:$E$88)</x:f>
        <x:v>0</x:v>
      </x:c>
    </x:row>
    <x:row r="359">
      <x:c r="A359" s="38" t="str">
        <x:v>pal_358</x:v>
      </x:c>
      <x:c r="B359" s="38" t="str">
        <x:v>西尔小兽</x:v>
      </x:c>
      <x:c r="C359" s="38" t="str">
        <x:v>暗</x:v>
      </x:c>
      <x:c r="D359" s="259" t="str">
        <x:v>青铜</x:v>
      </x:c>
      <x:c r="E359" s="38" t="str">
        <x:v>输出</x:v>
      </x:c>
      <x:c r="F359" s="38" t="str">
        <x:v>一格</x:v>
      </x:c>
      <x:c r="G359" s="38" t="str">
        <x:v>bz_van_358</x:v>
      </x:c>
      <x:c r="H359" s="38" t="str">
        <x:v>elem_草, role_经济</x:v>
      </x:c>
      <x:c r="I359" s="38" t="n">
        <x:v>2</x:v>
      </x:c>
      <x:c r="J359" s="340" t="n">
        <x:f>XLOOKUP($D359&amp;"|"&amp;$E359&amp;"|"&amp;$F359,'PET_STAT_RULES'!$A$5:$A$88,'PET_STAT_RULES'!$C$5:$C$88)</x:f>
        <x:v>22</x:v>
      </x:c>
      <x:c r="K359" s="340" t="n">
        <x:f>XLOOKUP($D359&amp;"|"&amp;$E359&amp;"|"&amp;$F359,'PET_STAT_RULES'!$A$5:$A$88,'PET_STAT_RULES'!$D$5:$D$88)</x:f>
        <x:v>14</x:v>
      </x:c>
      <x:c r="L359" s="340" t="n">
        <x:f>XLOOKUP($D359&amp;"|"&amp;$E359&amp;"|"&amp;$F359,'PET_STAT_RULES'!$A$5:$A$88,'PET_STAT_RULES'!$F$5:$F$88)</x:f>
        <x:v>0</x:v>
      </x:c>
      <x:c r="M359" s="340" t="n">
        <x:f>XLOOKUP($D359&amp;"|"&amp;$E359&amp;"|"&amp;$F359,'PET_STAT_RULES'!$A$5:$A$88,'PET_STAT_RULES'!$G$5:$G$88)</x:f>
        <x:v>3</x:v>
      </x:c>
      <x:c r="N359" s="38" t="n">
        <x:v>3</x:v>
      </x:c>
      <x:c r="O359" s="38" t="str">
        <x:v>mech_grow_atk_each_round</x:v>
      </x:c>
      <x:c r="P359" s="38" t="str">
        <x:v>14 形状14</x:v>
      </x:c>
      <x:c r="Q359" s="38" t="str">
        <x:v>Heavy</x:v>
      </x:c>
      <x:c r="R359" s="38" t="str">
        <x:v>merchant_package confirmed；来源=西尔维娅的包裹；攻击3格；仅保留来源商人/训练师关系。</x:v>
      </x:c>
      <x:c r="S359" s="38" t="n">
        <x:v>3</x:v>
      </x:c>
      <x:c r="T359" s="38" t="n">
        <x:v>1</x:v>
      </x:c>
      <x:c r="U359" s="15" t="str">
        <x:v>skill_vanguard,skill_flank,skill_pierce,skill_revolve,skill_chase,skill_break,skill_suppress,skill_finale</x:v>
      </x:c>
      <x:c r="V359" s="15" t="str">
        <x:v>trait_relentless</x:v>
      </x:c>
      <x:c r="W359" s="332" t="n">
        <x:f>XLOOKUP($D359&amp;"|"&amp;$E359&amp;"|"&amp;$F359,'PET_STAT_RULES'!$A$5:$A$88,'PET_STAT_RULES'!$E$5:$E$88)</x:f>
        <x:v>0</x:v>
      </x:c>
    </x:row>
    <x:row r="360">
      <x:c r="A360" s="38" t="str">
        <x:v>pal_359</x:v>
      </x:c>
      <x:c r="B360" s="38" t="str">
        <x:v>西尔大兽</x:v>
      </x:c>
      <x:c r="C360" s="38" t="str">
        <x:v>草</x:v>
      </x:c>
      <x:c r="D360" s="265" t="str">
        <x:v>白银</x:v>
      </x:c>
      <x:c r="E360" s="38" t="str">
        <x:v>输出</x:v>
      </x:c>
      <x:c r="F360" s="38" t="str">
        <x:v>三格</x:v>
      </x:c>
      <x:c r="G360" s="38" t="str">
        <x:v>bz_van_359</x:v>
      </x:c>
      <x:c r="H360" s="38" t="str">
        <x:v>role_经济</x:v>
      </x:c>
      <x:c r="I360" s="38" t="n">
        <x:v>1</x:v>
      </x:c>
      <x:c r="J360" s="340" t="n">
        <x:f>XLOOKUP($D360&amp;"|"&amp;$E360&amp;"|"&amp;$F360,'PET_STAT_RULES'!$A$5:$A$88,'PET_STAT_RULES'!$C$5:$C$88)</x:f>
        <x:v>46</x:v>
      </x:c>
      <x:c r="K360" s="340" t="n">
        <x:f>XLOOKUP($D360&amp;"|"&amp;$E360&amp;"|"&amp;$F360,'PET_STAT_RULES'!$A$5:$A$88,'PET_STAT_RULES'!$D$5:$D$88)</x:f>
        <x:v>18</x:v>
      </x:c>
      <x:c r="L360" s="340" t="n">
        <x:f>XLOOKUP($D360&amp;"|"&amp;$E360&amp;"|"&amp;$F360,'PET_STAT_RULES'!$A$5:$A$88,'PET_STAT_RULES'!$F$5:$F$88)</x:f>
        <x:v>0</x:v>
      </x:c>
      <x:c r="M360" s="340" t="n">
        <x:f>XLOOKUP($D360&amp;"|"&amp;$E360&amp;"|"&amp;$F360,'PET_STAT_RULES'!$A$5:$A$88,'PET_STAT_RULES'!$G$5:$G$88)</x:f>
        <x:v>2</x:v>
      </x:c>
      <x:c r="N360" s="38" t="n">
        <x:v>2</x:v>
      </x:c>
      <x:c r="O360" s="38" t="str">
        <x:v>mech_grow_atk_each_round</x:v>
      </x:c>
      <x:c r="P360" s="38" t="str">
        <x:v>11 形状11</x:v>
      </x:c>
      <x:c r="Q360" s="38" t="str">
        <x:v>Shiny</x:v>
      </x:c>
      <x:c r="R360" s="38" t="str">
        <x:v>merchant_package confirmed；来源=西尔维娅的包裹；攻击2格；仅保留来源商人/训练师关系。</x:v>
      </x:c>
      <x:c r="S360" s="38" t="n">
        <x:v>2</x:v>
      </x:c>
      <x:c r="T360" s="38" t="n">
        <x:v>2</x:v>
      </x:c>
      <x:c r="U360" s="15" t="str">
        <x:v>skill_vanguard,skill_flank,skill_pierce,skill_revolve,skill_chase,skill_break,skill_suppress,skill_finale</x:v>
      </x:c>
      <x:c r="V360" s="15" t="str">
        <x:v>trait_relentless</x:v>
      </x:c>
      <x:c r="W360" s="332" t="n">
        <x:f>XLOOKUP($D360&amp;"|"&amp;$E360&amp;"|"&amp;$F360,'PET_STAT_RULES'!$A$5:$A$88,'PET_STAT_RULES'!$E$5:$E$88)</x:f>
        <x:v>0</x:v>
      </x:c>
    </x:row>
    <x:row r="361">
      <x:c r="A361" s="38" t="str">
        <x:v>pal_360</x:v>
      </x:c>
      <x:c r="B361" s="38" t="str">
        <x:v>西尔中兽</x:v>
      </x:c>
      <x:c r="C361" s="38" t="str">
        <x:v>暗</x:v>
      </x:c>
      <x:c r="D361" s="259" t="str">
        <x:v>青铜</x:v>
      </x:c>
      <x:c r="E361" s="38" t="str">
        <x:v>输出</x:v>
      </x:c>
      <x:c r="F361" s="38" t="str">
        <x:v>两格</x:v>
      </x:c>
      <x:c r="G361" s="38" t="str">
        <x:v>bz_van_360</x:v>
      </x:c>
      <x:c r="H361" s="38" t="str">
        <x:v>elem_草, role_经济</x:v>
      </x:c>
      <x:c r="I361" s="38" t="n">
        <x:v>2</x:v>
      </x:c>
      <x:c r="J361" s="340" t="n">
        <x:f>XLOOKUP($D361&amp;"|"&amp;$E361&amp;"|"&amp;$F361,'PET_STAT_RULES'!$A$5:$A$88,'PET_STAT_RULES'!$C$5:$C$88)</x:f>
        <x:v>28</x:v>
      </x:c>
      <x:c r="K361" s="340" t="n">
        <x:f>XLOOKUP($D361&amp;"|"&amp;$E361&amp;"|"&amp;$F361,'PET_STAT_RULES'!$A$5:$A$88,'PET_STAT_RULES'!$D$5:$D$88)</x:f>
        <x:v>12</x:v>
      </x:c>
      <x:c r="L361" s="340" t="n">
        <x:f>XLOOKUP($D361&amp;"|"&amp;$E361&amp;"|"&amp;$F361,'PET_STAT_RULES'!$A$5:$A$88,'PET_STAT_RULES'!$F$5:$F$88)</x:f>
        <x:v>0</x:v>
      </x:c>
      <x:c r="M361" s="340" t="n">
        <x:f>XLOOKUP($D361&amp;"|"&amp;$E361&amp;"|"&amp;$F361,'PET_STAT_RULES'!$A$5:$A$88,'PET_STAT_RULES'!$G$5:$G$88)</x:f>
        <x:v>3</x:v>
      </x:c>
      <x:c r="N361" s="38" t="n">
        <x:v>1</x:v>
      </x:c>
      <x:c r="O361" s="38" t="str">
        <x:v>mech_grow_atk_each_round</x:v>
      </x:c>
      <x:c r="P361" s="38" t="str">
        <x:v>02 形状02</x:v>
      </x:c>
      <x:c r="Q361" s="38" t="str">
        <x:v>Heavy</x:v>
      </x:c>
      <x:c r="R361" s="38" t="str">
        <x:v>merchant_package confirmed；来源=西尔维娅的包裹；攻击1格；仅保留来源商人/训练师关系。</x:v>
      </x:c>
      <x:c r="S361" s="38" t="n">
        <x:v>3</x:v>
      </x:c>
      <x:c r="T361" s="38" t="n">
        <x:v>1</x:v>
      </x:c>
      <x:c r="U361" s="15" t="str">
        <x:v>skill_vanguard,skill_flank,skill_pierce,skill_revolve,skill_chase,skill_break,skill_suppress,skill_finale</x:v>
      </x:c>
      <x:c r="V361" s="15" t="str">
        <x:v>trait_relentless</x:v>
      </x:c>
      <x:c r="W361" s="332" t="n">
        <x:f>XLOOKUP($D361&amp;"|"&amp;$E361&amp;"|"&amp;$F361,'PET_STAT_RULES'!$A$5:$A$88,'PET_STAT_RULES'!$E$5:$E$88)</x:f>
        <x:v>0</x:v>
      </x:c>
    </x:row>
    <x:row r="362">
      <x:c r="A362" s="38" t="str">
        <x:v>pal_361</x:v>
      </x:c>
      <x:c r="B362" s="38" t="str">
        <x:v>诺提中兽</x:v>
      </x:c>
      <x:c r="C362" s="38" t="str">
        <x:v>草</x:v>
      </x:c>
      <x:c r="D362" s="259" t="str">
        <x:v>青铜</x:v>
      </x:c>
      <x:c r="E362" s="38" t="str">
        <x:v>输出</x:v>
      </x:c>
      <x:c r="F362" s="38" t="str">
        <x:v>两格</x:v>
      </x:c>
      <x:c r="G362" s="38" t="str">
        <x:v>bz_van_361</x:v>
      </x:c>
      <x:c r="H362" s="38" t="str">
        <x:v>elem_草, role_输出</x:v>
      </x:c>
      <x:c r="I362" s="38" t="n">
        <x:v>2</x:v>
      </x:c>
      <x:c r="J362" s="340" t="n">
        <x:f>XLOOKUP($D362&amp;"|"&amp;$E362&amp;"|"&amp;$F362,'PET_STAT_RULES'!$A$5:$A$88,'PET_STAT_RULES'!$C$5:$C$88)</x:f>
        <x:v>28</x:v>
      </x:c>
      <x:c r="K362" s="340" t="n">
        <x:f>XLOOKUP($D362&amp;"|"&amp;$E362&amp;"|"&amp;$F362,'PET_STAT_RULES'!$A$5:$A$88,'PET_STAT_RULES'!$D$5:$D$88)</x:f>
        <x:v>12</x:v>
      </x:c>
      <x:c r="L362" s="340" t="n">
        <x:f>XLOOKUP($D362&amp;"|"&amp;$E362&amp;"|"&amp;$F362,'PET_STAT_RULES'!$A$5:$A$88,'PET_STAT_RULES'!$F$5:$F$88)</x:f>
        <x:v>0</x:v>
      </x:c>
      <x:c r="M362" s="340" t="n">
        <x:f>XLOOKUP($D362&amp;"|"&amp;$E362&amp;"|"&amp;$F362,'PET_STAT_RULES'!$A$5:$A$88,'PET_STAT_RULES'!$G$5:$G$88)</x:f>
        <x:v>3</x:v>
      </x:c>
      <x:c r="N362" s="38" t="n">
        <x:v>1</x:v>
      </x:c>
      <x:c r="O362" s="38" t="str">
        <x:v>mech_grow_atk_each_round</x:v>
      </x:c>
      <x:c r="P362" s="38" t="str">
        <x:v>01 形状01</x:v>
      </x:c>
      <x:c r="Q362" s="38" t="str">
        <x:v>Shiny</x:v>
      </x:c>
      <x:c r="R362" s="38" t="str">
        <x:v>merchant_package confirmed；来源=诺提卡的包裹；攻击1格；仅保留来源商人/训练师关系。</x:v>
      </x:c>
      <x:c r="S362" s="38" t="n">
        <x:v>3</x:v>
      </x:c>
      <x:c r="T362" s="38" t="n">
        <x:v>1</x:v>
      </x:c>
      <x:c r="U362" s="15" t="str">
        <x:v>skill_vanguard,skill_flank,skill_pierce,skill_revolve,skill_chase,skill_break,skill_suppress,skill_finale</x:v>
      </x:c>
      <x:c r="V362" s="15" t="str">
        <x:v>trait_relentless</x:v>
      </x:c>
      <x:c r="W362" s="332" t="n">
        <x:f>XLOOKUP($D362&amp;"|"&amp;$E362&amp;"|"&amp;$F362,'PET_STAT_RULES'!$A$5:$A$88,'PET_STAT_RULES'!$E$5:$E$88)</x:f>
        <x:v>0</x:v>
      </x:c>
    </x:row>
    <x:row r="363">
      <x:c r="A363" s="38" t="str">
        <x:v>pal_362</x:v>
      </x:c>
      <x:c r="B363" s="38" t="str">
        <x:v>诺提小兽</x:v>
      </x:c>
      <x:c r="C363" s="38" t="str">
        <x:v>火</x:v>
      </x:c>
      <x:c r="D363" s="259" t="str">
        <x:v>青铜</x:v>
      </x:c>
      <x:c r="E363" s="38" t="str">
        <x:v>输出</x:v>
      </x:c>
      <x:c r="F363" s="38" t="str">
        <x:v>一格</x:v>
      </x:c>
      <x:c r="G363" s="38" t="str">
        <x:v>bz_van_362</x:v>
      </x:c>
      <x:c r="H363" s="38" t="str">
        <x:v>elem_草, role_输出</x:v>
      </x:c>
      <x:c r="I363" s="38" t="n">
        <x:v>2</x:v>
      </x:c>
      <x:c r="J363" s="340" t="n">
        <x:f>XLOOKUP($D363&amp;"|"&amp;$E363&amp;"|"&amp;$F363,'PET_STAT_RULES'!$A$5:$A$88,'PET_STAT_RULES'!$C$5:$C$88)</x:f>
        <x:v>22</x:v>
      </x:c>
      <x:c r="K363" s="340" t="n">
        <x:f>XLOOKUP($D363&amp;"|"&amp;$E363&amp;"|"&amp;$F363,'PET_STAT_RULES'!$A$5:$A$88,'PET_STAT_RULES'!$D$5:$D$88)</x:f>
        <x:v>14</x:v>
      </x:c>
      <x:c r="L363" s="340" t="n">
        <x:f>XLOOKUP($D363&amp;"|"&amp;$E363&amp;"|"&amp;$F363,'PET_STAT_RULES'!$A$5:$A$88,'PET_STAT_RULES'!$F$5:$F$88)</x:f>
        <x:v>0</x:v>
      </x:c>
      <x:c r="M363" s="340" t="n">
        <x:f>XLOOKUP($D363&amp;"|"&amp;$E363&amp;"|"&amp;$F363,'PET_STAT_RULES'!$A$5:$A$88,'PET_STAT_RULES'!$G$5:$G$88)</x:f>
        <x:v>3</x:v>
      </x:c>
      <x:c r="N363" s="38" t="n">
        <x:v>3</x:v>
      </x:c>
      <x:c r="O363" s="38" t="str">
        <x:v>mech_grow_atk_each_round</x:v>
      </x:c>
      <x:c r="P363" s="38" t="str">
        <x:v>18 形状18</x:v>
      </x:c>
      <x:c r="Q363" s="38" t="str">
        <x:v>Heavy</x:v>
      </x:c>
      <x:c r="R363" s="38" t="str">
        <x:v>merchant_package confirmed；来源=诺提卡的包裹；攻击3格；仅保留来源商人/训练师关系。</x:v>
      </x:c>
      <x:c r="S363" s="38" t="n">
        <x:v>3</x:v>
      </x:c>
      <x:c r="T363" s="38" t="n">
        <x:v>1</x:v>
      </x:c>
      <x:c r="U363" s="15" t="str">
        <x:v>skill_vanguard,skill_flank,skill_pierce,skill_revolve,skill_chase,skill_break,skill_suppress,skill_finale</x:v>
      </x:c>
      <x:c r="V363" s="15" t="str">
        <x:v>trait_relentless</x:v>
      </x:c>
      <x:c r="W363" s="332" t="n">
        <x:f>XLOOKUP($D363&amp;"|"&amp;$E363&amp;"|"&amp;$F363,'PET_STAT_RULES'!$A$5:$A$88,'PET_STAT_RULES'!$E$5:$E$88)</x:f>
        <x:v>0</x:v>
      </x:c>
    </x:row>
    <x:row r="364">
      <x:c r="A364" s="38" t="str">
        <x:v>pal_363</x:v>
      </x:c>
      <x:c r="B364" s="38" t="str">
        <x:v>诺提大兽</x:v>
      </x:c>
      <x:c r="C364" s="38" t="str">
        <x:v>草</x:v>
      </x:c>
      <x:c r="D364" s="265" t="str">
        <x:v>白银</x:v>
      </x:c>
      <x:c r="E364" s="38" t="str">
        <x:v>输出</x:v>
      </x:c>
      <x:c r="F364" s="38" t="str">
        <x:v>三格</x:v>
      </x:c>
      <x:c r="G364" s="38" t="str">
        <x:v>bz_van_363</x:v>
      </x:c>
      <x:c r="H364" s="38" t="str">
        <x:v>role_输出, role_经济</x:v>
      </x:c>
      <x:c r="I364" s="38" t="n">
        <x:v>2</x:v>
      </x:c>
      <x:c r="J364" s="340" t="n">
        <x:f>XLOOKUP($D364&amp;"|"&amp;$E364&amp;"|"&amp;$F364,'PET_STAT_RULES'!$A$5:$A$88,'PET_STAT_RULES'!$C$5:$C$88)</x:f>
        <x:v>46</x:v>
      </x:c>
      <x:c r="K364" s="340" t="n">
        <x:f>XLOOKUP($D364&amp;"|"&amp;$E364&amp;"|"&amp;$F364,'PET_STAT_RULES'!$A$5:$A$88,'PET_STAT_RULES'!$D$5:$D$88)</x:f>
        <x:v>18</x:v>
      </x:c>
      <x:c r="L364" s="340" t="n">
        <x:f>XLOOKUP($D364&amp;"|"&amp;$E364&amp;"|"&amp;$F364,'PET_STAT_RULES'!$A$5:$A$88,'PET_STAT_RULES'!$F$5:$F$88)</x:f>
        <x:v>0</x:v>
      </x:c>
      <x:c r="M364" s="340" t="n">
        <x:f>XLOOKUP($D364&amp;"|"&amp;$E364&amp;"|"&amp;$F364,'PET_STAT_RULES'!$A$5:$A$88,'PET_STAT_RULES'!$G$5:$G$88)</x:f>
        <x:v>2</x:v>
      </x:c>
      <x:c r="N364" s="38" t="n">
        <x:v>2</x:v>
      </x:c>
      <x:c r="O364" s="38" t="str">
        <x:v>mech_grow_atk_each_round</x:v>
      </x:c>
      <x:c r="P364" s="38" t="str">
        <x:v>09 形状09</x:v>
      </x:c>
      <x:c r="Q364" s="38" t="str">
        <x:v>Shiny</x:v>
      </x:c>
      <x:c r="R364" s="38" t="str">
        <x:v>merchant_package confirmed；来源=诺提卡的包裹；攻击2格；仅保留来源商人/训练师关系。</x:v>
      </x:c>
      <x:c r="S364" s="38" t="n">
        <x:v>2</x:v>
      </x:c>
      <x:c r="T364" s="38" t="n">
        <x:v>2</x:v>
      </x:c>
      <x:c r="U364" s="15" t="str">
        <x:v>skill_vanguard,skill_flank,skill_pierce,skill_revolve,skill_chase,skill_break,skill_suppress,skill_finale</x:v>
      </x:c>
      <x:c r="V364" s="15" t="str">
        <x:v>trait_relentless</x:v>
      </x:c>
      <x:c r="W364" s="332" t="n">
        <x:f>XLOOKUP($D364&amp;"|"&amp;$E364&amp;"|"&amp;$F364,'PET_STAT_RULES'!$A$5:$A$88,'PET_STAT_RULES'!$E$5:$E$88)</x:f>
        <x:v>0</x:v>
      </x:c>
    </x:row>
    <x:row r="365">
      <x:c r="A365" s="38" t="str">
        <x:v>pal_364</x:v>
      </x:c>
      <x:c r="B365" s="38" t="str">
        <x:v>路克小兽</x:v>
      </x:c>
      <x:c r="C365" s="38" t="str">
        <x:v>暗</x:v>
      </x:c>
      <x:c r="D365" s="262" t="str">
        <x:v>黄金</x:v>
      </x:c>
      <x:c r="E365" s="38" t="str">
        <x:v>经济</x:v>
      </x:c>
      <x:c r="F365" s="38" t="str">
        <x:v>一格</x:v>
      </x:c>
      <x:c r="G365" s="38" t="str">
        <x:v>bz_van_364</x:v>
      </x:c>
      <x:c r="H365" s="38" t="str">
        <x:v>role_坦克, role_控制</x:v>
      </x:c>
      <x:c r="I365" s="38" t="n">
        <x:v>2</x:v>
      </x:c>
      <x:c r="J365" s="340" t="n">
        <x:f>XLOOKUP($D365&amp;"|"&amp;$E365&amp;"|"&amp;$F365,'PET_STAT_RULES'!$A$5:$A$88,'PET_STAT_RULES'!$C$5:$C$88)</x:f>
        <x:v>46</x:v>
      </x:c>
      <x:c r="K365" s="340" t="n">
        <x:f>XLOOKUP($D365&amp;"|"&amp;$E365&amp;"|"&amp;$F365,'PET_STAT_RULES'!$A$5:$A$88,'PET_STAT_RULES'!$D$5:$D$88)</x:f>
        <x:v>20</x:v>
      </x:c>
      <x:c r="L365" s="340" t="n">
        <x:f>XLOOKUP($D365&amp;"|"&amp;$E365&amp;"|"&amp;$F365,'PET_STAT_RULES'!$A$5:$A$88,'PET_STAT_RULES'!$F$5:$F$88)</x:f>
        <x:v>0</x:v>
      </x:c>
      <x:c r="M365" s="340" t="n">
        <x:f>XLOOKUP($D365&amp;"|"&amp;$E365&amp;"|"&amp;$F365,'PET_STAT_RULES'!$A$5:$A$88,'PET_STAT_RULES'!$G$5:$G$88)</x:f>
        <x:v>3</x:v>
      </x:c>
      <x:c r="N365" s="38" t="n">
        <x:v>3</x:v>
      </x:c>
      <x:c r="O365" s="38" t="str">
        <x:v>none</x:v>
      </x:c>
      <x:c r="P365" s="38" t="str">
        <x:v>18 形状18</x:v>
      </x:c>
      <x:c r="Q365" s="38" t="str">
        <x:v>Golden</x:v>
      </x:c>
      <x:c r="R365" s="38" t="str">
        <x:v>merchant_package confirmed；来源=路克斯的包裹；攻击3格；仅保留来源商人/训练师关系。</x:v>
      </x:c>
      <x:c r="S365" s="38" t="n">
        <x:v>3</x:v>
      </x:c>
      <x:c r="T365" s="38" t="n">
        <x:v>2</x:v>
      </x:c>
      <x:c r="U365" s="15" t="str">
        <x:v>skill_vanguard,skill_flank,skill_pierce,skill_revolve,skill_chase,skill_break,skill_suppress,skill_finale</x:v>
      </x:c>
      <x:c r="V365" s="15" t="str">
        <x:v>trait_combo_resonance</x:v>
      </x:c>
      <x:c r="W365" s="332" t="n">
        <x:f>XLOOKUP($D365&amp;"|"&amp;$E365&amp;"|"&amp;$F365,'PET_STAT_RULES'!$A$5:$A$88,'PET_STAT_RULES'!$E$5:$E$88)</x:f>
        <x:v>0</x:v>
      </x:c>
    </x:row>
    <x:row r="366">
      <x:c r="A366" s="38" t="str">
        <x:v>pal_365</x:v>
      </x:c>
      <x:c r="B366" s="38" t="str">
        <x:v>路克中兽</x:v>
      </x:c>
      <x:c r="C366" s="38" t="str">
        <x:v>草</x:v>
      </x:c>
      <x:c r="D366" s="262" t="str">
        <x:v>黄金</x:v>
      </x:c>
      <x:c r="E366" s="38" t="str">
        <x:v>经济</x:v>
      </x:c>
      <x:c r="F366" s="38" t="str">
        <x:v>两格</x:v>
      </x:c>
      <x:c r="G366" s="38" t="str">
        <x:v>bz_van_365</x:v>
      </x:c>
      <x:c r="H366" s="38" t="str">
        <x:v>role_坦克, role_控制</x:v>
      </x:c>
      <x:c r="I366" s="38" t="n">
        <x:v>2</x:v>
      </x:c>
      <x:c r="J366" s="340" t="n">
        <x:f>XLOOKUP($D366&amp;"|"&amp;$E366&amp;"|"&amp;$F366,'PET_STAT_RULES'!$A$5:$A$88,'PET_STAT_RULES'!$C$5:$C$88)</x:f>
        <x:v>52</x:v>
      </x:c>
      <x:c r="K366" s="340" t="n">
        <x:f>XLOOKUP($D366&amp;"|"&amp;$E366&amp;"|"&amp;$F366,'PET_STAT_RULES'!$A$5:$A$88,'PET_STAT_RULES'!$D$5:$D$88)</x:f>
        <x:v>18</x:v>
      </x:c>
      <x:c r="L366" s="340" t="n">
        <x:f>XLOOKUP($D366&amp;"|"&amp;$E366&amp;"|"&amp;$F366,'PET_STAT_RULES'!$A$5:$A$88,'PET_STAT_RULES'!$F$5:$F$88)</x:f>
        <x:v>0</x:v>
      </x:c>
      <x:c r="M366" s="340" t="n">
        <x:f>XLOOKUP($D366&amp;"|"&amp;$E366&amp;"|"&amp;$F366,'PET_STAT_RULES'!$A$5:$A$88,'PET_STAT_RULES'!$G$5:$G$88)</x:f>
        <x:v>3</x:v>
      </x:c>
      <x:c r="N366" s="38" t="n">
        <x:v>2</x:v>
      </x:c>
      <x:c r="O366" s="38" t="str">
        <x:v>none</x:v>
      </x:c>
      <x:c r="P366" s="38" t="str">
        <x:v>11 形状11</x:v>
      </x:c>
      <x:c r="Q366" s="38" t="str">
        <x:v>Golden</x:v>
      </x:c>
      <x:c r="R366" s="38" t="str">
        <x:v>merchant_package confirmed；来源=路克斯的包裹；攻击2格；仅保留来源商人/训练师关系。</x:v>
      </x:c>
      <x:c r="S366" s="38" t="n">
        <x:v>3</x:v>
      </x:c>
      <x:c r="T366" s="38" t="n">
        <x:v>2</x:v>
      </x:c>
      <x:c r="U366" s="15" t="str">
        <x:v>skill_vanguard,skill_flank,skill_pierce,skill_revolve,skill_chase,skill_break,skill_suppress,skill_finale</x:v>
      </x:c>
      <x:c r="V366" s="15" t="str">
        <x:v>trait_combo_resonance</x:v>
      </x:c>
      <x:c r="W366" s="332" t="n">
        <x:f>XLOOKUP($D366&amp;"|"&amp;$E366&amp;"|"&amp;$F366,'PET_STAT_RULES'!$A$5:$A$88,'PET_STAT_RULES'!$E$5:$E$88)</x:f>
        <x:v>0</x:v>
      </x:c>
    </x:row>
    <x:row r="367">
      <x:c r="A367" s="38" t="str">
        <x:v>pal_366</x:v>
      </x:c>
      <x:c r="B367" s="38" t="str">
        <x:v>路克大兽</x:v>
      </x:c>
      <x:c r="C367" s="38" t="str">
        <x:v>水</x:v>
      </x:c>
      <x:c r="D367" s="262" t="str">
        <x:v>黄金</x:v>
      </x:c>
      <x:c r="E367" s="38" t="str">
        <x:v>经济</x:v>
      </x:c>
      <x:c r="F367" s="38" t="str">
        <x:v>三格</x:v>
      </x:c>
      <x:c r="G367" s="38" t="str">
        <x:v>bz_van_366</x:v>
      </x:c>
      <x:c r="H367" s="38" t="str">
        <x:v>role_坦克, role_控制</x:v>
      </x:c>
      <x:c r="I367" s="38" t="n">
        <x:v>2</x:v>
      </x:c>
      <x:c r="J367" s="340" t="n">
        <x:f>XLOOKUP($D367&amp;"|"&amp;$E367&amp;"|"&amp;$F367,'PET_STAT_RULES'!$A$5:$A$88,'PET_STAT_RULES'!$C$5:$C$88)</x:f>
        <x:v>58</x:v>
      </x:c>
      <x:c r="K367" s="340" t="n">
        <x:f>XLOOKUP($D367&amp;"|"&amp;$E367&amp;"|"&amp;$F367,'PET_STAT_RULES'!$A$5:$A$88,'PET_STAT_RULES'!$D$5:$D$88)</x:f>
        <x:v>16</x:v>
      </x:c>
      <x:c r="L367" s="340" t="n">
        <x:f>XLOOKUP($D367&amp;"|"&amp;$E367&amp;"|"&amp;$F367,'PET_STAT_RULES'!$A$5:$A$88,'PET_STAT_RULES'!$F$5:$F$88)</x:f>
        <x:v>0</x:v>
      </x:c>
      <x:c r="M367" s="340" t="n">
        <x:f>XLOOKUP($D367&amp;"|"&amp;$E367&amp;"|"&amp;$F367,'PET_STAT_RULES'!$A$5:$A$88,'PET_STAT_RULES'!$G$5:$G$88)</x:f>
        <x:v>2</x:v>
      </x:c>
      <x:c r="N367" s="38" t="n">
        <x:v>2</x:v>
      </x:c>
      <x:c r="O367" s="38" t="str">
        <x:v>none</x:v>
      </x:c>
      <x:c r="P367" s="38" t="str">
        <x:v>09 形状09</x:v>
      </x:c>
      <x:c r="Q367" s="38" t="str">
        <x:v>Golden</x:v>
      </x:c>
      <x:c r="R367" s="38" t="str">
        <x:v>merchant_package confirmed；来源=路克斯的包裹；攻击2格；仅保留来源商人/训练师关系。</x:v>
      </x:c>
      <x:c r="S367" s="38" t="n">
        <x:v>2</x:v>
      </x:c>
      <x:c r="T367" s="38" t="n">
        <x:v>2</x:v>
      </x:c>
      <x:c r="U367" s="15" t="str">
        <x:v>skill_vanguard,skill_flank,skill_pierce,skill_revolve,skill_chase,skill_break,skill_suppress,skill_finale</x:v>
      </x:c>
      <x:c r="V367" s="15" t="str">
        <x:v>trait_combo_resonance</x:v>
      </x:c>
      <x:c r="W367" s="332" t="n">
        <x:f>XLOOKUP($D367&amp;"|"&amp;$E367&amp;"|"&amp;$F367,'PET_STAT_RULES'!$A$5:$A$88,'PET_STAT_RULES'!$E$5:$E$88)</x:f>
        <x:v>0</x:v>
      </x:c>
    </x:row>
    <x:row r="368">
      <x:c r="A368" s="38" t="str">
        <x:v>pal_367</x:v>
      </x:c>
      <x:c r="B368" s="38" t="str">
        <x:v>针羽大兽</x:v>
      </x:c>
      <x:c r="C368" s="38" t="str">
        <x:v>火</x:v>
      </x:c>
      <x:c r="D368" s="265" t="str">
        <x:v>白银</x:v>
      </x:c>
      <x:c r="E368" s="38" t="str">
        <x:v>输出</x:v>
      </x:c>
      <x:c r="F368" s="38" t="str">
        <x:v>三格</x:v>
      </x:c>
      <x:c r="G368" s="38" t="str">
        <x:v>bz_van_367</x:v>
      </x:c>
      <x:c r="H368" s="38" t="str">
        <x:v>elem_草, role_经济</x:v>
      </x:c>
      <x:c r="I368" s="38" t="n">
        <x:v>2</x:v>
      </x:c>
      <x:c r="J368" s="340" t="n">
        <x:f>XLOOKUP($D368&amp;"|"&amp;$E368&amp;"|"&amp;$F368,'PET_STAT_RULES'!$A$5:$A$88,'PET_STAT_RULES'!$C$5:$C$88)</x:f>
        <x:v>46</x:v>
      </x:c>
      <x:c r="K368" s="340" t="n">
        <x:f>XLOOKUP($D368&amp;"|"&amp;$E368&amp;"|"&amp;$F368,'PET_STAT_RULES'!$A$5:$A$88,'PET_STAT_RULES'!$D$5:$D$88)</x:f>
        <x:v>18</x:v>
      </x:c>
      <x:c r="L368" s="340" t="n">
        <x:f>XLOOKUP($D368&amp;"|"&amp;$E368&amp;"|"&amp;$F368,'PET_STAT_RULES'!$A$5:$A$88,'PET_STAT_RULES'!$F$5:$F$88)</x:f>
        <x:v>0</x:v>
      </x:c>
      <x:c r="M368" s="340" t="n">
        <x:f>XLOOKUP($D368&amp;"|"&amp;$E368&amp;"|"&amp;$F368,'PET_STAT_RULES'!$A$5:$A$88,'PET_STAT_RULES'!$G$5:$G$88)</x:f>
        <x:v>2</x:v>
      </x:c>
      <x:c r="N368" s="38" t="n">
        <x:v>2</x:v>
      </x:c>
      <x:c r="O368" s="38" t="str">
        <x:v>mech_grow_atk_each_round</x:v>
      </x:c>
      <x:c r="P368" s="38" t="str">
        <x:v>12 形状12</x:v>
      </x:c>
      <x:c r="Q368" s="38" t="str">
        <x:v>Heavy</x:v>
      </x:c>
      <x:c r="R368" s="38" t="str">
        <x:v>merchant_package confirmed；来源=针羽的包裹；攻击2格；仅保留来源商人/训练师关系。</x:v>
      </x:c>
      <x:c r="S368" s="38" t="n">
        <x:v>2</x:v>
      </x:c>
      <x:c r="T368" s="38" t="n">
        <x:v>2</x:v>
      </x:c>
      <x:c r="U368" s="15" t="str">
        <x:v>skill_vanguard,skill_flank,skill_pierce,skill_revolve,skill_chase,skill_break,skill_suppress,skill_finale</x:v>
      </x:c>
      <x:c r="V368" s="15" t="str">
        <x:v>trait_relentless</x:v>
      </x:c>
      <x:c r="W368" s="332" t="n">
        <x:f>XLOOKUP($D368&amp;"|"&amp;$E368&amp;"|"&amp;$F368,'PET_STAT_RULES'!$A$5:$A$88,'PET_STAT_RULES'!$E$5:$E$88)</x:f>
        <x:v>0</x:v>
      </x:c>
    </x:row>
    <x:row r="369">
      <x:c r="A369" s="38" t="str">
        <x:v>pal_368</x:v>
      </x:c>
      <x:c r="B369" s="38" t="str">
        <x:v>针羽小兽</x:v>
      </x:c>
      <x:c r="C369" s="38" t="str">
        <x:v>冰</x:v>
      </x:c>
      <x:c r="D369" s="265" t="str">
        <x:v>白银</x:v>
      </x:c>
      <x:c r="E369" s="38" t="str">
        <x:v>输出</x:v>
      </x:c>
      <x:c r="F369" s="38" t="str">
        <x:v>一格</x:v>
      </x:c>
      <x:c r="G369" s="38" t="str">
        <x:v>bz_van_368</x:v>
      </x:c>
      <x:c r="H369" s="38" t="str">
        <x:v>elem_草, role_经济</x:v>
      </x:c>
      <x:c r="I369" s="38" t="n">
        <x:v>2</x:v>
      </x:c>
      <x:c r="J369" s="340" t="n">
        <x:f>XLOOKUP($D369&amp;"|"&amp;$E369&amp;"|"&amp;$F369,'PET_STAT_RULES'!$A$5:$A$88,'PET_STAT_RULES'!$C$5:$C$88)</x:f>
        <x:v>34</x:v>
      </x:c>
      <x:c r="K369" s="340" t="n">
        <x:f>XLOOKUP($D369&amp;"|"&amp;$E369&amp;"|"&amp;$F369,'PET_STAT_RULES'!$A$5:$A$88,'PET_STAT_RULES'!$D$5:$D$88)</x:f>
        <x:v>22</x:v>
      </x:c>
      <x:c r="L369" s="340" t="n">
        <x:f>XLOOKUP($D369&amp;"|"&amp;$E369&amp;"|"&amp;$F369,'PET_STAT_RULES'!$A$5:$A$88,'PET_STAT_RULES'!$F$5:$F$88)</x:f>
        <x:v>0</x:v>
      </x:c>
      <x:c r="M369" s="340" t="n">
        <x:f>XLOOKUP($D369&amp;"|"&amp;$E369&amp;"|"&amp;$F369,'PET_STAT_RULES'!$A$5:$A$88,'PET_STAT_RULES'!$G$5:$G$88)</x:f>
        <x:v>3</x:v>
      </x:c>
      <x:c r="N369" s="38" t="n">
        <x:v>3</x:v>
      </x:c>
      <x:c r="O369" s="38" t="str">
        <x:v>mech_grow_atk_each_round</x:v>
      </x:c>
      <x:c r="P369" s="38" t="str">
        <x:v>16 形状16</x:v>
      </x:c>
      <x:c r="Q369" s="38" t="str">
        <x:v>Shiny</x:v>
      </x:c>
      <x:c r="R369" s="38" t="str">
        <x:v>merchant_package confirmed；来源=针羽的包裹；攻击3格；仅保留来源商人/训练师关系。</x:v>
      </x:c>
      <x:c r="S369" s="38" t="n">
        <x:v>3</x:v>
      </x:c>
      <x:c r="T369" s="38" t="n">
        <x:v>2</x:v>
      </x:c>
      <x:c r="U369" s="15" t="str">
        <x:v>skill_vanguard,skill_flank,skill_pierce,skill_revolve,skill_chase,skill_break,skill_suppress,skill_finale</x:v>
      </x:c>
      <x:c r="V369" s="15" t="str">
        <x:v>trait_relentless</x:v>
      </x:c>
      <x:c r="W369" s="332" t="n">
        <x:f>XLOOKUP($D369&amp;"|"&amp;$E369&amp;"|"&amp;$F369,'PET_STAT_RULES'!$A$5:$A$88,'PET_STAT_RULES'!$E$5:$E$88)</x:f>
        <x:v>0</x:v>
      </x:c>
    </x:row>
    <x:row r="370">
      <x:c r="A370" s="38" t="str">
        <x:v>pal_369</x:v>
      </x:c>
      <x:c r="B370" s="38" t="str">
        <x:v>针羽中兽</x:v>
      </x:c>
      <x:c r="C370" s="38" t="str">
        <x:v>无</x:v>
      </x:c>
      <x:c r="D370" s="265" t="str">
        <x:v>白银</x:v>
      </x:c>
      <x:c r="E370" s="38" t="str">
        <x:v>输出</x:v>
      </x:c>
      <x:c r="F370" s="38" t="str">
        <x:v>两格</x:v>
      </x:c>
      <x:c r="G370" s="38" t="str">
        <x:v>bz_van_369</x:v>
      </x:c>
      <x:c r="H370" s="38" t="str">
        <x:v>elem_草, role_经济</x:v>
      </x:c>
      <x:c r="I370" s="38" t="n">
        <x:v>2</x:v>
      </x:c>
      <x:c r="J370" s="340" t="n">
        <x:f>XLOOKUP($D370&amp;"|"&amp;$E370&amp;"|"&amp;$F370,'PET_STAT_RULES'!$A$5:$A$88,'PET_STAT_RULES'!$C$5:$C$88)</x:f>
        <x:v>40</x:v>
      </x:c>
      <x:c r="K370" s="340" t="n">
        <x:f>XLOOKUP($D370&amp;"|"&amp;$E370&amp;"|"&amp;$F370,'PET_STAT_RULES'!$A$5:$A$88,'PET_STAT_RULES'!$D$5:$D$88)</x:f>
        <x:v>20</x:v>
      </x:c>
      <x:c r="L370" s="340" t="n">
        <x:f>XLOOKUP($D370&amp;"|"&amp;$E370&amp;"|"&amp;$F370,'PET_STAT_RULES'!$A$5:$A$88,'PET_STAT_RULES'!$F$5:$F$88)</x:f>
        <x:v>0</x:v>
      </x:c>
      <x:c r="M370" s="340" t="n">
        <x:f>XLOOKUP($D370&amp;"|"&amp;$E370&amp;"|"&amp;$F370,'PET_STAT_RULES'!$A$5:$A$88,'PET_STAT_RULES'!$G$5:$G$88)</x:f>
        <x:v>3</x:v>
      </x:c>
      <x:c r="N370" s="38" t="n">
        <x:v>2</x:v>
      </x:c>
      <x:c r="O370" s="38" t="str">
        <x:v>mech_grow_atk_each_round</x:v>
      </x:c>
      <x:c r="P370" s="38" t="str">
        <x:v>08 形状08</x:v>
      </x:c>
      <x:c r="Q370" s="38" t="str">
        <x:v>Heavy</x:v>
      </x:c>
      <x:c r="R370" s="38" t="str">
        <x:v>merchant_package confirmed；来源=针羽的包裹；攻击2格；仅保留来源商人/训练师关系。</x:v>
      </x:c>
      <x:c r="S370" s="38" t="n">
        <x:v>3</x:v>
      </x:c>
      <x:c r="T370" s="38" t="n">
        <x:v>2</x:v>
      </x:c>
      <x:c r="U370" s="15" t="str">
        <x:v>skill_vanguard,skill_flank,skill_pierce,skill_revolve,skill_chase,skill_break,skill_suppress,skill_finale</x:v>
      </x:c>
      <x:c r="V370" s="15" t="str">
        <x:v>trait_relentless</x:v>
      </x:c>
      <x:c r="W370" s="332" t="n">
        <x:f>XLOOKUP($D370&amp;"|"&amp;$E370&amp;"|"&amp;$F370,'PET_STAT_RULES'!$A$5:$A$88,'PET_STAT_RULES'!$E$5:$E$88)</x:f>
        <x:v>0</x:v>
      </x:c>
    </x:row>
  </x:sheetData>
  <x:dataValidations count="1">
    <x:dataValidation type="whole" operator="between" sqref="N2:O128">
      <x:formula1>0</x:formula1>
      <x:formula2>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eab3e9f6c8fe437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hidden="0" customWidth="1"/>
    <x:col min="2" max="2" width="16" hidden="0" customWidth="1"/>
    <x:col min="3" max="3" width="14" hidden="0" customWidth="1"/>
    <x:col min="4" max="4" width="22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0" hidden="0" customWidth="1"/>
    <x:col min="13" max="13" width="52" hidden="0" customWidth="1"/>
  </x:cols>
  <x:sheetData>
    <x:row r="1" ht="32" customHeight="1">
      <x:c r="A1" s="240" t="str">
        <x:v>shop_store_id</x:v>
      </x:c>
      <x:c r="B1" s="240" t="str">
        <x:v>name</x:v>
      </x:c>
      <x:c r="C1" s="240" t="str">
        <x:v>store_type</x:v>
      </x:c>
      <x:c r="D1" s="240" t="str">
        <x:v>tags</x:v>
      </x:c>
      <x:c r="E1" s="240" t="str">
        <x:v>default_slots</x:v>
      </x:c>
      <x:c r="F1" s="240" t="str">
        <x:v>unlock_day</x:v>
      </x:c>
      <x:c r="G1" s="240" t="str">
        <x:v>stall_count</x:v>
      </x:c>
      <x:c r="H1" s="240" t="str">
        <x:v>day1_stalls</x:v>
      </x:c>
      <x:c r="I1" s="240" t="str">
        <x:v>day2_stalls</x:v>
      </x:c>
      <x:c r="J1" s="240" t="str">
        <x:v>day3_stalls</x:v>
      </x:c>
      <x:c r="K1" s="240" t="str">
        <x:v>price_rule</x:v>
      </x:c>
      <x:c r="L1" s="240" t="str">
        <x:v>status</x:v>
      </x:c>
      <x:c r="M1" s="240" t="str">
        <x:v>note</x:v>
      </x:c>
    </x:row>
    <x:row r="2">
      <x:c r="A2" s="38" t="str">
        <x:v>night_base</x:v>
      </x:c>
      <x:c r="B2" s="38" t="str">
        <x:v>寅将军</x:v>
      </x:c>
      <x:c r="C2" s="38" t="str">
        <x:v>商品地点</x:v>
      </x:c>
      <x:c r="D2" s="38" t="str">
        <x:v>水系、输出</x:v>
      </x:c>
      <x:c r="E2" s="38" t="n">
        <x:v>3</x:v>
      </x:c>
      <x:c r="F2" s="38" t="n">
        <x:v>1</x:v>
      </x:c>
      <x:c r="G2" s="38" t="n">
        <x:v>2</x:v>
      </x:c>
      <x:c r="H2" s="38" t="n">
        <x:v>1</x:v>
      </x:c>
      <x:c r="I2" s="38" t="n">
        <x:v>1</x:v>
      </x:c>
      <x:c r="J2" s="38" t="n">
        <x:v>1</x:v>
      </x:c>
      <x:c r="K2" s="38" t="str">
        <x:v>按宠物品质</x:v>
      </x:c>
      <x:c r="L2" s="38" t="str">
        <x:v>正式</x:v>
      </x:c>
      <x:c r="M2" s="38" t="str">
        <x:v>独立摊位 Aila、Herma；关系候选 70 只；抽取时先选摊位，不合并来源货池。</x:v>
      </x:c>
    </x:row>
    <x:row r="3">
      <x:c r="A3" s="38" t="str">
        <x:v>elem_火</x:v>
      </x:c>
      <x:c r="B3" s="38" t="str">
        <x:v>熊山君</x:v>
      </x:c>
      <x:c r="C3" s="38" t="str">
        <x:v>商品地点</x:v>
      </x:c>
      <x:c r="D3" s="38" t="str">
        <x:v>一格</x:v>
      </x:c>
      <x:c r="E3" s="38" t="n">
        <x:v>3</x:v>
      </x:c>
      <x:c r="F3" s="38" t="n">
        <x:v>1</x:v>
      </x:c>
      <x:c r="G3" s="38" t="n">
        <x:v>2</x:v>
      </x:c>
      <x:c r="H3" s="38" t="n">
        <x:v>1</x:v>
      </x:c>
      <x:c r="I3" s="38" t="n">
        <x:v>1</x:v>
      </x:c>
      <x:c r="J3" s="38" t="n">
        <x:v>1</x:v>
      </x:c>
      <x:c r="K3" s="38" t="str">
        <x:v>按宠物品质</x:v>
      </x:c>
      <x:c r="L3" s="38" t="str">
        <x:v>正式</x:v>
      </x:c>
      <x:c r="M3" s="38" t="str">
        <x:v>独立摊位 Ande、Aero；关系候选 67 只；抽取时先选摊位，不合并来源货池。</x:v>
      </x:c>
    </x:row>
    <x:row r="4">
      <x:c r="A4" s="38" t="str">
        <x:v>elem_水</x:v>
      </x:c>
      <x:c r="B4" s="38" t="str">
        <x:v>特处士</x:v>
      </x:c>
      <x:c r="C4" s="38" t="str">
        <x:v>训练/商品地点</x:v>
      </x:c>
      <x:c r="D4" s="38" t="str">
        <x:v>一格、两格、三格、技能宠、品质</x:v>
      </x:c>
      <x:c r="E4" s="38" t="n">
        <x:v>3</x:v>
      </x:c>
      <x:c r="F4" s="38" t="n">
        <x:v>1</x:v>
      </x:c>
      <x:c r="G4" s="38" t="n">
        <x:v>2</x:v>
      </x:c>
      <x:c r="H4" s="38" t="n">
        <x:v>1</x:v>
      </x:c>
      <x:c r="I4" s="38" t="n">
        <x:v>1</x:v>
      </x:c>
      <x:c r="J4" s="38" t="n">
        <x:v>1</x:v>
      </x:c>
      <x:c r="K4" s="38" t="str">
        <x:v>按宠物品质</x:v>
      </x:c>
      <x:c r="L4" s="38" t="str">
        <x:v>正式</x:v>
      </x:c>
      <x:c r="M4" s="38" t="str">
        <x:v>独立摊位 Barkun、Adira；关系候选 218 只；抽取时先选摊位，不合并来源货池。</x:v>
      </x:c>
    </x:row>
    <x:row r="5">
      <x:c r="A5" s="38" t="str">
        <x:v>elem_草</x:v>
      </x:c>
      <x:c r="B5" s="38" t="str">
        <x:v>刘伯钦</x:v>
      </x:c>
      <x:c r="C5" s="38" t="str">
        <x:v>商品地点</x:v>
      </x:c>
      <x:c r="D5" s="38" t="str">
        <x:v>品质</x:v>
      </x:c>
      <x:c r="E5" s="38" t="n">
        <x:v>10</x:v>
      </x:c>
      <x:c r="F5" s="38" t="n">
        <x:v>1</x:v>
      </x:c>
      <x:c r="G5" s="38" t="n">
        <x:v>2</x:v>
      </x:c>
      <x:c r="H5" s="38" t="n">
        <x:v>1</x:v>
      </x:c>
      <x:c r="I5" s="38" t="n">
        <x:v>1</x:v>
      </x:c>
      <x:c r="J5" s="38" t="n">
        <x:v>1</x:v>
      </x:c>
      <x:c r="K5" s="38" t="str">
        <x:v>按宠物品质</x:v>
      </x:c>
      <x:c r="L5" s="38" t="str">
        <x:v>正式</x:v>
      </x:c>
      <x:c r="M5" s="38" t="str">
        <x:v>独立摊位 Curio、Pinfeather；关系候选 40 只；抽取时先选摊位，不合并来源货池。</x:v>
      </x:c>
    </x:row>
    <x:row r="6">
      <x:c r="A6" s="38" t="str">
        <x:v>elem_雷</x:v>
      </x:c>
      <x:c r="B6" s="38" t="str">
        <x:v>孙悟空</x:v>
      </x:c>
      <x:c r="C6" s="38" t="str">
        <x:v>训练/商品地点</x:v>
      </x:c>
      <x:c r="D6" s="38" t="str">
        <x:v>技能宠、品质</x:v>
      </x:c>
      <x:c r="E6" s="38" t="n">
        <x:v>3</x:v>
      </x:c>
      <x:c r="F6" s="38" t="n">
        <x:v>1</x:v>
      </x:c>
      <x:c r="G6" s="38" t="n">
        <x:v>2</x:v>
      </x:c>
      <x:c r="H6" s="38" t="n">
        <x:v>1</x:v>
      </x:c>
      <x:c r="I6" s="38" t="n">
        <x:v>1</x:v>
      </x:c>
      <x:c r="J6" s="38" t="n">
        <x:v>1</x:v>
      </x:c>
      <x:c r="K6" s="38" t="str">
        <x:v>按宠物品质</x:v>
      </x:c>
      <x:c r="L6" s="38" t="str">
        <x:v>正式</x:v>
      </x:c>
      <x:c r="M6" s="38" t="str">
        <x:v>独立摊位 Jay Jay、Argenta；关系候选 225 只；抽取时先选摊位，不合并来源货池。</x:v>
      </x:c>
    </x:row>
    <x:row r="7">
      <x:c r="A7" s="38" t="str">
        <x:v>elem_冰</x:v>
      </x:c>
      <x:c r="B7" s="38" t="str">
        <x:v>小白龙</x:v>
      </x:c>
      <x:c r="C7" s="38" t="str">
        <x:v>商品地点</x:v>
      </x:c>
      <x:c r="D7" s="38" t="str">
        <x:v>输出</x:v>
      </x:c>
      <x:c r="E7" s="38" t="n">
        <x:v>3</x:v>
      </x:c>
      <x:c r="F7" s="38" t="n">
        <x:v>1</x:v>
      </x:c>
      <x:c r="G7" s="38" t="n">
        <x:v>2</x:v>
      </x:c>
      <x:c r="H7" s="38" t="n">
        <x:v>1</x:v>
      </x:c>
      <x:c r="I7" s="38" t="n">
        <x:v>0</x:v>
      </x:c>
      <x:c r="J7" s="38" t="n">
        <x:v>0</x:v>
      </x:c>
      <x:c r="K7" s="38" t="str">
        <x:v>按宠物品质</x:v>
      </x:c>
      <x:c r="L7" s="38" t="str">
        <x:v>正式</x:v>
      </x:c>
      <x:c r="M7" s="38" t="str">
        <x:v>独立摊位 Kina、The Antiquarian；关系候选 83 只；抽取时先选摊位，不合并来源货池。</x:v>
      </x:c>
    </x:row>
    <x:row r="8">
      <x:c r="A8" s="38" t="str">
        <x:v>elem_地</x:v>
      </x:c>
      <x:c r="B8" s="38" t="str">
        <x:v>金池长老</x:v>
      </x:c>
      <x:c r="C8" s="38" t="str">
        <x:v>训练/商品地点</x:v>
      </x:c>
      <x:c r="D8" s="38" t="str">
        <x:v>一格、两格、三格、技能宠</x:v>
      </x:c>
      <x:c r="E8" s="38" t="n">
        <x:v>3</x:v>
      </x:c>
      <x:c r="F8" s="38" t="n">
        <x:v>1</x:v>
      </x:c>
      <x:c r="G8" s="38" t="n">
        <x:v>2</x:v>
      </x:c>
      <x:c r="H8" s="38" t="n">
        <x:v>1</x:v>
      </x:c>
      <x:c r="I8" s="38" t="n">
        <x:v>1</x:v>
      </x:c>
      <x:c r="J8" s="38" t="n">
        <x:v>1</x:v>
      </x:c>
      <x:c r="K8" s="38" t="str">
        <x:v>按宠物品质</x:v>
      </x:c>
      <x:c r="L8" s="38" t="str">
        <x:v>正式</x:v>
      </x:c>
      <x:c r="M8" s="38" t="str">
        <x:v>独立摊位 Midsworth、Old Zane；关系候选 89 只；抽取时先选摊位，不合并来源货池。</x:v>
      </x:c>
    </x:row>
    <x:row r="9">
      <x:c r="A9" s="38" t="str">
        <x:v>elem_暗</x:v>
      </x:c>
      <x:c r="B9" s="38" t="str">
        <x:v>黑熊精</x:v>
      </x:c>
      <x:c r="C9" s="38" t="str">
        <x:v>商品地点</x:v>
      </x:c>
      <x:c r="D9" s="38" t="str">
        <x:v>综合</x:v>
      </x:c>
      <x:c r="E9" s="38" t="n">
        <x:v>3</x:v>
      </x:c>
      <x:c r="F9" s="38" t="n">
        <x:v>1</x:v>
      </x:c>
      <x:c r="G9" s="38" t="n">
        <x:v>2</x:v>
      </x:c>
      <x:c r="H9" s="38" t="n">
        <x:v>1</x:v>
      </x:c>
      <x:c r="I9" s="38" t="n">
        <x:v>1</x:v>
      </x:c>
      <x:c r="J9" s="38" t="n">
        <x:v>1</x:v>
      </x:c>
      <x:c r="K9" s="38" t="str">
        <x:v>按宠物品质</x:v>
      </x:c>
      <x:c r="L9" s="38" t="str">
        <x:v>正式</x:v>
      </x:c>
      <x:c r="M9" s="38" t="str">
        <x:v>独立摊位 Valpak、Mr. Morland；关系候选 20 只；抽取时先选摊位，不合并来源货池。</x:v>
      </x:c>
    </x:row>
    <x:row r="10">
      <x:c r="A10" s="38" t="str">
        <x:v>elem_龙</x:v>
      </x:c>
      <x:c r="B10" s="38" t="str">
        <x:v>凌虚子</x:v>
      </x:c>
      <x:c r="C10" s="38" t="str">
        <x:v>训练/商品地点</x:v>
      </x:c>
      <x:c r="D10" s="38" t="str">
        <x:v>坦克、技能宠</x:v>
      </x:c>
      <x:c r="E10" s="38" t="n">
        <x:v>3</x:v>
      </x:c>
      <x:c r="F10" s="38" t="n">
        <x:v>1</x:v>
      </x:c>
      <x:c r="G10" s="38" t="n">
        <x:v>2</x:v>
      </x:c>
      <x:c r="H10" s="38" t="n">
        <x:v>1</x:v>
      </x:c>
      <x:c r="I10" s="38" t="n">
        <x:v>1</x:v>
      </x:c>
      <x:c r="J10" s="38" t="n">
        <x:v>1</x:v>
      </x:c>
      <x:c r="K10" s="38" t="str">
        <x:v>按宠物品质</x:v>
      </x:c>
      <x:c r="L10" s="38" t="str">
        <x:v>正式</x:v>
      </x:c>
      <x:c r="M10" s="38" t="str">
        <x:v>独立摊位 Nufu、Proteus；关系候选 145 只；抽取时先选摊位，不合并来源货池。</x:v>
      </x:c>
    </x:row>
    <x:row r="11">
      <x:c r="A11" s="38" t="str">
        <x:v>elem_无</x:v>
      </x:c>
      <x:c r="B11" s="38" t="str">
        <x:v>苍狼精</x:v>
      </x:c>
      <x:c r="C11" s="38" t="str">
        <x:v>训练/商品地点</x:v>
      </x:c>
      <x:c r="D11" s="38" t="str">
        <x:v>两格、技能宠、品质</x:v>
      </x:c>
      <x:c r="E11" s="38" t="n">
        <x:v>3</x:v>
      </x:c>
      <x:c r="F11" s="38" t="n">
        <x:v>2</x:v>
      </x:c>
      <x:c r="G11" s="38" t="n">
        <x:v>2</x:v>
      </x:c>
      <x:c r="H11" s="38" t="n">
        <x:v>0</x:v>
      </x:c>
      <x:c r="I11" s="38" t="n">
        <x:v>1</x:v>
      </x:c>
      <x:c r="J11" s="38" t="n">
        <x:v>1</x:v>
      </x:c>
      <x:c r="K11" s="38" t="str">
        <x:v>按宠物品质</x:v>
      </x:c>
      <x:c r="L11" s="38" t="str">
        <x:v>正式</x:v>
      </x:c>
      <x:c r="M11" s="38" t="str">
        <x:v>独立摊位 Mittel、Orlin；关系候选 177 只；抽取时先选摊位，不合并来源货池。</x:v>
      </x:c>
    </x:row>
    <x:row r="12">
      <x:c r="A12" s="38" t="str">
        <x:v>role_召唤</x:v>
      </x:c>
      <x:c r="B12" s="38" t="str">
        <x:v>猪八戒</x:v>
      </x:c>
      <x:c r="C12" s="38" t="str">
        <x:v>训练/商品地点</x:v>
      </x:c>
      <x:c r="D12" s="38" t="str">
        <x:v>一格、两格、三格、输出、技能宠</x:v>
      </x:c>
      <x:c r="E12" s="38" t="n">
        <x:v>3</x:v>
      </x:c>
      <x:c r="F12" s="38" t="n">
        <x:v>2</x:v>
      </x:c>
      <x:c r="G12" s="38" t="n">
        <x:v>2</x:v>
      </x:c>
      <x:c r="H12" s="38" t="n">
        <x:v>0</x:v>
      </x:c>
      <x:c r="I12" s="38" t="n">
        <x:v>1</x:v>
      </x:c>
      <x:c r="J12" s="38" t="n">
        <x:v>1</x:v>
      </x:c>
      <x:c r="K12" s="38" t="str">
        <x:v>按宠物品质</x:v>
      </x:c>
      <x:c r="L12" s="38" t="str">
        <x:v>正式</x:v>
      </x:c>
      <x:c r="M12" s="38" t="str">
        <x:v>独立摊位 Quixel、Vermir；关系候选 111 只；抽取时先选摊位，不合并来源货池。</x:v>
      </x:c>
    </x:row>
    <x:row r="13">
      <x:c r="A13" s="38" t="str">
        <x:v>role_坦克</x:v>
      </x:c>
      <x:c r="B13" s="38" t="str">
        <x:v>黄风怪</x:v>
      </x:c>
      <x:c r="C13" s="38" t="str">
        <x:v>训练/商品地点</x:v>
      </x:c>
      <x:c r="D13" s="38" t="str">
        <x:v>输出、技能宠、品质</x:v>
      </x:c>
      <x:c r="E13" s="38" t="n">
        <x:v>3</x:v>
      </x:c>
      <x:c r="F13" s="38" t="n">
        <x:v>4</x:v>
      </x:c>
      <x:c r="G13" s="38" t="n">
        <x:v>2</x:v>
      </x:c>
      <x:c r="H13" s="38" t="n">
        <x:v>0</x:v>
      </x:c>
      <x:c r="I13" s="38" t="n">
        <x:v>0</x:v>
      </x:c>
      <x:c r="J13" s="38" t="n">
        <x:v>0</x:v>
      </x:c>
      <x:c r="K13" s="38" t="str">
        <x:v>按宠物品质</x:v>
      </x:c>
      <x:c r="L13" s="38" t="str">
        <x:v>正式</x:v>
      </x:c>
      <x:c r="M13" s="38" t="str">
        <x:v>独立摊位 Goldie、Ryukon；关系候选 192 只；抽取时先选摊位，不合并来源货池。</x:v>
      </x:c>
    </x:row>
    <x:row r="14">
      <x:c r="A14" s="38" t="str">
        <x:v>role_控制</x:v>
      </x:c>
      <x:c r="B14" s="38" t="str">
        <x:v>灵吉菩萨</x:v>
      </x:c>
      <x:c r="C14" s="38" t="str">
        <x:v>训练/商品地点</x:v>
      </x:c>
      <x:c r="D14" s="38" t="str">
        <x:v>技能宠、品质</x:v>
      </x:c>
      <x:c r="E14" s="38" t="n">
        <x:v>3</x:v>
      </x:c>
      <x:c r="F14" s="38" t="n">
        <x:v>4</x:v>
      </x:c>
      <x:c r="G14" s="38" t="n">
        <x:v>2</x:v>
      </x:c>
      <x:c r="H14" s="38" t="n">
        <x:v>0</x:v>
      </x:c>
      <x:c r="I14" s="38" t="n">
        <x:v>0</x:v>
      </x:c>
      <x:c r="J14" s="38" t="n">
        <x:v>0</x:v>
      </x:c>
      <x:c r="K14" s="38" t="str">
        <x:v>按宠物品质</x:v>
      </x:c>
      <x:c r="L14" s="38" t="str">
        <x:v>正式</x:v>
      </x:c>
      <x:c r="M14" s="38" t="str">
        <x:v>独立摊位 Luxe、Bjorn；关系候选 145 只；抽取时先选摊位，不合并来源货池。</x:v>
      </x:c>
    </x:row>
    <x:row r="15">
      <x:c r="A15" s="38" t="str">
        <x:v>role_治疗</x:v>
      </x:c>
      <x:c r="B15" s="38" t="str">
        <x:v>沙悟净</x:v>
      </x:c>
      <x:c r="C15" s="38" t="str">
        <x:v>训练/商品地点</x:v>
      </x:c>
      <x:c r="D15" s="38" t="str">
        <x:v>技能宠</x:v>
      </x:c>
      <x:c r="E15" s="38" t="n">
        <x:v>3</x:v>
      </x:c>
      <x:c r="F15" s="38" t="n">
        <x:v>5</x:v>
      </x:c>
      <x:c r="G15" s="38" t="n">
        <x:v>2</x:v>
      </x:c>
      <x:c r="H15" s="38" t="n">
        <x:v>0</x:v>
      </x:c>
      <x:c r="I15" s="38" t="n">
        <x:v>0</x:v>
      </x:c>
      <x:c r="J15" s="38" t="n">
        <x:v>0</x:v>
      </x:c>
      <x:c r="K15" s="38" t="str">
        <x:v>按宠物品质</x:v>
      </x:c>
      <x:c r="L15" s="38" t="str">
        <x:v>正式</x:v>
      </x:c>
      <x:c r="M15" s="38" t="str">
        <x:v>独立摊位 Serafina、Malafang；关系候选 87 只；抽取时先选摊位，不合并来源货池。</x:v>
      </x:c>
    </x:row>
    <x:row r="16">
      <x:c r="A16" s="38" t="str">
        <x:v>role_输出</x:v>
      </x:c>
      <x:c r="B16" s="38" t="str">
        <x:v>沙僧</x:v>
      </x:c>
      <x:c r="C16" s="38" t="str">
        <x:v>训练/商品地点</x:v>
      </x:c>
      <x:c r="D16" s="38" t="str">
        <x:v>水系、技能宠</x:v>
      </x:c>
      <x:c r="E16" s="38" t="n">
        <x:v>3</x:v>
      </x:c>
      <x:c r="F16" s="38" t="n">
        <x:v>6</x:v>
      </x:c>
      <x:c r="G16" s="38" t="n">
        <x:v>2</x:v>
      </x:c>
      <x:c r="H16" s="38" t="n">
        <x:v>0</x:v>
      </x:c>
      <x:c r="I16" s="38" t="n">
        <x:v>0</x:v>
      </x:c>
      <x:c r="J16" s="38" t="n">
        <x:v>0</x:v>
      </x:c>
      <x:c r="K16" s="38" t="str">
        <x:v>按宠物品质</x:v>
      </x:c>
      <x:c r="L16" s="38" t="str">
        <x:v>正式</x:v>
      </x:c>
      <x:c r="M16" s="38" t="str">
        <x:v>独立摊位 Nautica、Professor Riggle；关系候选 81 只；抽取时先选摊位，不合并来源货池。</x:v>
      </x:c>
    </x:row>
    <x:row r="17">
      <x:c r="A17" s="38" t="str">
        <x:v>role_经济</x:v>
      </x:c>
      <x:c r="B17" s="38" t="str">
        <x:v>黎山老母</x:v>
      </x:c>
      <x:c r="C17" s="38" t="str">
        <x:v>训练/商品地点</x:v>
      </x:c>
      <x:c r="D17" s="38" t="str">
        <x:v>技能宠、品质</x:v>
      </x:c>
      <x:c r="E17" s="38" t="n">
        <x:v>3</x:v>
      </x:c>
      <x:c r="F17" s="38" t="n">
        <x:v>5</x:v>
      </x:c>
      <x:c r="G17" s="38" t="n">
        <x:v>2</x:v>
      </x:c>
      <x:c r="H17" s="38" t="n">
        <x:v>0</x:v>
      </x:c>
      <x:c r="I17" s="38" t="n">
        <x:v>0</x:v>
      </x:c>
      <x:c r="J17" s="38" t="n">
        <x:v>0</x:v>
      </x:c>
      <x:c r="K17" s="38" t="str">
        <x:v>按宠物品质</x:v>
      </x:c>
      <x:c r="L17" s="38" t="str">
        <x:v>正式</x:v>
      </x:c>
      <x:c r="M17" s="38" t="str">
        <x:v>独立摊位 Silvia、Slohmor Lumbra；关系候选 83 只；抽取时先选摊位，不合并来源货池。</x:v>
      </x:c>
    </x:row>
    <x:row r="18">
      <x:c r="A18" s="38" t="str">
        <x:v>role_机动</x:v>
      </x:c>
      <x:c r="B18" s="38" t="str">
        <x:v>观音</x:v>
      </x:c>
      <x:c r="C18" s="38" t="str">
        <x:v>商品地点</x:v>
      </x:c>
      <x:c r="D18" s="38" t="str">
        <x:v>综合</x:v>
      </x:c>
      <x:c r="E18" s="38" t="n">
        <x:v>3</x:v>
      </x:c>
      <x:c r="F18" s="38" t="n">
        <x:v>6</x:v>
      </x:c>
      <x:c r="G18" s="38" t="n">
        <x:v>2</x:v>
      </x:c>
      <x:c r="H18" s="38" t="n">
        <x:v>0</x:v>
      </x:c>
      <x:c r="I18" s="38" t="n">
        <x:v>0</x:v>
      </x:c>
      <x:c r="J18" s="38" t="n">
        <x:v>0</x:v>
      </x:c>
      <x:c r="K18" s="38" t="str">
        <x:v>按宠物品质</x:v>
      </x:c>
      <x:c r="L18" s="38" t="str">
        <x:v>正式</x:v>
      </x:c>
      <x:c r="M18" s="38" t="str">
        <x:v>独立摊位 Colt、Prospero；关系候选 36 只；抽取时先选摊位，不合并来源货池。</x:v>
      </x:c>
    </x:row>
    <x:row r="19">
      <x:c r="A19" s="38" t="str">
        <x:v>special_merchant</x:v>
      </x:c>
      <x:c r="B19" s="38" t="str">
        <x:v>普贤</x:v>
      </x:c>
      <x:c r="C19" s="38" t="str">
        <x:v>训练/商品地点</x:v>
      </x:c>
      <x:c r="D19" s="38" t="str">
        <x:v>技能宠</x:v>
      </x:c>
      <x:c r="E19" s="38" t="n">
        <x:v>3</x:v>
      </x:c>
      <x:c r="F19" s="38" t="n">
        <x:v>4</x:v>
      </x:c>
      <x:c r="G19" s="38" t="n">
        <x:v>2</x:v>
      </x:c>
      <x:c r="H19" s="38" t="n">
        <x:v>0</x:v>
      </x:c>
      <x:c r="I19" s="38" t="n">
        <x:v>0</x:v>
      </x:c>
      <x:c r="J19" s="38" t="n">
        <x:v>0</x:v>
      </x:c>
      <x:c r="K19" s="38" t="str">
        <x:v>按宠物品质</x:v>
      </x:c>
      <x:c r="L19" s="38" t="str">
        <x:v>正式</x:v>
      </x:c>
      <x:c r="M19" s="38" t="str">
        <x:v>独立摊位 Tok's Clocks、Zara；关系候选 80 只；抽取时先选摊位，不合并来源货池。</x:v>
      </x:c>
    </x:row>
    <x:row r="20">
      <x:c r="A20" s="38" t="str">
        <x:v>elite_high</x:v>
      </x:c>
      <x:c r="B20" s="38" t="str">
        <x:v>文殊</x:v>
      </x:c>
      <x:c r="C20" s="38" t="str">
        <x:v>商品地点</x:v>
      </x:c>
      <x:c r="D20" s="38" t="str">
        <x:v>综合</x:v>
      </x:c>
      <x:c r="E20" s="38" t="n">
        <x:v>3</x:v>
      </x:c>
      <x:c r="F20" s="38" t="n">
        <x:v>4</x:v>
      </x:c>
      <x:c r="G20" s="38" t="n">
        <x:v>2</x:v>
      </x:c>
      <x:c r="H20" s="38" t="n">
        <x:v>0</x:v>
      </x:c>
      <x:c r="I20" s="38" t="n">
        <x:v>0</x:v>
      </x:c>
      <x:c r="J20" s="38" t="n">
        <x:v>0</x:v>
      </x:c>
      <x:c r="K20" s="38" t="str">
        <x:v>按宠物品质</x:v>
      </x:c>
      <x:c r="L20" s="38" t="str">
        <x:v>正式</x:v>
      </x:c>
      <x:c r="M20" s="38" t="str">
        <x:v>独立摊位 Chronos、Vanessa；关系候选 37 只；抽取时先选摊位，不合并来源货池。</x:v>
      </x:c>
    </x:row>
    <x:row r="21">
      <x:c r="A21" s="38" t="str">
        <x:v>tier_pT1</x:v>
      </x:c>
      <x:c r="B21" s="38" t="str">
        <x:v>镇元大仙</x:v>
      </x:c>
      <x:c r="C21" s="38" t="str">
        <x:v>训练/商品地点</x:v>
      </x:c>
      <x:c r="D21" s="38" t="str">
        <x:v>输出、技能宠</x:v>
      </x:c>
      <x:c r="E21" s="38" t="n">
        <x:v>3</x:v>
      </x:c>
      <x:c r="F21" s="38" t="n">
        <x:v>4</x:v>
      </x:c>
      <x:c r="G21" s="38" t="n">
        <x:v>2</x:v>
      </x:c>
      <x:c r="H21" s="38" t="n">
        <x:v>0</x:v>
      </x:c>
      <x:c r="I21" s="38" t="n">
        <x:v>0</x:v>
      </x:c>
      <x:c r="J21" s="38" t="n">
        <x:v>0</x:v>
      </x:c>
      <x:c r="K21" s="38" t="str">
        <x:v>按宠物品质</x:v>
      </x:c>
      <x:c r="L21" s="38" t="str">
        <x:v>正式</x:v>
      </x:c>
      <x:c r="M21" s="38" t="str">
        <x:v>独立摊位 Aimbot、C4；关系候选 34 只；抽取时先选摊位，不合并来源货池。</x:v>
      </x:c>
    </x:row>
    <x:row r="22">
      <x:c r="A22" s="38" t="str">
        <x:v>tier_pT2</x:v>
      </x:c>
      <x:c r="B22" s="38" t="str">
        <x:v>观音菩萨</x:v>
      </x:c>
      <x:c r="C22" s="38" t="str">
        <x:v>训练/商品地点</x:v>
      </x:c>
      <x:c r="D22" s="38" t="str">
        <x:v>水系、坦克、技能宠</x:v>
      </x:c>
      <x:c r="E22" s="38" t="n">
        <x:v>3</x:v>
      </x:c>
      <x:c r="F22" s="38" t="n">
        <x:v>4</x:v>
      </x:c>
      <x:c r="G22" s="38" t="n">
        <x:v>2</x:v>
      </x:c>
      <x:c r="H22" s="38" t="n">
        <x:v>0</x:v>
      </x:c>
      <x:c r="I22" s="38" t="n">
        <x:v>0</x:v>
      </x:c>
      <x:c r="J22" s="38" t="n">
        <x:v>0</x:v>
      </x:c>
      <x:c r="K22" s="38" t="str">
        <x:v>按宠物品质</x:v>
      </x:c>
      <x:c r="L22" s="38" t="str">
        <x:v>正式</x:v>
      </x:c>
      <x:c r="M22" s="38" t="str">
        <x:v>独立摊位 Hef、Regenald；关系候选 32 只；抽取时先选摊位，不合并来源货池。</x:v>
      </x:c>
    </x:row>
    <x:row r="23">
      <x:c r="A23" s="38" t="str">
        <x:v>tier_pT3</x:v>
      </x:c>
      <x:c r="B23" s="38" t="str">
        <x:v>白骨精</x:v>
      </x:c>
      <x:c r="C23" s="38" t="str">
        <x:v>商品地点</x:v>
      </x:c>
      <x:c r="D23" s="38" t="str">
        <x:v>水系、坦克</x:v>
      </x:c>
      <x:c r="E23" s="38" t="n">
        <x:v>3</x:v>
      </x:c>
      <x:c r="F23" s="38" t="n">
        <x:v>5</x:v>
      </x:c>
      <x:c r="G23" s="38" t="n">
        <x:v>2</x:v>
      </x:c>
      <x:c r="H23" s="38" t="n">
        <x:v>0</x:v>
      </x:c>
      <x:c r="I23" s="38" t="n">
        <x:v>0</x:v>
      </x:c>
      <x:c r="J23" s="38" t="n">
        <x:v>0</x:v>
      </x:c>
      <x:c r="K23" s="38" t="str">
        <x:v>按宠物品质</x:v>
      </x:c>
      <x:c r="L23" s="38" t="str">
        <x:v>正式</x:v>
      </x:c>
      <x:c r="M23" s="38" t="str">
        <x:v>独立摊位 Kev's Armory、Gastro；关系候选 17 只；抽取时先选摊位，不合并来源货池。</x:v>
      </x:c>
    </x:row>
    <x:row r="24">
      <x:c r="A24" s="38" t="str">
        <x:v>role_召唤铺场</x:v>
      </x:c>
      <x:c r="B24" s="38" t="str">
        <x:v>黄袍怪</x:v>
      </x:c>
      <x:c r="C24" s="38" t="str">
        <x:v>训练/商品地点</x:v>
      </x:c>
      <x:c r="D24" s="38" t="str">
        <x:v>坦克、技能宠</x:v>
      </x:c>
      <x:c r="E24" s="38" t="n">
        <x:v>3</x:v>
      </x:c>
      <x:c r="F24" s="38" t="n">
        <x:v>4</x:v>
      </x:c>
      <x:c r="G24" s="38" t="n">
        <x:v>2</x:v>
      </x:c>
      <x:c r="H24" s="38" t="n">
        <x:v>0</x:v>
      </x:c>
      <x:c r="I24" s="38" t="n">
        <x:v>0</x:v>
      </x:c>
      <x:c r="J24" s="38" t="n">
        <x:v>0</x:v>
      </x:c>
      <x:c r="K24" s="38" t="str">
        <x:v>按宠物品质</x:v>
      </x:c>
      <x:c r="L24" s="38" t="str">
        <x:v>正式</x:v>
      </x:c>
      <x:c r="M24" s="38" t="str">
        <x:v>独立摊位 Cobweb、Fortis；关系候选 37 只；抽取时先选摊位，不合并来源货池。</x:v>
      </x:c>
    </x:row>
    <x:row r="25">
      <x:c r="A25" s="38" t="str">
        <x:v>role_机动压制</x:v>
      </x:c>
      <x:c r="B25" s="38" t="str">
        <x:v>百花羞</x:v>
      </x:c>
      <x:c r="C25" s="38" t="str">
        <x:v>商品地点</x:v>
      </x:c>
      <x:c r="D25" s="38" t="str">
        <x:v>综合</x:v>
      </x:c>
      <x:c r="E25" s="38" t="n">
        <x:v>3</x:v>
      </x:c>
      <x:c r="F25" s="38" t="n">
        <x:v>4</x:v>
      </x:c>
      <x:c r="G25" s="38" t="n">
        <x:v>2</x:v>
      </x:c>
      <x:c r="H25" s="38" t="n">
        <x:v>0</x:v>
      </x:c>
      <x:c r="I25" s="38" t="n">
        <x:v>0</x:v>
      </x:c>
      <x:c r="J25" s="38" t="n">
        <x:v>0</x:v>
      </x:c>
      <x:c r="K25" s="38" t="str">
        <x:v>按宠物品质</x:v>
      </x:c>
      <x:c r="L25" s="38" t="str">
        <x:v>正式</x:v>
      </x:c>
      <x:c r="M25" s="38" t="str">
        <x:v>独立摊位 Dryad、Lord Oak；关系候选 30 只；抽取时先选摊位，不合并来源货池。</x:v>
      </x:c>
    </x:row>
    <x:row r="26">
      <x:c r="A26" s="38" t="str">
        <x:v>role_抗压承伤</x:v>
      </x:c>
      <x:c r="B26" s="38" t="str">
        <x:v>宝象国国王</x:v>
      </x:c>
      <x:c r="C26" s="38" t="str">
        <x:v>商品地点</x:v>
      </x:c>
      <x:c r="D26" s="38" t="str">
        <x:v>综合</x:v>
      </x:c>
      <x:c r="E26" s="38" t="n">
        <x:v>3</x:v>
      </x:c>
      <x:c r="F26" s="38" t="n">
        <x:v>4</x:v>
      </x:c>
      <x:c r="G26" s="38" t="n">
        <x:v>2</x:v>
      </x:c>
      <x:c r="H26" s="38" t="n">
        <x:v>0</x:v>
      </x:c>
      <x:c r="I26" s="38" t="n">
        <x:v>0</x:v>
      </x:c>
      <x:c r="J26" s="38" t="n">
        <x:v>0</x:v>
      </x:c>
      <x:c r="K26" s="38" t="str">
        <x:v>按宠物品质</x:v>
      </x:c>
      <x:c r="L26" s="38" t="str">
        <x:v>正式</x:v>
      </x:c>
      <x:c r="M26" s="38" t="str">
        <x:v>独立摊位 The Tester、Shelter Shelby；关系候选 21 只；抽取时先选摊位，不合并来源货池。</x:v>
      </x:c>
    </x:row>
    <x:row r="27">
      <x:c r="A27" s="38" t="str">
        <x:v>role_重甲抗压</x:v>
      </x:c>
      <x:c r="B27" s="38" t="str">
        <x:v>金角大王</x:v>
      </x:c>
      <x:c r="C27" s="38" t="str">
        <x:v>商品地点</x:v>
      </x:c>
      <x:c r="D27" s="38" t="str">
        <x:v>综合</x:v>
      </x:c>
      <x:c r="E27" s="38" t="n">
        <x:v>3</x:v>
      </x:c>
      <x:c r="F27" s="38" t="n">
        <x:v>4</x:v>
      </x:c>
      <x:c r="G27" s="38" t="n">
        <x:v>2</x:v>
      </x:c>
      <x:c r="H27" s="38" t="n">
        <x:v>0</x:v>
      </x:c>
      <x:c r="I27" s="38" t="n">
        <x:v>0</x:v>
      </x:c>
      <x:c r="J27" s="38" t="n">
        <x:v>0</x:v>
      </x:c>
      <x:c r="K27" s="38" t="str">
        <x:v>按宠物品质</x:v>
      </x:c>
      <x:c r="L27" s="38" t="str">
        <x:v>正式</x:v>
      </x:c>
      <x:c r="M27" s="38" t="str">
        <x:v>独立摊位 Gaseo、Tatiana；关系候选 17 只；抽取时先选摊位，不合并来源货池。</x:v>
      </x:c>
    </x:row>
    <x:row r="28">
      <x:c r="A28" s="38" t="str">
        <x:v>role_远点压制</x:v>
      </x:c>
      <x:c r="B28" s="38" t="str">
        <x:v>银角大王</x:v>
      </x:c>
      <x:c r="C28" s="38" t="str">
        <x:v>商品地点</x:v>
      </x:c>
      <x:c r="D28" s="38" t="str">
        <x:v>综合</x:v>
      </x:c>
      <x:c r="E28" s="38" t="n">
        <x:v>3</x:v>
      </x:c>
      <x:c r="F28" s="38" t="n">
        <x:v>6</x:v>
      </x:c>
      <x:c r="G28" s="38" t="n">
        <x:v>1</x:v>
      </x:c>
      <x:c r="H28" s="38" t="n">
        <x:v>0</x:v>
      </x:c>
      <x:c r="I28" s="38" t="n">
        <x:v>0</x:v>
      </x:c>
      <x:c r="J28" s="38" t="n">
        <x:v>0</x:v>
      </x:c>
      <x:c r="K28" s="38" t="str">
        <x:v>按宠物品质</x:v>
      </x:c>
      <x:c r="L28" s="38" t="str">
        <x:v>正式</x:v>
      </x:c>
      <x:c r="M28" s="38" t="str">
        <x:v>独立摊位 Orion；关系候选 18 只；抽取时先选摊位，不合并来源货池。</x:v>
      </x:c>
    </x:row>
    <x:row r="29">
      <x:c r="A29" s="38" t="str">
        <x:v>role_风系铺场</x:v>
      </x:c>
      <x:c r="B29" s="38" t="str">
        <x:v>九尾狐</x:v>
      </x:c>
      <x:c r="C29" s="38" t="str">
        <x:v>商品地点</x:v>
      </x:c>
      <x:c r="D29" s="38" t="str">
        <x:v>三格</x:v>
      </x:c>
      <x:c r="E29" s="38" t="n">
        <x:v>3</x:v>
      </x:c>
      <x:c r="F29" s="38" t="n">
        <x:v>5</x:v>
      </x:c>
      <x:c r="G29" s="38" t="n">
        <x:v>1</x:v>
      </x:c>
      <x:c r="H29" s="38" t="n">
        <x:v>0</x:v>
      </x:c>
      <x:c r="I29" s="38" t="n">
        <x:v>0</x:v>
      </x:c>
      <x:c r="J29" s="38" t="n">
        <x:v>0</x:v>
      </x:c>
      <x:c r="K29" s="38" t="str">
        <x:v>按宠物品质</x:v>
      </x:c>
      <x:c r="L29" s="38" t="str">
        <x:v>正式</x:v>
      </x:c>
      <x:c r="M29" s="38" t="str">
        <x:v>独立摊位 Pol；关系候选 14 只；抽取时先选摊位，不合并来源货池。</x:v>
      </x:c>
    </x:row>
    <x:row r="30">
      <x:c r="A30" s="38" t="str">
        <x:v>role_风系牵制</x:v>
      </x:c>
      <x:c r="B30" s="38" t="str">
        <x:v>狐阿七</x:v>
      </x:c>
      <x:c r="C30" s="38" t="str">
        <x:v>商品地点</x:v>
      </x:c>
      <x:c r="D30" s="38" t="str">
        <x:v>综合</x:v>
      </x:c>
      <x:c r="E30" s="38" t="n">
        <x:v>3</x:v>
      </x:c>
      <x:c r="F30" s="38" t="n">
        <x:v>4</x:v>
      </x:c>
      <x:c r="G30" s="38" t="n">
        <x:v>1</x:v>
      </x:c>
      <x:c r="H30" s="38" t="n">
        <x:v>0</x:v>
      </x:c>
      <x:c r="I30" s="38" t="n">
        <x:v>0</x:v>
      </x:c>
      <x:c r="J30" s="38" t="n">
        <x:v>0</x:v>
      </x:c>
      <x:c r="K30" s="38" t="str">
        <x:v>按宠物品质</x:v>
      </x:c>
      <x:c r="L30" s="38" t="str">
        <x:v>正式</x:v>
      </x:c>
      <x:c r="M30" s="38" t="str">
        <x:v>独立摊位 Freiya；关系候选 9 只；抽取时先选摊位，不合并来源货池。</x:v>
      </x:c>
    </x:row>
    <x:row r="31">
      <x:c r="A31" s="38" t="str">
        <x:v>role_火系压制</x:v>
      </x:c>
      <x:c r="B31" s="38" t="str">
        <x:v>狮猁王</x:v>
      </x:c>
      <x:c r="C31" s="38" t="str">
        <x:v>商品地点</x:v>
      </x:c>
      <x:c r="D31" s="38" t="str">
        <x:v>综合</x:v>
      </x:c>
      <x:c r="E31" s="38" t="n">
        <x:v>3</x:v>
      </x:c>
      <x:c r="F31" s="38" t="n">
        <x:v>6</x:v>
      </x:c>
      <x:c r="G31" s="38" t="n">
        <x:v>1</x:v>
      </x:c>
      <x:c r="H31" s="38" t="n">
        <x:v>0</x:v>
      </x:c>
      <x:c r="I31" s="38" t="n">
        <x:v>0</x:v>
      </x:c>
      <x:c r="J31" s="38" t="n">
        <x:v>0</x:v>
      </x:c>
      <x:c r="K31" s="38" t="str">
        <x:v>按宠物品质</x:v>
      </x:c>
      <x:c r="L31" s="38" t="str">
        <x:v>正式</x:v>
      </x:c>
      <x:c r="M31" s="38" t="str">
        <x:v>独立摊位 Knightshade；关系候选 14 只；抽取时先选摊位，不合并来源货池。</x:v>
      </x:c>
    </x:row>
    <x:row r="32">
      <x:c r="A32"/>
      <x:c r="B32"/>
      <x:c r="C32"/>
      <x:c r="D32"/>
      <x:c r="E32"/>
      <x:c r="F32"/>
      <x:c r="G32"/>
      <x:c r="H32"/>
      <x:c r="I32"/>
    </x:row>
    <x:row r="33">
      <x:c r="A33"/>
      <x:c r="B33"/>
      <x:c r="C33"/>
      <x:c r="D33"/>
      <x:c r="E33"/>
      <x:c r="F33"/>
      <x:c r="G33"/>
      <x:c r="H33"/>
      <x:c r="I33"/>
    </x:row>
    <x:row r="34">
      <x:c r="A34"/>
      <x:c r="B34"/>
      <x:c r="C34"/>
      <x:c r="D34"/>
      <x:c r="E34"/>
      <x:c r="F34"/>
      <x:c r="G34"/>
      <x:c r="H34"/>
      <x:c r="I34"/>
    </x:row>
    <x:row r="35">
      <x:c r="A35"/>
      <x:c r="B35"/>
      <x:c r="C35"/>
      <x:c r="D35"/>
      <x:c r="E35"/>
      <x:c r="F35"/>
      <x:c r="G35"/>
      <x:c r="H35"/>
      <x:c r="I35"/>
    </x:row>
    <x:row r="36">
      <x:c r="A36"/>
      <x:c r="B36"/>
      <x:c r="C36"/>
      <x:c r="D36"/>
      <x:c r="E36"/>
      <x:c r="F36"/>
      <x:c r="G36"/>
      <x:c r="H36"/>
      <x:c r="I36"/>
    </x:row>
    <x:row r="37">
      <x:c r="A37"/>
      <x:c r="B37"/>
      <x:c r="C37"/>
      <x:c r="D37"/>
      <x:c r="E37"/>
      <x:c r="F37"/>
      <x:c r="G37"/>
      <x:c r="H37"/>
      <x:c r="I37"/>
    </x:row>
    <x:row r="38">
      <x:c r="A38"/>
      <x:c r="B38"/>
      <x:c r="C38"/>
      <x:c r="D38"/>
      <x:c r="E38"/>
      <x:c r="F38"/>
      <x:c r="G38"/>
      <x:c r="H38"/>
      <x:c r="I38"/>
    </x:row>
    <x:row r="39">
      <x:c r="A39"/>
      <x:c r="B39"/>
      <x:c r="C39"/>
      <x:c r="D39"/>
      <x:c r="E39"/>
      <x:c r="F39"/>
      <x:c r="G39"/>
      <x:c r="H39"/>
      <x:c r="I39"/>
    </x:row>
    <x:row r="40">
      <x:c r="A40"/>
      <x:c r="B40"/>
      <x:c r="C40"/>
      <x:c r="D40"/>
      <x:c r="E40"/>
      <x:c r="F40"/>
      <x:c r="G40"/>
      <x:c r="H40"/>
      <x:c r="I40"/>
    </x:row>
    <x:row r="41">
      <x:c r="A41"/>
      <x:c r="B41"/>
      <x:c r="C41"/>
      <x:c r="D41"/>
      <x:c r="E41"/>
      <x:c r="F41"/>
      <x:c r="G41"/>
      <x:c r="H41"/>
      <x:c r="I41"/>
    </x:row>
    <x:row r="42">
      <x:c r="A42"/>
      <x:c r="B42"/>
      <x:c r="C42"/>
      <x:c r="D42"/>
      <x:c r="E42"/>
      <x:c r="F42"/>
      <x:c r="G42"/>
      <x:c r="H42"/>
      <x:c r="I42"/>
    </x:row>
    <x:row r="43">
      <x:c r="A43"/>
      <x:c r="B43"/>
      <x:c r="C43"/>
      <x:c r="D43"/>
      <x:c r="E43"/>
      <x:c r="F43"/>
      <x:c r="G43"/>
      <x:c r="H43"/>
      <x:c r="I43"/>
    </x:row>
    <x:row r="44">
      <x:c r="A44"/>
      <x:c r="B44"/>
      <x:c r="C44"/>
      <x:c r="D44"/>
      <x:c r="E44"/>
      <x:c r="F44"/>
      <x:c r="G44"/>
      <x:c r="H44"/>
      <x:c r="I44"/>
    </x:row>
    <x:row r="45">
      <x:c r="A45"/>
      <x:c r="B45"/>
      <x:c r="C45"/>
      <x:c r="D45"/>
      <x:c r="E45"/>
      <x:c r="F45"/>
      <x:c r="G45"/>
      <x:c r="H45"/>
      <x:c r="I45"/>
    </x:row>
    <x:row r="46">
      <x:c r="A46"/>
      <x:c r="B46"/>
      <x:c r="C46"/>
      <x:c r="D46"/>
      <x:c r="E46"/>
      <x:c r="F46"/>
      <x:c r="G46"/>
      <x:c r="H46"/>
      <x:c r="I46"/>
    </x:row>
    <x:row r="47">
      <x:c r="A47"/>
      <x:c r="B47"/>
      <x:c r="C47"/>
      <x:c r="D47"/>
      <x:c r="E47"/>
      <x:c r="F47"/>
      <x:c r="G47"/>
      <x:c r="H47"/>
      <x:c r="I47"/>
    </x:row>
    <x:row r="48">
      <x:c r="A48"/>
      <x:c r="B48"/>
      <x:c r="C48"/>
      <x:c r="D48"/>
      <x:c r="E48"/>
      <x:c r="F48"/>
      <x:c r="G48"/>
      <x:c r="H48"/>
      <x:c r="I48"/>
    </x:row>
    <x:row r="49">
      <x:c r="A49"/>
      <x:c r="B49"/>
      <x:c r="C49"/>
      <x:c r="D49"/>
      <x:c r="E49"/>
      <x:c r="F49"/>
      <x:c r="G49"/>
      <x:c r="H49"/>
      <x:c r="I49"/>
    </x:row>
    <x:row r="50">
      <x:c r="A50"/>
      <x:c r="B50"/>
      <x:c r="C50"/>
      <x:c r="D50"/>
      <x:c r="E50"/>
      <x:c r="F50"/>
      <x:c r="G50"/>
      <x:c r="H50"/>
      <x:c r="I50"/>
    </x:row>
    <x:row r="51">
      <x:c r="A51"/>
      <x:c r="B51"/>
      <x:c r="C51"/>
      <x:c r="D51"/>
      <x:c r="E51"/>
      <x:c r="F51"/>
      <x:c r="G51"/>
      <x:c r="H51"/>
      <x:c r="I51"/>
    </x:row>
    <x:row r="52">
      <x:c r="A52"/>
      <x:c r="B52"/>
      <x:c r="C52"/>
      <x:c r="D52"/>
      <x:c r="E52"/>
      <x:c r="F52"/>
      <x:c r="G52"/>
      <x:c r="H52"/>
      <x:c r="I52"/>
    </x:row>
    <x:row r="53">
      <x:c r="A53"/>
      <x:c r="B53"/>
      <x:c r="C53"/>
      <x:c r="D53"/>
      <x:c r="E53"/>
      <x:c r="F53"/>
      <x:c r="G53"/>
      <x:c r="H53"/>
      <x:c r="I53"/>
    </x:row>
    <x:row r="54">
      <x:c r="A54"/>
      <x:c r="B54"/>
      <x:c r="C54"/>
      <x:c r="D54"/>
      <x:c r="E54"/>
      <x:c r="F54"/>
      <x:c r="G54"/>
      <x:c r="H54"/>
      <x:c r="I54"/>
    </x:row>
    <x:row r="55">
      <x:c r="A55"/>
      <x:c r="B55"/>
      <x:c r="C55"/>
      <x:c r="D55"/>
      <x:c r="E55"/>
      <x:c r="F55"/>
      <x:c r="G55"/>
      <x:c r="H55"/>
      <x:c r="I55"/>
    </x:row>
    <x:row r="56">
      <x:c r="A56"/>
      <x:c r="B56"/>
      <x:c r="C56"/>
      <x:c r="D56"/>
      <x:c r="E56"/>
      <x:c r="F56"/>
      <x:c r="G56"/>
      <x:c r="H56"/>
      <x:c r="I56"/>
    </x:row>
    <x:row r="57">
      <x:c r="A57"/>
      <x:c r="B57"/>
      <x:c r="C57"/>
      <x:c r="D57"/>
      <x:c r="E57"/>
      <x:c r="F57"/>
      <x:c r="G57"/>
      <x:c r="H57"/>
      <x:c r="I57"/>
    </x:row>
    <x:row r="58">
      <x:c r="A58"/>
      <x:c r="B58"/>
      <x:c r="C58"/>
      <x:c r="D58"/>
      <x:c r="E58"/>
      <x:c r="F58"/>
      <x:c r="G58"/>
      <x:c r="H58"/>
      <x:c r="I58"/>
    </x:row>
    <x:row r="59">
      <x:c r="A59"/>
      <x:c r="B59"/>
      <x:c r="C59"/>
      <x:c r="D59"/>
      <x:c r="E59"/>
      <x:c r="F59"/>
      <x:c r="G59"/>
      <x:c r="H59"/>
      <x:c r="I59"/>
    </x:row>
    <x:row r="60">
      <x:c r="A60"/>
      <x:c r="B60"/>
      <x:c r="C60"/>
      <x:c r="D60"/>
      <x:c r="E60"/>
      <x:c r="F60"/>
      <x:c r="G60"/>
      <x:c r="H60"/>
      <x:c r="I60"/>
    </x:row>
    <x:row r="61">
      <x:c r="A61"/>
      <x:c r="B61"/>
      <x:c r="C61"/>
      <x:c r="D61"/>
      <x:c r="E61"/>
      <x:c r="F61"/>
      <x:c r="G61"/>
      <x:c r="H61"/>
      <x:c r="I61"/>
    </x:row>
    <x:row r="62">
      <x:c r="A62"/>
      <x:c r="B62"/>
      <x:c r="C62"/>
      <x:c r="D62"/>
      <x:c r="E62"/>
      <x:c r="F62"/>
      <x:c r="G62"/>
      <x:c r="H62"/>
      <x:c r="I62"/>
    </x:row>
    <x:row r="63">
      <x:c r="A63"/>
      <x:c r="B63"/>
      <x:c r="C63"/>
      <x:c r="D63"/>
      <x:c r="E63"/>
      <x:c r="F63"/>
      <x:c r="G63"/>
      <x:c r="H63"/>
      <x:c r="I63"/>
    </x:row>
    <x:row r="64">
      <x:c r="A64"/>
      <x:c r="B64"/>
      <x:c r="C64"/>
      <x:c r="D64"/>
      <x:c r="E64"/>
      <x:c r="F64"/>
      <x:c r="G64"/>
      <x:c r="H64"/>
      <x:c r="I64"/>
    </x:row>
    <x:row r="65">
      <x:c r="A65"/>
      <x:c r="B65"/>
      <x:c r="C65"/>
      <x:c r="D65"/>
      <x:c r="E65"/>
      <x:c r="F65"/>
      <x:c r="G65"/>
      <x:c r="H65"/>
      <x:c r="I65"/>
    </x:row>
    <x:row r="66">
      <x:c r="A66"/>
      <x:c r="B66"/>
      <x:c r="C66"/>
      <x:c r="D66"/>
      <x:c r="E66"/>
      <x:c r="F66"/>
      <x:c r="G66"/>
      <x:c r="H66"/>
      <x:c r="I66"/>
    </x:row>
    <x:row r="67">
      <x:c r="A67"/>
      <x:c r="B67"/>
      <x:c r="C67"/>
      <x:c r="D67"/>
      <x:c r="E67"/>
      <x:c r="F67"/>
      <x:c r="G67"/>
      <x:c r="H67"/>
      <x:c r="I67"/>
    </x:row>
    <x:row r="68">
      <x:c r="A68"/>
      <x:c r="B68"/>
      <x:c r="C68"/>
      <x:c r="D68"/>
      <x:c r="E68"/>
      <x:c r="F68"/>
      <x:c r="G68"/>
      <x:c r="H68"/>
      <x:c r="I68"/>
    </x:row>
    <x:row r="69">
      <x:c r="A69"/>
      <x:c r="B69"/>
      <x:c r="C69"/>
      <x:c r="D69"/>
      <x:c r="E69"/>
      <x:c r="F69"/>
      <x:c r="G69"/>
      <x:c r="H69"/>
      <x:c r="I69"/>
    </x:row>
    <x:row r="70">
      <x:c r="A70"/>
      <x:c r="B70"/>
      <x:c r="C70"/>
      <x:c r="D70"/>
      <x:c r="E70"/>
      <x:c r="F70"/>
      <x:c r="G70"/>
      <x:c r="H70"/>
      <x:c r="I70"/>
    </x:row>
    <x:row r="71">
      <x:c r="A71"/>
      <x:c r="B71"/>
      <x:c r="C71"/>
      <x:c r="D71"/>
      <x:c r="E71"/>
      <x:c r="F71"/>
      <x:c r="G71"/>
      <x:c r="H71"/>
      <x:c r="I71"/>
    </x:row>
    <x:row r="72">
      <x:c r="A72"/>
      <x:c r="B72"/>
      <x:c r="C72"/>
      <x:c r="D72"/>
      <x:c r="E72"/>
      <x:c r="F72"/>
      <x:c r="G72"/>
      <x:c r="H72"/>
      <x:c r="I72"/>
    </x:row>
    <x:row r="73">
      <x:c r="A73"/>
      <x:c r="B73"/>
      <x:c r="C73"/>
      <x:c r="D73"/>
      <x:c r="E73"/>
      <x:c r="F73"/>
      <x:c r="G73"/>
      <x:c r="H73"/>
      <x:c r="I73"/>
    </x:row>
    <x:row r="74">
      <x:c r="A74"/>
      <x:c r="B74"/>
      <x:c r="C74"/>
      <x:c r="D74"/>
      <x:c r="E74"/>
      <x:c r="F74"/>
      <x:c r="G74"/>
      <x:c r="H74"/>
      <x:c r="I74"/>
    </x:row>
    <x:row r="75">
      <x:c r="A75"/>
      <x:c r="B75"/>
      <x:c r="C75"/>
      <x:c r="D75"/>
      <x:c r="E75"/>
      <x:c r="F75"/>
      <x:c r="G75"/>
      <x:c r="H75"/>
      <x:c r="I75"/>
    </x:row>
    <x:row r="76">
      <x:c r="A76"/>
      <x:c r="B76"/>
      <x:c r="C76"/>
      <x:c r="D76"/>
      <x:c r="E76"/>
      <x:c r="F76"/>
      <x:c r="G76"/>
      <x:c r="H76"/>
      <x:c r="I76"/>
    </x:row>
    <x:row r="77">
      <x:c r="A77"/>
      <x:c r="B77"/>
      <x:c r="C77"/>
      <x:c r="D77"/>
      <x:c r="E77"/>
      <x:c r="F77"/>
      <x:c r="G77"/>
      <x:c r="H77"/>
      <x:c r="I77"/>
    </x:row>
    <x:row r="78">
      <x:c r="A78"/>
      <x:c r="B78"/>
      <x:c r="C78"/>
      <x:c r="D78"/>
      <x:c r="E78"/>
      <x:c r="F78"/>
      <x:c r="G78"/>
      <x:c r="H78"/>
      <x:c r="I78"/>
    </x:row>
    <x:row r="79">
      <x:c r="A79"/>
      <x:c r="B79"/>
      <x:c r="C79"/>
      <x:c r="D79"/>
      <x:c r="E79"/>
      <x:c r="F79"/>
      <x:c r="G79"/>
      <x:c r="H79"/>
      <x:c r="I79"/>
    </x:row>
    <x:row r="80">
      <x:c r="A80"/>
      <x:c r="B80"/>
      <x:c r="C80"/>
      <x:c r="D80"/>
      <x:c r="E80"/>
      <x:c r="F80"/>
      <x:c r="G80"/>
      <x:c r="H80"/>
      <x:c r="I80"/>
    </x:row>
  </x:sheetData>
  <x:pageMargins left="0.7" right="0.7" top="0.75" bottom="0.75" header="0.3" footer="0.3"/>
  <x:tableParts count="1">
    <x:tablePart xmlns:r="http://schemas.openxmlformats.org/officeDocument/2006/relationships" r:id="Rfc195942d3844afa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0" customWidth="1"/>
    <x:col min="3" max="3" width="10" customWidth="1"/>
    <x:col min="4" max="4" width="10" customWidth="1"/>
    <x:col min="5" max="5" width="28" customWidth="1"/>
    <x:col min="6" max="6" width="10" customWidth="1"/>
    <x:col min="7" max="7" width="18" customWidth="1"/>
    <x:col min="8" max="8" width="15" customWidth="1"/>
    <x:col min="9" max="9" width="36" customWidth="1"/>
  </x:cols>
  <x:sheetData>
    <x:row r="1">
      <x:c r="A1" s="2" t="inlineStr">
        <x:is>
          <x:t xml:space="preserve">wave_id</x:t>
        </x:is>
      </x:c>
      <x:c r="B1" s="2" t="inlineStr">
        <x:is>
          <x:t xml:space="preserve">day</x:t>
        </x:is>
      </x:c>
      <x:c r="C1" s="2" t="inlineStr">
        <x:is>
          <x:t xml:space="preserve">period</x:t>
        </x:is>
      </x:c>
      <x:c r="D1" s="2" t="inlineStr">
        <x:is>
          <x:t xml:space="preserve">round</x:t>
        </x:is>
      </x:c>
      <x:c r="E1" s="2" t="inlineStr">
        <x:is>
          <x:t xml:space="preserve">enemy_pool</x:t>
        </x:is>
      </x:c>
      <x:c r="F1" s="2" t="inlineStr">
        <x:is>
          <x:t xml:space="preserve">count</x:t>
        </x:is>
      </x:c>
      <x:c r="G1" s="2" t="inlineStr">
        <x:is>
          <x:t xml:space="preserve">quality_weights</x:t>
        </x:is>
      </x:c>
      <x:c r="H1" s="2" t="inlineStr">
        <x:is>
          <x:t xml:space="preserve">target_threat</x:t>
        </x:is>
      </x:c>
      <x:c r="I1" s="2" t="inlineStr">
        <x:is>
          <x:t xml:space="preserve">design_goal</x:t>
        </x:is>
      </x:c>
    </x:row>
    <x:row r="2">
      <x:c r="A2" s="3" t="inlineStr">
        <x:is>
          <x:t xml:space="preserve">wave_d01_morning</x:t>
        </x:is>
      </x:c>
      <x:c r="B2" s="3" t="inlineStr">
        <x:is>
          <x:t xml:space="preserve">1</x:t>
        </x:is>
      </x:c>
      <x:c r="C2" s="3" t="inlineStr">
        <x:is>
          <x:t xml:space="preserve">上午</x:t>
        </x:is>
      </x:c>
      <x:c r="D2" s="3" t="inlineStr">
        <x:is>
          <x:t xml:space="preserve">1</x:t>
        </x:is>
      </x:c>
      <x:c r="E2" s="3" t="inlineStr">
        <x:is>
          <x:t xml:space="preserve">1,2,3,4,5</x:t>
        </x:is>
      </x:c>
      <x:c r="F2" s="3" t="inlineStr">
        <x:is>
          <x:t xml:space="preserve">2</x:t>
        </x:is>
      </x:c>
      <x:c r="G2" s="3" t="inlineStr">
        <x:is>
          <x:t xml:space="preserve">90,10,0,0</x:t>
        </x:is>
      </x:c>
      <x:c r="H2" s="3" t="inlineStr">
        <x:is>
          <x:t xml:space="preserve">124.3</x:t>
        </x:is>
      </x:c>
      <x:c r="I2" s="3" t="inlineStr">
        <x:is>
          <x:t xml:space="preserve">池-数量；品质权重=青铜,白银,黄金,钻石</x:t>
        </x:is>
      </x:c>
    </x:row>
    <x:row r="3">
      <x:c r="A3" s="3" t="inlineStr">
        <x:is>
          <x:t xml:space="preserve">wave_d01_morning</x:t>
        </x:is>
      </x:c>
      <x:c r="B3" s="3" t="inlineStr">
        <x:is>
          <x:t xml:space="preserve">1</x:t>
        </x:is>
      </x:c>
      <x:c r="C3" s="3" t="inlineStr">
        <x:is>
          <x:t xml:space="preserve">上午</x:t>
        </x:is>
      </x:c>
      <x:c r="D3" s="3" t="inlineStr">
        <x:is>
          <x:t xml:space="preserve">2</x:t>
        </x:is>
      </x:c>
      <x:c r="E3" s="3" t="inlineStr">
        <x:is>
          <x:t xml:space="preserve">1,2,3,4,5</x:t>
        </x:is>
      </x:c>
      <x:c r="F3" s="3" t="inlineStr">
        <x:is>
          <x:t xml:space="preserve">3</x:t>
        </x:is>
      </x:c>
      <x:c r="G3" s="3" t="inlineStr">
        <x:is>
          <x:t xml:space="preserve">90,10,0,1</x:t>
        </x:is>
      </x:c>
      <x:c r="H3" s="3" t="inlineStr">
        <x:is>
          <x:t xml:space="preserve">189</x:t>
        </x:is>
      </x:c>
      <x:c r="I3" s="3" t="inlineStr">
        <x:is>
          <x:t xml:space="preserve">池-数量；品质权重=青铜,白银,黄金,钻石</x:t>
        </x:is>
      </x:c>
    </x:row>
    <x:row r="4">
      <x:c r="A4" s="3" t="inlineStr">
        <x:is>
          <x:t xml:space="preserve">wave_d01_morning</x:t>
        </x:is>
      </x:c>
      <x:c r="B4" s="3" t="inlineStr">
        <x:is>
          <x:t xml:space="preserve">1</x:t>
        </x:is>
      </x:c>
      <x:c r="C4" s="3" t="inlineStr">
        <x:is>
          <x:t xml:space="preserve">上午</x:t>
        </x:is>
      </x:c>
      <x:c r="D4" s="3" t="inlineStr">
        <x:is>
          <x:t xml:space="preserve">3</x:t>
        </x:is>
      </x:c>
      <x:c r="E4" s="3" t="inlineStr">
        <x:is>
          <x:t xml:space="preserve">1,2,3,4,5</x:t>
        </x:is>
      </x:c>
      <x:c r="F4" s="3" t="inlineStr">
        <x:is>
          <x:t xml:space="preserve">4</x:t>
        </x:is>
      </x:c>
      <x:c r="G4" s="3" t="inlineStr">
        <x:is>
          <x:t xml:space="preserve">90,10,0,2</x:t>
        </x:is>
      </x:c>
      <x:c r="H4" s="3" t="inlineStr">
        <x:is>
          <x:t xml:space="preserve">255.4</x:t>
        </x:is>
      </x:c>
      <x:c r="I4" s="3" t="inlineStr">
        <x:is>
          <x:t xml:space="preserve">池-数量；品质权重=青铜,白银,黄金,钻石</x:t>
        </x:is>
      </x:c>
    </x:row>
    <x:row r="5">
      <x:c r="A5" s="3" t="inlineStr">
        <x:is>
          <x:t xml:space="preserve">wave_d01_morning</x:t>
        </x:is>
      </x:c>
      <x:c r="B5" s="3" t="inlineStr">
        <x:is>
          <x:t xml:space="preserve">1</x:t>
        </x:is>
      </x:c>
      <x:c r="C5" s="3" t="inlineStr">
        <x:is>
          <x:t xml:space="preserve">上午</x:t>
        </x:is>
      </x:c>
      <x:c r="D5" s="3" t="inlineStr">
        <x:is>
          <x:t xml:space="preserve">4</x:t>
        </x:is>
      </x:c>
      <x:c r="E5" s="3" t="inlineStr">
        <x:is>
          <x:t xml:space="preserve">1,2,3,4,5</x:t>
        </x:is>
      </x:c>
      <x:c r="F5" s="3" t="inlineStr">
        <x:is>
          <x:t xml:space="preserve">5</x:t>
        </x:is>
      </x:c>
      <x:c r="G5" s="3" t="inlineStr">
        <x:is>
          <x:t xml:space="preserve">90,10,0,3</x:t>
        </x:is>
      </x:c>
      <x:c r="H5" s="3" t="inlineStr">
        <x:is>
          <x:t xml:space="preserve">323.3</x:t>
        </x:is>
      </x:c>
      <x:c r="I5" s="3" t="inlineStr">
        <x:is>
          <x:t xml:space="preserve">池-数量；品质权重=青铜,白银,黄金,钻石</x:t>
        </x:is>
      </x:c>
    </x:row>
    <x:row r="6">
      <x:c r="A6" s="3" t="inlineStr">
        <x:is>
          <x:t xml:space="preserve">wave_d01_morning</x:t>
        </x:is>
      </x:c>
      <x:c r="B6" s="3" t="inlineStr">
        <x:is>
          <x:t xml:space="preserve">1</x:t>
        </x:is>
      </x:c>
      <x:c r="C6" s="3" t="inlineStr">
        <x:is>
          <x:t xml:space="preserve">上午</x:t>
        </x:is>
      </x:c>
      <x:c r="D6" s="3" t="inlineStr">
        <x:is>
          <x:t xml:space="preserve">5</x:t>
        </x:is>
      </x:c>
      <x:c r="E6" s="3" t="inlineStr">
        <x:is>
          <x:t xml:space="preserve">1,2,3,4,5</x:t>
        </x:is>
      </x:c>
      <x:c r="F6" s="3" t="inlineStr">
        <x:is>
          <x:t xml:space="preserve">6</x:t>
        </x:is>
      </x:c>
      <x:c r="G6" s="3" t="inlineStr">
        <x:is>
          <x:t xml:space="preserve">90,10,0,4</x:t>
        </x:is>
      </x:c>
      <x:c r="H6" s="3" t="inlineStr">
        <x:is>
          <x:t xml:space="preserve">392.8</x:t>
        </x:is>
      </x:c>
      <x:c r="I6" s="3" t="inlineStr">
        <x:is>
          <x:t xml:space="preserve">池-数量；品质权重=青铜,白银,黄金,钻石</x:t>
        </x:is>
      </x:c>
    </x:row>
    <x:row r="7">
      <x:c r="A7" s="3" t="inlineStr">
        <x:is>
          <x:t xml:space="preserve">wave_d01_afternoon</x:t>
        </x:is>
      </x:c>
      <x:c r="B7" s="3" t="inlineStr">
        <x:is>
          <x:t xml:space="preserve">1</x:t>
        </x:is>
      </x:c>
      <x:c r="C7" s="3" t="inlineStr">
        <x:is>
          <x:t xml:space="preserve">下午</x:t>
        </x:is>
      </x:c>
      <x:c r="D7" s="3" t="inlineStr">
        <x:is>
          <x:t xml:space="preserve">1</x:t>
        </x:is>
      </x:c>
      <x:c r="E7" s="3" t="inlineStr">
        <x:is>
          <x:t xml:space="preserve">1,2,3,4,5</x:t>
        </x:is>
      </x:c>
      <x:c r="F7" s="3" t="inlineStr">
        <x:is>
          <x:t xml:space="preserve">2</x:t>
        </x:is>
      </x:c>
      <x:c r="G7" s="3" t="inlineStr">
        <x:is>
          <x:t xml:space="preserve">90,10,0,0</x:t>
        </x:is>
      </x:c>
      <x:c r="H7" s="3" t="inlineStr">
        <x:is>
          <x:t xml:space="preserve">124.3</x:t>
        </x:is>
      </x:c>
      <x:c r="I7" s="3" t="inlineStr">
        <x:is>
          <x:t xml:space="preserve">池-数量；品质权重=青铜,白银,黄金,钻石</x:t>
        </x:is>
      </x:c>
    </x:row>
    <x:row r="8">
      <x:c r="A8" s="3" t="inlineStr">
        <x:is>
          <x:t xml:space="preserve">wave_d01_afternoon</x:t>
        </x:is>
      </x:c>
      <x:c r="B8" s="3" t="inlineStr">
        <x:is>
          <x:t xml:space="preserve">1</x:t>
        </x:is>
      </x:c>
      <x:c r="C8" s="3" t="inlineStr">
        <x:is>
          <x:t xml:space="preserve">下午</x:t>
        </x:is>
      </x:c>
      <x:c r="D8" s="3" t="inlineStr">
        <x:is>
          <x:t xml:space="preserve">2</x:t>
        </x:is>
      </x:c>
      <x:c r="E8" s="3" t="inlineStr">
        <x:is>
          <x:t xml:space="preserve">1,2,3,4,5</x:t>
        </x:is>
      </x:c>
      <x:c r="F8" s="3" t="inlineStr">
        <x:is>
          <x:t xml:space="preserve">3</x:t>
        </x:is>
      </x:c>
      <x:c r="G8" s="3" t="inlineStr">
        <x:is>
          <x:t xml:space="preserve">90,10,0,1</x:t>
        </x:is>
      </x:c>
      <x:c r="H8" s="3" t="inlineStr">
        <x:is>
          <x:t xml:space="preserve">189</x:t>
        </x:is>
      </x:c>
      <x:c r="I8" s="3" t="inlineStr">
        <x:is>
          <x:t xml:space="preserve">池-数量；品质权重=青铜,白银,黄金,钻石</x:t>
        </x:is>
      </x:c>
    </x:row>
    <x:row r="9">
      <x:c r="A9" s="3" t="inlineStr">
        <x:is>
          <x:t xml:space="preserve">wave_d01_afternoon</x:t>
        </x:is>
      </x:c>
      <x:c r="B9" s="3" t="inlineStr">
        <x:is>
          <x:t xml:space="preserve">1</x:t>
        </x:is>
      </x:c>
      <x:c r="C9" s="3" t="inlineStr">
        <x:is>
          <x:t xml:space="preserve">下午</x:t>
        </x:is>
      </x:c>
      <x:c r="D9" s="3" t="inlineStr">
        <x:is>
          <x:t xml:space="preserve">3</x:t>
        </x:is>
      </x:c>
      <x:c r="E9" s="3" t="inlineStr">
        <x:is>
          <x:t xml:space="preserve">1,2,3,4,5</x:t>
        </x:is>
      </x:c>
      <x:c r="F9" s="3" t="inlineStr">
        <x:is>
          <x:t xml:space="preserve">4</x:t>
        </x:is>
      </x:c>
      <x:c r="G9" s="3" t="inlineStr">
        <x:is>
          <x:t xml:space="preserve">90,10,0,2</x:t>
        </x:is>
      </x:c>
      <x:c r="H9" s="3" t="inlineStr">
        <x:is>
          <x:t xml:space="preserve">255.4</x:t>
        </x:is>
      </x:c>
      <x:c r="I9" s="3" t="inlineStr">
        <x:is>
          <x:t xml:space="preserve">池-数量；品质权重=青铜,白银,黄金,钻石</x:t>
        </x:is>
      </x:c>
    </x:row>
    <x:row r="10">
      <x:c r="A10" s="3" t="inlineStr">
        <x:is>
          <x:t xml:space="preserve">wave_d01_afternoon</x:t>
        </x:is>
      </x:c>
      <x:c r="B10" s="3" t="inlineStr">
        <x:is>
          <x:t xml:space="preserve">1</x:t>
        </x:is>
      </x:c>
      <x:c r="C10" s="3" t="inlineStr">
        <x:is>
          <x:t xml:space="preserve">下午</x:t>
        </x:is>
      </x:c>
      <x:c r="D10" s="3" t="inlineStr">
        <x:is>
          <x:t xml:space="preserve">4</x:t>
        </x:is>
      </x:c>
      <x:c r="E10" s="3" t="inlineStr">
        <x:is>
          <x:t xml:space="preserve">1,2,3,4,5</x:t>
        </x:is>
      </x:c>
      <x:c r="F10" s="3" t="inlineStr">
        <x:is>
          <x:t xml:space="preserve">5</x:t>
        </x:is>
      </x:c>
      <x:c r="G10" s="3" t="inlineStr">
        <x:is>
          <x:t xml:space="preserve">90,10,0,3</x:t>
        </x:is>
      </x:c>
      <x:c r="H10" s="3" t="inlineStr">
        <x:is>
          <x:t xml:space="preserve">323.3</x:t>
        </x:is>
      </x:c>
      <x:c r="I10" s="3" t="inlineStr">
        <x:is>
          <x:t xml:space="preserve">池-数量；品质权重=青铜,白银,黄金,钻石</x:t>
        </x:is>
      </x:c>
    </x:row>
    <x:row r="11">
      <x:c r="A11" s="3" t="inlineStr">
        <x:is>
          <x:t xml:space="preserve">wave_d01_afternoon</x:t>
        </x:is>
      </x:c>
      <x:c r="B11" s="3" t="inlineStr">
        <x:is>
          <x:t xml:space="preserve">1</x:t>
        </x:is>
      </x:c>
      <x:c r="C11" s="3" t="inlineStr">
        <x:is>
          <x:t xml:space="preserve">下午</x:t>
        </x:is>
      </x:c>
      <x:c r="D11" s="3" t="inlineStr">
        <x:is>
          <x:t xml:space="preserve">5</x:t>
        </x:is>
      </x:c>
      <x:c r="E11" s="3" t="inlineStr">
        <x:is>
          <x:t xml:space="preserve">1,2,3,4,5</x:t>
        </x:is>
      </x:c>
      <x:c r="F11" s="3" t="inlineStr">
        <x:is>
          <x:t xml:space="preserve">6</x:t>
        </x:is>
      </x:c>
      <x:c r="G11" s="3" t="inlineStr">
        <x:is>
          <x:t xml:space="preserve">90,10,0,4</x:t>
        </x:is>
      </x:c>
      <x:c r="H11" s="3" t="inlineStr">
        <x:is>
          <x:t xml:space="preserve">392.8</x:t>
        </x:is>
      </x:c>
      <x:c r="I11" s="3" t="inlineStr">
        <x:is>
          <x:t xml:space="preserve">池-数量；品质权重=青铜,白银,黄金,钻石</x:t>
        </x:is>
      </x:c>
    </x:row>
    <x:row r="12">
      <x:c r="A12" s="3" t="inlineStr">
        <x:is>
          <x:t xml:space="preserve">wave_d02_morning</x:t>
        </x:is>
      </x:c>
      <x:c r="B12" s="3" t="inlineStr">
        <x:is>
          <x:t xml:space="preserve">2</x:t>
        </x:is>
      </x:c>
      <x:c r="C12" s="3" t="inlineStr">
        <x:is>
          <x:t xml:space="preserve">上午</x:t>
        </x:is>
      </x:c>
      <x:c r="D12" s="3" t="inlineStr">
        <x:is>
          <x:t xml:space="preserve">1</x:t>
        </x:is>
      </x:c>
      <x:c r="E12" s="3" t="inlineStr">
        <x:is>
          <x:t xml:space="preserve">1,2,3,4,5</x:t>
        </x:is>
      </x:c>
      <x:c r="F12" s="3" t="inlineStr">
        <x:is>
          <x:t xml:space="preserve">2</x:t>
        </x:is>
      </x:c>
      <x:c r="G12" s="3" t="inlineStr">
        <x:is>
          <x:t xml:space="preserve">90,10,0,0</x:t>
        </x:is>
      </x:c>
      <x:c r="H12" s="3" t="inlineStr">
        <x:is>
          <x:t xml:space="preserve">124.3</x:t>
        </x:is>
      </x:c>
      <x:c r="I12" s="3" t="inlineStr">
        <x:is>
          <x:t xml:space="preserve">池-数量；品质权重=青铜,白银,黄金,钻石</x:t>
        </x:is>
      </x:c>
    </x:row>
    <x:row r="13">
      <x:c r="A13" s="3" t="inlineStr">
        <x:is>
          <x:t xml:space="preserve">wave_d02_morning</x:t>
        </x:is>
      </x:c>
      <x:c r="B13" s="3" t="inlineStr">
        <x:is>
          <x:t xml:space="preserve">2</x:t>
        </x:is>
      </x:c>
      <x:c r="C13" s="3" t="inlineStr">
        <x:is>
          <x:t xml:space="preserve">上午</x:t>
        </x:is>
      </x:c>
      <x:c r="D13" s="3" t="inlineStr">
        <x:is>
          <x:t xml:space="preserve">2</x:t>
        </x:is>
      </x:c>
      <x:c r="E13" s="3" t="inlineStr">
        <x:is>
          <x:t xml:space="preserve">1,2,3,4,5</x:t>
        </x:is>
      </x:c>
      <x:c r="F13" s="3" t="inlineStr">
        <x:is>
          <x:t xml:space="preserve">3</x:t>
        </x:is>
      </x:c>
      <x:c r="G13" s="3" t="inlineStr">
        <x:is>
          <x:t xml:space="preserve">90,10,0,1</x:t>
        </x:is>
      </x:c>
      <x:c r="H13" s="3" t="inlineStr">
        <x:is>
          <x:t xml:space="preserve">189</x:t>
        </x:is>
      </x:c>
      <x:c r="I13" s="3" t="inlineStr">
        <x:is>
          <x:t xml:space="preserve">池-数量；品质权重=青铜,白银,黄金,钻石</x:t>
        </x:is>
      </x:c>
    </x:row>
    <x:row r="14">
      <x:c r="A14" s="3" t="inlineStr">
        <x:is>
          <x:t xml:space="preserve">wave_d02_morning</x:t>
        </x:is>
      </x:c>
      <x:c r="B14" s="3" t="inlineStr">
        <x:is>
          <x:t xml:space="preserve">2</x:t>
        </x:is>
      </x:c>
      <x:c r="C14" s="3" t="inlineStr">
        <x:is>
          <x:t xml:space="preserve">上午</x:t>
        </x:is>
      </x:c>
      <x:c r="D14" s="3" t="inlineStr">
        <x:is>
          <x:t xml:space="preserve">3</x:t>
        </x:is>
      </x:c>
      <x:c r="E14" s="3" t="inlineStr">
        <x:is>
          <x:t xml:space="preserve">1,2,3,4,5</x:t>
        </x:is>
      </x:c>
      <x:c r="F14" s="3" t="inlineStr">
        <x:is>
          <x:t xml:space="preserve">4</x:t>
        </x:is>
      </x:c>
      <x:c r="G14" s="3" t="inlineStr">
        <x:is>
          <x:t xml:space="preserve">90,10,0,2</x:t>
        </x:is>
      </x:c>
      <x:c r="H14" s="3" t="inlineStr">
        <x:is>
          <x:t xml:space="preserve">255.4</x:t>
        </x:is>
      </x:c>
      <x:c r="I14" s="3" t="inlineStr">
        <x:is>
          <x:t xml:space="preserve">池-数量；品质权重=青铜,白银,黄金,钻石</x:t>
        </x:is>
      </x:c>
    </x:row>
    <x:row r="15">
      <x:c r="A15" s="3" t="inlineStr">
        <x:is>
          <x:t xml:space="preserve">wave_d02_morning</x:t>
        </x:is>
      </x:c>
      <x:c r="B15" s="3" t="inlineStr">
        <x:is>
          <x:t xml:space="preserve">2</x:t>
        </x:is>
      </x:c>
      <x:c r="C15" s="3" t="inlineStr">
        <x:is>
          <x:t xml:space="preserve">上午</x:t>
        </x:is>
      </x:c>
      <x:c r="D15" s="3" t="inlineStr">
        <x:is>
          <x:t xml:space="preserve">4</x:t>
        </x:is>
      </x:c>
      <x:c r="E15" s="3" t="inlineStr">
        <x:is>
          <x:t xml:space="preserve">1,2,3,4,5</x:t>
        </x:is>
      </x:c>
      <x:c r="F15" s="3" t="inlineStr">
        <x:is>
          <x:t xml:space="preserve">5</x:t>
        </x:is>
      </x:c>
      <x:c r="G15" s="3" t="inlineStr">
        <x:is>
          <x:t xml:space="preserve">90,10,0,3</x:t>
        </x:is>
      </x:c>
      <x:c r="H15" s="3" t="inlineStr">
        <x:is>
          <x:t xml:space="preserve">323.3</x:t>
        </x:is>
      </x:c>
      <x:c r="I15" s="3" t="inlineStr">
        <x:is>
          <x:t xml:space="preserve">池-数量；品质权重=青铜,白银,黄金,钻石</x:t>
        </x:is>
      </x:c>
    </x:row>
    <x:row r="16">
      <x:c r="A16" s="3" t="inlineStr">
        <x:is>
          <x:t xml:space="preserve">wave_d02_morning</x:t>
        </x:is>
      </x:c>
      <x:c r="B16" s="3" t="inlineStr">
        <x:is>
          <x:t xml:space="preserve">2</x:t>
        </x:is>
      </x:c>
      <x:c r="C16" s="3" t="inlineStr">
        <x:is>
          <x:t xml:space="preserve">上午</x:t>
        </x:is>
      </x:c>
      <x:c r="D16" s="3" t="inlineStr">
        <x:is>
          <x:t xml:space="preserve">5</x:t>
        </x:is>
      </x:c>
      <x:c r="E16" s="3" t="inlineStr">
        <x:is>
          <x:t xml:space="preserve">1,2,3,4,5</x:t>
        </x:is>
      </x:c>
      <x:c r="F16" s="3" t="inlineStr">
        <x:is>
          <x:t xml:space="preserve">6</x:t>
        </x:is>
      </x:c>
      <x:c r="G16" s="3" t="inlineStr">
        <x:is>
          <x:t xml:space="preserve">90,10,0,4</x:t>
        </x:is>
      </x:c>
      <x:c r="H16" s="3" t="inlineStr">
        <x:is>
          <x:t xml:space="preserve">392.8</x:t>
        </x:is>
      </x:c>
      <x:c r="I16" s="3" t="inlineStr">
        <x:is>
          <x:t xml:space="preserve">池-数量；品质权重=青铜,白银,黄金,钻石</x:t>
        </x:is>
      </x:c>
    </x:row>
    <x:row r="17">
      <x:c r="A17" s="3" t="inlineStr">
        <x:is>
          <x:t xml:space="preserve">wave_d02_afternoon</x:t>
        </x:is>
      </x:c>
      <x:c r="B17" s="3" t="inlineStr">
        <x:is>
          <x:t xml:space="preserve">2</x:t>
        </x:is>
      </x:c>
      <x:c r="C17" s="3" t="inlineStr">
        <x:is>
          <x:t xml:space="preserve">下午</x:t>
        </x:is>
      </x:c>
      <x:c r="D17" s="3" t="inlineStr">
        <x:is>
          <x:t xml:space="preserve">1</x:t>
        </x:is>
      </x:c>
      <x:c r="E17" s="3" t="inlineStr">
        <x:is>
          <x:t xml:space="preserve">1,2,3,4,5</x:t>
        </x:is>
      </x:c>
      <x:c r="F17" s="3" t="inlineStr">
        <x:is>
          <x:t xml:space="preserve">2</x:t>
        </x:is>
      </x:c>
      <x:c r="G17" s="3" t="inlineStr">
        <x:is>
          <x:t xml:space="preserve">90,10,0,0</x:t>
        </x:is>
      </x:c>
      <x:c r="H17" s="3" t="inlineStr">
        <x:is>
          <x:t xml:space="preserve">124.3</x:t>
        </x:is>
      </x:c>
      <x:c r="I17" s="3" t="inlineStr">
        <x:is>
          <x:t xml:space="preserve">池-数量；品质权重=青铜,白银,黄金,钻石</x:t>
        </x:is>
      </x:c>
    </x:row>
    <x:row r="18">
      <x:c r="A18" s="3" t="inlineStr">
        <x:is>
          <x:t xml:space="preserve">wave_d02_afternoon</x:t>
        </x:is>
      </x:c>
      <x:c r="B18" s="3" t="inlineStr">
        <x:is>
          <x:t xml:space="preserve">2</x:t>
        </x:is>
      </x:c>
      <x:c r="C18" s="3" t="inlineStr">
        <x:is>
          <x:t xml:space="preserve">下午</x:t>
        </x:is>
      </x:c>
      <x:c r="D18" s="3" t="inlineStr">
        <x:is>
          <x:t xml:space="preserve">2</x:t>
        </x:is>
      </x:c>
      <x:c r="E18" s="3" t="inlineStr">
        <x:is>
          <x:t xml:space="preserve">1,2,3,4,5</x:t>
        </x:is>
      </x:c>
      <x:c r="F18" s="3" t="inlineStr">
        <x:is>
          <x:t xml:space="preserve">3</x:t>
        </x:is>
      </x:c>
      <x:c r="G18" s="3" t="inlineStr">
        <x:is>
          <x:t xml:space="preserve">90,10,0,1</x:t>
        </x:is>
      </x:c>
      <x:c r="H18" s="3" t="inlineStr">
        <x:is>
          <x:t xml:space="preserve">189</x:t>
        </x:is>
      </x:c>
      <x:c r="I18" s="3" t="inlineStr">
        <x:is>
          <x:t xml:space="preserve">池-数量；品质权重=青铜,白银,黄金,钻石</x:t>
        </x:is>
      </x:c>
    </x:row>
    <x:row r="19">
      <x:c r="A19" s="3" t="inlineStr">
        <x:is>
          <x:t xml:space="preserve">wave_d02_afternoon</x:t>
        </x:is>
      </x:c>
      <x:c r="B19" s="3" t="inlineStr">
        <x:is>
          <x:t xml:space="preserve">2</x:t>
        </x:is>
      </x:c>
      <x:c r="C19" s="3" t="inlineStr">
        <x:is>
          <x:t xml:space="preserve">下午</x:t>
        </x:is>
      </x:c>
      <x:c r="D19" s="3" t="inlineStr">
        <x:is>
          <x:t xml:space="preserve">2</x:t>
        </x:is>
      </x:c>
      <x:c r="E19" s="3" t="inlineStr">
        <x:is>
          <x:t xml:space="preserve">1,2,3,4,5</x:t>
        </x:is>
      </x:c>
      <x:c r="F19" s="3" t="inlineStr">
        <x:is>
          <x:t xml:space="preserve">3</x:t>
        </x:is>
      </x:c>
      <x:c r="G19" s="3" t="inlineStr">
        <x:is>
          <x:t xml:space="preserve">90,10,0,1</x:t>
        </x:is>
      </x:c>
      <x:c r="H19" s="3" t="inlineStr">
        <x:is>
          <x:t xml:space="preserve">189</x:t>
        </x:is>
      </x:c>
      <x:c r="I19" s="3" t="inlineStr">
        <x:is>
          <x:t xml:space="preserve">池-数量；品质权重=青铜,白银,黄金,钻石</x:t>
        </x:is>
      </x:c>
    </x:row>
    <x:row r="20">
      <x:c r="A20" s="3" t="inlineStr">
        <x:is>
          <x:t xml:space="preserve">wave_d02_afternoon</x:t>
        </x:is>
      </x:c>
      <x:c r="B20" s="3" t="inlineStr">
        <x:is>
          <x:t xml:space="preserve">2</x:t>
        </x:is>
      </x:c>
      <x:c r="C20" s="3" t="inlineStr">
        <x:is>
          <x:t xml:space="preserve">下午</x:t>
        </x:is>
      </x:c>
      <x:c r="D20" s="3" t="inlineStr">
        <x:is>
          <x:t xml:space="preserve">3</x:t>
        </x:is>
      </x:c>
      <x:c r="E20" s="3" t="inlineStr">
        <x:is>
          <x:t xml:space="preserve">1,2,3,4,5</x:t>
        </x:is>
      </x:c>
      <x:c r="F20" s="3" t="inlineStr">
        <x:is>
          <x:t xml:space="preserve">4</x:t>
        </x:is>
      </x:c>
      <x:c r="G20" s="3" t="inlineStr">
        <x:is>
          <x:t xml:space="preserve">90,10,0,2</x:t>
        </x:is>
      </x:c>
      <x:c r="H20" s="3" t="inlineStr">
        <x:is>
          <x:t xml:space="preserve">255.4</x:t>
        </x:is>
      </x:c>
      <x:c r="I20" s="3" t="inlineStr">
        <x:is>
          <x:t xml:space="preserve">池-数量；品质权重=青铜,白银,黄金,钻石</x:t>
        </x:is>
      </x:c>
    </x:row>
    <x:row r="21">
      <x:c r="A21" s="3" t="inlineStr">
        <x:is>
          <x:t xml:space="preserve">wave_d02_afternoon</x:t>
        </x:is>
      </x:c>
      <x:c r="B21" s="3" t="inlineStr">
        <x:is>
          <x:t xml:space="preserve">2</x:t>
        </x:is>
      </x:c>
      <x:c r="C21" s="3" t="inlineStr">
        <x:is>
          <x:t xml:space="preserve">下午</x:t>
        </x:is>
      </x:c>
      <x:c r="D21" s="3" t="inlineStr">
        <x:is>
          <x:t xml:space="preserve">4</x:t>
        </x:is>
      </x:c>
      <x:c r="E21" s="3" t="inlineStr">
        <x:is>
          <x:t xml:space="preserve">1,2,3,4,5</x:t>
        </x:is>
      </x:c>
      <x:c r="F21" s="3" t="inlineStr">
        <x:is>
          <x:t xml:space="preserve">5</x:t>
        </x:is>
      </x:c>
      <x:c r="G21" s="3" t="inlineStr">
        <x:is>
          <x:t xml:space="preserve">90,10,0,3</x:t>
        </x:is>
      </x:c>
      <x:c r="H21" s="3" t="inlineStr">
        <x:is>
          <x:t xml:space="preserve">323.3</x:t>
        </x:is>
      </x:c>
      <x:c r="I21" s="3" t="inlineStr">
        <x:is>
          <x:t xml:space="preserve">池-数量；品质权重=青铜,白银,黄金,钻石</x:t>
        </x:is>
      </x:c>
    </x:row>
    <x:row r="22">
      <x:c r="A22" s="3" t="inlineStr">
        <x:is>
          <x:t xml:space="preserve">wave_d02_afternoon</x:t>
        </x:is>
      </x:c>
      <x:c r="B22" s="3" t="inlineStr">
        <x:is>
          <x:t xml:space="preserve">2</x:t>
        </x:is>
      </x:c>
      <x:c r="C22" s="3" t="inlineStr">
        <x:is>
          <x:t xml:space="preserve">下午</x:t>
        </x:is>
      </x:c>
      <x:c r="D22" s="3" t="inlineStr">
        <x:is>
          <x:t xml:space="preserve">5</x:t>
        </x:is>
      </x:c>
      <x:c r="E22" s="3" t="inlineStr">
        <x:is>
          <x:t xml:space="preserve">1,2,3,4,5</x:t>
        </x:is>
      </x:c>
      <x:c r="F22" s="3" t="inlineStr">
        <x:is>
          <x:t xml:space="preserve">6</x:t>
        </x:is>
      </x:c>
      <x:c r="G22" s="3" t="inlineStr">
        <x:is>
          <x:t xml:space="preserve">90,10,0,4</x:t>
        </x:is>
      </x:c>
      <x:c r="H22" s="3" t="inlineStr">
        <x:is>
          <x:t xml:space="preserve">392.8</x:t>
        </x:is>
      </x:c>
      <x:c r="I22" s="3" t="inlineStr">
        <x:is>
          <x:t xml:space="preserve">池-数量；品质权重=青铜,白银,黄金,钻石</x:t>
        </x:is>
      </x:c>
    </x:row>
    <x:row r="23">
      <x:c r="A23" s="3" t="inlineStr">
        <x:is>
          <x:t xml:space="preserve">wave_d03_morning</x:t>
        </x:is>
      </x:c>
      <x:c r="B23" s="3" t="inlineStr">
        <x:is>
          <x:t xml:space="preserve">3</x:t>
        </x:is>
      </x:c>
      <x:c r="C23" s="3" t="inlineStr">
        <x:is>
          <x:t xml:space="preserve">上午</x:t>
        </x:is>
      </x:c>
      <x:c r="D23" s="3" t="inlineStr">
        <x:is>
          <x:t xml:space="preserve">1</x:t>
        </x:is>
      </x:c>
      <x:c r="E23" s="3" t="inlineStr">
        <x:is>
          <x:t xml:space="preserve">1,2,3,4,5</x:t>
        </x:is>
      </x:c>
      <x:c r="F23" s="3" t="inlineStr">
        <x:is>
          <x:t xml:space="preserve">2</x:t>
        </x:is>
      </x:c>
      <x:c r="G23" s="3" t="inlineStr">
        <x:is>
          <x:t xml:space="preserve">90,10,0,0</x:t>
        </x:is>
      </x:c>
      <x:c r="H23" s="3" t="inlineStr">
        <x:is>
          <x:t xml:space="preserve">124.3</x:t>
        </x:is>
      </x:c>
      <x:c r="I23" s="3" t="inlineStr">
        <x:is>
          <x:t xml:space="preserve">池-数量；品质权重=青铜,白银,黄金,钻石</x:t>
        </x:is>
      </x:c>
    </x:row>
    <x:row r="24">
      <x:c r="A24" s="3" t="inlineStr">
        <x:is>
          <x:t xml:space="preserve">wave_d03_morning</x:t>
        </x:is>
      </x:c>
      <x:c r="B24" s="3" t="inlineStr">
        <x:is>
          <x:t xml:space="preserve">3</x:t>
        </x:is>
      </x:c>
      <x:c r="C24" s="3" t="inlineStr">
        <x:is>
          <x:t xml:space="preserve">上午</x:t>
        </x:is>
      </x:c>
      <x:c r="D24" s="3" t="inlineStr">
        <x:is>
          <x:t xml:space="preserve">2</x:t>
        </x:is>
      </x:c>
      <x:c r="E24" s="3" t="inlineStr">
        <x:is>
          <x:t xml:space="preserve">1,2,3,4,5</x:t>
        </x:is>
      </x:c>
      <x:c r="F24" s="3" t="inlineStr">
        <x:is>
          <x:t xml:space="preserve">3</x:t>
        </x:is>
      </x:c>
      <x:c r="G24" s="3" t="inlineStr">
        <x:is>
          <x:t xml:space="preserve">90,10,0,1</x:t>
        </x:is>
      </x:c>
      <x:c r="H24" s="3" t="inlineStr">
        <x:is>
          <x:t xml:space="preserve">189</x:t>
        </x:is>
      </x:c>
      <x:c r="I24" s="3" t="inlineStr">
        <x:is>
          <x:t xml:space="preserve">池-数量；品质权重=青铜,白银,黄金,钻石</x:t>
        </x:is>
      </x:c>
    </x:row>
    <x:row r="25">
      <x:c r="A25" s="3" t="inlineStr">
        <x:is>
          <x:t xml:space="preserve">wave_d03_morning</x:t>
        </x:is>
      </x:c>
      <x:c r="B25" s="3" t="inlineStr">
        <x:is>
          <x:t xml:space="preserve">3</x:t>
        </x:is>
      </x:c>
      <x:c r="C25" s="3" t="inlineStr">
        <x:is>
          <x:t xml:space="preserve">上午</x:t>
        </x:is>
      </x:c>
      <x:c r="D25" s="3" t="inlineStr">
        <x:is>
          <x:t xml:space="preserve">3</x:t>
        </x:is>
      </x:c>
      <x:c r="E25" s="3" t="inlineStr">
        <x:is>
          <x:t xml:space="preserve">1,2,3,4,5</x:t>
        </x:is>
      </x:c>
      <x:c r="F25" s="3" t="inlineStr">
        <x:is>
          <x:t xml:space="preserve">4</x:t>
        </x:is>
      </x:c>
      <x:c r="G25" s="3" t="inlineStr">
        <x:is>
          <x:t xml:space="preserve">90,10,0,2</x:t>
        </x:is>
      </x:c>
      <x:c r="H25" s="3" t="inlineStr">
        <x:is>
          <x:t xml:space="preserve">255.4</x:t>
        </x:is>
      </x:c>
      <x:c r="I25" s="3" t="inlineStr">
        <x:is>
          <x:t xml:space="preserve">池-数量；品质权重=青铜,白银,黄金,钻石</x:t>
        </x:is>
      </x:c>
    </x:row>
    <x:row r="26">
      <x:c r="A26" s="3" t="inlineStr">
        <x:is>
          <x:t xml:space="preserve">wave_d03_morning</x:t>
        </x:is>
      </x:c>
      <x:c r="B26" s="3" t="inlineStr">
        <x:is>
          <x:t xml:space="preserve">3</x:t>
        </x:is>
      </x:c>
      <x:c r="C26" s="3" t="inlineStr">
        <x:is>
          <x:t xml:space="preserve">上午</x:t>
        </x:is>
      </x:c>
      <x:c r="D26" s="3" t="inlineStr">
        <x:is>
          <x:t xml:space="preserve">4</x:t>
        </x:is>
      </x:c>
      <x:c r="E26" s="3" t="inlineStr">
        <x:is>
          <x:t xml:space="preserve">1,2,3,4,5</x:t>
        </x:is>
      </x:c>
      <x:c r="F26" s="3" t="inlineStr">
        <x:is>
          <x:t xml:space="preserve">5</x:t>
        </x:is>
      </x:c>
      <x:c r="G26" s="3" t="inlineStr">
        <x:is>
          <x:t xml:space="preserve">90,10,0,3</x:t>
        </x:is>
      </x:c>
      <x:c r="H26" s="3" t="inlineStr">
        <x:is>
          <x:t xml:space="preserve">323.3</x:t>
        </x:is>
      </x:c>
      <x:c r="I26" s="3" t="inlineStr">
        <x:is>
          <x:t xml:space="preserve">池-数量；品质权重=青铜,白银,黄金,钻石</x:t>
        </x:is>
      </x:c>
    </x:row>
    <x:row r="27">
      <x:c r="A27" s="3" t="inlineStr">
        <x:is>
          <x:t xml:space="preserve">wave_d03_morning</x:t>
        </x:is>
      </x:c>
      <x:c r="B27" s="3" t="inlineStr">
        <x:is>
          <x:t xml:space="preserve">3</x:t>
        </x:is>
      </x:c>
      <x:c r="C27" s="3" t="inlineStr">
        <x:is>
          <x:t xml:space="preserve">上午</x:t>
        </x:is>
      </x:c>
      <x:c r="D27" s="3" t="inlineStr">
        <x:is>
          <x:t xml:space="preserve">5</x:t>
        </x:is>
      </x:c>
      <x:c r="E27" s="3" t="inlineStr">
        <x:is>
          <x:t xml:space="preserve">1,2,3,4,5</x:t>
        </x:is>
      </x:c>
      <x:c r="F27" s="3" t="inlineStr">
        <x:is>
          <x:t xml:space="preserve">6</x:t>
        </x:is>
      </x:c>
      <x:c r="G27" s="3" t="inlineStr">
        <x:is>
          <x:t xml:space="preserve">90,10,0,4</x:t>
        </x:is>
      </x:c>
      <x:c r="H27" s="3" t="inlineStr">
        <x:is>
          <x:t xml:space="preserve">392.8</x:t>
        </x:is>
      </x:c>
      <x:c r="I27" s="3" t="inlineStr">
        <x:is>
          <x:t xml:space="preserve">池-数量；品质权重=青铜,白银,黄金,钻石</x:t>
        </x:is>
      </x:c>
    </x:row>
    <x:row r="28">
      <x:c r="A28" s="3" t="inlineStr">
        <x:is>
          <x:t xml:space="preserve">wave_d03_afternoon</x:t>
        </x:is>
      </x:c>
      <x:c r="B28" s="3" t="inlineStr">
        <x:is>
          <x:t xml:space="preserve">3</x:t>
        </x:is>
      </x:c>
      <x:c r="C28" s="3" t="inlineStr">
        <x:is>
          <x:t xml:space="preserve">下午</x:t>
        </x:is>
      </x:c>
      <x:c r="D28" s="3" t="inlineStr">
        <x:is>
          <x:t xml:space="preserve">1</x:t>
        </x:is>
      </x:c>
      <x:c r="E28" s="3" t="inlineStr">
        <x:is>
          <x:t xml:space="preserve">1,2,3,4,5</x:t>
        </x:is>
      </x:c>
      <x:c r="F28" s="3" t="inlineStr">
        <x:is>
          <x:t xml:space="preserve">2</x:t>
        </x:is>
      </x:c>
      <x:c r="G28" s="3" t="inlineStr">
        <x:is>
          <x:t xml:space="preserve">90,10,0,0</x:t>
        </x:is>
      </x:c>
      <x:c r="H28" s="3" t="inlineStr">
        <x:is>
          <x:t xml:space="preserve">124.3</x:t>
        </x:is>
      </x:c>
      <x:c r="I28" s="3" t="inlineStr">
        <x:is>
          <x:t xml:space="preserve">池-数量；品质权重=青铜,白银,黄金,钻石</x:t>
        </x:is>
      </x:c>
    </x:row>
    <x:row r="29">
      <x:c r="A29" s="3" t="inlineStr">
        <x:is>
          <x:t xml:space="preserve">wave_d03_afternoon</x:t>
        </x:is>
      </x:c>
      <x:c r="B29" s="3" t="inlineStr">
        <x:is>
          <x:t xml:space="preserve">3</x:t>
        </x:is>
      </x:c>
      <x:c r="C29" s="3" t="inlineStr">
        <x:is>
          <x:t xml:space="preserve">下午</x:t>
        </x:is>
      </x:c>
      <x:c r="D29" s="3" t="inlineStr">
        <x:is>
          <x:t xml:space="preserve">2</x:t>
        </x:is>
      </x:c>
      <x:c r="E29" s="3" t="inlineStr">
        <x:is>
          <x:t xml:space="preserve">1,2,3,4,5</x:t>
        </x:is>
      </x:c>
      <x:c r="F29" s="3" t="inlineStr">
        <x:is>
          <x:t xml:space="preserve">3</x:t>
        </x:is>
      </x:c>
      <x:c r="G29" s="3" t="inlineStr">
        <x:is>
          <x:t xml:space="preserve">90,10,0,1</x:t>
        </x:is>
      </x:c>
      <x:c r="H29" s="3" t="inlineStr">
        <x:is>
          <x:t xml:space="preserve">189</x:t>
        </x:is>
      </x:c>
      <x:c r="I29" s="3" t="inlineStr">
        <x:is>
          <x:t xml:space="preserve">池-数量；品质权重=青铜,白银,黄金,钻石</x:t>
        </x:is>
      </x:c>
    </x:row>
    <x:row r="30">
      <x:c r="A30" s="3" t="inlineStr">
        <x:is>
          <x:t xml:space="preserve">wave_d03_afternoon</x:t>
        </x:is>
      </x:c>
      <x:c r="B30" s="3" t="inlineStr">
        <x:is>
          <x:t xml:space="preserve">3</x:t>
        </x:is>
      </x:c>
      <x:c r="C30" s="3" t="inlineStr">
        <x:is>
          <x:t xml:space="preserve">下午</x:t>
        </x:is>
      </x:c>
      <x:c r="D30" s="3" t="inlineStr">
        <x:is>
          <x:t xml:space="preserve">3</x:t>
        </x:is>
      </x:c>
      <x:c r="E30" s="3" t="inlineStr">
        <x:is>
          <x:t xml:space="preserve">1,2,3,4,5</x:t>
        </x:is>
      </x:c>
      <x:c r="F30" s="3" t="inlineStr">
        <x:is>
          <x:t xml:space="preserve">4</x:t>
        </x:is>
      </x:c>
      <x:c r="G30" s="3" t="inlineStr">
        <x:is>
          <x:t xml:space="preserve">90,10,0,2</x:t>
        </x:is>
      </x:c>
      <x:c r="H30" s="3" t="inlineStr">
        <x:is>
          <x:t xml:space="preserve">255.4</x:t>
        </x:is>
      </x:c>
      <x:c r="I30" s="3" t="inlineStr">
        <x:is>
          <x:t xml:space="preserve">池-数量；品质权重=青铜,白银,黄金,钻石</x:t>
        </x:is>
      </x:c>
    </x:row>
    <x:row r="31">
      <x:c r="A31" s="3" t="inlineStr">
        <x:is>
          <x:t xml:space="preserve">wave_d03_afternoon</x:t>
        </x:is>
      </x:c>
      <x:c r="B31" s="3" t="inlineStr">
        <x:is>
          <x:t xml:space="preserve">3</x:t>
        </x:is>
      </x:c>
      <x:c r="C31" s="3" t="inlineStr">
        <x:is>
          <x:t xml:space="preserve">下午</x:t>
        </x:is>
      </x:c>
      <x:c r="D31" s="3" t="inlineStr">
        <x:is>
          <x:t xml:space="preserve">4</x:t>
        </x:is>
      </x:c>
      <x:c r="E31" s="3" t="inlineStr">
        <x:is>
          <x:t xml:space="preserve">1,2,3,4,5</x:t>
        </x:is>
      </x:c>
      <x:c r="F31" s="3" t="inlineStr">
        <x:is>
          <x:t xml:space="preserve">5</x:t>
        </x:is>
      </x:c>
      <x:c r="G31" s="3" t="inlineStr">
        <x:is>
          <x:t xml:space="preserve">90,10,0,3</x:t>
        </x:is>
      </x:c>
      <x:c r="H31" s="3" t="inlineStr">
        <x:is>
          <x:t xml:space="preserve">323.3</x:t>
        </x:is>
      </x:c>
      <x:c r="I31" s="3" t="inlineStr">
        <x:is>
          <x:t xml:space="preserve">池-数量；品质权重=青铜,白银,黄金,钻石</x:t>
        </x:is>
      </x:c>
    </x:row>
    <x:row r="32">
      <x:c r="A32" s="3" t="inlineStr">
        <x:is>
          <x:t xml:space="preserve">wave_d03_afternoon</x:t>
        </x:is>
      </x:c>
      <x:c r="B32" s="3" t="inlineStr">
        <x:is>
          <x:t xml:space="preserve">3</x:t>
        </x:is>
      </x:c>
      <x:c r="C32" s="3" t="inlineStr">
        <x:is>
          <x:t xml:space="preserve">下午</x:t>
        </x:is>
      </x:c>
      <x:c r="D32" s="3" t="inlineStr">
        <x:is>
          <x:t xml:space="preserve">5</x:t>
        </x:is>
      </x:c>
      <x:c r="E32" s="3" t="inlineStr">
        <x:is>
          <x:t xml:space="preserve">1,2,3,4,5</x:t>
        </x:is>
      </x:c>
      <x:c r="F32" s="3" t="inlineStr">
        <x:is>
          <x:t xml:space="preserve">6</x:t>
        </x:is>
      </x:c>
      <x:c r="G32" s="3" t="inlineStr">
        <x:is>
          <x:t xml:space="preserve">90,10,0,4</x:t>
        </x:is>
      </x:c>
      <x:c r="H32" s="3" t="inlineStr">
        <x:is>
          <x:t xml:space="preserve">392.8</x:t>
        </x:is>
      </x:c>
      <x:c r="I32" s="3" t="inlineStr">
        <x:is>
          <x:t xml:space="preserve">池-数量；品质权重=青铜,白银,黄金,钻石</x:t>
        </x:is>
      </x:c>
    </x:row>
    <x:row r="33">
      <x:c r="A33" s="3" t="inlineStr">
        <x:is>
          <x:t xml:space="preserve">wave_d04_morning</x:t>
        </x:is>
      </x:c>
      <x:c r="B33" s="3" t="inlineStr">
        <x:is>
          <x:t xml:space="preserve">4</x:t>
        </x:is>
      </x:c>
      <x:c r="C33" s="3" t="inlineStr">
        <x:is>
          <x:t xml:space="preserve">上午</x:t>
        </x:is>
      </x:c>
      <x:c r="D33" s="3" t="inlineStr">
        <x:is>
          <x:t xml:space="preserve">1</x:t>
        </x:is>
      </x:c>
      <x:c r="E33" s="3" t="inlineStr">
        <x:is>
          <x:t xml:space="preserve">1,2,3,4,5</x:t>
        </x:is>
      </x:c>
      <x:c r="F33" s="3" t="inlineStr">
        <x:is>
          <x:t xml:space="preserve">2</x:t>
        </x:is>
      </x:c>
      <x:c r="G33" s="3" t="inlineStr">
        <x:is>
          <x:t xml:space="preserve">90,10,0,0</x:t>
        </x:is>
      </x:c>
      <x:c r="H33" s="3" t="inlineStr">
        <x:is>
          <x:t xml:space="preserve">124.3</x:t>
        </x:is>
      </x:c>
      <x:c r="I33" s="3" t="inlineStr">
        <x:is>
          <x:t xml:space="preserve">池-数量；品质权重=青铜,白银,黄金,钻石</x:t>
        </x:is>
      </x:c>
    </x:row>
    <x:row r="34">
      <x:c r="A34" s="3" t="inlineStr">
        <x:is>
          <x:t xml:space="preserve">wave_d04_morning</x:t>
        </x:is>
      </x:c>
      <x:c r="B34" s="3" t="inlineStr">
        <x:is>
          <x:t xml:space="preserve">4</x:t>
        </x:is>
      </x:c>
      <x:c r="C34" s="3" t="inlineStr">
        <x:is>
          <x:t xml:space="preserve">上午</x:t>
        </x:is>
      </x:c>
      <x:c r="D34" s="3" t="inlineStr">
        <x:is>
          <x:t xml:space="preserve">2</x:t>
        </x:is>
      </x:c>
      <x:c r="E34" s="3" t="inlineStr">
        <x:is>
          <x:t xml:space="preserve">1,2,3,4,5</x:t>
        </x:is>
      </x:c>
      <x:c r="F34" s="3" t="inlineStr">
        <x:is>
          <x:t xml:space="preserve">3</x:t>
        </x:is>
      </x:c>
      <x:c r="G34" s="3" t="inlineStr">
        <x:is>
          <x:t xml:space="preserve">90,10,0,1</x:t>
        </x:is>
      </x:c>
      <x:c r="H34" s="3" t="inlineStr">
        <x:is>
          <x:t xml:space="preserve">189</x:t>
        </x:is>
      </x:c>
      <x:c r="I34" s="3" t="inlineStr">
        <x:is>
          <x:t xml:space="preserve">池-数量；品质权重=青铜,白银,黄金,钻石</x:t>
        </x:is>
      </x:c>
    </x:row>
    <x:row r="35">
      <x:c r="A35" s="3" t="inlineStr">
        <x:is>
          <x:t xml:space="preserve">wave_d04_morning</x:t>
        </x:is>
      </x:c>
      <x:c r="B35" s="3" t="inlineStr">
        <x:is>
          <x:t xml:space="preserve">4</x:t>
        </x:is>
      </x:c>
      <x:c r="C35" s="3" t="inlineStr">
        <x:is>
          <x:t xml:space="preserve">上午</x:t>
        </x:is>
      </x:c>
      <x:c r="D35" s="3" t="inlineStr">
        <x:is>
          <x:t xml:space="preserve">3</x:t>
        </x:is>
      </x:c>
      <x:c r="E35" s="3" t="inlineStr">
        <x:is>
          <x:t xml:space="preserve">1,2,3,4,5</x:t>
        </x:is>
      </x:c>
      <x:c r="F35" s="3" t="inlineStr">
        <x:is>
          <x:t xml:space="preserve">4</x:t>
        </x:is>
      </x:c>
      <x:c r="G35" s="3" t="inlineStr">
        <x:is>
          <x:t xml:space="preserve">90,10,0,2</x:t>
        </x:is>
      </x:c>
      <x:c r="H35" s="3" t="inlineStr">
        <x:is>
          <x:t xml:space="preserve">255.4</x:t>
        </x:is>
      </x:c>
      <x:c r="I35" s="3" t="inlineStr">
        <x:is>
          <x:t xml:space="preserve">池-数量；品质权重=青铜,白银,黄金,钻石</x:t>
        </x:is>
      </x:c>
    </x:row>
    <x:row r="36">
      <x:c r="A36" s="3" t="inlineStr">
        <x:is>
          <x:t xml:space="preserve">wave_d04_morning</x:t>
        </x:is>
      </x:c>
      <x:c r="B36" s="3" t="inlineStr">
        <x:is>
          <x:t xml:space="preserve">4</x:t>
        </x:is>
      </x:c>
      <x:c r="C36" s="3" t="inlineStr">
        <x:is>
          <x:t xml:space="preserve">上午</x:t>
        </x:is>
      </x:c>
      <x:c r="D36" s="3" t="inlineStr">
        <x:is>
          <x:t xml:space="preserve">4</x:t>
        </x:is>
      </x:c>
      <x:c r="E36" s="3" t="inlineStr">
        <x:is>
          <x:t xml:space="preserve">1,2,3,4,5</x:t>
        </x:is>
      </x:c>
      <x:c r="F36" s="3" t="inlineStr">
        <x:is>
          <x:t xml:space="preserve">5</x:t>
        </x:is>
      </x:c>
      <x:c r="G36" s="3" t="inlineStr">
        <x:is>
          <x:t xml:space="preserve">90,10,0,3</x:t>
        </x:is>
      </x:c>
      <x:c r="H36" s="3" t="inlineStr">
        <x:is>
          <x:t xml:space="preserve">323.3</x:t>
        </x:is>
      </x:c>
      <x:c r="I36" s="3" t="inlineStr">
        <x:is>
          <x:t xml:space="preserve">池-数量；品质权重=青铜,白银,黄金,钻石</x:t>
        </x:is>
      </x:c>
    </x:row>
    <x:row r="37">
      <x:c r="A37" s="3" t="inlineStr">
        <x:is>
          <x:t xml:space="preserve">wave_d04_morning</x:t>
        </x:is>
      </x:c>
      <x:c r="B37" s="3" t="inlineStr">
        <x:is>
          <x:t xml:space="preserve">4</x:t>
        </x:is>
      </x:c>
      <x:c r="C37" s="3" t="inlineStr">
        <x:is>
          <x:t xml:space="preserve">上午</x:t>
        </x:is>
      </x:c>
      <x:c r="D37" s="3" t="inlineStr">
        <x:is>
          <x:t xml:space="preserve">5</x:t>
        </x:is>
      </x:c>
      <x:c r="E37" s="3" t="inlineStr">
        <x:is>
          <x:t xml:space="preserve">1,2,3,4,5</x:t>
        </x:is>
      </x:c>
      <x:c r="F37" s="3" t="inlineStr">
        <x:is>
          <x:t xml:space="preserve">6</x:t>
        </x:is>
      </x:c>
      <x:c r="G37" s="3" t="inlineStr">
        <x:is>
          <x:t xml:space="preserve">90,10,0,4</x:t>
        </x:is>
      </x:c>
      <x:c r="H37" s="3" t="inlineStr">
        <x:is>
          <x:t xml:space="preserve">392.8</x:t>
        </x:is>
      </x:c>
      <x:c r="I37" s="3" t="inlineStr">
        <x:is>
          <x:t xml:space="preserve">池-数量；品质权重=青铜,白银,黄金,钻石</x:t>
        </x:is>
      </x:c>
    </x:row>
    <x:row r="38">
      <x:c r="A38" s="3" t="inlineStr">
        <x:is>
          <x:t xml:space="preserve">wave_d04_afternoon</x:t>
        </x:is>
      </x:c>
      <x:c r="B38" s="3" t="inlineStr">
        <x:is>
          <x:t xml:space="preserve">4</x:t>
        </x:is>
      </x:c>
      <x:c r="C38" s="3" t="inlineStr">
        <x:is>
          <x:t xml:space="preserve">下午</x:t>
        </x:is>
      </x:c>
      <x:c r="D38" s="3" t="inlineStr">
        <x:is>
          <x:t xml:space="preserve">1</x:t>
        </x:is>
      </x:c>
      <x:c r="E38" s="3" t="inlineStr">
        <x:is>
          <x:t xml:space="preserve">1,2,3,4,5</x:t>
        </x:is>
      </x:c>
      <x:c r="F38" s="3" t="inlineStr">
        <x:is>
          <x:t xml:space="preserve">2</x:t>
        </x:is>
      </x:c>
      <x:c r="G38" s="3" t="inlineStr">
        <x:is>
          <x:t xml:space="preserve">90,10,0,0</x:t>
        </x:is>
      </x:c>
      <x:c r="H38" s="3" t="inlineStr">
        <x:is>
          <x:t xml:space="preserve">124.3</x:t>
        </x:is>
      </x:c>
      <x:c r="I38" s="3" t="inlineStr">
        <x:is>
          <x:t xml:space="preserve">池-数量；品质权重=青铜,白银,黄金,钻石</x:t>
        </x:is>
      </x:c>
    </x:row>
    <x:row r="39">
      <x:c r="A39" s="3" t="inlineStr">
        <x:is>
          <x:t xml:space="preserve">wave_d04_afternoon</x:t>
        </x:is>
      </x:c>
      <x:c r="B39" s="3" t="inlineStr">
        <x:is>
          <x:t xml:space="preserve">4</x:t>
        </x:is>
      </x:c>
      <x:c r="C39" s="3" t="inlineStr">
        <x:is>
          <x:t xml:space="preserve">下午</x:t>
        </x:is>
      </x:c>
      <x:c r="D39" s="3" t="inlineStr">
        <x:is>
          <x:t xml:space="preserve">2</x:t>
        </x:is>
      </x:c>
      <x:c r="E39" s="3" t="inlineStr">
        <x:is>
          <x:t xml:space="preserve">1,2,3,4,5</x:t>
        </x:is>
      </x:c>
      <x:c r="F39" s="3" t="inlineStr">
        <x:is>
          <x:t xml:space="preserve">3</x:t>
        </x:is>
      </x:c>
      <x:c r="G39" s="3" t="inlineStr">
        <x:is>
          <x:t xml:space="preserve">90,10,0,1</x:t>
        </x:is>
      </x:c>
      <x:c r="H39" s="3" t="inlineStr">
        <x:is>
          <x:t xml:space="preserve">189</x:t>
        </x:is>
      </x:c>
      <x:c r="I39" s="3" t="inlineStr">
        <x:is>
          <x:t xml:space="preserve">池-数量；品质权重=青铜,白银,黄金,钻石</x:t>
        </x:is>
      </x:c>
    </x:row>
    <x:row r="40">
      <x:c r="A40" s="3" t="inlineStr">
        <x:is>
          <x:t xml:space="preserve">wave_d04_afternoon</x:t>
        </x:is>
      </x:c>
      <x:c r="B40" s="3" t="inlineStr">
        <x:is>
          <x:t xml:space="preserve">4</x:t>
        </x:is>
      </x:c>
      <x:c r="C40" s="3" t="inlineStr">
        <x:is>
          <x:t xml:space="preserve">下午</x:t>
        </x:is>
      </x:c>
      <x:c r="D40" s="3" t="inlineStr">
        <x:is>
          <x:t xml:space="preserve">2</x:t>
        </x:is>
      </x:c>
      <x:c r="E40" s="3" t="inlineStr">
        <x:is>
          <x:t xml:space="preserve">1,2,3,4,5</x:t>
        </x:is>
      </x:c>
      <x:c r="F40" s="3" t="inlineStr">
        <x:is>
          <x:t xml:space="preserve">3</x:t>
        </x:is>
      </x:c>
      <x:c r="G40" s="3" t="inlineStr">
        <x:is>
          <x:t xml:space="preserve">90,10,0,1</x:t>
        </x:is>
      </x:c>
      <x:c r="H40" s="3" t="inlineStr">
        <x:is>
          <x:t xml:space="preserve">189</x:t>
        </x:is>
      </x:c>
      <x:c r="I40" s="3" t="inlineStr">
        <x:is>
          <x:t xml:space="preserve">池-数量；品质权重=青铜,白银,黄金,钻石</x:t>
        </x:is>
      </x:c>
    </x:row>
    <x:row r="41">
      <x:c r="A41" s="3" t="inlineStr">
        <x:is>
          <x:t xml:space="preserve">wave_d04_afternoon</x:t>
        </x:is>
      </x:c>
      <x:c r="B41" s="3" t="inlineStr">
        <x:is>
          <x:t xml:space="preserve">4</x:t>
        </x:is>
      </x:c>
      <x:c r="C41" s="3" t="inlineStr">
        <x:is>
          <x:t xml:space="preserve">下午</x:t>
        </x:is>
      </x:c>
      <x:c r="D41" s="3" t="inlineStr">
        <x:is>
          <x:t xml:space="preserve">3</x:t>
        </x:is>
      </x:c>
      <x:c r="E41" s="3" t="inlineStr">
        <x:is>
          <x:t xml:space="preserve">1,2,3,4,5</x:t>
        </x:is>
      </x:c>
      <x:c r="F41" s="3" t="inlineStr">
        <x:is>
          <x:t xml:space="preserve">4</x:t>
        </x:is>
      </x:c>
      <x:c r="G41" s="3" t="inlineStr">
        <x:is>
          <x:t xml:space="preserve">90,10,0,2</x:t>
        </x:is>
      </x:c>
      <x:c r="H41" s="3" t="inlineStr">
        <x:is>
          <x:t xml:space="preserve">255.4</x:t>
        </x:is>
      </x:c>
      <x:c r="I41" s="3" t="inlineStr">
        <x:is>
          <x:t xml:space="preserve">池-数量；品质权重=青铜,白银,黄金,钻石</x:t>
        </x:is>
      </x:c>
    </x:row>
    <x:row r="42">
      <x:c r="A42" s="3" t="inlineStr">
        <x:is>
          <x:t xml:space="preserve">wave_d04_afternoon</x:t>
        </x:is>
      </x:c>
      <x:c r="B42" s="3" t="inlineStr">
        <x:is>
          <x:t xml:space="preserve">4</x:t>
        </x:is>
      </x:c>
      <x:c r="C42" s="3" t="inlineStr">
        <x:is>
          <x:t xml:space="preserve">下午</x:t>
        </x:is>
      </x:c>
      <x:c r="D42" s="3" t="inlineStr">
        <x:is>
          <x:t xml:space="preserve">4</x:t>
        </x:is>
      </x:c>
      <x:c r="E42" s="3" t="inlineStr">
        <x:is>
          <x:t xml:space="preserve">1,2,3,4,5</x:t>
        </x:is>
      </x:c>
      <x:c r="F42" s="3" t="inlineStr">
        <x:is>
          <x:t xml:space="preserve">5</x:t>
        </x:is>
      </x:c>
      <x:c r="G42" s="3" t="inlineStr">
        <x:is>
          <x:t xml:space="preserve">90,10,0,3</x:t>
        </x:is>
      </x:c>
      <x:c r="H42" s="3" t="inlineStr">
        <x:is>
          <x:t xml:space="preserve">323.3</x:t>
        </x:is>
      </x:c>
      <x:c r="I42" s="3" t="inlineStr">
        <x:is>
          <x:t xml:space="preserve">池-数量；品质权重=青铜,白银,黄金,钻石</x:t>
        </x:is>
      </x:c>
    </x:row>
    <x:row r="43">
      <x:c r="A43" s="3" t="inlineStr">
        <x:is>
          <x:t xml:space="preserve">wave_d04_afternoon</x:t>
        </x:is>
      </x:c>
      <x:c r="B43" s="3" t="inlineStr">
        <x:is>
          <x:t xml:space="preserve">4</x:t>
        </x:is>
      </x:c>
      <x:c r="C43" s="3" t="inlineStr">
        <x:is>
          <x:t xml:space="preserve">下午</x:t>
        </x:is>
      </x:c>
      <x:c r="D43" s="3" t="inlineStr">
        <x:is>
          <x:t xml:space="preserve">5</x:t>
        </x:is>
      </x:c>
      <x:c r="E43" s="3" t="inlineStr">
        <x:is>
          <x:t xml:space="preserve">1,2,3,4,5</x:t>
        </x:is>
      </x:c>
      <x:c r="F43" s="3" t="inlineStr">
        <x:is>
          <x:t xml:space="preserve">6</x:t>
        </x:is>
      </x:c>
      <x:c r="G43" s="3" t="inlineStr">
        <x:is>
          <x:t xml:space="preserve">90,10,0,4</x:t>
        </x:is>
      </x:c>
      <x:c r="H43" s="3" t="inlineStr">
        <x:is>
          <x:t xml:space="preserve">392.8</x:t>
        </x:is>
      </x:c>
      <x:c r="I43" s="3" t="inlineStr">
        <x:is>
          <x:t xml:space="preserve">池-数量；品质权重=青铜,白银,黄金,钻石</x:t>
        </x:is>
      </x:c>
    </x:row>
    <x:row r="44">
      <x:c r="A44" s="3" t="inlineStr">
        <x:is>
          <x:t xml:space="preserve">wave_d05_morning</x:t>
        </x:is>
      </x:c>
      <x:c r="B44" s="3" t="inlineStr">
        <x:is>
          <x:t xml:space="preserve">5</x:t>
        </x:is>
      </x:c>
      <x:c r="C44" s="3" t="inlineStr">
        <x:is>
          <x:t xml:space="preserve">上午</x:t>
        </x:is>
      </x:c>
      <x:c r="D44" s="3" t="inlineStr">
        <x:is>
          <x:t xml:space="preserve">1</x:t>
        </x:is>
      </x:c>
      <x:c r="E44" s="3" t="inlineStr">
        <x:is>
          <x:t xml:space="preserve">1,2,3,4,5</x:t>
        </x:is>
      </x:c>
      <x:c r="F44" s="3" t="inlineStr">
        <x:is>
          <x:t xml:space="preserve">2</x:t>
        </x:is>
      </x:c>
      <x:c r="G44" s="3" t="inlineStr">
        <x:is>
          <x:t xml:space="preserve">90,10,0,0</x:t>
        </x:is>
      </x:c>
      <x:c r="H44" s="3" t="inlineStr">
        <x:is>
          <x:t xml:space="preserve">124.3</x:t>
        </x:is>
      </x:c>
      <x:c r="I44" s="3" t="inlineStr">
        <x:is>
          <x:t xml:space="preserve">池-数量；品质权重=青铜,白银,黄金,钻石</x:t>
        </x:is>
      </x:c>
    </x:row>
    <x:row r="45">
      <x:c r="A45" s="3" t="inlineStr">
        <x:is>
          <x:t xml:space="preserve">wave_d05_morning</x:t>
        </x:is>
      </x:c>
      <x:c r="B45" s="3" t="inlineStr">
        <x:is>
          <x:t xml:space="preserve">5</x:t>
        </x:is>
      </x:c>
      <x:c r="C45" s="3" t="inlineStr">
        <x:is>
          <x:t xml:space="preserve">上午</x:t>
        </x:is>
      </x:c>
      <x:c r="D45" s="3" t="inlineStr">
        <x:is>
          <x:t xml:space="preserve">2</x:t>
        </x:is>
      </x:c>
      <x:c r="E45" s="3" t="inlineStr">
        <x:is>
          <x:t xml:space="preserve">1,2,3,4,5</x:t>
        </x:is>
      </x:c>
      <x:c r="F45" s="3" t="inlineStr">
        <x:is>
          <x:t xml:space="preserve">3</x:t>
        </x:is>
      </x:c>
      <x:c r="G45" s="3" t="inlineStr">
        <x:is>
          <x:t xml:space="preserve">90,10,0,1</x:t>
        </x:is>
      </x:c>
      <x:c r="H45" s="3" t="inlineStr">
        <x:is>
          <x:t xml:space="preserve">189</x:t>
        </x:is>
      </x:c>
      <x:c r="I45" s="3" t="inlineStr">
        <x:is>
          <x:t xml:space="preserve">池-数量；品质权重=青铜,白银,黄金,钻石</x:t>
        </x:is>
      </x:c>
    </x:row>
    <x:row r="46">
      <x:c r="A46" s="3" t="inlineStr">
        <x:is>
          <x:t xml:space="preserve">wave_d05_morning</x:t>
        </x:is>
      </x:c>
      <x:c r="B46" s="3" t="inlineStr">
        <x:is>
          <x:t xml:space="preserve">5</x:t>
        </x:is>
      </x:c>
      <x:c r="C46" s="3" t="inlineStr">
        <x:is>
          <x:t xml:space="preserve">上午</x:t>
        </x:is>
      </x:c>
      <x:c r="D46" s="3" t="inlineStr">
        <x:is>
          <x:t xml:space="preserve">3</x:t>
        </x:is>
      </x:c>
      <x:c r="E46" s="3" t="inlineStr">
        <x:is>
          <x:t xml:space="preserve">1,2,3,4,5</x:t>
        </x:is>
      </x:c>
      <x:c r="F46" s="3" t="inlineStr">
        <x:is>
          <x:t xml:space="preserve">4</x:t>
        </x:is>
      </x:c>
      <x:c r="G46" s="3" t="inlineStr">
        <x:is>
          <x:t xml:space="preserve">90,10,0,2</x:t>
        </x:is>
      </x:c>
      <x:c r="H46" s="3" t="inlineStr">
        <x:is>
          <x:t xml:space="preserve">255.4</x:t>
        </x:is>
      </x:c>
      <x:c r="I46" s="3" t="inlineStr">
        <x:is>
          <x:t xml:space="preserve">池-数量；品质权重=青铜,白银,黄金,钻石</x:t>
        </x:is>
      </x:c>
    </x:row>
    <x:row r="47">
      <x:c r="A47" s="3" t="inlineStr">
        <x:is>
          <x:t xml:space="preserve">wave_d05_morning</x:t>
        </x:is>
      </x:c>
      <x:c r="B47" s="3" t="inlineStr">
        <x:is>
          <x:t xml:space="preserve">5</x:t>
        </x:is>
      </x:c>
      <x:c r="C47" s="3" t="inlineStr">
        <x:is>
          <x:t xml:space="preserve">上午</x:t>
        </x:is>
      </x:c>
      <x:c r="D47" s="3" t="inlineStr">
        <x:is>
          <x:t xml:space="preserve">4</x:t>
        </x:is>
      </x:c>
      <x:c r="E47" s="3" t="inlineStr">
        <x:is>
          <x:t xml:space="preserve">1,2,3,4,5</x:t>
        </x:is>
      </x:c>
      <x:c r="F47" s="3" t="inlineStr">
        <x:is>
          <x:t xml:space="preserve">5</x:t>
        </x:is>
      </x:c>
      <x:c r="G47" s="3" t="inlineStr">
        <x:is>
          <x:t xml:space="preserve">90,10,0,3</x:t>
        </x:is>
      </x:c>
      <x:c r="H47" s="3" t="inlineStr">
        <x:is>
          <x:t xml:space="preserve">323.3</x:t>
        </x:is>
      </x:c>
      <x:c r="I47" s="3" t="inlineStr">
        <x:is>
          <x:t xml:space="preserve">池-数量；品质权重=青铜,白银,黄金,钻石</x:t>
        </x:is>
      </x:c>
    </x:row>
    <x:row r="48">
      <x:c r="A48" s="3" t="inlineStr">
        <x:is>
          <x:t xml:space="preserve">wave_d05_morning</x:t>
        </x:is>
      </x:c>
      <x:c r="B48" s="3" t="inlineStr">
        <x:is>
          <x:t xml:space="preserve">5</x:t>
        </x:is>
      </x:c>
      <x:c r="C48" s="3" t="inlineStr">
        <x:is>
          <x:t xml:space="preserve">上午</x:t>
        </x:is>
      </x:c>
      <x:c r="D48" s="3" t="inlineStr">
        <x:is>
          <x:t xml:space="preserve">4</x:t>
        </x:is>
      </x:c>
      <x:c r="E48" s="3" t="inlineStr">
        <x:is>
          <x:t xml:space="preserve">1,2,3,4,5</x:t>
        </x:is>
      </x:c>
      <x:c r="F48" s="3" t="inlineStr">
        <x:is>
          <x:t xml:space="preserve">5</x:t>
        </x:is>
      </x:c>
      <x:c r="G48" s="3" t="inlineStr">
        <x:is>
          <x:t xml:space="preserve">90,10,0,3</x:t>
        </x:is>
      </x:c>
      <x:c r="H48" s="3" t="inlineStr">
        <x:is>
          <x:t xml:space="preserve">323.3</x:t>
        </x:is>
      </x:c>
      <x:c r="I48" s="3" t="inlineStr">
        <x:is>
          <x:t xml:space="preserve">池-数量；品质权重=青铜,白银,黄金,钻石</x:t>
        </x:is>
      </x:c>
    </x:row>
    <x:row r="49">
      <x:c r="A49" s="3" t="inlineStr">
        <x:is>
          <x:t xml:space="preserve">wave_d05_morning</x:t>
        </x:is>
      </x:c>
      <x:c r="B49" s="3" t="inlineStr">
        <x:is>
          <x:t xml:space="preserve">5</x:t>
        </x:is>
      </x:c>
      <x:c r="C49" s="3" t="inlineStr">
        <x:is>
          <x:t xml:space="preserve">上午</x:t>
        </x:is>
      </x:c>
      <x:c r="D49" s="3" t="inlineStr">
        <x:is>
          <x:t xml:space="preserve">5</x:t>
        </x:is>
      </x:c>
      <x:c r="E49" s="3" t="inlineStr">
        <x:is>
          <x:t xml:space="preserve">1,2,3,4,5</x:t>
        </x:is>
      </x:c>
      <x:c r="F49" s="3" t="inlineStr">
        <x:is>
          <x:t xml:space="preserve">6</x:t>
        </x:is>
      </x:c>
      <x:c r="G49" s="3" t="inlineStr">
        <x:is>
          <x:t xml:space="preserve">90,10,0,4</x:t>
        </x:is>
      </x:c>
      <x:c r="H49" s="3" t="inlineStr">
        <x:is>
          <x:t xml:space="preserve">392.8</x:t>
        </x:is>
      </x:c>
      <x:c r="I49" s="3" t="inlineStr">
        <x:is>
          <x:t xml:space="preserve">池-数量；品质权重=青铜,白银,黄金,钻石</x:t>
        </x:is>
      </x:c>
    </x:row>
    <x:row r="50">
      <x:c r="A50" s="3" t="inlineStr">
        <x:is>
          <x:t xml:space="preserve">wave_d05_morning</x:t>
        </x:is>
      </x:c>
      <x:c r="B50" s="3" t="inlineStr">
        <x:is>
          <x:t xml:space="preserve">5</x:t>
        </x:is>
      </x:c>
      <x:c r="C50" s="3" t="inlineStr">
        <x:is>
          <x:t xml:space="preserve">上午</x:t>
        </x:is>
      </x:c>
      <x:c r="D50" s="3" t="inlineStr">
        <x:is>
          <x:t xml:space="preserve">5</x:t>
        </x:is>
      </x:c>
      <x:c r="E50" s="3" t="inlineStr">
        <x:is>
          <x:t xml:space="preserve">1,2,3,4,5</x:t>
        </x:is>
      </x:c>
      <x:c r="F50" s="3" t="inlineStr">
        <x:is>
          <x:t xml:space="preserve">6</x:t>
        </x:is>
      </x:c>
      <x:c r="G50" s="3" t="inlineStr">
        <x:is>
          <x:t xml:space="preserve">90,10,0,4</x:t>
        </x:is>
      </x:c>
      <x:c r="H50" s="3" t="inlineStr">
        <x:is>
          <x:t xml:space="preserve">392.8</x:t>
        </x:is>
      </x:c>
      <x:c r="I50" s="3" t="inlineStr">
        <x:is>
          <x:t xml:space="preserve">池-数量；品质权重=青铜,白银,黄金,钻石</x:t>
        </x:is>
      </x:c>
    </x:row>
    <x:row r="51">
      <x:c r="A51" s="3" t="inlineStr">
        <x:is>
          <x:t xml:space="preserve">wave_d05_afternoon</x:t>
        </x:is>
      </x:c>
      <x:c r="B51" s="3" t="inlineStr">
        <x:is>
          <x:t xml:space="preserve">5</x:t>
        </x:is>
      </x:c>
      <x:c r="C51" s="3" t="inlineStr">
        <x:is>
          <x:t xml:space="preserve">下午</x:t>
        </x:is>
      </x:c>
      <x:c r="D51" s="3" t="inlineStr">
        <x:is>
          <x:t xml:space="preserve">1</x:t>
        </x:is>
      </x:c>
      <x:c r="E51" s="3" t="inlineStr">
        <x:is>
          <x:t xml:space="preserve">1,2,3,4,5</x:t>
        </x:is>
      </x:c>
      <x:c r="F51" s="3" t="inlineStr">
        <x:is>
          <x:t xml:space="preserve">2</x:t>
        </x:is>
      </x:c>
      <x:c r="G51" s="3" t="inlineStr">
        <x:is>
          <x:t xml:space="preserve">90,10,0,0</x:t>
        </x:is>
      </x:c>
      <x:c r="H51" s="3" t="inlineStr">
        <x:is>
          <x:t xml:space="preserve">124.3</x:t>
        </x:is>
      </x:c>
      <x:c r="I51" s="3" t="inlineStr">
        <x:is>
          <x:t xml:space="preserve">池-数量；品质权重=青铜,白银,黄金,钻石</x:t>
        </x:is>
      </x:c>
    </x:row>
    <x:row r="52">
      <x:c r="A52" s="3" t="inlineStr">
        <x:is>
          <x:t xml:space="preserve">wave_d05_afternoon</x:t>
        </x:is>
      </x:c>
      <x:c r="B52" s="3" t="inlineStr">
        <x:is>
          <x:t xml:space="preserve">5</x:t>
        </x:is>
      </x:c>
      <x:c r="C52" s="3" t="inlineStr">
        <x:is>
          <x:t xml:space="preserve">下午</x:t>
        </x:is>
      </x:c>
      <x:c r="D52" s="3" t="inlineStr">
        <x:is>
          <x:t xml:space="preserve">2</x:t>
        </x:is>
      </x:c>
      <x:c r="E52" s="3" t="inlineStr">
        <x:is>
          <x:t xml:space="preserve">1,2,3,4,5</x:t>
        </x:is>
      </x:c>
      <x:c r="F52" s="3" t="inlineStr">
        <x:is>
          <x:t xml:space="preserve">3</x:t>
        </x:is>
      </x:c>
      <x:c r="G52" s="3" t="inlineStr">
        <x:is>
          <x:t xml:space="preserve">90,10,0,1</x:t>
        </x:is>
      </x:c>
      <x:c r="H52" s="3" t="inlineStr">
        <x:is>
          <x:t xml:space="preserve">189</x:t>
        </x:is>
      </x:c>
      <x:c r="I52" s="3" t="inlineStr">
        <x:is>
          <x:t xml:space="preserve">池-数量；品质权重=青铜,白银,黄金,钻石</x:t>
        </x:is>
      </x:c>
    </x:row>
    <x:row r="53">
      <x:c r="A53" s="3" t="inlineStr">
        <x:is>
          <x:t xml:space="preserve">wave_d05_afternoon</x:t>
        </x:is>
      </x:c>
      <x:c r="B53" s="3" t="inlineStr">
        <x:is>
          <x:t xml:space="preserve">5</x:t>
        </x:is>
      </x:c>
      <x:c r="C53" s="3" t="inlineStr">
        <x:is>
          <x:t xml:space="preserve">下午</x:t>
        </x:is>
      </x:c>
      <x:c r="D53" s="3" t="inlineStr">
        <x:is>
          <x:t xml:space="preserve">3</x:t>
        </x:is>
      </x:c>
      <x:c r="E53" s="3" t="inlineStr">
        <x:is>
          <x:t xml:space="preserve">1,2,3,4,5</x:t>
        </x:is>
      </x:c>
      <x:c r="F53" s="3" t="inlineStr">
        <x:is>
          <x:t xml:space="preserve">4</x:t>
        </x:is>
      </x:c>
      <x:c r="G53" s="3" t="inlineStr">
        <x:is>
          <x:t xml:space="preserve">90,10,0,2</x:t>
        </x:is>
      </x:c>
      <x:c r="H53" s="3" t="inlineStr">
        <x:is>
          <x:t xml:space="preserve">255.4</x:t>
        </x:is>
      </x:c>
      <x:c r="I53" s="3" t="inlineStr">
        <x:is>
          <x:t xml:space="preserve">池-数量；品质权重=青铜,白银,黄金,钻石</x:t>
        </x:is>
      </x:c>
    </x:row>
    <x:row r="54">
      <x:c r="A54" s="3" t="inlineStr">
        <x:is>
          <x:t xml:space="preserve">wave_d05_afternoon</x:t>
        </x:is>
      </x:c>
      <x:c r="B54" s="3" t="inlineStr">
        <x:is>
          <x:t xml:space="preserve">5</x:t>
        </x:is>
      </x:c>
      <x:c r="C54" s="3" t="inlineStr">
        <x:is>
          <x:t xml:space="preserve">下午</x:t>
        </x:is>
      </x:c>
      <x:c r="D54" s="3" t="inlineStr">
        <x:is>
          <x:t xml:space="preserve">4</x:t>
        </x:is>
      </x:c>
      <x:c r="E54" s="3" t="inlineStr">
        <x:is>
          <x:t xml:space="preserve">1,2,3,4,5</x:t>
        </x:is>
      </x:c>
      <x:c r="F54" s="3" t="inlineStr">
        <x:is>
          <x:t xml:space="preserve">5</x:t>
        </x:is>
      </x:c>
      <x:c r="G54" s="3" t="inlineStr">
        <x:is>
          <x:t xml:space="preserve">90,10,0,3</x:t>
        </x:is>
      </x:c>
      <x:c r="H54" s="3" t="inlineStr">
        <x:is>
          <x:t xml:space="preserve">323.3</x:t>
        </x:is>
      </x:c>
      <x:c r="I54" s="3" t="inlineStr">
        <x:is>
          <x:t xml:space="preserve">池-数量；品质权重=青铜,白银,黄金,钻石</x:t>
        </x:is>
      </x:c>
    </x:row>
    <x:row r="55">
      <x:c r="A55" s="3" t="inlineStr">
        <x:is>
          <x:t xml:space="preserve">wave_d05_afternoon</x:t>
        </x:is>
      </x:c>
      <x:c r="B55" s="3" t="inlineStr">
        <x:is>
          <x:t xml:space="preserve">5</x:t>
        </x:is>
      </x:c>
      <x:c r="C55" s="3" t="inlineStr">
        <x:is>
          <x:t xml:space="preserve">下午</x:t>
        </x:is>
      </x:c>
      <x:c r="D55" s="3" t="inlineStr">
        <x:is>
          <x:t xml:space="preserve">5</x:t>
        </x:is>
      </x:c>
      <x:c r="E55" s="3" t="inlineStr">
        <x:is>
          <x:t xml:space="preserve">1,2,3,4,5</x:t>
        </x:is>
      </x:c>
      <x:c r="F55" s="3" t="inlineStr">
        <x:is>
          <x:t xml:space="preserve">6</x:t>
        </x:is>
      </x:c>
      <x:c r="G55" s="3" t="inlineStr">
        <x:is>
          <x:t xml:space="preserve">90,10,0,4</x:t>
        </x:is>
      </x:c>
      <x:c r="H55" s="3" t="inlineStr">
        <x:is>
          <x:t xml:space="preserve">392.8</x:t>
        </x:is>
      </x:c>
      <x:c r="I55" s="3" t="inlineStr">
        <x:is>
          <x:t xml:space="preserve">池-数量；品质权重=青铜,白银,黄金,钻石</x:t>
        </x:is>
      </x:c>
    </x:row>
    <x:row r="56">
      <x:c r="A56" s="3" t="inlineStr">
        <x:is>
          <x:t xml:space="preserve">wave_d05_afternoon</x:t>
        </x:is>
      </x:c>
      <x:c r="B56" s="3" t="inlineStr">
        <x:is>
          <x:t xml:space="preserve">5</x:t>
        </x:is>
      </x:c>
      <x:c r="C56" s="3" t="inlineStr">
        <x:is>
          <x:t xml:space="preserve">下午</x:t>
        </x:is>
      </x:c>
      <x:c r="D56" s="3" t="inlineStr">
        <x:is>
          <x:t xml:space="preserve">5</x:t>
        </x:is>
      </x:c>
      <x:c r="E56" s="3" t="inlineStr">
        <x:is>
          <x:t xml:space="preserve">1,2,3,4,5</x:t>
        </x:is>
      </x:c>
      <x:c r="F56" s="3" t="inlineStr">
        <x:is>
          <x:t xml:space="preserve">6</x:t>
        </x:is>
      </x:c>
      <x:c r="G56" s="3" t="inlineStr">
        <x:is>
          <x:t xml:space="preserve">90,10,0,4</x:t>
        </x:is>
      </x:c>
      <x:c r="H56" s="3" t="inlineStr">
        <x:is>
          <x:t xml:space="preserve">392.8</x:t>
        </x:is>
      </x:c>
      <x:c r="I56" s="3" t="inlineStr">
        <x:is>
          <x:t xml:space="preserve">池-数量；品质权重=青铜,白银,黄金,钻石</x:t>
        </x:is>
      </x:c>
    </x:row>
    <x:row r="57">
      <x:c r="A57" s="3" t="inlineStr">
        <x:is>
          <x:t xml:space="preserve">wave_d06_morning</x:t>
        </x:is>
      </x:c>
      <x:c r="B57" s="3" t="inlineStr">
        <x:is>
          <x:t xml:space="preserve">6</x:t>
        </x:is>
      </x:c>
      <x:c r="C57" s="3" t="inlineStr">
        <x:is>
          <x:t xml:space="preserve">上午</x:t>
        </x:is>
      </x:c>
      <x:c r="D57" s="3" t="inlineStr">
        <x:is>
          <x:t xml:space="preserve">1</x:t>
        </x:is>
      </x:c>
      <x:c r="E57" s="3" t="inlineStr">
        <x:is>
          <x:t xml:space="preserve">1,2,3,4,5</x:t>
        </x:is>
      </x:c>
      <x:c r="F57" s="3" t="inlineStr">
        <x:is>
          <x:t xml:space="preserve">2</x:t>
        </x:is>
      </x:c>
      <x:c r="G57" s="3" t="inlineStr">
        <x:is>
          <x:t xml:space="preserve">90,10,0,0</x:t>
        </x:is>
      </x:c>
      <x:c r="H57" s="3" t="inlineStr">
        <x:is>
          <x:t xml:space="preserve">124.3</x:t>
        </x:is>
      </x:c>
      <x:c r="I57" s="3" t="inlineStr">
        <x:is>
          <x:t xml:space="preserve">池-数量；品质权重=青铜,白银,黄金,钻石</x:t>
        </x:is>
      </x:c>
    </x:row>
    <x:row r="58">
      <x:c r="A58" s="3" t="inlineStr">
        <x:is>
          <x:t xml:space="preserve">wave_d06_morning</x:t>
        </x:is>
      </x:c>
      <x:c r="B58" s="3" t="inlineStr">
        <x:is>
          <x:t xml:space="preserve">6</x:t>
        </x:is>
      </x:c>
      <x:c r="C58" s="3" t="inlineStr">
        <x:is>
          <x:t xml:space="preserve">上午</x:t>
        </x:is>
      </x:c>
      <x:c r="D58" s="3" t="inlineStr">
        <x:is>
          <x:t xml:space="preserve">1</x:t>
        </x:is>
      </x:c>
      <x:c r="E58" s="3" t="inlineStr">
        <x:is>
          <x:t xml:space="preserve">1,2,3,4,5</x:t>
        </x:is>
      </x:c>
      <x:c r="F58" s="3" t="inlineStr">
        <x:is>
          <x:t xml:space="preserve">2</x:t>
        </x:is>
      </x:c>
      <x:c r="G58" s="3" t="inlineStr">
        <x:is>
          <x:t xml:space="preserve">90,10,0,0</x:t>
        </x:is>
      </x:c>
      <x:c r="H58" s="3" t="inlineStr">
        <x:is>
          <x:t xml:space="preserve">124.3</x:t>
        </x:is>
      </x:c>
      <x:c r="I58" s="3" t="inlineStr">
        <x:is>
          <x:t xml:space="preserve">池-数量；品质权重=青铜,白银,黄金,钻石</x:t>
        </x:is>
      </x:c>
    </x:row>
    <x:row r="59">
      <x:c r="A59" s="3" t="inlineStr">
        <x:is>
          <x:t xml:space="preserve">wave_d06_morning</x:t>
        </x:is>
      </x:c>
      <x:c r="B59" s="3" t="inlineStr">
        <x:is>
          <x:t xml:space="preserve">6</x:t>
        </x:is>
      </x:c>
      <x:c r="C59" s="3" t="inlineStr">
        <x:is>
          <x:t xml:space="preserve">上午</x:t>
        </x:is>
      </x:c>
      <x:c r="D59" s="3" t="inlineStr">
        <x:is>
          <x:t xml:space="preserve">2</x:t>
        </x:is>
      </x:c>
      <x:c r="E59" s="3" t="inlineStr">
        <x:is>
          <x:t xml:space="preserve">1,2,3,4,5</x:t>
        </x:is>
      </x:c>
      <x:c r="F59" s="3" t="inlineStr">
        <x:is>
          <x:t xml:space="preserve">3</x:t>
        </x:is>
      </x:c>
      <x:c r="G59" s="3" t="inlineStr">
        <x:is>
          <x:t xml:space="preserve">90,10,0,1</x:t>
        </x:is>
      </x:c>
      <x:c r="H59" s="3" t="inlineStr">
        <x:is>
          <x:t xml:space="preserve">189</x:t>
        </x:is>
      </x:c>
      <x:c r="I59" s="3" t="inlineStr">
        <x:is>
          <x:t xml:space="preserve">池-数量；品质权重=青铜,白银,黄金,钻石</x:t>
        </x:is>
      </x:c>
    </x:row>
    <x:row r="60">
      <x:c r="A60" s="3" t="inlineStr">
        <x:is>
          <x:t xml:space="preserve">wave_d06_morning</x:t>
        </x:is>
      </x:c>
      <x:c r="B60" s="3" t="inlineStr">
        <x:is>
          <x:t xml:space="preserve">6</x:t>
        </x:is>
      </x:c>
      <x:c r="C60" s="3" t="inlineStr">
        <x:is>
          <x:t xml:space="preserve">上午</x:t>
        </x:is>
      </x:c>
      <x:c r="D60" s="3" t="inlineStr">
        <x:is>
          <x:t xml:space="preserve">3</x:t>
        </x:is>
      </x:c>
      <x:c r="E60" s="3" t="inlineStr">
        <x:is>
          <x:t xml:space="preserve">1,2,3,4,5</x:t>
        </x:is>
      </x:c>
      <x:c r="F60" s="3" t="inlineStr">
        <x:is>
          <x:t xml:space="preserve">4</x:t>
        </x:is>
      </x:c>
      <x:c r="G60" s="3" t="inlineStr">
        <x:is>
          <x:t xml:space="preserve">90,10,0,2</x:t>
        </x:is>
      </x:c>
      <x:c r="H60" s="3" t="inlineStr">
        <x:is>
          <x:t xml:space="preserve">255.4</x:t>
        </x:is>
      </x:c>
      <x:c r="I60" s="3" t="inlineStr">
        <x:is>
          <x:t xml:space="preserve">池-数量；品质权重=青铜,白银,黄金,钻石</x:t>
        </x:is>
      </x:c>
    </x:row>
    <x:row r="61">
      <x:c r="A61" s="3" t="inlineStr">
        <x:is>
          <x:t xml:space="preserve">wave_d06_morning</x:t>
        </x:is>
      </x:c>
      <x:c r="B61" s="3" t="inlineStr">
        <x:is>
          <x:t xml:space="preserve">6</x:t>
        </x:is>
      </x:c>
      <x:c r="C61" s="3" t="inlineStr">
        <x:is>
          <x:t xml:space="preserve">上午</x:t>
        </x:is>
      </x:c>
      <x:c r="D61" s="3" t="inlineStr">
        <x:is>
          <x:t xml:space="preserve">4</x:t>
        </x:is>
      </x:c>
      <x:c r="E61" s="3" t="inlineStr">
        <x:is>
          <x:t xml:space="preserve">1,2,3,4,5</x:t>
        </x:is>
      </x:c>
      <x:c r="F61" s="3" t="inlineStr">
        <x:is>
          <x:t xml:space="preserve">5</x:t>
        </x:is>
      </x:c>
      <x:c r="G61" s="3" t="inlineStr">
        <x:is>
          <x:t xml:space="preserve">90,10,0,3</x:t>
        </x:is>
      </x:c>
      <x:c r="H61" s="3" t="inlineStr">
        <x:is>
          <x:t xml:space="preserve">323.3</x:t>
        </x:is>
      </x:c>
      <x:c r="I61" s="3" t="inlineStr">
        <x:is>
          <x:t xml:space="preserve">池-数量；品质权重=青铜,白银,黄金,钻石</x:t>
        </x:is>
      </x:c>
    </x:row>
    <x:row r="62">
      <x:c r="A62" s="3" t="inlineStr">
        <x:is>
          <x:t xml:space="preserve">wave_d06_morning</x:t>
        </x:is>
      </x:c>
      <x:c r="B62" s="3" t="inlineStr">
        <x:is>
          <x:t xml:space="preserve">6</x:t>
        </x:is>
      </x:c>
      <x:c r="C62" s="3" t="inlineStr">
        <x:is>
          <x:t xml:space="preserve">上午</x:t>
        </x:is>
      </x:c>
      <x:c r="D62" s="3" t="inlineStr">
        <x:is>
          <x:t xml:space="preserve">4</x:t>
        </x:is>
      </x:c>
      <x:c r="E62" s="3" t="inlineStr">
        <x:is>
          <x:t xml:space="preserve">1,2,3,4,5</x:t>
        </x:is>
      </x:c>
      <x:c r="F62" s="3" t="inlineStr">
        <x:is>
          <x:t xml:space="preserve">5</x:t>
        </x:is>
      </x:c>
      <x:c r="G62" s="3" t="inlineStr">
        <x:is>
          <x:t xml:space="preserve">90,10,0,3</x:t>
        </x:is>
      </x:c>
      <x:c r="H62" s="3" t="inlineStr">
        <x:is>
          <x:t xml:space="preserve">323.3</x:t>
        </x:is>
      </x:c>
      <x:c r="I62" s="3" t="inlineStr">
        <x:is>
          <x:t xml:space="preserve">池-数量；品质权重=青铜,白银,黄金,钻石</x:t>
        </x:is>
      </x:c>
    </x:row>
    <x:row r="63">
      <x:c r="A63" s="3" t="inlineStr">
        <x:is>
          <x:t xml:space="preserve">wave_d06_morning</x:t>
        </x:is>
      </x:c>
      <x:c r="B63" s="3" t="inlineStr">
        <x:is>
          <x:t xml:space="preserve">6</x:t>
        </x:is>
      </x:c>
      <x:c r="C63" s="3" t="inlineStr">
        <x:is>
          <x:t xml:space="preserve">上午</x:t>
        </x:is>
      </x:c>
      <x:c r="D63" s="3" t="inlineStr">
        <x:is>
          <x:t xml:space="preserve">5</x:t>
        </x:is>
      </x:c>
      <x:c r="E63" s="3" t="inlineStr">
        <x:is>
          <x:t xml:space="preserve">1,2,3,4,5</x:t>
        </x:is>
      </x:c>
      <x:c r="F63" s="3" t="inlineStr">
        <x:is>
          <x:t xml:space="preserve">6</x:t>
        </x:is>
      </x:c>
      <x:c r="G63" s="3" t="inlineStr">
        <x:is>
          <x:t xml:space="preserve">90,10,0,4</x:t>
        </x:is>
      </x:c>
      <x:c r="H63" s="3" t="inlineStr">
        <x:is>
          <x:t xml:space="preserve">392.8</x:t>
        </x:is>
      </x:c>
      <x:c r="I63" s="3" t="inlineStr">
        <x:is>
          <x:t xml:space="preserve">池-数量；品质权重=青铜,白银,黄金,钻石</x:t>
        </x:is>
      </x:c>
    </x:row>
    <x:row r="64">
      <x:c r="A64" s="3" t="inlineStr">
        <x:is>
          <x:t xml:space="preserve">wave_d06_afternoon</x:t>
        </x:is>
      </x:c>
      <x:c r="B64" s="3" t="inlineStr">
        <x:is>
          <x:t xml:space="preserve">6</x:t>
        </x:is>
      </x:c>
      <x:c r="C64" s="3" t="inlineStr">
        <x:is>
          <x:t xml:space="preserve">下午</x:t>
        </x:is>
      </x:c>
      <x:c r="D64" s="3" t="inlineStr">
        <x:is>
          <x:t xml:space="preserve">1</x:t>
        </x:is>
      </x:c>
      <x:c r="E64" s="3" t="inlineStr">
        <x:is>
          <x:t xml:space="preserve">1,2,3,4,5</x:t>
        </x:is>
      </x:c>
      <x:c r="F64" s="3" t="inlineStr">
        <x:is>
          <x:t xml:space="preserve">2</x:t>
        </x:is>
      </x:c>
      <x:c r="G64" s="3" t="inlineStr">
        <x:is>
          <x:t xml:space="preserve">90,10,0,0</x:t>
        </x:is>
      </x:c>
      <x:c r="H64" s="3" t="inlineStr">
        <x:is>
          <x:t xml:space="preserve">124.3</x:t>
        </x:is>
      </x:c>
      <x:c r="I64" s="3" t="inlineStr">
        <x:is>
          <x:t xml:space="preserve">池-数量；品质权重=青铜,白银,黄金,钻石</x:t>
        </x:is>
      </x:c>
    </x:row>
    <x:row r="65">
      <x:c r="A65" s="3" t="inlineStr">
        <x:is>
          <x:t xml:space="preserve">wave_d06_afternoon</x:t>
        </x:is>
      </x:c>
      <x:c r="B65" s="3" t="inlineStr">
        <x:is>
          <x:t xml:space="preserve">6</x:t>
        </x:is>
      </x:c>
      <x:c r="C65" s="3" t="inlineStr">
        <x:is>
          <x:t xml:space="preserve">下午</x:t>
        </x:is>
      </x:c>
      <x:c r="D65" s="3" t="inlineStr">
        <x:is>
          <x:t xml:space="preserve">2</x:t>
        </x:is>
      </x:c>
      <x:c r="E65" s="3" t="inlineStr">
        <x:is>
          <x:t xml:space="preserve">1,2,3,4,5</x:t>
        </x:is>
      </x:c>
      <x:c r="F65" s="3" t="inlineStr">
        <x:is>
          <x:t xml:space="preserve">3</x:t>
        </x:is>
      </x:c>
      <x:c r="G65" s="3" t="inlineStr">
        <x:is>
          <x:t xml:space="preserve">90,10,0,1</x:t>
        </x:is>
      </x:c>
      <x:c r="H65" s="3" t="inlineStr">
        <x:is>
          <x:t xml:space="preserve">189</x:t>
        </x:is>
      </x:c>
      <x:c r="I65" s="3" t="inlineStr">
        <x:is>
          <x:t xml:space="preserve">池-数量；品质权重=青铜,白银,黄金,钻石</x:t>
        </x:is>
      </x:c>
    </x:row>
    <x:row r="66">
      <x:c r="A66" s="3" t="inlineStr">
        <x:is>
          <x:t xml:space="preserve">wave_d06_afternoon</x:t>
        </x:is>
      </x:c>
      <x:c r="B66" s="3" t="inlineStr">
        <x:is>
          <x:t xml:space="preserve">6</x:t>
        </x:is>
      </x:c>
      <x:c r="C66" s="3" t="inlineStr">
        <x:is>
          <x:t xml:space="preserve">下午</x:t>
        </x:is>
      </x:c>
      <x:c r="D66" s="3" t="inlineStr">
        <x:is>
          <x:t xml:space="preserve">3</x:t>
        </x:is>
      </x:c>
      <x:c r="E66" s="3" t="inlineStr">
        <x:is>
          <x:t xml:space="preserve">1,2,3,4,5</x:t>
        </x:is>
      </x:c>
      <x:c r="F66" s="3" t="inlineStr">
        <x:is>
          <x:t xml:space="preserve">4</x:t>
        </x:is>
      </x:c>
      <x:c r="G66" s="3" t="inlineStr">
        <x:is>
          <x:t xml:space="preserve">90,10,0,2</x:t>
        </x:is>
      </x:c>
      <x:c r="H66" s="3" t="inlineStr">
        <x:is>
          <x:t xml:space="preserve">255.4</x:t>
        </x:is>
      </x:c>
      <x:c r="I66" s="3" t="inlineStr">
        <x:is>
          <x:t xml:space="preserve">池-数量；品质权重=青铜,白银,黄金,钻石</x:t>
        </x:is>
      </x:c>
    </x:row>
    <x:row r="67">
      <x:c r="A67" s="3" t="inlineStr">
        <x:is>
          <x:t xml:space="preserve">wave_d06_afternoon</x:t>
        </x:is>
      </x:c>
      <x:c r="B67" s="3" t="inlineStr">
        <x:is>
          <x:t xml:space="preserve">6</x:t>
        </x:is>
      </x:c>
      <x:c r="C67" s="3" t="inlineStr">
        <x:is>
          <x:t xml:space="preserve">下午</x:t>
        </x:is>
      </x:c>
      <x:c r="D67" s="3" t="inlineStr">
        <x:is>
          <x:t xml:space="preserve">3</x:t>
        </x:is>
      </x:c>
      <x:c r="E67" s="3" t="inlineStr">
        <x:is>
          <x:t xml:space="preserve">1,2,3,4,5</x:t>
        </x:is>
      </x:c>
      <x:c r="F67" s="3" t="inlineStr">
        <x:is>
          <x:t xml:space="preserve">4</x:t>
        </x:is>
      </x:c>
      <x:c r="G67" s="3" t="inlineStr">
        <x:is>
          <x:t xml:space="preserve">90,10,0,2</x:t>
        </x:is>
      </x:c>
      <x:c r="H67" s="3" t="inlineStr">
        <x:is>
          <x:t xml:space="preserve">255.4</x:t>
        </x:is>
      </x:c>
      <x:c r="I67" s="3" t="inlineStr">
        <x:is>
          <x:t xml:space="preserve">池-数量；品质权重=青铜,白银,黄金,钻石</x:t>
        </x:is>
      </x:c>
    </x:row>
    <x:row r="68">
      <x:c r="A68" s="3" t="inlineStr">
        <x:is>
          <x:t xml:space="preserve">wave_d06_afternoon</x:t>
        </x:is>
      </x:c>
      <x:c r="B68" s="3" t="inlineStr">
        <x:is>
          <x:t xml:space="preserve">6</x:t>
        </x:is>
      </x:c>
      <x:c r="C68" s="3" t="inlineStr">
        <x:is>
          <x:t xml:space="preserve">下午</x:t>
        </x:is>
      </x:c>
      <x:c r="D68" s="3" t="inlineStr">
        <x:is>
          <x:t xml:space="preserve">4</x:t>
        </x:is>
      </x:c>
      <x:c r="E68" s="3" t="inlineStr">
        <x:is>
          <x:t xml:space="preserve">1,2,3,4,5</x:t>
        </x:is>
      </x:c>
      <x:c r="F68" s="3" t="inlineStr">
        <x:is>
          <x:t xml:space="preserve">5</x:t>
        </x:is>
      </x:c>
      <x:c r="G68" s="3" t="inlineStr">
        <x:is>
          <x:t xml:space="preserve">90,10,0,3</x:t>
        </x:is>
      </x:c>
      <x:c r="H68" s="3" t="inlineStr">
        <x:is>
          <x:t xml:space="preserve">323.3</x:t>
        </x:is>
      </x:c>
      <x:c r="I68" s="3" t="inlineStr">
        <x:is>
          <x:t xml:space="preserve">池-数量；品质权重=青铜,白银,黄金,钻石</x:t>
        </x:is>
      </x:c>
    </x:row>
    <x:row r="69">
      <x:c r="A69" s="3" t="inlineStr">
        <x:is>
          <x:t xml:space="preserve">wave_d06_afternoon</x:t>
        </x:is>
      </x:c>
      <x:c r="B69" s="3" t="inlineStr">
        <x:is>
          <x:t xml:space="preserve">6</x:t>
        </x:is>
      </x:c>
      <x:c r="C69" s="3" t="inlineStr">
        <x:is>
          <x:t xml:space="preserve">下午</x:t>
        </x:is>
      </x:c>
      <x:c r="D69" s="3" t="inlineStr">
        <x:is>
          <x:t xml:space="preserve">4</x:t>
        </x:is>
      </x:c>
      <x:c r="E69" s="3" t="inlineStr">
        <x:is>
          <x:t xml:space="preserve">1,2,3,4,5</x:t>
        </x:is>
      </x:c>
      <x:c r="F69" s="3" t="inlineStr">
        <x:is>
          <x:t xml:space="preserve">5</x:t>
        </x:is>
      </x:c>
      <x:c r="G69" s="3" t="inlineStr">
        <x:is>
          <x:t xml:space="preserve">90,10,0,3</x:t>
        </x:is>
      </x:c>
      <x:c r="H69" s="3" t="inlineStr">
        <x:is>
          <x:t xml:space="preserve">323.3</x:t>
        </x:is>
      </x:c>
      <x:c r="I69" s="3" t="inlineStr">
        <x:is>
          <x:t xml:space="preserve">池-数量；品质权重=青铜,白银,黄金,钻石</x:t>
        </x:is>
      </x:c>
    </x:row>
    <x:row r="70">
      <x:c r="A70" s="3" t="inlineStr">
        <x:is>
          <x:t xml:space="preserve">wave_d06_afternoon</x:t>
        </x:is>
      </x:c>
      <x:c r="B70" s="3" t="inlineStr">
        <x:is>
          <x:t xml:space="preserve">6</x:t>
        </x:is>
      </x:c>
      <x:c r="C70" s="3" t="inlineStr">
        <x:is>
          <x:t xml:space="preserve">下午</x:t>
        </x:is>
      </x:c>
      <x:c r="D70" s="3" t="inlineStr">
        <x:is>
          <x:t xml:space="preserve">5</x:t>
        </x:is>
      </x:c>
      <x:c r="E70" s="3" t="inlineStr">
        <x:is>
          <x:t xml:space="preserve">1,2,3,4,5</x:t>
        </x:is>
      </x:c>
      <x:c r="F70" s="3" t="inlineStr">
        <x:is>
          <x:t xml:space="preserve">6</x:t>
        </x:is>
      </x:c>
      <x:c r="G70" s="3" t="inlineStr">
        <x:is>
          <x:t xml:space="preserve">90,10,0,4</x:t>
        </x:is>
      </x:c>
      <x:c r="H70" s="3" t="inlineStr">
        <x:is>
          <x:t xml:space="preserve">392.8</x:t>
        </x:is>
      </x:c>
      <x:c r="I70" s="3" t="inlineStr">
        <x:is>
          <x:t xml:space="preserve">池-数量；品质权重=青铜,白银,黄金,钻石</x:t>
        </x:is>
      </x:c>
    </x:row>
    <x:row r="71">
      <x:c r="A71" s="3" t="inlineStr">
        <x:is>
          <x:t xml:space="preserve">wave_d07_morning</x:t>
        </x:is>
      </x:c>
      <x:c r="B71" s="3" t="inlineStr">
        <x:is>
          <x:t xml:space="preserve">7</x:t>
        </x:is>
      </x:c>
      <x:c r="C71" s="3" t="inlineStr">
        <x:is>
          <x:t xml:space="preserve">上午</x:t>
        </x:is>
      </x:c>
      <x:c r="D71" s="3" t="inlineStr">
        <x:is>
          <x:t xml:space="preserve">1</x:t>
        </x:is>
      </x:c>
      <x:c r="E71" s="3" t="inlineStr">
        <x:is>
          <x:t xml:space="preserve">1,2,3,4,5</x:t>
        </x:is>
      </x:c>
      <x:c r="F71" s="3" t="inlineStr">
        <x:is>
          <x:t xml:space="preserve">2</x:t>
        </x:is>
      </x:c>
      <x:c r="G71" s="3" t="inlineStr">
        <x:is>
          <x:t xml:space="preserve">90,10,0,0</x:t>
        </x:is>
      </x:c>
      <x:c r="H71" s="3" t="inlineStr">
        <x:is>
          <x:t xml:space="preserve">124.3</x:t>
        </x:is>
      </x:c>
      <x:c r="I71" s="3" t="inlineStr">
        <x:is>
          <x:t xml:space="preserve">池-数量；品质权重=青铜,白银,黄金,钻石</x:t>
        </x:is>
      </x:c>
    </x:row>
    <x:row r="72">
      <x:c r="A72" s="3" t="inlineStr">
        <x:is>
          <x:t xml:space="preserve">wave_d07_morning</x:t>
        </x:is>
      </x:c>
      <x:c r="B72" s="3" t="inlineStr">
        <x:is>
          <x:t xml:space="preserve">7</x:t>
        </x:is>
      </x:c>
      <x:c r="C72" s="3" t="inlineStr">
        <x:is>
          <x:t xml:space="preserve">上午</x:t>
        </x:is>
      </x:c>
      <x:c r="D72" s="3" t="inlineStr">
        <x:is>
          <x:t xml:space="preserve">2</x:t>
        </x:is>
      </x:c>
      <x:c r="E72" s="3" t="inlineStr">
        <x:is>
          <x:t xml:space="preserve">1,2,3,4,5</x:t>
        </x:is>
      </x:c>
      <x:c r="F72" s="3" t="inlineStr">
        <x:is>
          <x:t xml:space="preserve">3</x:t>
        </x:is>
      </x:c>
      <x:c r="G72" s="3" t="inlineStr">
        <x:is>
          <x:t xml:space="preserve">90,10,0,1</x:t>
        </x:is>
      </x:c>
      <x:c r="H72" s="3" t="inlineStr">
        <x:is>
          <x:t xml:space="preserve">189</x:t>
        </x:is>
      </x:c>
      <x:c r="I72" s="3" t="inlineStr">
        <x:is>
          <x:t xml:space="preserve">池-数量；品质权重=青铜,白银,黄金,钻石</x:t>
        </x:is>
      </x:c>
    </x:row>
    <x:row r="73">
      <x:c r="A73" s="3" t="inlineStr">
        <x:is>
          <x:t xml:space="preserve">wave_d07_morning</x:t>
        </x:is>
      </x:c>
      <x:c r="B73" s="3" t="inlineStr">
        <x:is>
          <x:t xml:space="preserve">7</x:t>
        </x:is>
      </x:c>
      <x:c r="C73" s="3" t="inlineStr">
        <x:is>
          <x:t xml:space="preserve">上午</x:t>
        </x:is>
      </x:c>
      <x:c r="D73" s="3" t="inlineStr">
        <x:is>
          <x:t xml:space="preserve">3</x:t>
        </x:is>
      </x:c>
      <x:c r="E73" s="3" t="inlineStr">
        <x:is>
          <x:t xml:space="preserve">1,2,3,4,5</x:t>
        </x:is>
      </x:c>
      <x:c r="F73" s="3" t="inlineStr">
        <x:is>
          <x:t xml:space="preserve">4</x:t>
        </x:is>
      </x:c>
      <x:c r="G73" s="3" t="inlineStr">
        <x:is>
          <x:t xml:space="preserve">90,10,0,2</x:t>
        </x:is>
      </x:c>
      <x:c r="H73" s="3" t="inlineStr">
        <x:is>
          <x:t xml:space="preserve">255.4</x:t>
        </x:is>
      </x:c>
      <x:c r="I73" s="3" t="inlineStr">
        <x:is>
          <x:t xml:space="preserve">池-数量；品质权重=青铜,白银,黄金,钻石</x:t>
        </x:is>
      </x:c>
    </x:row>
    <x:row r="74">
      <x:c r="A74" s="3" t="inlineStr">
        <x:is>
          <x:t xml:space="preserve">wave_d07_morning</x:t>
        </x:is>
      </x:c>
      <x:c r="B74" s="3" t="inlineStr">
        <x:is>
          <x:t xml:space="preserve">7</x:t>
        </x:is>
      </x:c>
      <x:c r="C74" s="3" t="inlineStr">
        <x:is>
          <x:t xml:space="preserve">上午</x:t>
        </x:is>
      </x:c>
      <x:c r="D74" s="3" t="inlineStr">
        <x:is>
          <x:t xml:space="preserve">4</x:t>
        </x:is>
      </x:c>
      <x:c r="E74" s="3" t="inlineStr">
        <x:is>
          <x:t xml:space="preserve">1,2,3,4,5</x:t>
        </x:is>
      </x:c>
      <x:c r="F74" s="3" t="inlineStr">
        <x:is>
          <x:t xml:space="preserve">5</x:t>
        </x:is>
      </x:c>
      <x:c r="G74" s="3" t="inlineStr">
        <x:is>
          <x:t xml:space="preserve">90,10,0,3</x:t>
        </x:is>
      </x:c>
      <x:c r="H74" s="3" t="inlineStr">
        <x:is>
          <x:t xml:space="preserve">323.3</x:t>
        </x:is>
      </x:c>
      <x:c r="I74" s="3" t="inlineStr">
        <x:is>
          <x:t xml:space="preserve">池-数量；品质权重=青铜,白银,黄金,钻石</x:t>
        </x:is>
      </x:c>
    </x:row>
    <x:row r="75">
      <x:c r="A75" s="3" t="inlineStr">
        <x:is>
          <x:t xml:space="preserve">wave_d07_morning</x:t>
        </x:is>
      </x:c>
      <x:c r="B75" s="3" t="inlineStr">
        <x:is>
          <x:t xml:space="preserve">7</x:t>
        </x:is>
      </x:c>
      <x:c r="C75" s="3" t="inlineStr">
        <x:is>
          <x:t xml:space="preserve">上午</x:t>
        </x:is>
      </x:c>
      <x:c r="D75" s="3" t="inlineStr">
        <x:is>
          <x:t xml:space="preserve">4</x:t>
        </x:is>
      </x:c>
      <x:c r="E75" s="3" t="inlineStr">
        <x:is>
          <x:t xml:space="preserve">1,2,3,4,5</x:t>
        </x:is>
      </x:c>
      <x:c r="F75" s="3" t="inlineStr">
        <x:is>
          <x:t xml:space="preserve">5</x:t>
        </x:is>
      </x:c>
      <x:c r="G75" s="3" t="inlineStr">
        <x:is>
          <x:t xml:space="preserve">90,10,0,3</x:t>
        </x:is>
      </x:c>
      <x:c r="H75" s="3" t="inlineStr">
        <x:is>
          <x:t xml:space="preserve">323.3</x:t>
        </x:is>
      </x:c>
      <x:c r="I75" s="3" t="inlineStr">
        <x:is>
          <x:t xml:space="preserve">池-数量；品质权重=青铜,白银,黄金,钻石</x:t>
        </x:is>
      </x:c>
    </x:row>
    <x:row r="76">
      <x:c r="A76" s="3" t="inlineStr">
        <x:is>
          <x:t xml:space="preserve">wave_d07_morning</x:t>
        </x:is>
      </x:c>
      <x:c r="B76" s="3" t="inlineStr">
        <x:is>
          <x:t xml:space="preserve">7</x:t>
        </x:is>
      </x:c>
      <x:c r="C76" s="3" t="inlineStr">
        <x:is>
          <x:t xml:space="preserve">上午</x:t>
        </x:is>
      </x:c>
      <x:c r="D76" s="3" t="inlineStr">
        <x:is>
          <x:t xml:space="preserve">5</x:t>
        </x:is>
      </x:c>
      <x:c r="E76" s="3" t="inlineStr">
        <x:is>
          <x:t xml:space="preserve">1,2,3,4,5</x:t>
        </x:is>
      </x:c>
      <x:c r="F76" s="3" t="inlineStr">
        <x:is>
          <x:t xml:space="preserve">6</x:t>
        </x:is>
      </x:c>
      <x:c r="G76" s="3" t="inlineStr">
        <x:is>
          <x:t xml:space="preserve">90,10,0,4</x:t>
        </x:is>
      </x:c>
      <x:c r="H76" s="3" t="inlineStr">
        <x:is>
          <x:t xml:space="preserve">392.8</x:t>
        </x:is>
      </x:c>
      <x:c r="I76" s="3" t="inlineStr">
        <x:is>
          <x:t xml:space="preserve">池-数量；品质权重=青铜,白银,黄金,钻石</x:t>
        </x:is>
      </x:c>
    </x:row>
    <x:row r="77">
      <x:c r="A77" s="3" t="inlineStr">
        <x:is>
          <x:t xml:space="preserve">wave_d07_afternoon</x:t>
        </x:is>
      </x:c>
      <x:c r="B77" s="3" t="inlineStr">
        <x:is>
          <x:t xml:space="preserve">7</x:t>
        </x:is>
      </x:c>
      <x:c r="C77" s="3" t="inlineStr">
        <x:is>
          <x:t xml:space="preserve">下午</x:t>
        </x:is>
      </x:c>
      <x:c r="D77" s="3" t="inlineStr">
        <x:is>
          <x:t xml:space="preserve">1</x:t>
        </x:is>
      </x:c>
      <x:c r="E77" s="3" t="inlineStr">
        <x:is>
          <x:t xml:space="preserve">1,2,3,4,5</x:t>
        </x:is>
      </x:c>
      <x:c r="F77" s="3" t="inlineStr">
        <x:is>
          <x:t xml:space="preserve">2</x:t>
        </x:is>
      </x:c>
      <x:c r="G77" s="3" t="inlineStr">
        <x:is>
          <x:t xml:space="preserve">90,10,0,0</x:t>
        </x:is>
      </x:c>
      <x:c r="H77" s="3" t="inlineStr">
        <x:is>
          <x:t xml:space="preserve">124.3</x:t>
        </x:is>
      </x:c>
      <x:c r="I77" s="3" t="inlineStr">
        <x:is>
          <x:t xml:space="preserve">池-数量；品质权重=青铜,白银,黄金,钻石</x:t>
        </x:is>
      </x:c>
    </x:row>
    <x:row r="78">
      <x:c r="A78" s="3" t="inlineStr">
        <x:is>
          <x:t xml:space="preserve">wave_d07_afternoon</x:t>
        </x:is>
      </x:c>
      <x:c r="B78" s="3" t="inlineStr">
        <x:is>
          <x:t xml:space="preserve">7</x:t>
        </x:is>
      </x:c>
      <x:c r="C78" s="3" t="inlineStr">
        <x:is>
          <x:t xml:space="preserve">下午</x:t>
        </x:is>
      </x:c>
      <x:c r="D78" s="3" t="inlineStr">
        <x:is>
          <x:t xml:space="preserve">2</x:t>
        </x:is>
      </x:c>
      <x:c r="E78" s="3" t="inlineStr">
        <x:is>
          <x:t xml:space="preserve">1,2,3,4,5</x:t>
        </x:is>
      </x:c>
      <x:c r="F78" s="3" t="inlineStr">
        <x:is>
          <x:t xml:space="preserve">3</x:t>
        </x:is>
      </x:c>
      <x:c r="G78" s="3" t="inlineStr">
        <x:is>
          <x:t xml:space="preserve">90,10,0,1</x:t>
        </x:is>
      </x:c>
      <x:c r="H78" s="3" t="inlineStr">
        <x:is>
          <x:t xml:space="preserve">189</x:t>
        </x:is>
      </x:c>
      <x:c r="I78" s="3" t="inlineStr">
        <x:is>
          <x:t xml:space="preserve">池-数量；品质权重=青铜,白银,黄金,钻石</x:t>
        </x:is>
      </x:c>
    </x:row>
    <x:row r="79">
      <x:c r="A79" s="3" t="inlineStr">
        <x:is>
          <x:t xml:space="preserve">wave_d07_afternoon</x:t>
        </x:is>
      </x:c>
      <x:c r="B79" s="3" t="inlineStr">
        <x:is>
          <x:t xml:space="preserve">7</x:t>
        </x:is>
      </x:c>
      <x:c r="C79" s="3" t="inlineStr">
        <x:is>
          <x:t xml:space="preserve">下午</x:t>
        </x:is>
      </x:c>
      <x:c r="D79" s="3" t="inlineStr">
        <x:is>
          <x:t xml:space="preserve">2</x:t>
        </x:is>
      </x:c>
      <x:c r="E79" s="3" t="inlineStr">
        <x:is>
          <x:t xml:space="preserve">1,2,3,4,5</x:t>
        </x:is>
      </x:c>
      <x:c r="F79" s="3" t="inlineStr">
        <x:is>
          <x:t xml:space="preserve">3</x:t>
        </x:is>
      </x:c>
      <x:c r="G79" s="3" t="inlineStr">
        <x:is>
          <x:t xml:space="preserve">90,10,0,1</x:t>
        </x:is>
      </x:c>
      <x:c r="H79" s="3" t="inlineStr">
        <x:is>
          <x:t xml:space="preserve">189</x:t>
        </x:is>
      </x:c>
      <x:c r="I79" s="3" t="inlineStr">
        <x:is>
          <x:t xml:space="preserve">池-数量；品质权重=青铜,白银,黄金,钻石</x:t>
        </x:is>
      </x:c>
    </x:row>
    <x:row r="80">
      <x:c r="A80" s="3" t="inlineStr">
        <x:is>
          <x:t xml:space="preserve">wave_d07_afternoon</x:t>
        </x:is>
      </x:c>
      <x:c r="B80" s="3" t="inlineStr">
        <x:is>
          <x:t xml:space="preserve">7</x:t>
        </x:is>
      </x:c>
      <x:c r="C80" s="3" t="inlineStr">
        <x:is>
          <x:t xml:space="preserve">下午</x:t>
        </x:is>
      </x:c>
      <x:c r="D80" s="3" t="inlineStr">
        <x:is>
          <x:t xml:space="preserve">3</x:t>
        </x:is>
      </x:c>
      <x:c r="E80" s="3" t="inlineStr">
        <x:is>
          <x:t xml:space="preserve">1,2,3,4,5</x:t>
        </x:is>
      </x:c>
      <x:c r="F80" s="3" t="inlineStr">
        <x:is>
          <x:t xml:space="preserve">4</x:t>
        </x:is>
      </x:c>
      <x:c r="G80" s="3" t="inlineStr">
        <x:is>
          <x:t xml:space="preserve">90,10,0,2</x:t>
        </x:is>
      </x:c>
      <x:c r="H80" s="3" t="inlineStr">
        <x:is>
          <x:t xml:space="preserve">255.4</x:t>
        </x:is>
      </x:c>
      <x:c r="I80" s="3" t="inlineStr">
        <x:is>
          <x:t xml:space="preserve">池-数量；品质权重=青铜,白银,黄金,钻石</x:t>
        </x:is>
      </x:c>
    </x:row>
    <x:row r="81">
      <x:c r="A81" s="3" t="inlineStr">
        <x:is>
          <x:t xml:space="preserve">wave_d07_afternoon</x:t>
        </x:is>
      </x:c>
      <x:c r="B81" s="3" t="inlineStr">
        <x:is>
          <x:t xml:space="preserve">7</x:t>
        </x:is>
      </x:c>
      <x:c r="C81" s="3" t="inlineStr">
        <x:is>
          <x:t xml:space="preserve">下午</x:t>
        </x:is>
      </x:c>
      <x:c r="D81" s="3" t="inlineStr">
        <x:is>
          <x:t xml:space="preserve">3</x:t>
        </x:is>
      </x:c>
      <x:c r="E81" s="3" t="inlineStr">
        <x:is>
          <x:t xml:space="preserve">1,2,3,4,5</x:t>
        </x:is>
      </x:c>
      <x:c r="F81" s="3" t="inlineStr">
        <x:is>
          <x:t xml:space="preserve">4</x:t>
        </x:is>
      </x:c>
      <x:c r="G81" s="3" t="inlineStr">
        <x:is>
          <x:t xml:space="preserve">90,10,0,2</x:t>
        </x:is>
      </x:c>
      <x:c r="H81" s="3" t="inlineStr">
        <x:is>
          <x:t xml:space="preserve">255.4</x:t>
        </x:is>
      </x:c>
      <x:c r="I81" s="3" t="inlineStr">
        <x:is>
          <x:t xml:space="preserve">池-数量；品质权重=青铜,白银,黄金,钻石</x:t>
        </x:is>
      </x:c>
    </x:row>
    <x:row r="82">
      <x:c r="A82" s="3" t="inlineStr">
        <x:is>
          <x:t xml:space="preserve">wave_d07_afternoon</x:t>
        </x:is>
      </x:c>
      <x:c r="B82" s="3" t="inlineStr">
        <x:is>
          <x:t xml:space="preserve">7</x:t>
        </x:is>
      </x:c>
      <x:c r="C82" s="3" t="inlineStr">
        <x:is>
          <x:t xml:space="preserve">下午</x:t>
        </x:is>
      </x:c>
      <x:c r="D82" s="3" t="inlineStr">
        <x:is>
          <x:t xml:space="preserve">4</x:t>
        </x:is>
      </x:c>
      <x:c r="E82" s="3" t="inlineStr">
        <x:is>
          <x:t xml:space="preserve">1,2,3,4,5</x:t>
        </x:is>
      </x:c>
      <x:c r="F82" s="3" t="inlineStr">
        <x:is>
          <x:t xml:space="preserve">5</x:t>
        </x:is>
      </x:c>
      <x:c r="G82" s="3" t="inlineStr">
        <x:is>
          <x:t xml:space="preserve">90,10,0,3</x:t>
        </x:is>
      </x:c>
      <x:c r="H82" s="3" t="inlineStr">
        <x:is>
          <x:t xml:space="preserve">323.3</x:t>
        </x:is>
      </x:c>
      <x:c r="I82" s="3" t="inlineStr">
        <x:is>
          <x:t xml:space="preserve">池-数量；品质权重=青铜,白银,黄金,钻石</x:t>
        </x:is>
      </x:c>
    </x:row>
    <x:row r="83">
      <x:c r="A83" s="3" t="inlineStr">
        <x:is>
          <x:t xml:space="preserve">wave_d07_afternoon</x:t>
        </x:is>
      </x:c>
      <x:c r="B83" s="3" t="inlineStr">
        <x:is>
          <x:t xml:space="preserve">7</x:t>
        </x:is>
      </x:c>
      <x:c r="C83" s="3" t="inlineStr">
        <x:is>
          <x:t xml:space="preserve">下午</x:t>
        </x:is>
      </x:c>
      <x:c r="D83" s="3" t="inlineStr">
        <x:is>
          <x:t xml:space="preserve">4</x:t>
        </x:is>
      </x:c>
      <x:c r="E83" s="3" t="inlineStr">
        <x:is>
          <x:t xml:space="preserve">1,2,3,4,5</x:t>
        </x:is>
      </x:c>
      <x:c r="F83" s="3" t="inlineStr">
        <x:is>
          <x:t xml:space="preserve">5</x:t>
        </x:is>
      </x:c>
      <x:c r="G83" s="3" t="inlineStr">
        <x:is>
          <x:t xml:space="preserve">90,10,0,3</x:t>
        </x:is>
      </x:c>
      <x:c r="H83" s="3" t="inlineStr">
        <x:is>
          <x:t xml:space="preserve">323.3</x:t>
        </x:is>
      </x:c>
      <x:c r="I83" s="3" t="inlineStr">
        <x:is>
          <x:t xml:space="preserve">池-数量；品质权重=青铜,白银,黄金,钻石</x:t>
        </x:is>
      </x:c>
    </x:row>
    <x:row r="84">
      <x:c r="A84" s="3" t="inlineStr">
        <x:is>
          <x:t xml:space="preserve">wave_d07_afternoon</x:t>
        </x:is>
      </x:c>
      <x:c r="B84" s="3" t="inlineStr">
        <x:is>
          <x:t xml:space="preserve">7</x:t>
        </x:is>
      </x:c>
      <x:c r="C84" s="3" t="inlineStr">
        <x:is>
          <x:t xml:space="preserve">下午</x:t>
        </x:is>
      </x:c>
      <x:c r="D84" s="3" t="inlineStr">
        <x:is>
          <x:t xml:space="preserve">5</x:t>
        </x:is>
      </x:c>
      <x:c r="E84" s="3" t="inlineStr">
        <x:is>
          <x:t xml:space="preserve">1,2,3,4,5</x:t>
        </x:is>
      </x:c>
      <x:c r="F84" s="3" t="inlineStr">
        <x:is>
          <x:t xml:space="preserve">6</x:t>
        </x:is>
      </x:c>
      <x:c r="G84" s="3" t="inlineStr">
        <x:is>
          <x:t xml:space="preserve">90,10,0,4</x:t>
        </x:is>
      </x:c>
      <x:c r="H84" s="3" t="inlineStr">
        <x:is>
          <x:t xml:space="preserve">392.8</x:t>
        </x:is>
      </x:c>
      <x:c r="I84" s="3" t="inlineStr">
        <x:is>
          <x:t xml:space="preserve">池-数量；品质权重=青铜,白银,黄金,钻石</x:t>
        </x:is>
      </x:c>
    </x:row>
    <x:row r="85">
      <x:c r="A85" s="3" t="inlineStr">
        <x:is>
          <x:t xml:space="preserve">wave_d08_morning</x:t>
        </x:is>
      </x:c>
      <x:c r="B85" s="3" t="inlineStr">
        <x:is>
          <x:t xml:space="preserve">8</x:t>
        </x:is>
      </x:c>
      <x:c r="C85" s="3" t="inlineStr">
        <x:is>
          <x:t xml:space="preserve">上午</x:t>
        </x:is>
      </x:c>
      <x:c r="D85" s="3" t="inlineStr">
        <x:is>
          <x:t xml:space="preserve">1</x:t>
        </x:is>
      </x:c>
      <x:c r="E85" s="3" t="inlineStr">
        <x:is>
          <x:t xml:space="preserve">1,2,3,4,5</x:t>
        </x:is>
      </x:c>
      <x:c r="F85" s="3" t="inlineStr">
        <x:is>
          <x:t xml:space="preserve">2</x:t>
        </x:is>
      </x:c>
      <x:c r="G85" s="3" t="inlineStr">
        <x:is>
          <x:t xml:space="preserve">90,10,0,0</x:t>
        </x:is>
      </x:c>
      <x:c r="H85" s="3" t="inlineStr">
        <x:is>
          <x:t xml:space="preserve">124.3</x:t>
        </x:is>
      </x:c>
      <x:c r="I85" s="3" t="inlineStr">
        <x:is>
          <x:t xml:space="preserve">池-数量；品质权重=青铜,白银,黄金,钻石</x:t>
        </x:is>
      </x:c>
    </x:row>
    <x:row r="86">
      <x:c r="A86" s="3" t="inlineStr">
        <x:is>
          <x:t xml:space="preserve">wave_d08_morning</x:t>
        </x:is>
      </x:c>
      <x:c r="B86" s="3" t="inlineStr">
        <x:is>
          <x:t xml:space="preserve">8</x:t>
        </x:is>
      </x:c>
      <x:c r="C86" s="3" t="inlineStr">
        <x:is>
          <x:t xml:space="preserve">上午</x:t>
        </x:is>
      </x:c>
      <x:c r="D86" s="3" t="inlineStr">
        <x:is>
          <x:t xml:space="preserve">2</x:t>
        </x:is>
      </x:c>
      <x:c r="E86" s="3" t="inlineStr">
        <x:is>
          <x:t xml:space="preserve">1,2,3,4,5</x:t>
        </x:is>
      </x:c>
      <x:c r="F86" s="3" t="inlineStr">
        <x:is>
          <x:t xml:space="preserve">3</x:t>
        </x:is>
      </x:c>
      <x:c r="G86" s="3" t="inlineStr">
        <x:is>
          <x:t xml:space="preserve">90,10,0,1</x:t>
        </x:is>
      </x:c>
      <x:c r="H86" s="3" t="inlineStr">
        <x:is>
          <x:t xml:space="preserve">189</x:t>
        </x:is>
      </x:c>
      <x:c r="I86" s="3" t="inlineStr">
        <x:is>
          <x:t xml:space="preserve">池-数量；品质权重=青铜,白银,黄金,钻石</x:t>
        </x:is>
      </x:c>
    </x:row>
    <x:row r="87">
      <x:c r="A87" s="3" t="inlineStr">
        <x:is>
          <x:t xml:space="preserve">wave_d08_morning</x:t>
        </x:is>
      </x:c>
      <x:c r="B87" s="3" t="inlineStr">
        <x:is>
          <x:t xml:space="preserve">8</x:t>
        </x:is>
      </x:c>
      <x:c r="C87" s="3" t="inlineStr">
        <x:is>
          <x:t xml:space="preserve">上午</x:t>
        </x:is>
      </x:c>
      <x:c r="D87" s="3" t="inlineStr">
        <x:is>
          <x:t xml:space="preserve">2</x:t>
        </x:is>
      </x:c>
      <x:c r="E87" s="3" t="inlineStr">
        <x:is>
          <x:t xml:space="preserve">1,2,3,4,5</x:t>
        </x:is>
      </x:c>
      <x:c r="F87" s="3" t="inlineStr">
        <x:is>
          <x:t xml:space="preserve">3</x:t>
        </x:is>
      </x:c>
      <x:c r="G87" s="3" t="inlineStr">
        <x:is>
          <x:t xml:space="preserve">90,10,0,1</x:t>
        </x:is>
      </x:c>
      <x:c r="H87" s="3" t="inlineStr">
        <x:is>
          <x:t xml:space="preserve">189</x:t>
        </x:is>
      </x:c>
      <x:c r="I87" s="3" t="inlineStr">
        <x:is>
          <x:t xml:space="preserve">池-数量；品质权重=青铜,白银,黄金,钻石</x:t>
        </x:is>
      </x:c>
    </x:row>
    <x:row r="88">
      <x:c r="A88" s="3" t="inlineStr">
        <x:is>
          <x:t xml:space="preserve">wave_d08_morning</x:t>
        </x:is>
      </x:c>
      <x:c r="B88" s="3" t="inlineStr">
        <x:is>
          <x:t xml:space="preserve">8</x:t>
        </x:is>
      </x:c>
      <x:c r="C88" s="3" t="inlineStr">
        <x:is>
          <x:t xml:space="preserve">上午</x:t>
        </x:is>
      </x:c>
      <x:c r="D88" s="3" t="inlineStr">
        <x:is>
          <x:t xml:space="preserve">3</x:t>
        </x:is>
      </x:c>
      <x:c r="E88" s="3" t="inlineStr">
        <x:is>
          <x:t xml:space="preserve">1,2,3,4,5</x:t>
        </x:is>
      </x:c>
      <x:c r="F88" s="3" t="inlineStr">
        <x:is>
          <x:t xml:space="preserve">4</x:t>
        </x:is>
      </x:c>
      <x:c r="G88" s="3" t="inlineStr">
        <x:is>
          <x:t xml:space="preserve">90,10,0,2</x:t>
        </x:is>
      </x:c>
      <x:c r="H88" s="3" t="inlineStr">
        <x:is>
          <x:t xml:space="preserve">255.4</x:t>
        </x:is>
      </x:c>
      <x:c r="I88" s="3" t="inlineStr">
        <x:is>
          <x:t xml:space="preserve">池-数量；品质权重=青铜,白银,黄金,钻石</x:t>
        </x:is>
      </x:c>
    </x:row>
    <x:row r="89">
      <x:c r="A89" s="3" t="inlineStr">
        <x:is>
          <x:t xml:space="preserve">wave_d08_morning</x:t>
        </x:is>
      </x:c>
      <x:c r="B89" s="3" t="inlineStr">
        <x:is>
          <x:t xml:space="preserve">8</x:t>
        </x:is>
      </x:c>
      <x:c r="C89" s="3" t="inlineStr">
        <x:is>
          <x:t xml:space="preserve">上午</x:t>
        </x:is>
      </x:c>
      <x:c r="D89" s="3" t="inlineStr">
        <x:is>
          <x:t xml:space="preserve">3</x:t>
        </x:is>
      </x:c>
      <x:c r="E89" s="3" t="inlineStr">
        <x:is>
          <x:t xml:space="preserve">1,2,3,4,5</x:t>
        </x:is>
      </x:c>
      <x:c r="F89" s="3" t="inlineStr">
        <x:is>
          <x:t xml:space="preserve">4</x:t>
        </x:is>
      </x:c>
      <x:c r="G89" s="3" t="inlineStr">
        <x:is>
          <x:t xml:space="preserve">90,10,0,2</x:t>
        </x:is>
      </x:c>
      <x:c r="H89" s="3" t="inlineStr">
        <x:is>
          <x:t xml:space="preserve">255.4</x:t>
        </x:is>
      </x:c>
      <x:c r="I89" s="3" t="inlineStr">
        <x:is>
          <x:t xml:space="preserve">池-数量；品质权重=青铜,白银,黄金,钻石</x:t>
        </x:is>
      </x:c>
    </x:row>
    <x:row r="90">
      <x:c r="A90" s="3" t="inlineStr">
        <x:is>
          <x:t xml:space="preserve">wave_d08_morning</x:t>
        </x:is>
      </x:c>
      <x:c r="B90" s="3" t="inlineStr">
        <x:is>
          <x:t xml:space="preserve">8</x:t>
        </x:is>
      </x:c>
      <x:c r="C90" s="3" t="inlineStr">
        <x:is>
          <x:t xml:space="preserve">上午</x:t>
        </x:is>
      </x:c>
      <x:c r="D90" s="3" t="inlineStr">
        <x:is>
          <x:t xml:space="preserve">4</x:t>
        </x:is>
      </x:c>
      <x:c r="E90" s="3" t="inlineStr">
        <x:is>
          <x:t xml:space="preserve">1,2,3,4,5</x:t>
        </x:is>
      </x:c>
      <x:c r="F90" s="3" t="inlineStr">
        <x:is>
          <x:t xml:space="preserve">5</x:t>
        </x:is>
      </x:c>
      <x:c r="G90" s="3" t="inlineStr">
        <x:is>
          <x:t xml:space="preserve">90,10,0,3</x:t>
        </x:is>
      </x:c>
      <x:c r="H90" s="3" t="inlineStr">
        <x:is>
          <x:t xml:space="preserve">323.3</x:t>
        </x:is>
      </x:c>
      <x:c r="I90" s="3" t="inlineStr">
        <x:is>
          <x:t xml:space="preserve">池-数量；品质权重=青铜,白银,黄金,钻石</x:t>
        </x:is>
      </x:c>
    </x:row>
    <x:row r="91">
      <x:c r="A91" s="3" t="inlineStr">
        <x:is>
          <x:t xml:space="preserve">wave_d08_morning</x:t>
        </x:is>
      </x:c>
      <x:c r="B91" s="3" t="inlineStr">
        <x:is>
          <x:t xml:space="preserve">8</x:t>
        </x:is>
      </x:c>
      <x:c r="C91" s="3" t="inlineStr">
        <x:is>
          <x:t xml:space="preserve">上午</x:t>
        </x:is>
      </x:c>
      <x:c r="D91" s="3" t="inlineStr">
        <x:is>
          <x:t xml:space="preserve">4</x:t>
        </x:is>
      </x:c>
      <x:c r="E91" s="3" t="inlineStr">
        <x:is>
          <x:t xml:space="preserve">1,2,3,4,5</x:t>
        </x:is>
      </x:c>
      <x:c r="F91" s="3" t="inlineStr">
        <x:is>
          <x:t xml:space="preserve">5</x:t>
        </x:is>
      </x:c>
      <x:c r="G91" s="3" t="inlineStr">
        <x:is>
          <x:t xml:space="preserve">90,10,0,3</x:t>
        </x:is>
      </x:c>
      <x:c r="H91" s="3" t="inlineStr">
        <x:is>
          <x:t xml:space="preserve">323.3</x:t>
        </x:is>
      </x:c>
      <x:c r="I91" s="3" t="inlineStr">
        <x:is>
          <x:t xml:space="preserve">池-数量；品质权重=青铜,白银,黄金,钻石</x:t>
        </x:is>
      </x:c>
    </x:row>
    <x:row r="92">
      <x:c r="A92" s="3" t="inlineStr">
        <x:is>
          <x:t xml:space="preserve">wave_d08_morning</x:t>
        </x:is>
      </x:c>
      <x:c r="B92" s="3" t="inlineStr">
        <x:is>
          <x:t xml:space="preserve">8</x:t>
        </x:is>
      </x:c>
      <x:c r="C92" s="3" t="inlineStr">
        <x:is>
          <x:t xml:space="preserve">上午</x:t>
        </x:is>
      </x:c>
      <x:c r="D92" s="3" t="inlineStr">
        <x:is>
          <x:t xml:space="preserve">5</x:t>
        </x:is>
      </x:c>
      <x:c r="E92" s="3" t="inlineStr">
        <x:is>
          <x:t xml:space="preserve">1,2,3,4,5</x:t>
        </x:is>
      </x:c>
      <x:c r="F92" s="3" t="inlineStr">
        <x:is>
          <x:t xml:space="preserve">6</x:t>
        </x:is>
      </x:c>
      <x:c r="G92" s="3" t="inlineStr">
        <x:is>
          <x:t xml:space="preserve">90,10,0,4</x:t>
        </x:is>
      </x:c>
      <x:c r="H92" s="3" t="inlineStr">
        <x:is>
          <x:t xml:space="preserve">392.8</x:t>
        </x:is>
      </x:c>
      <x:c r="I92" s="3" t="inlineStr">
        <x:is>
          <x:t xml:space="preserve">池-数量；品质权重=青铜,白银,黄金,钻石</x:t>
        </x:is>
      </x:c>
    </x:row>
    <x:row r="93">
      <x:c r="A93" s="3" t="inlineStr">
        <x:is>
          <x:t xml:space="preserve">wave_d08_afternoon</x:t>
        </x:is>
      </x:c>
      <x:c r="B93" s="3" t="inlineStr">
        <x:is>
          <x:t xml:space="preserve">8</x:t>
        </x:is>
      </x:c>
      <x:c r="C93" s="3" t="inlineStr">
        <x:is>
          <x:t xml:space="preserve">下午</x:t>
        </x:is>
      </x:c>
      <x:c r="D93" s="3" t="inlineStr">
        <x:is>
          <x:t xml:space="preserve">1</x:t>
        </x:is>
      </x:c>
      <x:c r="E93" s="3" t="inlineStr">
        <x:is>
          <x:t xml:space="preserve">1,2,3,4,5</x:t>
        </x:is>
      </x:c>
      <x:c r="F93" s="3" t="inlineStr">
        <x:is>
          <x:t xml:space="preserve">2</x:t>
        </x:is>
      </x:c>
      <x:c r="G93" s="3" t="inlineStr">
        <x:is>
          <x:t xml:space="preserve">90,10,0,0</x:t>
        </x:is>
      </x:c>
      <x:c r="H93" s="3" t="inlineStr">
        <x:is>
          <x:t xml:space="preserve">124.3</x:t>
        </x:is>
      </x:c>
      <x:c r="I93" s="3" t="inlineStr">
        <x:is>
          <x:t xml:space="preserve">池-数量；品质权重=青铜,白银,黄金,钻石</x:t>
        </x:is>
      </x:c>
    </x:row>
    <x:row r="94">
      <x:c r="A94" s="3" t="inlineStr">
        <x:is>
          <x:t xml:space="preserve">wave_d08_afternoon</x:t>
        </x:is>
      </x:c>
      <x:c r="B94" s="3" t="inlineStr">
        <x:is>
          <x:t xml:space="preserve">8</x:t>
        </x:is>
      </x:c>
      <x:c r="C94" s="3" t="inlineStr">
        <x:is>
          <x:t xml:space="preserve">下午</x:t>
        </x:is>
      </x:c>
      <x:c r="D94" s="3" t="inlineStr">
        <x:is>
          <x:t xml:space="preserve">2</x:t>
        </x:is>
      </x:c>
      <x:c r="E94" s="3" t="inlineStr">
        <x:is>
          <x:t xml:space="preserve">1,2,3,4,5</x:t>
        </x:is>
      </x:c>
      <x:c r="F94" s="3" t="inlineStr">
        <x:is>
          <x:t xml:space="preserve">3</x:t>
        </x:is>
      </x:c>
      <x:c r="G94" s="3" t="inlineStr">
        <x:is>
          <x:t xml:space="preserve">90,10,0,1</x:t>
        </x:is>
      </x:c>
      <x:c r="H94" s="3" t="inlineStr">
        <x:is>
          <x:t xml:space="preserve">189</x:t>
        </x:is>
      </x:c>
      <x:c r="I94" s="3" t="inlineStr">
        <x:is>
          <x:t xml:space="preserve">池-数量；品质权重=青铜,白银,黄金,钻石</x:t>
        </x:is>
      </x:c>
    </x:row>
    <x:row r="95">
      <x:c r="A95" s="3" t="inlineStr">
        <x:is>
          <x:t xml:space="preserve">wave_d08_afternoon</x:t>
        </x:is>
      </x:c>
      <x:c r="B95" s="3" t="inlineStr">
        <x:is>
          <x:t xml:space="preserve">8</x:t>
        </x:is>
      </x:c>
      <x:c r="C95" s="3" t="inlineStr">
        <x:is>
          <x:t xml:space="preserve">下午</x:t>
        </x:is>
      </x:c>
      <x:c r="D95" s="3" t="inlineStr">
        <x:is>
          <x:t xml:space="preserve">2</x:t>
        </x:is>
      </x:c>
      <x:c r="E95" s="3" t="inlineStr">
        <x:is>
          <x:t xml:space="preserve">1,2,3,4,5</x:t>
        </x:is>
      </x:c>
      <x:c r="F95" s="3" t="inlineStr">
        <x:is>
          <x:t xml:space="preserve">3</x:t>
        </x:is>
      </x:c>
      <x:c r="G95" s="3" t="inlineStr">
        <x:is>
          <x:t xml:space="preserve">90,10,0,1</x:t>
        </x:is>
      </x:c>
      <x:c r="H95" s="3" t="inlineStr">
        <x:is>
          <x:t xml:space="preserve">189</x:t>
        </x:is>
      </x:c>
      <x:c r="I95" s="3" t="inlineStr">
        <x:is>
          <x:t xml:space="preserve">池-数量；品质权重=青铜,白银,黄金,钻石</x:t>
        </x:is>
      </x:c>
    </x:row>
    <x:row r="96">
      <x:c r="A96" s="3" t="inlineStr">
        <x:is>
          <x:t xml:space="preserve">wave_d08_afternoon</x:t>
        </x:is>
      </x:c>
      <x:c r="B96" s="3" t="inlineStr">
        <x:is>
          <x:t xml:space="preserve">8</x:t>
        </x:is>
      </x:c>
      <x:c r="C96" s="3" t="inlineStr">
        <x:is>
          <x:t xml:space="preserve">下午</x:t>
        </x:is>
      </x:c>
      <x:c r="D96" s="3" t="inlineStr">
        <x:is>
          <x:t xml:space="preserve">3</x:t>
        </x:is>
      </x:c>
      <x:c r="E96" s="3" t="inlineStr">
        <x:is>
          <x:t xml:space="preserve">1,2,3,4,5</x:t>
        </x:is>
      </x:c>
      <x:c r="F96" s="3" t="inlineStr">
        <x:is>
          <x:t xml:space="preserve">4</x:t>
        </x:is>
      </x:c>
      <x:c r="G96" s="3" t="inlineStr">
        <x:is>
          <x:t xml:space="preserve">90,10,0,2</x:t>
        </x:is>
      </x:c>
      <x:c r="H96" s="3" t="inlineStr">
        <x:is>
          <x:t xml:space="preserve">255.4</x:t>
        </x:is>
      </x:c>
      <x:c r="I96" s="3" t="inlineStr">
        <x:is>
          <x:t xml:space="preserve">池-数量；品质权重=青铜,白银,黄金,钻石</x:t>
        </x:is>
      </x:c>
    </x:row>
    <x:row r="97">
      <x:c r="A97" s="3" t="inlineStr">
        <x:is>
          <x:t xml:space="preserve">wave_d08_afternoon</x:t>
        </x:is>
      </x:c>
      <x:c r="B97" s="3" t="inlineStr">
        <x:is>
          <x:t xml:space="preserve">8</x:t>
        </x:is>
      </x:c>
      <x:c r="C97" s="3" t="inlineStr">
        <x:is>
          <x:t xml:space="preserve">下午</x:t>
        </x:is>
      </x:c>
      <x:c r="D97" s="3" t="inlineStr">
        <x:is>
          <x:t xml:space="preserve">3</x:t>
        </x:is>
      </x:c>
      <x:c r="E97" s="3" t="inlineStr">
        <x:is>
          <x:t xml:space="preserve">1,2,3,4,5</x:t>
        </x:is>
      </x:c>
      <x:c r="F97" s="3" t="inlineStr">
        <x:is>
          <x:t xml:space="preserve">4</x:t>
        </x:is>
      </x:c>
      <x:c r="G97" s="3" t="inlineStr">
        <x:is>
          <x:t xml:space="preserve">90,10,0,2</x:t>
        </x:is>
      </x:c>
      <x:c r="H97" s="3" t="inlineStr">
        <x:is>
          <x:t xml:space="preserve">255.4</x:t>
        </x:is>
      </x:c>
      <x:c r="I97" s="3" t="inlineStr">
        <x:is>
          <x:t xml:space="preserve">池-数量；品质权重=青铜,白银,黄金,钻石</x:t>
        </x:is>
      </x:c>
    </x:row>
    <x:row r="98">
      <x:c r="A98" s="3" t="inlineStr">
        <x:is>
          <x:t xml:space="preserve">wave_d08_afternoon</x:t>
        </x:is>
      </x:c>
      <x:c r="B98" s="3" t="inlineStr">
        <x:is>
          <x:t xml:space="preserve">8</x:t>
        </x:is>
      </x:c>
      <x:c r="C98" s="3" t="inlineStr">
        <x:is>
          <x:t xml:space="preserve">下午</x:t>
        </x:is>
      </x:c>
      <x:c r="D98" s="3" t="inlineStr">
        <x:is>
          <x:t xml:space="preserve">4</x:t>
        </x:is>
      </x:c>
      <x:c r="E98" s="3" t="inlineStr">
        <x:is>
          <x:t xml:space="preserve">1,2,3,4,5</x:t>
        </x:is>
      </x:c>
      <x:c r="F98" s="3" t="inlineStr">
        <x:is>
          <x:t xml:space="preserve">5</x:t>
        </x:is>
      </x:c>
      <x:c r="G98" s="3" t="inlineStr">
        <x:is>
          <x:t xml:space="preserve">90,10,0,3</x:t>
        </x:is>
      </x:c>
      <x:c r="H98" s="3" t="inlineStr">
        <x:is>
          <x:t xml:space="preserve">323.3</x:t>
        </x:is>
      </x:c>
      <x:c r="I98" s="3" t="inlineStr">
        <x:is>
          <x:t xml:space="preserve">池-数量；品质权重=青铜,白银,黄金,钻石</x:t>
        </x:is>
      </x:c>
    </x:row>
    <x:row r="99">
      <x:c r="A99" s="3" t="inlineStr">
        <x:is>
          <x:t xml:space="preserve">wave_d08_afternoon</x:t>
        </x:is>
      </x:c>
      <x:c r="B99" s="3" t="inlineStr">
        <x:is>
          <x:t xml:space="preserve">8</x:t>
        </x:is>
      </x:c>
      <x:c r="C99" s="3" t="inlineStr">
        <x:is>
          <x:t xml:space="preserve">下午</x:t>
        </x:is>
      </x:c>
      <x:c r="D99" s="3" t="inlineStr">
        <x:is>
          <x:t xml:space="preserve">4</x:t>
        </x:is>
      </x:c>
      <x:c r="E99" s="3" t="inlineStr">
        <x:is>
          <x:t xml:space="preserve">1,2,3,4,5</x:t>
        </x:is>
      </x:c>
      <x:c r="F99" s="3" t="inlineStr">
        <x:is>
          <x:t xml:space="preserve">5</x:t>
        </x:is>
      </x:c>
      <x:c r="G99" s="3" t="inlineStr">
        <x:is>
          <x:t xml:space="preserve">90,10,0,3</x:t>
        </x:is>
      </x:c>
      <x:c r="H99" s="3" t="inlineStr">
        <x:is>
          <x:t xml:space="preserve">323.3</x:t>
        </x:is>
      </x:c>
      <x:c r="I99" s="3" t="inlineStr">
        <x:is>
          <x:t xml:space="preserve">池-数量；品质权重=青铜,白银,黄金,钻石</x:t>
        </x:is>
      </x:c>
    </x:row>
    <x:row r="100">
      <x:c r="A100" s="3" t="inlineStr">
        <x:is>
          <x:t xml:space="preserve">wave_d08_afternoon</x:t>
        </x:is>
      </x:c>
      <x:c r="B100" s="3" t="inlineStr">
        <x:is>
          <x:t xml:space="preserve">8</x:t>
        </x:is>
      </x:c>
      <x:c r="C100" s="3" t="inlineStr">
        <x:is>
          <x:t xml:space="preserve">下午</x:t>
        </x:is>
      </x:c>
      <x:c r="D100" s="3" t="inlineStr">
        <x:is>
          <x:t xml:space="preserve">5</x:t>
        </x:is>
      </x:c>
      <x:c r="E100" s="3" t="inlineStr">
        <x:is>
          <x:t xml:space="preserve">1,2,3,4,5</x:t>
        </x:is>
      </x:c>
      <x:c r="F100" s="3" t="inlineStr">
        <x:is>
          <x:t xml:space="preserve">6</x:t>
        </x:is>
      </x:c>
      <x:c r="G100" s="3" t="inlineStr">
        <x:is>
          <x:t xml:space="preserve">90,10,0,4</x:t>
        </x:is>
      </x:c>
      <x:c r="H100" s="3" t="inlineStr">
        <x:is>
          <x:t xml:space="preserve">392.8</x:t>
        </x:is>
      </x:c>
      <x:c r="I100" s="3" t="inlineStr">
        <x:is>
          <x:t xml:space="preserve">池-数量；品质权重=青铜,白银,黄金,钻石</x:t>
        </x:is>
      </x:c>
    </x:row>
    <x:row r="101">
      <x:c r="A101" s="3" t="inlineStr">
        <x:is>
          <x:t xml:space="preserve">wave_d09_morning</x:t>
        </x:is>
      </x:c>
      <x:c r="B101" s="3" t="inlineStr">
        <x:is>
          <x:t xml:space="preserve">9</x:t>
        </x:is>
      </x:c>
      <x:c r="C101" s="3" t="inlineStr">
        <x:is>
          <x:t xml:space="preserve">上午</x:t>
        </x:is>
      </x:c>
      <x:c r="D101" s="3" t="inlineStr">
        <x:is>
          <x:t xml:space="preserve">1</x:t>
        </x:is>
      </x:c>
      <x:c r="E101" s="3" t="inlineStr">
        <x:is>
          <x:t xml:space="preserve">1,2,3,4,5</x:t>
        </x:is>
      </x:c>
      <x:c r="F101" s="3" t="inlineStr">
        <x:is>
          <x:t xml:space="preserve">2</x:t>
        </x:is>
      </x:c>
      <x:c r="G101" s="3" t="inlineStr">
        <x:is>
          <x:t xml:space="preserve">90,10,0,0</x:t>
        </x:is>
      </x:c>
      <x:c r="H101" s="3" t="inlineStr">
        <x:is>
          <x:t xml:space="preserve">124.3</x:t>
        </x:is>
      </x:c>
      <x:c r="I101" s="3" t="inlineStr">
        <x:is>
          <x:t xml:space="preserve">池-数量；品质权重=青铜,白银,黄金,钻石</x:t>
        </x:is>
      </x:c>
    </x:row>
    <x:row r="102">
      <x:c r="A102" s="3" t="inlineStr">
        <x:is>
          <x:t xml:space="preserve">wave_d09_morning</x:t>
        </x:is>
      </x:c>
      <x:c r="B102" s="3" t="inlineStr">
        <x:is>
          <x:t xml:space="preserve">9</x:t>
        </x:is>
      </x:c>
      <x:c r="C102" s="3" t="inlineStr">
        <x:is>
          <x:t xml:space="preserve">上午</x:t>
        </x:is>
      </x:c>
      <x:c r="D102" s="3" t="inlineStr">
        <x:is>
          <x:t xml:space="preserve">2</x:t>
        </x:is>
      </x:c>
      <x:c r="E102" s="3" t="inlineStr">
        <x:is>
          <x:t xml:space="preserve">1,2,3,4,5</x:t>
        </x:is>
      </x:c>
      <x:c r="F102" s="3" t="inlineStr">
        <x:is>
          <x:t xml:space="preserve">3</x:t>
        </x:is>
      </x:c>
      <x:c r="G102" s="3" t="inlineStr">
        <x:is>
          <x:t xml:space="preserve">90,10,0,1</x:t>
        </x:is>
      </x:c>
      <x:c r="H102" s="3" t="inlineStr">
        <x:is>
          <x:t xml:space="preserve">189</x:t>
        </x:is>
      </x:c>
      <x:c r="I102" s="3" t="inlineStr">
        <x:is>
          <x:t xml:space="preserve">池-数量；品质权重=青铜,白银,黄金,钻石</x:t>
        </x:is>
      </x:c>
    </x:row>
    <x:row r="103">
      <x:c r="A103" s="3" t="inlineStr">
        <x:is>
          <x:t xml:space="preserve">wave_d09_morning</x:t>
        </x:is>
      </x:c>
      <x:c r="B103" s="3" t="inlineStr">
        <x:is>
          <x:t xml:space="preserve">9</x:t>
        </x:is>
      </x:c>
      <x:c r="C103" s="3" t="inlineStr">
        <x:is>
          <x:t xml:space="preserve">上午</x:t>
        </x:is>
      </x:c>
      <x:c r="D103" s="3" t="inlineStr">
        <x:is>
          <x:t xml:space="preserve">2</x:t>
        </x:is>
      </x:c>
      <x:c r="E103" s="3" t="inlineStr">
        <x:is>
          <x:t xml:space="preserve">1,2,3,4,5</x:t>
        </x:is>
      </x:c>
      <x:c r="F103" s="3" t="inlineStr">
        <x:is>
          <x:t xml:space="preserve">3</x:t>
        </x:is>
      </x:c>
      <x:c r="G103" s="3" t="inlineStr">
        <x:is>
          <x:t xml:space="preserve">90,10,0,1</x:t>
        </x:is>
      </x:c>
      <x:c r="H103" s="3" t="inlineStr">
        <x:is>
          <x:t xml:space="preserve">189</x:t>
        </x:is>
      </x:c>
      <x:c r="I103" s="3" t="inlineStr">
        <x:is>
          <x:t xml:space="preserve">池-数量；品质权重=青铜,白银,黄金,钻石</x:t>
        </x:is>
      </x:c>
    </x:row>
    <x:row r="104">
      <x:c r="A104" s="3" t="inlineStr">
        <x:is>
          <x:t xml:space="preserve">wave_d09_morning</x:t>
        </x:is>
      </x:c>
      <x:c r="B104" s="3" t="inlineStr">
        <x:is>
          <x:t xml:space="preserve">9</x:t>
        </x:is>
      </x:c>
      <x:c r="C104" s="3" t="inlineStr">
        <x:is>
          <x:t xml:space="preserve">上午</x:t>
        </x:is>
      </x:c>
      <x:c r="D104" s="3" t="inlineStr">
        <x:is>
          <x:t xml:space="preserve">3</x:t>
        </x:is>
      </x:c>
      <x:c r="E104" s="3" t="inlineStr">
        <x:is>
          <x:t xml:space="preserve">1,2,3,4,5</x:t>
        </x:is>
      </x:c>
      <x:c r="F104" s="3" t="inlineStr">
        <x:is>
          <x:t xml:space="preserve">4</x:t>
        </x:is>
      </x:c>
      <x:c r="G104" s="3" t="inlineStr">
        <x:is>
          <x:t xml:space="preserve">90,10,0,2</x:t>
        </x:is>
      </x:c>
      <x:c r="H104" s="3" t="inlineStr">
        <x:is>
          <x:t xml:space="preserve">255.4</x:t>
        </x:is>
      </x:c>
      <x:c r="I104" s="3" t="inlineStr">
        <x:is>
          <x:t xml:space="preserve">池-数量；品质权重=青铜,白银,黄金,钻石</x:t>
        </x:is>
      </x:c>
    </x:row>
    <x:row r="105">
      <x:c r="A105" s="3" t="inlineStr">
        <x:is>
          <x:t xml:space="preserve">wave_d09_morning</x:t>
        </x:is>
      </x:c>
      <x:c r="B105" s="3" t="inlineStr">
        <x:is>
          <x:t xml:space="preserve">9</x:t>
        </x:is>
      </x:c>
      <x:c r="C105" s="3" t="inlineStr">
        <x:is>
          <x:t xml:space="preserve">上午</x:t>
        </x:is>
      </x:c>
      <x:c r="D105" s="3" t="inlineStr">
        <x:is>
          <x:t xml:space="preserve">3</x:t>
        </x:is>
      </x:c>
      <x:c r="E105" s="3" t="inlineStr">
        <x:is>
          <x:t xml:space="preserve">1,2,3,4,5</x:t>
        </x:is>
      </x:c>
      <x:c r="F105" s="3" t="inlineStr">
        <x:is>
          <x:t xml:space="preserve">4</x:t>
        </x:is>
      </x:c>
      <x:c r="G105" s="3" t="inlineStr">
        <x:is>
          <x:t xml:space="preserve">90,10,0,2</x:t>
        </x:is>
      </x:c>
      <x:c r="H105" s="3" t="inlineStr">
        <x:is>
          <x:t xml:space="preserve">255.4</x:t>
        </x:is>
      </x:c>
      <x:c r="I105" s="3" t="inlineStr">
        <x:is>
          <x:t xml:space="preserve">池-数量；品质权重=青铜,白银,黄金,钻石</x:t>
        </x:is>
      </x:c>
    </x:row>
    <x:row r="106">
      <x:c r="A106" s="3" t="inlineStr">
        <x:is>
          <x:t xml:space="preserve">wave_d09_morning</x:t>
        </x:is>
      </x:c>
      <x:c r="B106" s="3" t="inlineStr">
        <x:is>
          <x:t xml:space="preserve">9</x:t>
        </x:is>
      </x:c>
      <x:c r="C106" s="3" t="inlineStr">
        <x:is>
          <x:t xml:space="preserve">上午</x:t>
        </x:is>
      </x:c>
      <x:c r="D106" s="3" t="inlineStr">
        <x:is>
          <x:t xml:space="preserve">4</x:t>
        </x:is>
      </x:c>
      <x:c r="E106" s="3" t="inlineStr">
        <x:is>
          <x:t xml:space="preserve">1,2,3,4,5</x:t>
        </x:is>
      </x:c>
      <x:c r="F106" s="3" t="inlineStr">
        <x:is>
          <x:t xml:space="preserve">5</x:t>
        </x:is>
      </x:c>
      <x:c r="G106" s="3" t="inlineStr">
        <x:is>
          <x:t xml:space="preserve">90,10,0,3</x:t>
        </x:is>
      </x:c>
      <x:c r="H106" s="3" t="inlineStr">
        <x:is>
          <x:t xml:space="preserve">323.3</x:t>
        </x:is>
      </x:c>
      <x:c r="I106" s="3" t="inlineStr">
        <x:is>
          <x:t xml:space="preserve">池-数量；品质权重=青铜,白银,黄金,钻石</x:t>
        </x:is>
      </x:c>
    </x:row>
    <x:row r="107">
      <x:c r="A107" s="3" t="inlineStr">
        <x:is>
          <x:t xml:space="preserve">wave_d09_morning</x:t>
        </x:is>
      </x:c>
      <x:c r="B107" s="3" t="inlineStr">
        <x:is>
          <x:t xml:space="preserve">9</x:t>
        </x:is>
      </x:c>
      <x:c r="C107" s="3" t="inlineStr">
        <x:is>
          <x:t xml:space="preserve">上午</x:t>
        </x:is>
      </x:c>
      <x:c r="D107" s="3" t="inlineStr">
        <x:is>
          <x:t xml:space="preserve">4</x:t>
        </x:is>
      </x:c>
      <x:c r="E107" s="3" t="inlineStr">
        <x:is>
          <x:t xml:space="preserve">1,2,3,4,5</x:t>
        </x:is>
      </x:c>
      <x:c r="F107" s="3" t="inlineStr">
        <x:is>
          <x:t xml:space="preserve">5</x:t>
        </x:is>
      </x:c>
      <x:c r="G107" s="3" t="inlineStr">
        <x:is>
          <x:t xml:space="preserve">90,10,0,3</x:t>
        </x:is>
      </x:c>
      <x:c r="H107" s="3" t="inlineStr">
        <x:is>
          <x:t xml:space="preserve">323.3</x:t>
        </x:is>
      </x:c>
      <x:c r="I107" s="3" t="inlineStr">
        <x:is>
          <x:t xml:space="preserve">池-数量；品质权重=青铜,白银,黄金,钻石</x:t>
        </x:is>
      </x:c>
    </x:row>
    <x:row r="108">
      <x:c r="A108" s="3" t="inlineStr">
        <x:is>
          <x:t xml:space="preserve">wave_d09_morning</x:t>
        </x:is>
      </x:c>
      <x:c r="B108" s="3" t="inlineStr">
        <x:is>
          <x:t xml:space="preserve">9</x:t>
        </x:is>
      </x:c>
      <x:c r="C108" s="3" t="inlineStr">
        <x:is>
          <x:t xml:space="preserve">上午</x:t>
        </x:is>
      </x:c>
      <x:c r="D108" s="3" t="inlineStr">
        <x:is>
          <x:t xml:space="preserve">5</x:t>
        </x:is>
      </x:c>
      <x:c r="E108" s="3" t="inlineStr">
        <x:is>
          <x:t xml:space="preserve">1,2,3,4,5</x:t>
        </x:is>
      </x:c>
      <x:c r="F108" s="3" t="inlineStr">
        <x:is>
          <x:t xml:space="preserve">6</x:t>
        </x:is>
      </x:c>
      <x:c r="G108" s="3" t="inlineStr">
        <x:is>
          <x:t xml:space="preserve">90,10,0,4</x:t>
        </x:is>
      </x:c>
      <x:c r="H108" s="3" t="inlineStr">
        <x:is>
          <x:t xml:space="preserve">392.8</x:t>
        </x:is>
      </x:c>
      <x:c r="I108" s="3" t="inlineStr">
        <x:is>
          <x:t xml:space="preserve">池-数量；品质权重=青铜,白银,黄金,钻石</x:t>
        </x:is>
      </x:c>
    </x:row>
    <x:row r="109">
      <x:c r="A109" s="3" t="inlineStr">
        <x:is>
          <x:t xml:space="preserve">wave_d09_afternoon</x:t>
        </x:is>
      </x:c>
      <x:c r="B109" s="3" t="inlineStr">
        <x:is>
          <x:t xml:space="preserve">9</x:t>
        </x:is>
      </x:c>
      <x:c r="C109" s="3" t="inlineStr">
        <x:is>
          <x:t xml:space="preserve">下午</x:t>
        </x:is>
      </x:c>
      <x:c r="D109" s="3" t="inlineStr">
        <x:is>
          <x:t xml:space="preserve">1</x:t>
        </x:is>
      </x:c>
      <x:c r="E109" s="3" t="inlineStr">
        <x:is>
          <x:t xml:space="preserve">1,2,3,4,5</x:t>
        </x:is>
      </x:c>
      <x:c r="F109" s="3" t="inlineStr">
        <x:is>
          <x:t xml:space="preserve">2</x:t>
        </x:is>
      </x:c>
      <x:c r="G109" s="3" t="inlineStr">
        <x:is>
          <x:t xml:space="preserve">90,10,0,0</x:t>
        </x:is>
      </x:c>
      <x:c r="H109" s="3" t="inlineStr">
        <x:is>
          <x:t xml:space="preserve">124.3</x:t>
        </x:is>
      </x:c>
      <x:c r="I109" s="3" t="inlineStr">
        <x:is>
          <x:t xml:space="preserve">池-数量；品质权重=青铜,白银,黄金,钻石</x:t>
        </x:is>
      </x:c>
    </x:row>
    <x:row r="110">
      <x:c r="A110" s="3" t="inlineStr">
        <x:is>
          <x:t xml:space="preserve">wave_d09_afternoon</x:t>
        </x:is>
      </x:c>
      <x:c r="B110" s="3" t="inlineStr">
        <x:is>
          <x:t xml:space="preserve">9</x:t>
        </x:is>
      </x:c>
      <x:c r="C110" s="3" t="inlineStr">
        <x:is>
          <x:t xml:space="preserve">下午</x:t>
        </x:is>
      </x:c>
      <x:c r="D110" s="3" t="inlineStr">
        <x:is>
          <x:t xml:space="preserve">2</x:t>
        </x:is>
      </x:c>
      <x:c r="E110" s="3" t="inlineStr">
        <x:is>
          <x:t xml:space="preserve">1,2,3,4,5</x:t>
        </x:is>
      </x:c>
      <x:c r="F110" s="3" t="inlineStr">
        <x:is>
          <x:t xml:space="preserve">3</x:t>
        </x:is>
      </x:c>
      <x:c r="G110" s="3" t="inlineStr">
        <x:is>
          <x:t xml:space="preserve">90,10,0,1</x:t>
        </x:is>
      </x:c>
      <x:c r="H110" s="3" t="inlineStr">
        <x:is>
          <x:t xml:space="preserve">189</x:t>
        </x:is>
      </x:c>
      <x:c r="I110" s="3" t="inlineStr">
        <x:is>
          <x:t xml:space="preserve">池-数量；品质权重=青铜,白银,黄金,钻石</x:t>
        </x:is>
      </x:c>
    </x:row>
    <x:row r="111">
      <x:c r="A111" s="3" t="inlineStr">
        <x:is>
          <x:t xml:space="preserve">wave_d09_afternoon</x:t>
        </x:is>
      </x:c>
      <x:c r="B111" s="3" t="inlineStr">
        <x:is>
          <x:t xml:space="preserve">9</x:t>
        </x:is>
      </x:c>
      <x:c r="C111" s="3" t="inlineStr">
        <x:is>
          <x:t xml:space="preserve">下午</x:t>
        </x:is>
      </x:c>
      <x:c r="D111" s="3" t="inlineStr">
        <x:is>
          <x:t xml:space="preserve">2</x:t>
        </x:is>
      </x:c>
      <x:c r="E111" s="3" t="inlineStr">
        <x:is>
          <x:t xml:space="preserve">1,2,3,4,5</x:t>
        </x:is>
      </x:c>
      <x:c r="F111" s="3" t="inlineStr">
        <x:is>
          <x:t xml:space="preserve">3</x:t>
        </x:is>
      </x:c>
      <x:c r="G111" s="3" t="inlineStr">
        <x:is>
          <x:t xml:space="preserve">90,10,0,1</x:t>
        </x:is>
      </x:c>
      <x:c r="H111" s="3" t="inlineStr">
        <x:is>
          <x:t xml:space="preserve">189</x:t>
        </x:is>
      </x:c>
      <x:c r="I111" s="3" t="inlineStr">
        <x:is>
          <x:t xml:space="preserve">池-数量；品质权重=青铜,白银,黄金,钻石</x:t>
        </x:is>
      </x:c>
    </x:row>
    <x:row r="112">
      <x:c r="A112" s="3" t="inlineStr">
        <x:is>
          <x:t xml:space="preserve">wave_d09_afternoon</x:t>
        </x:is>
      </x:c>
      <x:c r="B112" s="3" t="inlineStr">
        <x:is>
          <x:t xml:space="preserve">9</x:t>
        </x:is>
      </x:c>
      <x:c r="C112" s="3" t="inlineStr">
        <x:is>
          <x:t xml:space="preserve">下午</x:t>
        </x:is>
      </x:c>
      <x:c r="D112" s="3" t="inlineStr">
        <x:is>
          <x:t xml:space="preserve">3</x:t>
        </x:is>
      </x:c>
      <x:c r="E112" s="3" t="inlineStr">
        <x:is>
          <x:t xml:space="preserve">1,2,3,4,5</x:t>
        </x:is>
      </x:c>
      <x:c r="F112" s="3" t="inlineStr">
        <x:is>
          <x:t xml:space="preserve">4</x:t>
        </x:is>
      </x:c>
      <x:c r="G112" s="3" t="inlineStr">
        <x:is>
          <x:t xml:space="preserve">90,10,0,2</x:t>
        </x:is>
      </x:c>
      <x:c r="H112" s="3" t="inlineStr">
        <x:is>
          <x:t xml:space="preserve">255.4</x:t>
        </x:is>
      </x:c>
      <x:c r="I112" s="3" t="inlineStr">
        <x:is>
          <x:t xml:space="preserve">池-数量；品质权重=青铜,白银,黄金,钻石</x:t>
        </x:is>
      </x:c>
    </x:row>
    <x:row r="113">
      <x:c r="A113" s="3" t="inlineStr">
        <x:is>
          <x:t xml:space="preserve">wave_d09_afternoon</x:t>
        </x:is>
      </x:c>
      <x:c r="B113" s="3" t="inlineStr">
        <x:is>
          <x:t xml:space="preserve">9</x:t>
        </x:is>
      </x:c>
      <x:c r="C113" s="3" t="inlineStr">
        <x:is>
          <x:t xml:space="preserve">下午</x:t>
        </x:is>
      </x:c>
      <x:c r="D113" s="3" t="inlineStr">
        <x:is>
          <x:t xml:space="preserve">4</x:t>
        </x:is>
      </x:c>
      <x:c r="E113" s="3" t="inlineStr">
        <x:is>
          <x:t xml:space="preserve">1,2,3,4,5</x:t>
        </x:is>
      </x:c>
      <x:c r="F113" s="3" t="inlineStr">
        <x:is>
          <x:t xml:space="preserve">5</x:t>
        </x:is>
      </x:c>
      <x:c r="G113" s="3" t="inlineStr">
        <x:is>
          <x:t xml:space="preserve">90,10,0,3</x:t>
        </x:is>
      </x:c>
      <x:c r="H113" s="3" t="inlineStr">
        <x:is>
          <x:t xml:space="preserve">323.3</x:t>
        </x:is>
      </x:c>
      <x:c r="I113" s="3" t="inlineStr">
        <x:is>
          <x:t xml:space="preserve">池-数量；品质权重=青铜,白银,黄金,钻石</x:t>
        </x:is>
      </x:c>
    </x:row>
    <x:row r="114">
      <x:c r="A114" s="3" t="inlineStr">
        <x:is>
          <x:t xml:space="preserve">wave_d09_afternoon</x:t>
        </x:is>
      </x:c>
      <x:c r="B114" s="3" t="inlineStr">
        <x:is>
          <x:t xml:space="preserve">9</x:t>
        </x:is>
      </x:c>
      <x:c r="C114" s="3" t="inlineStr">
        <x:is>
          <x:t xml:space="preserve">下午</x:t>
        </x:is>
      </x:c>
      <x:c r="D114" s="3" t="inlineStr">
        <x:is>
          <x:t xml:space="preserve">4</x:t>
        </x:is>
      </x:c>
      <x:c r="E114" s="3" t="inlineStr">
        <x:is>
          <x:t xml:space="preserve">1,2,3,4,5</x:t>
        </x:is>
      </x:c>
      <x:c r="F114" s="3" t="inlineStr">
        <x:is>
          <x:t xml:space="preserve">5</x:t>
        </x:is>
      </x:c>
      <x:c r="G114" s="3" t="inlineStr">
        <x:is>
          <x:t xml:space="preserve">90,10,0,3</x:t>
        </x:is>
      </x:c>
      <x:c r="H114" s="3" t="inlineStr">
        <x:is>
          <x:t xml:space="preserve">323.3</x:t>
        </x:is>
      </x:c>
      <x:c r="I114" s="3" t="inlineStr">
        <x:is>
          <x:t xml:space="preserve">池-数量；品质权重=青铜,白银,黄金,钻石</x:t>
        </x:is>
      </x:c>
    </x:row>
    <x:row r="115">
      <x:c r="A115" s="3" t="inlineStr">
        <x:is>
          <x:t xml:space="preserve">wave_d09_afternoon</x:t>
        </x:is>
      </x:c>
      <x:c r="B115" s="3" t="inlineStr">
        <x:is>
          <x:t xml:space="preserve">9</x:t>
        </x:is>
      </x:c>
      <x:c r="C115" s="3" t="inlineStr">
        <x:is>
          <x:t xml:space="preserve">下午</x:t>
        </x:is>
      </x:c>
      <x:c r="D115" s="3" t="inlineStr">
        <x:is>
          <x:t xml:space="preserve">5</x:t>
        </x:is>
      </x:c>
      <x:c r="E115" s="3" t="inlineStr">
        <x:is>
          <x:t xml:space="preserve">1,2,3,4,5</x:t>
        </x:is>
      </x:c>
      <x:c r="F115" s="3" t="inlineStr">
        <x:is>
          <x:t xml:space="preserve">6</x:t>
        </x:is>
      </x:c>
      <x:c r="G115" s="3" t="inlineStr">
        <x:is>
          <x:t xml:space="preserve">90,10,0,4</x:t>
        </x:is>
      </x:c>
      <x:c r="H115" s="3" t="inlineStr">
        <x:is>
          <x:t xml:space="preserve">392.8</x:t>
        </x:is>
      </x:c>
      <x:c r="I115" s="3" t="inlineStr">
        <x:is>
          <x:t xml:space="preserve">池-数量；品质权重=青铜,白银,黄金,钻石</x:t>
        </x:is>
      </x:c>
    </x:row>
    <x:row r="116">
      <x:c r="A116" s="3" t="inlineStr">
        <x:is>
          <x:t xml:space="preserve">wave_d09_afternoon</x:t>
        </x:is>
      </x:c>
      <x:c r="B116" s="3" t="inlineStr">
        <x:is>
          <x:t xml:space="preserve">9</x:t>
        </x:is>
      </x:c>
      <x:c r="C116" s="3" t="inlineStr">
        <x:is>
          <x:t xml:space="preserve">下午</x:t>
        </x:is>
      </x:c>
      <x:c r="D116" s="3" t="inlineStr">
        <x:is>
          <x:t xml:space="preserve">5</x:t>
        </x:is>
      </x:c>
      <x:c r="E116" s="3" t="inlineStr">
        <x:is>
          <x:t xml:space="preserve">1,2,3,4,5</x:t>
        </x:is>
      </x:c>
      <x:c r="F116" s="3" t="inlineStr">
        <x:is>
          <x:t xml:space="preserve">6</x:t>
        </x:is>
      </x:c>
      <x:c r="G116" s="3" t="inlineStr">
        <x:is>
          <x:t xml:space="preserve">90,10,0,4</x:t>
        </x:is>
      </x:c>
      <x:c r="H116" s="3" t="inlineStr">
        <x:is>
          <x:t xml:space="preserve">392.8</x:t>
        </x:is>
      </x:c>
      <x:c r="I116" s="3" t="inlineStr">
        <x:is>
          <x:t xml:space="preserve">池-数量；品质权重=青铜,白银,黄金,钻石</x:t>
        </x:is>
      </x:c>
    </x:row>
    <x:row r="117">
      <x:c r="A117" s="3" t="inlineStr">
        <x:is>
          <x:t xml:space="preserve">wave_d10_morning</x:t>
        </x:is>
      </x:c>
      <x:c r="B117" s="3" t="inlineStr">
        <x:is>
          <x:t xml:space="preserve">10</x:t>
        </x:is>
      </x:c>
      <x:c r="C117" s="3" t="inlineStr">
        <x:is>
          <x:t xml:space="preserve">上午</x:t>
        </x:is>
      </x:c>
      <x:c r="D117" s="3" t="inlineStr">
        <x:is>
          <x:t xml:space="preserve">1</x:t>
        </x:is>
      </x:c>
      <x:c r="E117" s="3" t="inlineStr">
        <x:is>
          <x:t xml:space="preserve">1,2,3,4,5</x:t>
        </x:is>
      </x:c>
      <x:c r="F117" s="3" t="inlineStr">
        <x:is>
          <x:t xml:space="preserve">2</x:t>
        </x:is>
      </x:c>
      <x:c r="G117" s="3" t="inlineStr">
        <x:is>
          <x:t xml:space="preserve">90,10,0,0</x:t>
        </x:is>
      </x:c>
      <x:c r="H117" s="3" t="inlineStr">
        <x:is>
          <x:t xml:space="preserve">124.3</x:t>
        </x:is>
      </x:c>
      <x:c r="I117" s="3" t="inlineStr">
        <x:is>
          <x:t xml:space="preserve">池-数量；品质权重=青铜,白银,黄金,钻石</x:t>
        </x:is>
      </x:c>
    </x:row>
    <x:row r="118">
      <x:c r="A118" s="3" t="inlineStr">
        <x:is>
          <x:t xml:space="preserve">wave_d10_morning</x:t>
        </x:is>
      </x:c>
      <x:c r="B118" s="3" t="inlineStr">
        <x:is>
          <x:t xml:space="preserve">10</x:t>
        </x:is>
      </x:c>
      <x:c r="C118" s="3" t="inlineStr">
        <x:is>
          <x:t xml:space="preserve">上午</x:t>
        </x:is>
      </x:c>
      <x:c r="D118" s="3" t="inlineStr">
        <x:is>
          <x:t xml:space="preserve">2</x:t>
        </x:is>
      </x:c>
      <x:c r="E118" s="3" t="inlineStr">
        <x:is>
          <x:t xml:space="preserve">1,2,3,4,5</x:t>
        </x:is>
      </x:c>
      <x:c r="F118" s="3" t="inlineStr">
        <x:is>
          <x:t xml:space="preserve">3</x:t>
        </x:is>
      </x:c>
      <x:c r="G118" s="3" t="inlineStr">
        <x:is>
          <x:t xml:space="preserve">90,10,0,1</x:t>
        </x:is>
      </x:c>
      <x:c r="H118" s="3" t="inlineStr">
        <x:is>
          <x:t xml:space="preserve">189</x:t>
        </x:is>
      </x:c>
      <x:c r="I118" s="3" t="inlineStr">
        <x:is>
          <x:t xml:space="preserve">池-数量；品质权重=青铜,白银,黄金,钻石</x:t>
        </x:is>
      </x:c>
    </x:row>
    <x:row r="119">
      <x:c r="A119" s="3" t="inlineStr">
        <x:is>
          <x:t xml:space="preserve">wave_d10_morning</x:t>
        </x:is>
      </x:c>
      <x:c r="B119" s="3" t="inlineStr">
        <x:is>
          <x:t xml:space="preserve">10</x:t>
        </x:is>
      </x:c>
      <x:c r="C119" s="3" t="inlineStr">
        <x:is>
          <x:t xml:space="preserve">上午</x:t>
        </x:is>
      </x:c>
      <x:c r="D119" s="3" t="inlineStr">
        <x:is>
          <x:t xml:space="preserve">2</x:t>
        </x:is>
      </x:c>
      <x:c r="E119" s="3" t="inlineStr">
        <x:is>
          <x:t xml:space="preserve">1,2,3,4,5</x:t>
        </x:is>
      </x:c>
      <x:c r="F119" s="3" t="inlineStr">
        <x:is>
          <x:t xml:space="preserve">3</x:t>
        </x:is>
      </x:c>
      <x:c r="G119" s="3" t="inlineStr">
        <x:is>
          <x:t xml:space="preserve">90,10,0,1</x:t>
        </x:is>
      </x:c>
      <x:c r="H119" s="3" t="inlineStr">
        <x:is>
          <x:t xml:space="preserve">189</x:t>
        </x:is>
      </x:c>
      <x:c r="I119" s="3" t="inlineStr">
        <x:is>
          <x:t xml:space="preserve">池-数量；品质权重=青铜,白银,黄金,钻石</x:t>
        </x:is>
      </x:c>
    </x:row>
    <x:row r="120">
      <x:c r="A120" s="3" t="inlineStr">
        <x:is>
          <x:t xml:space="preserve">wave_d10_morning</x:t>
        </x:is>
      </x:c>
      <x:c r="B120" s="3" t="inlineStr">
        <x:is>
          <x:t xml:space="preserve">10</x:t>
        </x:is>
      </x:c>
      <x:c r="C120" s="3" t="inlineStr">
        <x:is>
          <x:t xml:space="preserve">上午</x:t>
        </x:is>
      </x:c>
      <x:c r="D120" s="3" t="inlineStr">
        <x:is>
          <x:t xml:space="preserve">3</x:t>
        </x:is>
      </x:c>
      <x:c r="E120" s="3" t="inlineStr">
        <x:is>
          <x:t xml:space="preserve">1,2,3,4,5</x:t>
        </x:is>
      </x:c>
      <x:c r="F120" s="3" t="inlineStr">
        <x:is>
          <x:t xml:space="preserve">4</x:t>
        </x:is>
      </x:c>
      <x:c r="G120" s="3" t="inlineStr">
        <x:is>
          <x:t xml:space="preserve">90,10,0,2</x:t>
        </x:is>
      </x:c>
      <x:c r="H120" s="3" t="inlineStr">
        <x:is>
          <x:t xml:space="preserve">255.4</x:t>
        </x:is>
      </x:c>
      <x:c r="I120" s="3" t="inlineStr">
        <x:is>
          <x:t xml:space="preserve">池-数量；品质权重=青铜,白银,黄金,钻石</x:t>
        </x:is>
      </x:c>
    </x:row>
    <x:row r="121">
      <x:c r="A121" s="3" t="inlineStr">
        <x:is>
          <x:t xml:space="preserve">wave_d10_morning</x:t>
        </x:is>
      </x:c>
      <x:c r="B121" s="3" t="inlineStr">
        <x:is>
          <x:t xml:space="preserve">10</x:t>
        </x:is>
      </x:c>
      <x:c r="C121" s="3" t="inlineStr">
        <x:is>
          <x:t xml:space="preserve">上午</x:t>
        </x:is>
      </x:c>
      <x:c r="D121" s="3" t="inlineStr">
        <x:is>
          <x:t xml:space="preserve">3</x:t>
        </x:is>
      </x:c>
      <x:c r="E121" s="3" t="inlineStr">
        <x:is>
          <x:t xml:space="preserve">1,2,3,4,5</x:t>
        </x:is>
      </x:c>
      <x:c r="F121" s="3" t="inlineStr">
        <x:is>
          <x:t xml:space="preserve">4</x:t>
        </x:is>
      </x:c>
      <x:c r="G121" s="3" t="inlineStr">
        <x:is>
          <x:t xml:space="preserve">90,10,0,2</x:t>
        </x:is>
      </x:c>
      <x:c r="H121" s="3" t="inlineStr">
        <x:is>
          <x:t xml:space="preserve">255.4</x:t>
        </x:is>
      </x:c>
      <x:c r="I121" s="3" t="inlineStr">
        <x:is>
          <x:t xml:space="preserve">池-数量；品质权重=青铜,白银,黄金,钻石</x:t>
        </x:is>
      </x:c>
    </x:row>
    <x:row r="122">
      <x:c r="A122" s="3" t="inlineStr">
        <x:is>
          <x:t xml:space="preserve">wave_d10_morning</x:t>
        </x:is>
      </x:c>
      <x:c r="B122" s="3" t="inlineStr">
        <x:is>
          <x:t xml:space="preserve">10</x:t>
        </x:is>
      </x:c>
      <x:c r="C122" s="3" t="inlineStr">
        <x:is>
          <x:t xml:space="preserve">上午</x:t>
        </x:is>
      </x:c>
      <x:c r="D122" s="3" t="inlineStr">
        <x:is>
          <x:t xml:space="preserve">4</x:t>
        </x:is>
      </x:c>
      <x:c r="E122" s="3" t="inlineStr">
        <x:is>
          <x:t xml:space="preserve">1,2,3,4,5</x:t>
        </x:is>
      </x:c>
      <x:c r="F122" s="3" t="inlineStr">
        <x:is>
          <x:t xml:space="preserve">5</x:t>
        </x:is>
      </x:c>
      <x:c r="G122" s="3" t="inlineStr">
        <x:is>
          <x:t xml:space="preserve">90,10,0,3</x:t>
        </x:is>
      </x:c>
      <x:c r="H122" s="3" t="inlineStr">
        <x:is>
          <x:t xml:space="preserve">323.3</x:t>
        </x:is>
      </x:c>
      <x:c r="I122" s="3" t="inlineStr">
        <x:is>
          <x:t xml:space="preserve">池-数量；品质权重=青铜,白银,黄金,钻石</x:t>
        </x:is>
      </x:c>
    </x:row>
    <x:row r="123">
      <x:c r="A123" s="3" t="inlineStr">
        <x:is>
          <x:t xml:space="preserve">wave_d10_morning</x:t>
        </x:is>
      </x:c>
      <x:c r="B123" s="3" t="inlineStr">
        <x:is>
          <x:t xml:space="preserve">10</x:t>
        </x:is>
      </x:c>
      <x:c r="C123" s="3" t="inlineStr">
        <x:is>
          <x:t xml:space="preserve">上午</x:t>
        </x:is>
      </x:c>
      <x:c r="D123" s="3" t="inlineStr">
        <x:is>
          <x:t xml:space="preserve">4</x:t>
        </x:is>
      </x:c>
      <x:c r="E123" s="3" t="inlineStr">
        <x:is>
          <x:t xml:space="preserve">1,2,3,4,5</x:t>
        </x:is>
      </x:c>
      <x:c r="F123" s="3" t="inlineStr">
        <x:is>
          <x:t xml:space="preserve">5</x:t>
        </x:is>
      </x:c>
      <x:c r="G123" s="3" t="inlineStr">
        <x:is>
          <x:t xml:space="preserve">90,10,0,3</x:t>
        </x:is>
      </x:c>
      <x:c r="H123" s="3" t="inlineStr">
        <x:is>
          <x:t xml:space="preserve">323.3</x:t>
        </x:is>
      </x:c>
      <x:c r="I123" s="3" t="inlineStr">
        <x:is>
          <x:t xml:space="preserve">池-数量；品质权重=青铜,白银,黄金,钻石</x:t>
        </x:is>
      </x:c>
    </x:row>
    <x:row r="124">
      <x:c r="A124" s="3" t="inlineStr">
        <x:is>
          <x:t xml:space="preserve">wave_d10_morning</x:t>
        </x:is>
      </x:c>
      <x:c r="B124" s="3" t="inlineStr">
        <x:is>
          <x:t xml:space="preserve">10</x:t>
        </x:is>
      </x:c>
      <x:c r="C124" s="3" t="inlineStr">
        <x:is>
          <x:t xml:space="preserve">上午</x:t>
        </x:is>
      </x:c>
      <x:c r="D124" s="3" t="inlineStr">
        <x:is>
          <x:t xml:space="preserve">5</x:t>
        </x:is>
      </x:c>
      <x:c r="E124" s="3" t="inlineStr">
        <x:is>
          <x:t xml:space="preserve">1,2,3,4,5</x:t>
        </x:is>
      </x:c>
      <x:c r="F124" s="3" t="inlineStr">
        <x:is>
          <x:t xml:space="preserve">6</x:t>
        </x:is>
      </x:c>
      <x:c r="G124" s="3" t="inlineStr">
        <x:is>
          <x:t xml:space="preserve">90,10,0,4</x:t>
        </x:is>
      </x:c>
      <x:c r="H124" s="3" t="inlineStr">
        <x:is>
          <x:t xml:space="preserve">392.8</x:t>
        </x:is>
      </x:c>
      <x:c r="I124" s="3" t="inlineStr">
        <x:is>
          <x:t xml:space="preserve">池-数量；品质权重=青铜,白银,黄金,钻石</x:t>
        </x:is>
      </x:c>
    </x:row>
    <x:row r="125">
      <x:c r="A125" s="3" t="inlineStr">
        <x:is>
          <x:t xml:space="preserve">wave_d10_morning</x:t>
        </x:is>
      </x:c>
      <x:c r="B125" s="3" t="inlineStr">
        <x:is>
          <x:t xml:space="preserve">10</x:t>
        </x:is>
      </x:c>
      <x:c r="C125" s="3" t="inlineStr">
        <x:is>
          <x:t xml:space="preserve">上午</x:t>
        </x:is>
      </x:c>
      <x:c r="D125" s="3" t="inlineStr">
        <x:is>
          <x:t xml:space="preserve">5</x:t>
        </x:is>
      </x:c>
      <x:c r="E125" s="3" t="inlineStr">
        <x:is>
          <x:t xml:space="preserve">1,2,3,4,5</x:t>
        </x:is>
      </x:c>
      <x:c r="F125" s="3" t="inlineStr">
        <x:is>
          <x:t xml:space="preserve">6</x:t>
        </x:is>
      </x:c>
      <x:c r="G125" s="3" t="inlineStr">
        <x:is>
          <x:t xml:space="preserve">90,10,0,4</x:t>
        </x:is>
      </x:c>
      <x:c r="H125" s="3" t="inlineStr">
        <x:is>
          <x:t xml:space="preserve">392.8</x:t>
        </x:is>
      </x:c>
      <x:c r="I125" s="3" t="inlineStr">
        <x:is>
          <x:t xml:space="preserve">池-数量；品质权重=青铜,白银,黄金,钻石</x:t>
        </x:is>
      </x:c>
    </x:row>
    <x:row r="126">
      <x:c r="A126" s="3" t="inlineStr">
        <x:is>
          <x:t xml:space="preserve">wave_d10_afternoon</x:t>
        </x:is>
      </x:c>
      <x:c r="B126" s="3" t="inlineStr">
        <x:is>
          <x:t xml:space="preserve">10</x:t>
        </x:is>
      </x:c>
      <x:c r="C126" s="3" t="inlineStr">
        <x:is>
          <x:t xml:space="preserve">下午</x:t>
        </x:is>
      </x:c>
      <x:c r="D126" s="3" t="inlineStr">
        <x:is>
          <x:t xml:space="preserve">1</x:t>
        </x:is>
      </x:c>
      <x:c r="E126" s="3" t="inlineStr">
        <x:is>
          <x:t xml:space="preserve">1,2,3,4,5</x:t>
        </x:is>
      </x:c>
      <x:c r="F126" s="3" t="inlineStr">
        <x:is>
          <x:t xml:space="preserve">2</x:t>
        </x:is>
      </x:c>
      <x:c r="G126" s="3" t="inlineStr">
        <x:is>
          <x:t xml:space="preserve">90,10,0,0</x:t>
        </x:is>
      </x:c>
      <x:c r="H126" s="3" t="inlineStr">
        <x:is>
          <x:t xml:space="preserve">124.3</x:t>
        </x:is>
      </x:c>
      <x:c r="I126" s="3" t="inlineStr">
        <x:is>
          <x:t xml:space="preserve">池-数量；品质权重=青铜,白银,黄金,钻石</x:t>
        </x:is>
      </x:c>
    </x:row>
    <x:row r="127">
      <x:c r="A127" s="3" t="inlineStr">
        <x:is>
          <x:t xml:space="preserve">wave_d10_afternoon</x:t>
        </x:is>
      </x:c>
      <x:c r="B127" s="3" t="inlineStr">
        <x:is>
          <x:t xml:space="preserve">10</x:t>
        </x:is>
      </x:c>
      <x:c r="C127" s="3" t="inlineStr">
        <x:is>
          <x:t xml:space="preserve">下午</x:t>
        </x:is>
      </x:c>
      <x:c r="D127" s="3" t="inlineStr">
        <x:is>
          <x:t xml:space="preserve">2</x:t>
        </x:is>
      </x:c>
      <x:c r="E127" s="3" t="inlineStr">
        <x:is>
          <x:t xml:space="preserve">1,2,3,4,5</x:t>
        </x:is>
      </x:c>
      <x:c r="F127" s="3" t="inlineStr">
        <x:is>
          <x:t xml:space="preserve">3</x:t>
        </x:is>
      </x:c>
      <x:c r="G127" s="3" t="inlineStr">
        <x:is>
          <x:t xml:space="preserve">90,10,0,1</x:t>
        </x:is>
      </x:c>
      <x:c r="H127" s="3" t="inlineStr">
        <x:is>
          <x:t xml:space="preserve">189</x:t>
        </x:is>
      </x:c>
      <x:c r="I127" s="3" t="inlineStr">
        <x:is>
          <x:t xml:space="preserve">池-数量；品质权重=青铜,白银,黄金,钻石</x:t>
        </x:is>
      </x:c>
    </x:row>
    <x:row r="128">
      <x:c r="A128" s="3" t="inlineStr">
        <x:is>
          <x:t xml:space="preserve">wave_d10_afternoon</x:t>
        </x:is>
      </x:c>
      <x:c r="B128" s="3" t="inlineStr">
        <x:is>
          <x:t xml:space="preserve">10</x:t>
        </x:is>
      </x:c>
      <x:c r="C128" s="3" t="inlineStr">
        <x:is>
          <x:t xml:space="preserve">下午</x:t>
        </x:is>
      </x:c>
      <x:c r="D128" s="3" t="inlineStr">
        <x:is>
          <x:t xml:space="preserve">2</x:t>
        </x:is>
      </x:c>
      <x:c r="E128" s="3" t="inlineStr">
        <x:is>
          <x:t xml:space="preserve">1,2,3,4,5</x:t>
        </x:is>
      </x:c>
      <x:c r="F128" s="3" t="inlineStr">
        <x:is>
          <x:t xml:space="preserve">3</x:t>
        </x:is>
      </x:c>
      <x:c r="G128" s="3" t="inlineStr">
        <x:is>
          <x:t xml:space="preserve">90,10,0,1</x:t>
        </x:is>
      </x:c>
      <x:c r="H128" s="3" t="inlineStr">
        <x:is>
          <x:t xml:space="preserve">189</x:t>
        </x:is>
      </x:c>
      <x:c r="I128" s="3" t="inlineStr">
        <x:is>
          <x:t xml:space="preserve">池-数量；品质权重=青铜,白银,黄金,钻石</x:t>
        </x:is>
      </x:c>
    </x:row>
    <x:row r="129">
      <x:c r="A129" s="3" t="inlineStr">
        <x:is>
          <x:t xml:space="preserve">wave_d10_afternoon</x:t>
        </x:is>
      </x:c>
      <x:c r="B129" s="3" t="inlineStr">
        <x:is>
          <x:t xml:space="preserve">10</x:t>
        </x:is>
      </x:c>
      <x:c r="C129" s="3" t="inlineStr">
        <x:is>
          <x:t xml:space="preserve">下午</x:t>
        </x:is>
      </x:c>
      <x:c r="D129" s="3" t="inlineStr">
        <x:is>
          <x:t xml:space="preserve">2</x:t>
        </x:is>
      </x:c>
      <x:c r="E129" s="3" t="inlineStr">
        <x:is>
          <x:t xml:space="preserve">1,2,3,4,5</x:t>
        </x:is>
      </x:c>
      <x:c r="F129" s="3" t="inlineStr">
        <x:is>
          <x:t xml:space="preserve">3</x:t>
        </x:is>
      </x:c>
      <x:c r="G129" s="3" t="inlineStr">
        <x:is>
          <x:t xml:space="preserve">90,10,0,1</x:t>
        </x:is>
      </x:c>
      <x:c r="H129" s="3" t="inlineStr">
        <x:is>
          <x:t xml:space="preserve">189</x:t>
        </x:is>
      </x:c>
      <x:c r="I129" s="3" t="inlineStr">
        <x:is>
          <x:t xml:space="preserve">池-数量；品质权重=青铜,白银,黄金,钻石</x:t>
        </x:is>
      </x:c>
    </x:row>
    <x:row r="130">
      <x:c r="A130" s="3" t="inlineStr">
        <x:is>
          <x:t xml:space="preserve">wave_d10_afternoon</x:t>
        </x:is>
      </x:c>
      <x:c r="B130" s="3" t="inlineStr">
        <x:is>
          <x:t xml:space="preserve">10</x:t>
        </x:is>
      </x:c>
      <x:c r="C130" s="3" t="inlineStr">
        <x:is>
          <x:t xml:space="preserve">下午</x:t>
        </x:is>
      </x:c>
      <x:c r="D130" s="3" t="inlineStr">
        <x:is>
          <x:t xml:space="preserve">3</x:t>
        </x:is>
      </x:c>
      <x:c r="E130" s="3" t="inlineStr">
        <x:is>
          <x:t xml:space="preserve">1,2,3,4,5</x:t>
        </x:is>
      </x:c>
      <x:c r="F130" s="3" t="inlineStr">
        <x:is>
          <x:t xml:space="preserve">4</x:t>
        </x:is>
      </x:c>
      <x:c r="G130" s="3" t="inlineStr">
        <x:is>
          <x:t xml:space="preserve">90,10,0,2</x:t>
        </x:is>
      </x:c>
      <x:c r="H130" s="3" t="inlineStr">
        <x:is>
          <x:t xml:space="preserve">255.4</x:t>
        </x:is>
      </x:c>
      <x:c r="I130" s="3" t="inlineStr">
        <x:is>
          <x:t xml:space="preserve">池-数量；品质权重=青铜,白银,黄金,钻石</x:t>
        </x:is>
      </x:c>
    </x:row>
    <x:row r="131">
      <x:c r="A131" s="3" t="inlineStr">
        <x:is>
          <x:t xml:space="preserve">wave_d10_afternoon</x:t>
        </x:is>
      </x:c>
      <x:c r="B131" s="3" t="inlineStr">
        <x:is>
          <x:t xml:space="preserve">10</x:t>
        </x:is>
      </x:c>
      <x:c r="C131" s="3" t="inlineStr">
        <x:is>
          <x:t xml:space="preserve">下午</x:t>
        </x:is>
      </x:c>
      <x:c r="D131" s="3" t="inlineStr">
        <x:is>
          <x:t xml:space="preserve">3</x:t>
        </x:is>
      </x:c>
      <x:c r="E131" s="3" t="inlineStr">
        <x:is>
          <x:t xml:space="preserve">1,2,3,4,5</x:t>
        </x:is>
      </x:c>
      <x:c r="F131" s="3" t="inlineStr">
        <x:is>
          <x:t xml:space="preserve">4</x:t>
        </x:is>
      </x:c>
      <x:c r="G131" s="3" t="inlineStr">
        <x:is>
          <x:t xml:space="preserve">90,10,0,2</x:t>
        </x:is>
      </x:c>
      <x:c r="H131" s="3" t="inlineStr">
        <x:is>
          <x:t xml:space="preserve">255.4</x:t>
        </x:is>
      </x:c>
      <x:c r="I131" s="3" t="inlineStr">
        <x:is>
          <x:t xml:space="preserve">池-数量；品质权重=青铜,白银,黄金,钻石</x:t>
        </x:is>
      </x:c>
    </x:row>
    <x:row r="132">
      <x:c r="A132" s="3" t="inlineStr">
        <x:is>
          <x:t xml:space="preserve">wave_d10_afternoon</x:t>
        </x:is>
      </x:c>
      <x:c r="B132" s="3" t="inlineStr">
        <x:is>
          <x:t xml:space="preserve">10</x:t>
        </x:is>
      </x:c>
      <x:c r="C132" s="3" t="inlineStr">
        <x:is>
          <x:t xml:space="preserve">下午</x:t>
        </x:is>
      </x:c>
      <x:c r="D132" s="3" t="inlineStr">
        <x:is>
          <x:t xml:space="preserve">4</x:t>
        </x:is>
      </x:c>
      <x:c r="E132" s="3" t="inlineStr">
        <x:is>
          <x:t xml:space="preserve">1,2,3,4,5</x:t>
        </x:is>
      </x:c>
      <x:c r="F132" s="3" t="inlineStr">
        <x:is>
          <x:t xml:space="preserve">5</x:t>
        </x:is>
      </x:c>
      <x:c r="G132" s="3" t="inlineStr">
        <x:is>
          <x:t xml:space="preserve">90,10,0,3</x:t>
        </x:is>
      </x:c>
      <x:c r="H132" s="3" t="inlineStr">
        <x:is>
          <x:t xml:space="preserve">323.3</x:t>
        </x:is>
      </x:c>
      <x:c r="I132" s="3" t="inlineStr">
        <x:is>
          <x:t xml:space="preserve">池-数量；品质权重=青铜,白银,黄金,钻石</x:t>
        </x:is>
      </x:c>
    </x:row>
    <x:row r="133">
      <x:c r="A133" s="3" t="inlineStr">
        <x:is>
          <x:t xml:space="preserve">wave_d10_afternoon</x:t>
        </x:is>
      </x:c>
      <x:c r="B133" s="3" t="inlineStr">
        <x:is>
          <x:t xml:space="preserve">10</x:t>
        </x:is>
      </x:c>
      <x:c r="C133" s="3" t="inlineStr">
        <x:is>
          <x:t xml:space="preserve">下午</x:t>
        </x:is>
      </x:c>
      <x:c r="D133" s="3" t="inlineStr">
        <x:is>
          <x:t xml:space="preserve">4</x:t>
        </x:is>
      </x:c>
      <x:c r="E133" s="3" t="inlineStr">
        <x:is>
          <x:t xml:space="preserve">1,2,3,4,5</x:t>
        </x:is>
      </x:c>
      <x:c r="F133" s="3" t="inlineStr">
        <x:is>
          <x:t xml:space="preserve">5</x:t>
        </x:is>
      </x:c>
      <x:c r="G133" s="3" t="inlineStr">
        <x:is>
          <x:t xml:space="preserve">90,10,0,3</x:t>
        </x:is>
      </x:c>
      <x:c r="H133" s="3" t="inlineStr">
        <x:is>
          <x:t xml:space="preserve">323.3</x:t>
        </x:is>
      </x:c>
      <x:c r="I133" s="3" t="inlineStr">
        <x:is>
          <x:t xml:space="preserve">池-数量；品质权重=青铜,白银,黄金,钻石</x:t>
        </x:is>
      </x:c>
    </x:row>
    <x:row r="134">
      <x:c r="A134" s="3" t="inlineStr">
        <x:is>
          <x:t xml:space="preserve">wave_d10_afternoon</x:t>
        </x:is>
      </x:c>
      <x:c r="B134" s="3" t="inlineStr">
        <x:is>
          <x:t xml:space="preserve">10</x:t>
        </x:is>
      </x:c>
      <x:c r="C134" s="3" t="inlineStr">
        <x:is>
          <x:t xml:space="preserve">下午</x:t>
        </x:is>
      </x:c>
      <x:c r="D134" s="3" t="inlineStr">
        <x:is>
          <x:t xml:space="preserve">5</x:t>
        </x:is>
      </x:c>
      <x:c r="E134" s="3" t="inlineStr">
        <x:is>
          <x:t xml:space="preserve">1,2,3,4,5</x:t>
        </x:is>
      </x:c>
      <x:c r="F134" s="3" t="inlineStr">
        <x:is>
          <x:t xml:space="preserve">6</x:t>
        </x:is>
      </x:c>
      <x:c r="G134" s="3" t="inlineStr">
        <x:is>
          <x:t xml:space="preserve">90,10,0,4</x:t>
        </x:is>
      </x:c>
      <x:c r="H134" s="3" t="inlineStr">
        <x:is>
          <x:t xml:space="preserve">392.8</x:t>
        </x:is>
      </x:c>
      <x:c r="I134" s="3" t="inlineStr">
        <x:is>
          <x:t xml:space="preserve">池-数量；品质权重=青铜,白银,黄金,钻石</x:t>
        </x:is>
      </x:c>
    </x:row>
    <x:row r="135">
      <x:c r="A135" s="3" t="inlineStr">
        <x:is>
          <x:t xml:space="preserve">wave_d10_afternoon</x:t>
        </x:is>
      </x:c>
      <x:c r="B135" s="3" t="inlineStr">
        <x:is>
          <x:t xml:space="preserve">10</x:t>
        </x:is>
      </x:c>
      <x:c r="C135" s="3" t="inlineStr">
        <x:is>
          <x:t xml:space="preserve">下午</x:t>
        </x:is>
      </x:c>
      <x:c r="D135" s="3" t="inlineStr">
        <x:is>
          <x:t xml:space="preserve">5</x:t>
        </x:is>
      </x:c>
      <x:c r="E135" s="3" t="inlineStr">
        <x:is>
          <x:t xml:space="preserve">1,2,3,4,5</x:t>
        </x:is>
      </x:c>
      <x:c r="F135" s="3" t="inlineStr">
        <x:is>
          <x:t xml:space="preserve">6</x:t>
        </x:is>
      </x:c>
      <x:c r="G135" s="3" t="inlineStr">
        <x:is>
          <x:t xml:space="preserve">90,10,0,4</x:t>
        </x:is>
      </x:c>
      <x:c r="H135" s="3" t="inlineStr">
        <x:is>
          <x:t xml:space="preserve">392.8</x:t>
        </x:is>
      </x:c>
      <x:c r="I135" s="3" t="inlineStr">
        <x:is>
          <x:t xml:space="preserve">池-数量；品质权重=青铜,白银,黄金,钻石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2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48" hidden="0" customWidth="1"/>
  </x:cols>
  <x:sheetData>
    <x:row r="1" ht="32" customHeight="1">
      <x:c r="A1" s="240" t="str">
        <x:v>pet_id</x:v>
      </x:c>
      <x:c r="B1" s="240" t="str">
        <x:v>unlock_day</x:v>
      </x:c>
      <x:c r="C1" s="240" t="str">
        <x:v>tier_pool</x:v>
      </x:c>
      <x:c r="D1" s="240" t="str">
        <x:v>shop_weight</x:v>
      </x:c>
      <x:c r="E1" s="240" t="str">
        <x:v>reward_weight</x:v>
      </x:c>
      <x:c r="F1" s="240" t="str">
        <x:v>note</x:v>
      </x:c>
    </x:row>
    <x:row r="2">
      <x:c r="A2" s="38" t="str">
        <x:v>pal_001</x:v>
      </x:c>
      <x:c r="B2" s="38" t="n">
        <x:v>1</x:v>
      </x:c>
      <x:c r="C2" s="38" t="str">
        <x:v>pT1</x:v>
      </x:c>
      <x:c r="D2" s="38" t="n">
        <x:v>100</x:v>
      </x:c>
      <x:c r="E2" s="38" t="n">
        <x:v>60</x:v>
      </x:c>
      <x:c r="F2" s="38" t="str">
        <x:v>来源对象 bz_van_001；主附魔 Restorative；真实来源地点数 10</x:v>
      </x:c>
    </x:row>
    <x:row r="3">
      <x:c r="A3" s="38" t="str">
        <x:v>pal_002</x:v>
      </x:c>
      <x:c r="B3" s="38" t="n">
        <x:v>4</x:v>
      </x:c>
      <x:c r="C3" s="38" t="str">
        <x:v>pT3</x:v>
      </x:c>
      <x:c r="D3" s="38" t="n">
        <x:v>65</x:v>
      </x:c>
      <x:c r="E3" s="38" t="n">
        <x:v>40</x:v>
      </x:c>
      <x:c r="F3" s="38" t="str">
        <x:v>来源对象 bz_van_002；主附魔 Turbo；真实来源地点数 10</x:v>
      </x:c>
    </x:row>
    <x:row r="4">
      <x:c r="A4" s="38" t="str">
        <x:v>pal_003</x:v>
      </x:c>
      <x:c r="B4" s="38" t="n">
        <x:v>2</x:v>
      </x:c>
      <x:c r="C4" s="38" t="str">
        <x:v>pT2</x:v>
      </x:c>
      <x:c r="D4" s="38" t="n">
        <x:v>85</x:v>
      </x:c>
      <x:c r="E4" s="38" t="n">
        <x:v>50</x:v>
      </x:c>
      <x:c r="F4" s="38" t="str">
        <x:v>来源对象 bz_van_003；主附魔 Turbo；真实来源地点数 10</x:v>
      </x:c>
    </x:row>
    <x:row r="5">
      <x:c r="A5" s="38" t="str">
        <x:v>pal_004</x:v>
      </x:c>
      <x:c r="B5" s="38" t="n">
        <x:v>2</x:v>
      </x:c>
      <x:c r="C5" s="38" t="str">
        <x:v>pT2</x:v>
      </x:c>
      <x:c r="D5" s="38" t="n">
        <x:v>85</x:v>
      </x:c>
      <x:c r="E5" s="38" t="n">
        <x:v>50</x:v>
      </x:c>
      <x:c r="F5" s="38" t="str">
        <x:v>来源对象 bz_van_004；主附魔 Turbo；真实来源地点数 10</x:v>
      </x:c>
    </x:row>
    <x:row r="6">
      <x:c r="A6" s="38" t="str">
        <x:v>pal_005</x:v>
      </x:c>
      <x:c r="B6" s="38" t="n">
        <x:v>4</x:v>
      </x:c>
      <x:c r="C6" s="38" t="str">
        <x:v>pT3</x:v>
      </x:c>
      <x:c r="D6" s="38" t="n">
        <x:v>65</x:v>
      </x:c>
      <x:c r="E6" s="38" t="n">
        <x:v>40</x:v>
      </x:c>
      <x:c r="F6" s="38" t="str">
        <x:v>来源对象 bz_van_005；主附魔 Deadly；真实来源地点数 10</x:v>
      </x:c>
    </x:row>
    <x:row r="7">
      <x:c r="A7" s="38" t="str">
        <x:v>pal_006</x:v>
      </x:c>
      <x:c r="B7" s="38" t="n">
        <x:v>1</x:v>
      </x:c>
      <x:c r="C7" s="38" t="str">
        <x:v>pT1</x:v>
      </x:c>
      <x:c r="D7" s="38" t="n">
        <x:v>100</x:v>
      </x:c>
      <x:c r="E7" s="38" t="n">
        <x:v>60</x:v>
      </x:c>
      <x:c r="F7" s="38" t="str">
        <x:v>来源对象 bz_van_006；主附魔 Shielded；真实来源地点数 10</x:v>
      </x:c>
    </x:row>
    <x:row r="8">
      <x:c r="A8" s="38" t="str">
        <x:v>pal_007</x:v>
      </x:c>
      <x:c r="B8" s="38" t="n">
        <x:v>1</x:v>
      </x:c>
      <x:c r="C8" s="38" t="str">
        <x:v>pT1</x:v>
      </x:c>
      <x:c r="D8" s="38" t="n">
        <x:v>100</x:v>
      </x:c>
      <x:c r="E8" s="38" t="n">
        <x:v>60</x:v>
      </x:c>
      <x:c r="F8" s="38" t="str">
        <x:v>来源对象 bz_van_007；主附魔 Deadly；真实来源地点数 10</x:v>
      </x:c>
    </x:row>
    <x:row r="9">
      <x:c r="A9" s="38" t="str">
        <x:v>pal_008</x:v>
      </x:c>
      <x:c r="B9" s="38" t="n">
        <x:v>1</x:v>
      </x:c>
      <x:c r="C9" s="38" t="str">
        <x:v>pT1</x:v>
      </x:c>
      <x:c r="D9" s="38" t="n">
        <x:v>100</x:v>
      </x:c>
      <x:c r="E9" s="38" t="n">
        <x:v>60</x:v>
      </x:c>
      <x:c r="F9" s="38" t="str">
        <x:v>来源对象 bz_van_008；主附魔 Turbo；真实来源地点数 10</x:v>
      </x:c>
    </x:row>
    <x:row r="10">
      <x:c r="A10" s="38" t="str">
        <x:v>pal_009</x:v>
      </x:c>
      <x:c r="B10" s="38" t="n">
        <x:v>1</x:v>
      </x:c>
      <x:c r="C10" s="38" t="str">
        <x:v>pT1</x:v>
      </x:c>
      <x:c r="D10" s="38" t="n">
        <x:v>100</x:v>
      </x:c>
      <x:c r="E10" s="38" t="n">
        <x:v>60</x:v>
      </x:c>
      <x:c r="F10" s="38" t="str">
        <x:v>来源对象 bz_van_009；主附魔 Deadly；真实来源地点数 10</x:v>
      </x:c>
    </x:row>
    <x:row r="11">
      <x:c r="A11" s="38" t="str">
        <x:v>pal_010</x:v>
      </x:c>
      <x:c r="B11" s="38" t="n">
        <x:v>2</x:v>
      </x:c>
      <x:c r="C11" s="38" t="str">
        <x:v>pT2</x:v>
      </x:c>
      <x:c r="D11" s="38" t="n">
        <x:v>85</x:v>
      </x:c>
      <x:c r="E11" s="38" t="n">
        <x:v>50</x:v>
      </x:c>
      <x:c r="F11" s="38" t="str">
        <x:v>来源对象 bz_van_010；主附魔 Deadly；真实来源地点数 10</x:v>
      </x:c>
    </x:row>
    <x:row r="12">
      <x:c r="A12" s="38" t="str">
        <x:v>pal_011</x:v>
      </x:c>
      <x:c r="B12" s="38" t="n">
        <x:v>4</x:v>
      </x:c>
      <x:c r="C12" s="38" t="str">
        <x:v>pT3</x:v>
      </x:c>
      <x:c r="D12" s="38" t="n">
        <x:v>65</x:v>
      </x:c>
      <x:c r="E12" s="38" t="n">
        <x:v>40</x:v>
      </x:c>
      <x:c r="F12" s="38" t="str">
        <x:v>来源对象 bz_van_011；主附魔 Toxic；真实来源地点数 10</x:v>
      </x:c>
    </x:row>
    <x:row r="13">
      <x:c r="A13" s="38" t="str">
        <x:v>pal_012</x:v>
      </x:c>
      <x:c r="B13" s="38" t="n">
        <x:v>4</x:v>
      </x:c>
      <x:c r="C13" s="38" t="str">
        <x:v>pT3</x:v>
      </x:c>
      <x:c r="D13" s="38" t="n">
        <x:v>65</x:v>
      </x:c>
      <x:c r="E13" s="38" t="n">
        <x:v>40</x:v>
      </x:c>
      <x:c r="F13" s="38" t="str">
        <x:v>来源对象 bz_van_012；主附魔 Fiery；真实来源地点数 10</x:v>
      </x:c>
    </x:row>
    <x:row r="14">
      <x:c r="A14" s="38" t="str">
        <x:v>pal_013</x:v>
      </x:c>
      <x:c r="B14" s="38" t="n">
        <x:v>1</x:v>
      </x:c>
      <x:c r="C14" s="38" t="str">
        <x:v>pT1</x:v>
      </x:c>
      <x:c r="D14" s="38" t="n">
        <x:v>100</x:v>
      </x:c>
      <x:c r="E14" s="38" t="n">
        <x:v>60</x:v>
      </x:c>
      <x:c r="F14" s="38" t="str">
        <x:v>来源对象 bz_van_013；主附魔 Icy；真实来源地点数 10</x:v>
      </x:c>
    </x:row>
    <x:row r="15">
      <x:c r="A15" s="38" t="str">
        <x:v>pal_014</x:v>
      </x:c>
      <x:c r="B15" s="38" t="n">
        <x:v>2</x:v>
      </x:c>
      <x:c r="C15" s="38" t="str">
        <x:v>pT2</x:v>
      </x:c>
      <x:c r="D15" s="38" t="n">
        <x:v>85</x:v>
      </x:c>
      <x:c r="E15" s="38" t="n">
        <x:v>50</x:v>
      </x:c>
      <x:c r="F15" s="38" t="str">
        <x:v>来源对象 bz_van_014；主附魔 Fiery；真实来源地点数 10</x:v>
      </x:c>
    </x:row>
    <x:row r="16">
      <x:c r="A16" s="38" t="str">
        <x:v>pal_015</x:v>
      </x:c>
      <x:c r="B16" s="38" t="n">
        <x:v>2</x:v>
      </x:c>
      <x:c r="C16" s="38" t="str">
        <x:v>pT2</x:v>
      </x:c>
      <x:c r="D16" s="38" t="n">
        <x:v>85</x:v>
      </x:c>
      <x:c r="E16" s="38" t="n">
        <x:v>50</x:v>
      </x:c>
      <x:c r="F16" s="38" t="str">
        <x:v>来源对象 bz_van_015；主附魔 Deadly；真实来源地点数 10</x:v>
      </x:c>
    </x:row>
    <x:row r="17">
      <x:c r="A17" s="38" t="str">
        <x:v>pal_016</x:v>
      </x:c>
      <x:c r="B17" s="38" t="n">
        <x:v>1</x:v>
      </x:c>
      <x:c r="C17" s="38" t="str">
        <x:v>pT1</x:v>
      </x:c>
      <x:c r="D17" s="38" t="n">
        <x:v>100</x:v>
      </x:c>
      <x:c r="E17" s="38" t="n">
        <x:v>60</x:v>
      </x:c>
      <x:c r="F17" s="38" t="str">
        <x:v>来源对象 bz_van_016；主附魔 Deadly；真实来源地点数 10</x:v>
      </x:c>
    </x:row>
    <x:row r="18">
      <x:c r="A18" s="38" t="str">
        <x:v>pal_017</x:v>
      </x:c>
      <x:c r="B18" s="38" t="n">
        <x:v>1</x:v>
      </x:c>
      <x:c r="C18" s="38" t="str">
        <x:v>pT1</x:v>
      </x:c>
      <x:c r="D18" s="38" t="n">
        <x:v>100</x:v>
      </x:c>
      <x:c r="E18" s="38" t="n">
        <x:v>60</x:v>
      </x:c>
      <x:c r="F18" s="38" t="str">
        <x:v>来源对象 bz_van_017；主附魔 Fiery；真实来源地点数 10</x:v>
      </x:c>
    </x:row>
    <x:row r="19">
      <x:c r="A19" s="38" t="str">
        <x:v>pal_018</x:v>
      </x:c>
      <x:c r="B19" s="38" t="n">
        <x:v>4</x:v>
      </x:c>
      <x:c r="C19" s="38" t="str">
        <x:v>pT3</x:v>
      </x:c>
      <x:c r="D19" s="38" t="n">
        <x:v>65</x:v>
      </x:c>
      <x:c r="E19" s="38" t="n">
        <x:v>40</x:v>
      </x:c>
      <x:c r="F19" s="38" t="str">
        <x:v>来源对象 bz_van_018；主附魔 Turbo；真实来源地点数 10</x:v>
      </x:c>
    </x:row>
    <x:row r="20">
      <x:c r="A20" s="38" t="str">
        <x:v>pal_019</x:v>
      </x:c>
      <x:c r="B20" s="38" t="n">
        <x:v>2</x:v>
      </x:c>
      <x:c r="C20" s="38" t="str">
        <x:v>pT2</x:v>
      </x:c>
      <x:c r="D20" s="38" t="n">
        <x:v>85</x:v>
      </x:c>
      <x:c r="E20" s="38" t="n">
        <x:v>50</x:v>
      </x:c>
      <x:c r="F20" s="38" t="str">
        <x:v>来源对象 bz_van_019；主附魔 Deadly；真实来源地点数 10</x:v>
      </x:c>
    </x:row>
    <x:row r="21">
      <x:c r="A21" s="38" t="str">
        <x:v>pal_020</x:v>
      </x:c>
      <x:c r="B21" s="38" t="n">
        <x:v>2</x:v>
      </x:c>
      <x:c r="C21" s="38" t="str">
        <x:v>pT2</x:v>
      </x:c>
      <x:c r="D21" s="38" t="n">
        <x:v>85</x:v>
      </x:c>
      <x:c r="E21" s="38" t="n">
        <x:v>50</x:v>
      </x:c>
      <x:c r="F21" s="38" t="str">
        <x:v>来源对象 bz_van_020；主附魔 Turbo；真实来源地点数 10</x:v>
      </x:c>
    </x:row>
    <x:row r="22">
      <x:c r="A22" s="38" t="str">
        <x:v>pal_021</x:v>
      </x:c>
      <x:c r="B22" s="38" t="n">
        <x:v>2</x:v>
      </x:c>
      <x:c r="C22" s="38" t="str">
        <x:v>pT2</x:v>
      </x:c>
      <x:c r="D22" s="38" t="n">
        <x:v>85</x:v>
      </x:c>
      <x:c r="E22" s="38" t="n">
        <x:v>50</x:v>
      </x:c>
      <x:c r="F22" s="38" t="str">
        <x:v>来源对象 bz_van_021；主附魔 Turbo；真实来源地点数 10</x:v>
      </x:c>
    </x:row>
    <x:row r="23">
      <x:c r="A23" s="38" t="str">
        <x:v>pal_022</x:v>
      </x:c>
      <x:c r="B23" s="38" t="n">
        <x:v>2</x:v>
      </x:c>
      <x:c r="C23" s="38" t="str">
        <x:v>pT2</x:v>
      </x:c>
      <x:c r="D23" s="38" t="n">
        <x:v>85</x:v>
      </x:c>
      <x:c r="E23" s="38" t="n">
        <x:v>50</x:v>
      </x:c>
      <x:c r="F23" s="38" t="str">
        <x:v>来源对象 bz_van_022；主附魔 Turbo；真实来源地点数 10</x:v>
      </x:c>
    </x:row>
    <x:row r="24">
      <x:c r="A24" s="38" t="str">
        <x:v>pal_023</x:v>
      </x:c>
      <x:c r="B24" s="38" t="n">
        <x:v>1</x:v>
      </x:c>
      <x:c r="C24" s="38" t="str">
        <x:v>pT1</x:v>
      </x:c>
      <x:c r="D24" s="38" t="n">
        <x:v>100</x:v>
      </x:c>
      <x:c r="E24" s="38" t="n">
        <x:v>60</x:v>
      </x:c>
      <x:c r="F24" s="38" t="str">
        <x:v>来源对象 bz_van_023；主附魔 Toxic；真实来源地点数 10</x:v>
      </x:c>
    </x:row>
    <x:row r="25">
      <x:c r="A25" s="38" t="str">
        <x:v>pal_024</x:v>
      </x:c>
      <x:c r="B25" s="38" t="n">
        <x:v>2</x:v>
      </x:c>
      <x:c r="C25" s="38" t="str">
        <x:v>pT2</x:v>
      </x:c>
      <x:c r="D25" s="38" t="n">
        <x:v>85</x:v>
      </x:c>
      <x:c r="E25" s="38" t="n">
        <x:v>50</x:v>
      </x:c>
      <x:c r="F25" s="38" t="str">
        <x:v>来源对象 bz_van_024；主附魔 Fiery；真实来源地点数 10</x:v>
      </x:c>
    </x:row>
    <x:row r="26">
      <x:c r="A26" s="38" t="str">
        <x:v>pal_025</x:v>
      </x:c>
      <x:c r="B26" s="38" t="n">
        <x:v>1</x:v>
      </x:c>
      <x:c r="C26" s="38" t="str">
        <x:v>pT1</x:v>
      </x:c>
      <x:c r="D26" s="38" t="n">
        <x:v>100</x:v>
      </x:c>
      <x:c r="E26" s="38" t="n">
        <x:v>60</x:v>
      </x:c>
      <x:c r="F26" s="38" t="str">
        <x:v>来源对象 bz_van_025；主附魔 Golden；真实来源地点数 10</x:v>
      </x:c>
    </x:row>
    <x:row r="27">
      <x:c r="A27" s="38" t="str">
        <x:v>pal_026</x:v>
      </x:c>
      <x:c r="B27" s="38" t="n">
        <x:v>2</x:v>
      </x:c>
      <x:c r="C27" s="38" t="str">
        <x:v>pT2</x:v>
      </x:c>
      <x:c r="D27" s="38" t="n">
        <x:v>85</x:v>
      </x:c>
      <x:c r="E27" s="38" t="n">
        <x:v>50</x:v>
      </x:c>
      <x:c r="F27" s="38" t="str">
        <x:v>来源对象 bz_van_026；主附魔 Icy；真实来源地点数 10</x:v>
      </x:c>
    </x:row>
    <x:row r="28">
      <x:c r="A28" s="38" t="str">
        <x:v>pal_027</x:v>
      </x:c>
      <x:c r="B28" s="38" t="n">
        <x:v>1</x:v>
      </x:c>
      <x:c r="C28" s="38" t="str">
        <x:v>pT1</x:v>
      </x:c>
      <x:c r="D28" s="38" t="n">
        <x:v>100</x:v>
      </x:c>
      <x:c r="E28" s="38" t="n">
        <x:v>60</x:v>
      </x:c>
      <x:c r="F28" s="38" t="str">
        <x:v>来源对象 bz_van_027；主附魔 Turbo；真实来源地点数 10</x:v>
      </x:c>
    </x:row>
    <x:row r="29">
      <x:c r="A29" s="38" t="str">
        <x:v>pal_028</x:v>
      </x:c>
      <x:c r="B29" s="38" t="n">
        <x:v>1</x:v>
      </x:c>
      <x:c r="C29" s="38" t="str">
        <x:v>pT1</x:v>
      </x:c>
      <x:c r="D29" s="38" t="n">
        <x:v>100</x:v>
      </x:c>
      <x:c r="E29" s="38" t="n">
        <x:v>60</x:v>
      </x:c>
      <x:c r="F29" s="38" t="str">
        <x:v>来源对象 bz_van_028；主附魔 Restorative；真实来源地点数 10</x:v>
      </x:c>
    </x:row>
    <x:row r="30">
      <x:c r="A30" s="38" t="str">
        <x:v>pal_029</x:v>
      </x:c>
      <x:c r="B30" s="38" t="n">
        <x:v>1</x:v>
      </x:c>
      <x:c r="C30" s="38" t="str">
        <x:v>pT1</x:v>
      </x:c>
      <x:c r="D30" s="38" t="n">
        <x:v>100</x:v>
      </x:c>
      <x:c r="E30" s="38" t="n">
        <x:v>60</x:v>
      </x:c>
      <x:c r="F30" s="38" t="str">
        <x:v>来源对象 bz_van_029；主附魔 Shielded；真实来源地点数 10</x:v>
      </x:c>
    </x:row>
    <x:row r="31">
      <x:c r="A31" s="38" t="str">
        <x:v>pal_030</x:v>
      </x:c>
      <x:c r="B31" s="38" t="n">
        <x:v>1</x:v>
      </x:c>
      <x:c r="C31" s="38" t="str">
        <x:v>pT1</x:v>
      </x:c>
      <x:c r="D31" s="38" t="n">
        <x:v>100</x:v>
      </x:c>
      <x:c r="E31" s="38" t="n">
        <x:v>60</x:v>
      </x:c>
      <x:c r="F31" s="38" t="str">
        <x:v>来源对象 bz_van_030；主附魔 Shielded；真实来源地点数 10</x:v>
      </x:c>
    </x:row>
    <x:row r="32">
      <x:c r="A32" s="38" t="str">
        <x:v>pal_031</x:v>
      </x:c>
      <x:c r="B32" s="38" t="n">
        <x:v>4</x:v>
      </x:c>
      <x:c r="C32" s="38" t="str">
        <x:v>pT2</x:v>
      </x:c>
      <x:c r="D32" s="38" t="n">
        <x:v>85</x:v>
      </x:c>
      <x:c r="E32" s="38" t="n">
        <x:v>50</x:v>
      </x:c>
      <x:c r="F32" s="38" t="str">
        <x:v>来源对象 bz_van_031；主附魔 Icy；真实来源地点数 1</x:v>
      </x:c>
    </x:row>
    <x:row r="33">
      <x:c r="A33" s="38" t="str">
        <x:v>pal_032</x:v>
      </x:c>
      <x:c r="B33" s="38" t="n">
        <x:v>2</x:v>
      </x:c>
      <x:c r="C33" s="38" t="str">
        <x:v>pT2</x:v>
      </x:c>
      <x:c r="D33" s="38" t="n">
        <x:v>85</x:v>
      </x:c>
      <x:c r="E33" s="38" t="n">
        <x:v>50</x:v>
      </x:c>
      <x:c r="F33" s="38" t="str">
        <x:v>来源对象 bz_van_032；主附魔 Turbo；真实来源地点数 10</x:v>
      </x:c>
    </x:row>
    <x:row r="34">
      <x:c r="A34" s="38" t="str">
        <x:v>pal_033</x:v>
      </x:c>
      <x:c r="B34" s="38" t="n">
        <x:v>1</x:v>
      </x:c>
      <x:c r="C34" s="38" t="str">
        <x:v>pT1</x:v>
      </x:c>
      <x:c r="D34" s="38" t="n">
        <x:v>100</x:v>
      </x:c>
      <x:c r="E34" s="38" t="n">
        <x:v>60</x:v>
      </x:c>
      <x:c r="F34" s="38" t="str">
        <x:v>来源对象 bz_van_033；主附魔 Icy；真实来源地点数 10</x:v>
      </x:c>
    </x:row>
    <x:row r="35">
      <x:c r="A35" s="38" t="str">
        <x:v>pal_034</x:v>
      </x:c>
      <x:c r="B35" s="38" t="n">
        <x:v>2</x:v>
      </x:c>
      <x:c r="C35" s="38" t="str">
        <x:v>pT2</x:v>
      </x:c>
      <x:c r="D35" s="38" t="n">
        <x:v>85</x:v>
      </x:c>
      <x:c r="E35" s="38" t="n">
        <x:v>50</x:v>
      </x:c>
      <x:c r="F35" s="38" t="str">
        <x:v>来源对象 bz_van_034；主附魔 Deadly；真实来源地点数 10</x:v>
      </x:c>
    </x:row>
    <x:row r="36">
      <x:c r="A36" s="38" t="str">
        <x:v>pal_035</x:v>
      </x:c>
      <x:c r="B36" s="38" t="n">
        <x:v>4</x:v>
      </x:c>
      <x:c r="C36" s="38" t="str">
        <x:v>pT3</x:v>
      </x:c>
      <x:c r="D36" s="38" t="n">
        <x:v>65</x:v>
      </x:c>
      <x:c r="E36" s="38" t="n">
        <x:v>40</x:v>
      </x:c>
      <x:c r="F36" s="38" t="str">
        <x:v>来源对象 bz_van_035；主附魔 Turbo；真实来源地点数 10</x:v>
      </x:c>
    </x:row>
    <x:row r="37">
      <x:c r="A37" s="38" t="str">
        <x:v>pal_036</x:v>
      </x:c>
      <x:c r="B37" s="38" t="n">
        <x:v>2</x:v>
      </x:c>
      <x:c r="C37" s="38" t="str">
        <x:v>pT2</x:v>
      </x:c>
      <x:c r="D37" s="38" t="n">
        <x:v>85</x:v>
      </x:c>
      <x:c r="E37" s="38" t="n">
        <x:v>50</x:v>
      </x:c>
      <x:c r="F37" s="38" t="str">
        <x:v>来源对象 bz_van_036；主附魔 Fiery；真实来源地点数 10</x:v>
      </x:c>
    </x:row>
    <x:row r="38">
      <x:c r="A38" s="38" t="str">
        <x:v>pal_037</x:v>
      </x:c>
      <x:c r="B38" s="38" t="n">
        <x:v>2</x:v>
      </x:c>
      <x:c r="C38" s="38" t="str">
        <x:v>pT2</x:v>
      </x:c>
      <x:c r="D38" s="38" t="n">
        <x:v>85</x:v>
      </x:c>
      <x:c r="E38" s="38" t="n">
        <x:v>50</x:v>
      </x:c>
      <x:c r="F38" s="38" t="str">
        <x:v>来源对象 bz_van_037；主附魔 Icy；真实来源地点数 10</x:v>
      </x:c>
    </x:row>
    <x:row r="39">
      <x:c r="A39" s="38" t="str">
        <x:v>pal_038</x:v>
      </x:c>
      <x:c r="B39" s="38" t="n">
        <x:v>2</x:v>
      </x:c>
      <x:c r="C39" s="38" t="str">
        <x:v>pT2</x:v>
      </x:c>
      <x:c r="D39" s="38" t="n">
        <x:v>85</x:v>
      </x:c>
      <x:c r="E39" s="38" t="n">
        <x:v>50</x:v>
      </x:c>
      <x:c r="F39" s="38" t="str">
        <x:v>来源对象 bz_van_038；主附魔 Turbo；真实来源地点数 10</x:v>
      </x:c>
    </x:row>
    <x:row r="40">
      <x:c r="A40" s="38" t="str">
        <x:v>pal_039</x:v>
      </x:c>
      <x:c r="B40" s="38" t="n">
        <x:v>2</x:v>
      </x:c>
      <x:c r="C40" s="38" t="str">
        <x:v>pT2</x:v>
      </x:c>
      <x:c r="D40" s="38" t="n">
        <x:v>85</x:v>
      </x:c>
      <x:c r="E40" s="38" t="n">
        <x:v>50</x:v>
      </x:c>
      <x:c r="F40" s="38" t="str">
        <x:v>来源对象 bz_van_039；主附魔 Turbo；真实来源地点数 10</x:v>
      </x:c>
    </x:row>
    <x:row r="41">
      <x:c r="A41" s="38" t="str">
        <x:v>pal_040</x:v>
      </x:c>
      <x:c r="B41" s="38" t="n">
        <x:v>4</x:v>
      </x:c>
      <x:c r="C41" s="38" t="str">
        <x:v>pT3</x:v>
      </x:c>
      <x:c r="D41" s="38" t="n">
        <x:v>65</x:v>
      </x:c>
      <x:c r="E41" s="38" t="n">
        <x:v>40</x:v>
      </x:c>
      <x:c r="F41" s="38" t="str">
        <x:v>来源对象 bz_van_040；主附魔 Turbo；真实来源地点数 10</x:v>
      </x:c>
    </x:row>
    <x:row r="42">
      <x:c r="A42" s="38" t="str">
        <x:v>pal_041</x:v>
      </x:c>
      <x:c r="B42" s="38" t="n">
        <x:v>2</x:v>
      </x:c>
      <x:c r="C42" s="38" t="str">
        <x:v>pT2</x:v>
      </x:c>
      <x:c r="D42" s="38" t="n">
        <x:v>85</x:v>
      </x:c>
      <x:c r="E42" s="38" t="n">
        <x:v>50</x:v>
      </x:c>
      <x:c r="F42" s="38" t="str">
        <x:v>来源对象 bz_van_041；主附魔 Icy；真实来源地点数 10</x:v>
      </x:c>
    </x:row>
    <x:row r="43">
      <x:c r="A43" s="38" t="str">
        <x:v>pal_042</x:v>
      </x:c>
      <x:c r="B43" s="38" t="n">
        <x:v>1</x:v>
      </x:c>
      <x:c r="C43" s="38" t="str">
        <x:v>pT1</x:v>
      </x:c>
      <x:c r="D43" s="38" t="n">
        <x:v>100</x:v>
      </x:c>
      <x:c r="E43" s="38" t="n">
        <x:v>60</x:v>
      </x:c>
      <x:c r="F43" s="38" t="str">
        <x:v>来源对象 bz_van_042；主附魔 Deadly；真实来源地点数 10</x:v>
      </x:c>
    </x:row>
    <x:row r="44">
      <x:c r="A44" s="38" t="str">
        <x:v>pal_043</x:v>
      </x:c>
      <x:c r="B44" s="38" t="n">
        <x:v>4</x:v>
      </x:c>
      <x:c r="C44" s="38" t="str">
        <x:v>pT3</x:v>
      </x:c>
      <x:c r="D44" s="38" t="n">
        <x:v>65</x:v>
      </x:c>
      <x:c r="E44" s="38" t="n">
        <x:v>40</x:v>
      </x:c>
      <x:c r="F44" s="38" t="str">
        <x:v>来源对象 bz_van_043；主附魔 Icy；真实来源地点数 10</x:v>
      </x:c>
    </x:row>
    <x:row r="45">
      <x:c r="A45" s="38" t="str">
        <x:v>pal_044</x:v>
      </x:c>
      <x:c r="B45" s="38" t="n">
        <x:v>2</x:v>
      </x:c>
      <x:c r="C45" s="38" t="str">
        <x:v>pT2</x:v>
      </x:c>
      <x:c r="D45" s="38" t="n">
        <x:v>85</x:v>
      </x:c>
      <x:c r="E45" s="38" t="n">
        <x:v>50</x:v>
      </x:c>
      <x:c r="F45" s="38" t="str">
        <x:v>来源对象 bz_van_044；主附魔 Fiery；真实来源地点数 10</x:v>
      </x:c>
    </x:row>
    <x:row r="46">
      <x:c r="A46" s="38" t="str">
        <x:v>pal_045</x:v>
      </x:c>
      <x:c r="B46" s="38" t="n">
        <x:v>2</x:v>
      </x:c>
      <x:c r="C46" s="38" t="str">
        <x:v>pT2</x:v>
      </x:c>
      <x:c r="D46" s="38" t="n">
        <x:v>85</x:v>
      </x:c>
      <x:c r="E46" s="38" t="n">
        <x:v>50</x:v>
      </x:c>
      <x:c r="F46" s="38" t="str">
        <x:v>来源对象 bz_van_045；主附魔 Turbo；真实来源地点数 10</x:v>
      </x:c>
    </x:row>
    <x:row r="47">
      <x:c r="A47" s="38" t="str">
        <x:v>pal_046</x:v>
      </x:c>
      <x:c r="B47" s="38" t="n">
        <x:v>1</x:v>
      </x:c>
      <x:c r="C47" s="38" t="str">
        <x:v>pT1</x:v>
      </x:c>
      <x:c r="D47" s="38" t="n">
        <x:v>100</x:v>
      </x:c>
      <x:c r="E47" s="38" t="n">
        <x:v>60</x:v>
      </x:c>
      <x:c r="F47" s="38" t="str">
        <x:v>来源对象 bz_van_046；主附魔 Icy；真实来源地点数 10</x:v>
      </x:c>
    </x:row>
    <x:row r="48">
      <x:c r="A48" s="38" t="str">
        <x:v>pal_047</x:v>
      </x:c>
      <x:c r="B48" s="38" t="n">
        <x:v>1</x:v>
      </x:c>
      <x:c r="C48" s="38" t="str">
        <x:v>pT1</x:v>
      </x:c>
      <x:c r="D48" s="38" t="n">
        <x:v>100</x:v>
      </x:c>
      <x:c r="E48" s="38" t="n">
        <x:v>60</x:v>
      </x:c>
      <x:c r="F48" s="38" t="str">
        <x:v>来源对象 bz_van_047；主附魔 Turbo；真实来源地点数 10</x:v>
      </x:c>
    </x:row>
    <x:row r="49">
      <x:c r="A49" s="38" t="str">
        <x:v>pal_048</x:v>
      </x:c>
      <x:c r="B49" s="38" t="n">
        <x:v>4</x:v>
      </x:c>
      <x:c r="C49" s="38" t="str">
        <x:v>pT2</x:v>
      </x:c>
      <x:c r="D49" s="38" t="n">
        <x:v>85</x:v>
      </x:c>
      <x:c r="E49" s="38" t="n">
        <x:v>50</x:v>
      </x:c>
      <x:c r="F49" s="38" t="str">
        <x:v>来源对象 bz_van_048；主附魔 Deadly；真实来源地点数 1</x:v>
      </x:c>
    </x:row>
    <x:row r="50">
      <x:c r="A50" s="38" t="str">
        <x:v>pal_049</x:v>
      </x:c>
      <x:c r="B50" s="38" t="n">
        <x:v>1</x:v>
      </x:c>
      <x:c r="C50" s="38" t="str">
        <x:v>pT1</x:v>
      </x:c>
      <x:c r="D50" s="38" t="n">
        <x:v>100</x:v>
      </x:c>
      <x:c r="E50" s="38" t="n">
        <x:v>60</x:v>
      </x:c>
      <x:c r="F50" s="38" t="str">
        <x:v>来源对象 bz_van_049；主附魔 Turbo；真实来源地点数 10</x:v>
      </x:c>
    </x:row>
    <x:row r="51">
      <x:c r="A51" s="38" t="str">
        <x:v>pal_050</x:v>
      </x:c>
      <x:c r="B51" s="38" t="n">
        <x:v>1</x:v>
      </x:c>
      <x:c r="C51" s="38" t="str">
        <x:v>pT1</x:v>
      </x:c>
      <x:c r="D51" s="38" t="n">
        <x:v>100</x:v>
      </x:c>
      <x:c r="E51" s="38" t="n">
        <x:v>60</x:v>
      </x:c>
      <x:c r="F51" s="38" t="str">
        <x:v>来源对象 bz_van_050；主附魔 Deadly；真实来源地点数 10</x:v>
      </x:c>
    </x:row>
    <x:row r="52">
      <x:c r="A52" s="38" t="str">
        <x:v>pal_051</x:v>
      </x:c>
      <x:c r="B52" s="38" t="n">
        <x:v>1</x:v>
      </x:c>
      <x:c r="C52" s="38" t="str">
        <x:v>pT1</x:v>
      </x:c>
      <x:c r="D52" s="38" t="n">
        <x:v>100</x:v>
      </x:c>
      <x:c r="E52" s="38" t="n">
        <x:v>60</x:v>
      </x:c>
      <x:c r="F52" s="38" t="str">
        <x:v>来源对象 bz_van_051；主附魔 Icy；真实来源地点数 10</x:v>
      </x:c>
    </x:row>
    <x:row r="53">
      <x:c r="A53" s="38" t="str">
        <x:v>pal_052</x:v>
      </x:c>
      <x:c r="B53" s="38" t="n">
        <x:v>1</x:v>
      </x:c>
      <x:c r="C53" s="38" t="str">
        <x:v>pT1</x:v>
      </x:c>
      <x:c r="D53" s="38" t="n">
        <x:v>100</x:v>
      </x:c>
      <x:c r="E53" s="38" t="n">
        <x:v>60</x:v>
      </x:c>
      <x:c r="F53" s="38" t="str">
        <x:v>来源对象 bz_van_052；主附魔 Deadly；真实来源地点数 10</x:v>
      </x:c>
    </x:row>
    <x:row r="54">
      <x:c r="A54" s="38" t="str">
        <x:v>pal_053</x:v>
      </x:c>
      <x:c r="B54" s="38" t="n">
        <x:v>1</x:v>
      </x:c>
      <x:c r="C54" s="38" t="str">
        <x:v>pT1</x:v>
      </x:c>
      <x:c r="D54" s="38" t="n">
        <x:v>100</x:v>
      </x:c>
      <x:c r="E54" s="38" t="n">
        <x:v>60</x:v>
      </x:c>
      <x:c r="F54" s="38" t="str">
        <x:v>来源对象 bz_van_053；主附魔 Deadly；真实来源地点数 10</x:v>
      </x:c>
    </x:row>
    <x:row r="55">
      <x:c r="A55" s="38" t="str">
        <x:v>pal_054</x:v>
      </x:c>
      <x:c r="B55" s="38" t="n">
        <x:v>2</x:v>
      </x:c>
      <x:c r="C55" s="38" t="str">
        <x:v>pT2</x:v>
      </x:c>
      <x:c r="D55" s="38" t="n">
        <x:v>85</x:v>
      </x:c>
      <x:c r="E55" s="38" t="n">
        <x:v>50</x:v>
      </x:c>
      <x:c r="F55" s="38" t="str">
        <x:v>来源对象 bz_van_054；主附魔 Obsidian；真实来源地点数 10</x:v>
      </x:c>
    </x:row>
    <x:row r="56">
      <x:c r="A56" s="38" t="str">
        <x:v>pal_055</x:v>
      </x:c>
      <x:c r="B56" s="38" t="n">
        <x:v>2</x:v>
      </x:c>
      <x:c r="C56" s="38" t="str">
        <x:v>pT2</x:v>
      </x:c>
      <x:c r="D56" s="38" t="n">
        <x:v>85</x:v>
      </x:c>
      <x:c r="E56" s="38" t="n">
        <x:v>50</x:v>
      </x:c>
      <x:c r="F56" s="38" t="str">
        <x:v>来源对象 bz_van_055；主附魔 Turbo；真实来源地点数 10</x:v>
      </x:c>
    </x:row>
    <x:row r="57">
      <x:c r="A57" s="38" t="str">
        <x:v>pal_056</x:v>
      </x:c>
      <x:c r="B57" s="38" t="n">
        <x:v>1</x:v>
      </x:c>
      <x:c r="C57" s="38" t="str">
        <x:v>pT1</x:v>
      </x:c>
      <x:c r="D57" s="38" t="n">
        <x:v>100</x:v>
      </x:c>
      <x:c r="E57" s="38" t="n">
        <x:v>60</x:v>
      </x:c>
      <x:c r="F57" s="38" t="str">
        <x:v>来源对象 bz_van_056；主附魔 Deadly；真实来源地点数 10</x:v>
      </x:c>
    </x:row>
    <x:row r="58">
      <x:c r="A58" s="38" t="str">
        <x:v>pal_057</x:v>
      </x:c>
      <x:c r="B58" s="38" t="n">
        <x:v>2</x:v>
      </x:c>
      <x:c r="C58" s="38" t="str">
        <x:v>pT2</x:v>
      </x:c>
      <x:c r="D58" s="38" t="n">
        <x:v>85</x:v>
      </x:c>
      <x:c r="E58" s="38" t="n">
        <x:v>50</x:v>
      </x:c>
      <x:c r="F58" s="38" t="str">
        <x:v>来源对象 bz_van_057；主附魔 Icy；真实来源地点数 10</x:v>
      </x:c>
    </x:row>
    <x:row r="59">
      <x:c r="A59" s="38" t="str">
        <x:v>pal_058</x:v>
      </x:c>
      <x:c r="B59" s="38" t="n">
        <x:v>6</x:v>
      </x:c>
      <x:c r="C59" s="38" t="str">
        <x:v>pT4</x:v>
      </x:c>
      <x:c r="D59" s="38" t="n">
        <x:v>40</x:v>
      </x:c>
      <x:c r="E59" s="38" t="n">
        <x:v>25</x:v>
      </x:c>
      <x:c r="F59" s="38" t="str">
        <x:v>来源对象 bz_van_058；主附魔 Icy；真实来源地点数 10</x:v>
      </x:c>
    </x:row>
    <x:row r="60">
      <x:c r="A60" s="38" t="str">
        <x:v>pal_059</x:v>
      </x:c>
      <x:c r="B60" s="38" t="n">
        <x:v>1</x:v>
      </x:c>
      <x:c r="C60" s="38" t="str">
        <x:v>pT1</x:v>
      </x:c>
      <x:c r="D60" s="38" t="n">
        <x:v>100</x:v>
      </x:c>
      <x:c r="E60" s="38" t="n">
        <x:v>60</x:v>
      </x:c>
      <x:c r="F60" s="38" t="str">
        <x:v>来源对象 bz_van_059；主附魔 Icy；真实来源地点数 10</x:v>
      </x:c>
    </x:row>
    <x:row r="61">
      <x:c r="A61" s="38" t="str">
        <x:v>pal_060</x:v>
      </x:c>
      <x:c r="B61" s="38" t="n">
        <x:v>2</x:v>
      </x:c>
      <x:c r="C61" s="38" t="str">
        <x:v>pT2</x:v>
      </x:c>
      <x:c r="D61" s="38" t="n">
        <x:v>85</x:v>
      </x:c>
      <x:c r="E61" s="38" t="n">
        <x:v>50</x:v>
      </x:c>
      <x:c r="F61" s="38" t="str">
        <x:v>来源对象 bz_van_060；主附魔 Fiery；真实来源地点数 10</x:v>
      </x:c>
    </x:row>
    <x:row r="62">
      <x:c r="A62" s="38" t="str">
        <x:v>pal_061</x:v>
      </x:c>
      <x:c r="B62" s="38" t="n">
        <x:v>2</x:v>
      </x:c>
      <x:c r="C62" s="38" t="str">
        <x:v>pT2</x:v>
      </x:c>
      <x:c r="D62" s="38" t="n">
        <x:v>85</x:v>
      </x:c>
      <x:c r="E62" s="38" t="n">
        <x:v>50</x:v>
      </x:c>
      <x:c r="F62" s="38" t="str">
        <x:v>来源对象 bz_van_061；主附魔 Icy；真实来源地点数 10</x:v>
      </x:c>
    </x:row>
    <x:row r="63">
      <x:c r="A63" s="38" t="str">
        <x:v>pal_062</x:v>
      </x:c>
      <x:c r="B63" s="38" t="n">
        <x:v>2</x:v>
      </x:c>
      <x:c r="C63" s="38" t="str">
        <x:v>pT2</x:v>
      </x:c>
      <x:c r="D63" s="38" t="n">
        <x:v>85</x:v>
      </x:c>
      <x:c r="E63" s="38" t="n">
        <x:v>50</x:v>
      </x:c>
      <x:c r="F63" s="38" t="str">
        <x:v>来源对象 bz_van_062；主附魔 Turbo；真实来源地点数 10</x:v>
      </x:c>
    </x:row>
    <x:row r="64">
      <x:c r="A64" s="38" t="str">
        <x:v>pal_063</x:v>
      </x:c>
      <x:c r="B64" s="38" t="n">
        <x:v>1</x:v>
      </x:c>
      <x:c r="C64" s="38" t="str">
        <x:v>pT1</x:v>
      </x:c>
      <x:c r="D64" s="38" t="n">
        <x:v>100</x:v>
      </x:c>
      <x:c r="E64" s="38" t="n">
        <x:v>60</x:v>
      </x:c>
      <x:c r="F64" s="38" t="str">
        <x:v>来源对象 bz_van_063；主附魔 Toxic；真实来源地点数 10</x:v>
      </x:c>
    </x:row>
    <x:row r="65">
      <x:c r="A65" s="38" t="str">
        <x:v>pal_064</x:v>
      </x:c>
      <x:c r="B65" s="38" t="n">
        <x:v>2</x:v>
      </x:c>
      <x:c r="C65" s="38" t="str">
        <x:v>pT2</x:v>
      </x:c>
      <x:c r="D65" s="38" t="n">
        <x:v>85</x:v>
      </x:c>
      <x:c r="E65" s="38" t="n">
        <x:v>50</x:v>
      </x:c>
      <x:c r="F65" s="38" t="str">
        <x:v>来源对象 bz_van_064；主附魔 Turbo；真实来源地点数 10</x:v>
      </x:c>
    </x:row>
    <x:row r="66">
      <x:c r="A66" s="38" t="str">
        <x:v>pal_065</x:v>
      </x:c>
      <x:c r="B66" s="38" t="n">
        <x:v>2</x:v>
      </x:c>
      <x:c r="C66" s="38" t="str">
        <x:v>pT2</x:v>
      </x:c>
      <x:c r="D66" s="38" t="n">
        <x:v>85</x:v>
      </x:c>
      <x:c r="E66" s="38" t="n">
        <x:v>50</x:v>
      </x:c>
      <x:c r="F66" s="38" t="str">
        <x:v>来源对象 bz_van_065；主附魔 Icy；真实来源地点数 10</x:v>
      </x:c>
    </x:row>
    <x:row r="67">
      <x:c r="A67" s="38" t="str">
        <x:v>pal_066</x:v>
      </x:c>
      <x:c r="B67" s="38" t="n">
        <x:v>1</x:v>
      </x:c>
      <x:c r="C67" s="38" t="str">
        <x:v>pT1</x:v>
      </x:c>
      <x:c r="D67" s="38" t="n">
        <x:v>100</x:v>
      </x:c>
      <x:c r="E67" s="38" t="n">
        <x:v>60</x:v>
      </x:c>
      <x:c r="F67" s="38" t="str">
        <x:v>来源对象 bz_van_066；主附魔 Deadly；真实来源地点数 10</x:v>
      </x:c>
    </x:row>
    <x:row r="68">
      <x:c r="A68" s="38" t="str">
        <x:v>pal_067</x:v>
      </x:c>
      <x:c r="B68" s="38" t="n">
        <x:v>2</x:v>
      </x:c>
      <x:c r="C68" s="38" t="str">
        <x:v>pT2</x:v>
      </x:c>
      <x:c r="D68" s="38" t="n">
        <x:v>85</x:v>
      </x:c>
      <x:c r="E68" s="38" t="n">
        <x:v>50</x:v>
      </x:c>
      <x:c r="F68" s="38" t="str">
        <x:v>来源对象 bz_van_067；主附魔 Deadly；真实来源地点数 10</x:v>
      </x:c>
    </x:row>
    <x:row r="69">
      <x:c r="A69" s="38" t="str">
        <x:v>pal_068</x:v>
      </x:c>
      <x:c r="B69" s="38" t="n">
        <x:v>2</x:v>
      </x:c>
      <x:c r="C69" s="38" t="str">
        <x:v>pT2</x:v>
      </x:c>
      <x:c r="D69" s="38" t="n">
        <x:v>85</x:v>
      </x:c>
      <x:c r="E69" s="38" t="n">
        <x:v>50</x:v>
      </x:c>
      <x:c r="F69" s="38" t="str">
        <x:v>来源对象 bz_van_068；主附魔 Icy；真实来源地点数 10</x:v>
      </x:c>
    </x:row>
    <x:row r="70">
      <x:c r="A70" s="38" t="str">
        <x:v>pal_069</x:v>
      </x:c>
      <x:c r="B70" s="38" t="n">
        <x:v>1</x:v>
      </x:c>
      <x:c r="C70" s="38" t="str">
        <x:v>pT1</x:v>
      </x:c>
      <x:c r="D70" s="38" t="n">
        <x:v>100</x:v>
      </x:c>
      <x:c r="E70" s="38" t="n">
        <x:v>60</x:v>
      </x:c>
      <x:c r="F70" s="38" t="str">
        <x:v>来源对象 bz_van_069；主附魔 Deadly；真实来源地点数 10</x:v>
      </x:c>
    </x:row>
    <x:row r="71">
      <x:c r="A71" s="38" t="str">
        <x:v>pal_070</x:v>
      </x:c>
      <x:c r="B71" s="38" t="n">
        <x:v>1</x:v>
      </x:c>
      <x:c r="C71" s="38" t="str">
        <x:v>pT1</x:v>
      </x:c>
      <x:c r="D71" s="38" t="n">
        <x:v>100</x:v>
      </x:c>
      <x:c r="E71" s="38" t="n">
        <x:v>60</x:v>
      </x:c>
      <x:c r="F71" s="38" t="str">
        <x:v>来源对象 bz_van_070；主附魔 Restorative；真实来源地点数 10</x:v>
      </x:c>
    </x:row>
    <x:row r="72">
      <x:c r="A72" s="38" t="str">
        <x:v>pal_071</x:v>
      </x:c>
      <x:c r="B72" s="38" t="n">
        <x:v>1</x:v>
      </x:c>
      <x:c r="C72" s="38" t="str">
        <x:v>pT1</x:v>
      </x:c>
      <x:c r="D72" s="38" t="n">
        <x:v>100</x:v>
      </x:c>
      <x:c r="E72" s="38" t="n">
        <x:v>60</x:v>
      </x:c>
      <x:c r="F72" s="38" t="str">
        <x:v>来源对象 bz_van_071；主附魔 Fiery；真实来源地点数 10</x:v>
      </x:c>
    </x:row>
    <x:row r="73">
      <x:c r="A73" s="38" t="str">
        <x:v>pal_072</x:v>
      </x:c>
      <x:c r="B73" s="38" t="n">
        <x:v>4</x:v>
      </x:c>
      <x:c r="C73" s="38" t="str">
        <x:v>pT3</x:v>
      </x:c>
      <x:c r="D73" s="38" t="n">
        <x:v>65</x:v>
      </x:c>
      <x:c r="E73" s="38" t="n">
        <x:v>40</x:v>
      </x:c>
      <x:c r="F73" s="38" t="str">
        <x:v>来源对象 bz_van_072；主附魔 Fiery；真实来源地点数 10</x:v>
      </x:c>
    </x:row>
    <x:row r="74">
      <x:c r="A74" s="38" t="str">
        <x:v>pal_073</x:v>
      </x:c>
      <x:c r="B74" s="38" t="n">
        <x:v>2</x:v>
      </x:c>
      <x:c r="C74" s="38" t="str">
        <x:v>pT2</x:v>
      </x:c>
      <x:c r="D74" s="38" t="n">
        <x:v>85</x:v>
      </x:c>
      <x:c r="E74" s="38" t="n">
        <x:v>50</x:v>
      </x:c>
      <x:c r="F74" s="38" t="str">
        <x:v>来源对象 bz_van_073；主附魔 Golden；真实来源地点数 10</x:v>
      </x:c>
    </x:row>
    <x:row r="75">
      <x:c r="A75" s="38" t="str">
        <x:v>pal_074</x:v>
      </x:c>
      <x:c r="B75" s="38" t="n">
        <x:v>1</x:v>
      </x:c>
      <x:c r="C75" s="38" t="str">
        <x:v>pT1</x:v>
      </x:c>
      <x:c r="D75" s="38" t="n">
        <x:v>100</x:v>
      </x:c>
      <x:c r="E75" s="38" t="n">
        <x:v>60</x:v>
      </x:c>
      <x:c r="F75" s="38" t="str">
        <x:v>来源对象 bz_van_074；主附魔 Fiery；真实来源地点数 10</x:v>
      </x:c>
    </x:row>
    <x:row r="76">
      <x:c r="A76" s="38" t="str">
        <x:v>pal_075</x:v>
      </x:c>
      <x:c r="B76" s="38" t="n">
        <x:v>1</x:v>
      </x:c>
      <x:c r="C76" s="38" t="str">
        <x:v>pT1</x:v>
      </x:c>
      <x:c r="D76" s="38" t="n">
        <x:v>100</x:v>
      </x:c>
      <x:c r="E76" s="38" t="n">
        <x:v>60</x:v>
      </x:c>
      <x:c r="F76" s="38" t="str">
        <x:v>来源对象 bz_van_075；主附魔 Deadly；真实来源地点数 10</x:v>
      </x:c>
    </x:row>
    <x:row r="77">
      <x:c r="A77" s="38" t="str">
        <x:v>pal_076</x:v>
      </x:c>
      <x:c r="B77" s="38" t="n">
        <x:v>2</x:v>
      </x:c>
      <x:c r="C77" s="38" t="str">
        <x:v>pT2</x:v>
      </x:c>
      <x:c r="D77" s="38" t="n">
        <x:v>85</x:v>
      </x:c>
      <x:c r="E77" s="38" t="n">
        <x:v>50</x:v>
      </x:c>
      <x:c r="F77" s="38" t="str">
        <x:v>来源对象 bz_van_076；主附魔 Icy；真实来源地点数 10</x:v>
      </x:c>
    </x:row>
    <x:row r="78">
      <x:c r="A78" s="38" t="str">
        <x:v>pal_077</x:v>
      </x:c>
      <x:c r="B78" s="38" t="n">
        <x:v>2</x:v>
      </x:c>
      <x:c r="C78" s="38" t="str">
        <x:v>pT2</x:v>
      </x:c>
      <x:c r="D78" s="38" t="n">
        <x:v>85</x:v>
      </x:c>
      <x:c r="E78" s="38" t="n">
        <x:v>50</x:v>
      </x:c>
      <x:c r="F78" s="38" t="str">
        <x:v>来源对象 bz_van_077；主附魔 Fiery；真实来源地点数 10</x:v>
      </x:c>
    </x:row>
    <x:row r="79">
      <x:c r="A79" s="38" t="str">
        <x:v>pal_078</x:v>
      </x:c>
      <x:c r="B79" s="38" t="n">
        <x:v>1</x:v>
      </x:c>
      <x:c r="C79" s="38" t="str">
        <x:v>pT1</x:v>
      </x:c>
      <x:c r="D79" s="38" t="n">
        <x:v>100</x:v>
      </x:c>
      <x:c r="E79" s="38" t="n">
        <x:v>60</x:v>
      </x:c>
      <x:c r="F79" s="38" t="str">
        <x:v>来源对象 bz_van_078；主附魔 Deadly；真实来源地点数 10</x:v>
      </x:c>
    </x:row>
    <x:row r="80">
      <x:c r="A80" s="38" t="str">
        <x:v>pal_079</x:v>
      </x:c>
      <x:c r="B80" s="38" t="n">
        <x:v>2</x:v>
      </x:c>
      <x:c r="C80" s="38" t="str">
        <x:v>pT2</x:v>
      </x:c>
      <x:c r="D80" s="38" t="n">
        <x:v>85</x:v>
      </x:c>
      <x:c r="E80" s="38" t="n">
        <x:v>50</x:v>
      </x:c>
      <x:c r="F80" s="38" t="str">
        <x:v>来源对象 bz_van_079；主附魔 Shielded；真实来源地点数 10</x:v>
      </x:c>
    </x:row>
    <x:row r="81">
      <x:c r="A81" s="38" t="str">
        <x:v>pal_080</x:v>
      </x:c>
      <x:c r="B81" s="38" t="n">
        <x:v>2</x:v>
      </x:c>
      <x:c r="C81" s="38" t="str">
        <x:v>pT2</x:v>
      </x:c>
      <x:c r="D81" s="38" t="n">
        <x:v>85</x:v>
      </x:c>
      <x:c r="E81" s="38" t="n">
        <x:v>50</x:v>
      </x:c>
      <x:c r="F81" s="38" t="str">
        <x:v>来源对象 bz_van_080；主附魔 Icy；真实来源地点数 10</x:v>
      </x:c>
    </x:row>
    <x:row r="82">
      <x:c r="A82" s="38" t="str">
        <x:v>pal_081</x:v>
      </x:c>
      <x:c r="B82" s="38" t="n">
        <x:v>2</x:v>
      </x:c>
      <x:c r="C82" s="38" t="str">
        <x:v>pT2</x:v>
      </x:c>
      <x:c r="D82" s="38" t="n">
        <x:v>85</x:v>
      </x:c>
      <x:c r="E82" s="38" t="n">
        <x:v>50</x:v>
      </x:c>
      <x:c r="F82" s="38" t="str">
        <x:v>来源对象 bz_van_081；主附魔 Fiery；真实来源地点数 10</x:v>
      </x:c>
    </x:row>
    <x:row r="83">
      <x:c r="A83" s="38" t="str">
        <x:v>pal_082</x:v>
      </x:c>
      <x:c r="B83" s="38" t="n">
        <x:v>2</x:v>
      </x:c>
      <x:c r="C83" s="38" t="str">
        <x:v>pT2</x:v>
      </x:c>
      <x:c r="D83" s="38" t="n">
        <x:v>85</x:v>
      </x:c>
      <x:c r="E83" s="38" t="n">
        <x:v>50</x:v>
      </x:c>
      <x:c r="F83" s="38" t="str">
        <x:v>来源对象 bz_van_082；主附魔 Golden；真实来源地点数 10</x:v>
      </x:c>
    </x:row>
    <x:row r="84">
      <x:c r="A84" s="38" t="str">
        <x:v>pal_083</x:v>
      </x:c>
      <x:c r="B84" s="38" t="n">
        <x:v>1</x:v>
      </x:c>
      <x:c r="C84" s="38" t="str">
        <x:v>pT1</x:v>
      </x:c>
      <x:c r="D84" s="38" t="n">
        <x:v>100</x:v>
      </x:c>
      <x:c r="E84" s="38" t="n">
        <x:v>60</x:v>
      </x:c>
      <x:c r="F84" s="38" t="str">
        <x:v>来源对象 bz_van_083；主附魔 Turbo；真实来源地点数 10</x:v>
      </x:c>
    </x:row>
    <x:row r="85">
      <x:c r="A85" s="38" t="str">
        <x:v>pal_084</x:v>
      </x:c>
      <x:c r="B85" s="38" t="n">
        <x:v>1</x:v>
      </x:c>
      <x:c r="C85" s="38" t="str">
        <x:v>pT1</x:v>
      </x:c>
      <x:c r="D85" s="38" t="n">
        <x:v>100</x:v>
      </x:c>
      <x:c r="E85" s="38" t="n">
        <x:v>60</x:v>
      </x:c>
      <x:c r="F85" s="38" t="str">
        <x:v>来源对象 bz_van_084；主附魔 Fiery；真实来源地点数 10</x:v>
      </x:c>
    </x:row>
    <x:row r="86">
      <x:c r="A86" s="38" t="str">
        <x:v>pal_085</x:v>
      </x:c>
      <x:c r="B86" s="38" t="n">
        <x:v>1</x:v>
      </x:c>
      <x:c r="C86" s="38" t="str">
        <x:v>pT1</x:v>
      </x:c>
      <x:c r="D86" s="38" t="n">
        <x:v>100</x:v>
      </x:c>
      <x:c r="E86" s="38" t="n">
        <x:v>60</x:v>
      </x:c>
      <x:c r="F86" s="38" t="str">
        <x:v>来源对象 bz_van_085；主附魔 Deadly；真实来源地点数 10</x:v>
      </x:c>
    </x:row>
    <x:row r="87">
      <x:c r="A87" s="38" t="str">
        <x:v>pal_086</x:v>
      </x:c>
      <x:c r="B87" s="38" t="n">
        <x:v>4</x:v>
      </x:c>
      <x:c r="C87" s="38" t="str">
        <x:v>pT3</x:v>
      </x:c>
      <x:c r="D87" s="38" t="n">
        <x:v>65</x:v>
      </x:c>
      <x:c r="E87" s="38" t="n">
        <x:v>40</x:v>
      </x:c>
      <x:c r="F87" s="38" t="str">
        <x:v>来源对象 bz_van_086；主附魔 Turbo；真实来源地点数 10</x:v>
      </x:c>
    </x:row>
    <x:row r="88">
      <x:c r="A88" s="38" t="str">
        <x:v>pal_087</x:v>
      </x:c>
      <x:c r="B88" s="38" t="n">
        <x:v>1</x:v>
      </x:c>
      <x:c r="C88" s="38" t="str">
        <x:v>pT1</x:v>
      </x:c>
      <x:c r="D88" s="38" t="n">
        <x:v>100</x:v>
      </x:c>
      <x:c r="E88" s="38" t="n">
        <x:v>60</x:v>
      </x:c>
      <x:c r="F88" s="38" t="str">
        <x:v>来源对象 bz_van_087；主附魔 Turbo；真实来源地点数 10</x:v>
      </x:c>
    </x:row>
    <x:row r="89">
      <x:c r="A89" s="38" t="str">
        <x:v>pal_088</x:v>
      </x:c>
      <x:c r="B89" s="38" t="n">
        <x:v>4</x:v>
      </x:c>
      <x:c r="C89" s="38" t="str">
        <x:v>pT3</x:v>
      </x:c>
      <x:c r="D89" s="38" t="n">
        <x:v>65</x:v>
      </x:c>
      <x:c r="E89" s="38" t="n">
        <x:v>40</x:v>
      </x:c>
      <x:c r="F89" s="38" t="str">
        <x:v>来源对象 bz_van_088；主附魔 Deadly；真实来源地点数 10</x:v>
      </x:c>
    </x:row>
    <x:row r="90">
      <x:c r="A90" s="38" t="str">
        <x:v>pal_089</x:v>
      </x:c>
      <x:c r="B90" s="38" t="n">
        <x:v>1</x:v>
      </x:c>
      <x:c r="C90" s="38" t="str">
        <x:v>pT1</x:v>
      </x:c>
      <x:c r="D90" s="38" t="n">
        <x:v>100</x:v>
      </x:c>
      <x:c r="E90" s="38" t="n">
        <x:v>60</x:v>
      </x:c>
      <x:c r="F90" s="38" t="str">
        <x:v>来源对象 bz_van_089；主附魔 Fiery；真实来源地点数 10</x:v>
      </x:c>
    </x:row>
    <x:row r="91">
      <x:c r="A91" s="38" t="str">
        <x:v>pal_090</x:v>
      </x:c>
      <x:c r="B91" s="38" t="n">
        <x:v>2</x:v>
      </x:c>
      <x:c r="C91" s="38" t="str">
        <x:v>pT2</x:v>
      </x:c>
      <x:c r="D91" s="38" t="n">
        <x:v>85</x:v>
      </x:c>
      <x:c r="E91" s="38" t="n">
        <x:v>50</x:v>
      </x:c>
      <x:c r="F91" s="38" t="str">
        <x:v>来源对象 bz_van_090；主附魔 Turbo；真实来源地点数 10</x:v>
      </x:c>
    </x:row>
    <x:row r="92">
      <x:c r="A92" s="38" t="str">
        <x:v>pal_091</x:v>
      </x:c>
      <x:c r="B92" s="38" t="n">
        <x:v>1</x:v>
      </x:c>
      <x:c r="C92" s="38" t="str">
        <x:v>pT1</x:v>
      </x:c>
      <x:c r="D92" s="38" t="n">
        <x:v>100</x:v>
      </x:c>
      <x:c r="E92" s="38" t="n">
        <x:v>60</x:v>
      </x:c>
      <x:c r="F92" s="38" t="str">
        <x:v>来源对象 bz_van_091；主附魔 Deadly；真实来源地点数 10</x:v>
      </x:c>
    </x:row>
    <x:row r="93">
      <x:c r="A93" s="38" t="str">
        <x:v>pal_092</x:v>
      </x:c>
      <x:c r="B93" s="38" t="n">
        <x:v>4</x:v>
      </x:c>
      <x:c r="C93" s="38" t="str">
        <x:v>pT3</x:v>
      </x:c>
      <x:c r="D93" s="38" t="n">
        <x:v>65</x:v>
      </x:c>
      <x:c r="E93" s="38" t="n">
        <x:v>40</x:v>
      </x:c>
      <x:c r="F93" s="38" t="str">
        <x:v>来源对象 bz_van_092；主附魔 Fiery；真实来源地点数 10</x:v>
      </x:c>
    </x:row>
    <x:row r="94">
      <x:c r="A94" s="38" t="str">
        <x:v>pal_093</x:v>
      </x:c>
      <x:c r="B94" s="38" t="n">
        <x:v>2</x:v>
      </x:c>
      <x:c r="C94" s="38" t="str">
        <x:v>pT2</x:v>
      </x:c>
      <x:c r="D94" s="38" t="n">
        <x:v>85</x:v>
      </x:c>
      <x:c r="E94" s="38" t="n">
        <x:v>50</x:v>
      </x:c>
      <x:c r="F94" s="38" t="str">
        <x:v>来源对象 bz_van_093；主附魔 Toxic；真实来源地点数 10</x:v>
      </x:c>
    </x:row>
    <x:row r="95">
      <x:c r="A95" s="38" t="str">
        <x:v>pal_094</x:v>
      </x:c>
      <x:c r="B95" s="38" t="n">
        <x:v>1</x:v>
      </x:c>
      <x:c r="C95" s="38" t="str">
        <x:v>pT1</x:v>
      </x:c>
      <x:c r="D95" s="38" t="n">
        <x:v>100</x:v>
      </x:c>
      <x:c r="E95" s="38" t="n">
        <x:v>60</x:v>
      </x:c>
      <x:c r="F95" s="38" t="str">
        <x:v>来源对象 bz_van_094；主附魔 Deadly；真实来源地点数 10</x:v>
      </x:c>
    </x:row>
    <x:row r="96">
      <x:c r="A96" s="38" t="str">
        <x:v>pal_095</x:v>
      </x:c>
      <x:c r="B96" s="38" t="n">
        <x:v>2</x:v>
      </x:c>
      <x:c r="C96" s="38" t="str">
        <x:v>pT2</x:v>
      </x:c>
      <x:c r="D96" s="38" t="n">
        <x:v>85</x:v>
      </x:c>
      <x:c r="E96" s="38" t="n">
        <x:v>50</x:v>
      </x:c>
      <x:c r="F96" s="38" t="str">
        <x:v>来源对象 bz_van_095；主附魔 Deadly；真实来源地点数 10</x:v>
      </x:c>
    </x:row>
    <x:row r="97">
      <x:c r="A97" s="38" t="str">
        <x:v>pal_096</x:v>
      </x:c>
      <x:c r="B97" s="38" t="n">
        <x:v>1</x:v>
      </x:c>
      <x:c r="C97" s="38" t="str">
        <x:v>pT1</x:v>
      </x:c>
      <x:c r="D97" s="38" t="n">
        <x:v>100</x:v>
      </x:c>
      <x:c r="E97" s="38" t="n">
        <x:v>60</x:v>
      </x:c>
      <x:c r="F97" s="38" t="str">
        <x:v>来源对象 bz_van_096；主附魔 Deadly；真实来源地点数 10</x:v>
      </x:c>
    </x:row>
    <x:row r="98">
      <x:c r="A98" s="38" t="str">
        <x:v>pal_097</x:v>
      </x:c>
      <x:c r="B98" s="38" t="n">
        <x:v>1</x:v>
      </x:c>
      <x:c r="C98" s="38" t="str">
        <x:v>pT1</x:v>
      </x:c>
      <x:c r="D98" s="38" t="n">
        <x:v>100</x:v>
      </x:c>
      <x:c r="E98" s="38" t="n">
        <x:v>60</x:v>
      </x:c>
      <x:c r="F98" s="38" t="str">
        <x:v>来源对象 bz_van_097；主附魔 Deadly；真实来源地点数 10</x:v>
      </x:c>
    </x:row>
    <x:row r="99">
      <x:c r="A99" s="38" t="str">
        <x:v>pal_098</x:v>
      </x:c>
      <x:c r="B99" s="38" t="n">
        <x:v>4</x:v>
      </x:c>
      <x:c r="C99" s="38" t="str">
        <x:v>pT3</x:v>
      </x:c>
      <x:c r="D99" s="38" t="n">
        <x:v>65</x:v>
      </x:c>
      <x:c r="E99" s="38" t="n">
        <x:v>40</x:v>
      </x:c>
      <x:c r="F99" s="38" t="str">
        <x:v>来源对象 bz_van_098；主附魔 Turbo；真实来源地点数 10</x:v>
      </x:c>
    </x:row>
    <x:row r="100">
      <x:c r="A100" s="38" t="str">
        <x:v>pal_099</x:v>
      </x:c>
      <x:c r="B100" s="38" t="n">
        <x:v>2</x:v>
      </x:c>
      <x:c r="C100" s="38" t="str">
        <x:v>pT2</x:v>
      </x:c>
      <x:c r="D100" s="38" t="n">
        <x:v>85</x:v>
      </x:c>
      <x:c r="E100" s="38" t="n">
        <x:v>50</x:v>
      </x:c>
      <x:c r="F100" s="38" t="str">
        <x:v>来源对象 bz_van_099；主附魔 Toxic；真实来源地点数 10</x:v>
      </x:c>
    </x:row>
    <x:row r="101">
      <x:c r="A101" s="38" t="str">
        <x:v>pal_100</x:v>
      </x:c>
      <x:c r="B101" s="38" t="n">
        <x:v>1</x:v>
      </x:c>
      <x:c r="C101" s="38" t="str">
        <x:v>pT1</x:v>
      </x:c>
      <x:c r="D101" s="38" t="n">
        <x:v>100</x:v>
      </x:c>
      <x:c r="E101" s="38" t="n">
        <x:v>60</x:v>
      </x:c>
      <x:c r="F101" s="38" t="str">
        <x:v>来源对象 bz_van_100；主附魔 Shielded；真实来源地点数 10</x:v>
      </x:c>
    </x:row>
    <x:row r="102">
      <x:c r="A102" s="38" t="str">
        <x:v>pal_101</x:v>
      </x:c>
      <x:c r="B102" s="38" t="n">
        <x:v>2</x:v>
      </x:c>
      <x:c r="C102" s="38" t="str">
        <x:v>pT2</x:v>
      </x:c>
      <x:c r="D102" s="38" t="n">
        <x:v>85</x:v>
      </x:c>
      <x:c r="E102" s="38" t="n">
        <x:v>50</x:v>
      </x:c>
      <x:c r="F102" s="38" t="str">
        <x:v>来源对象 bz_van_101；主附魔 Icy；真实来源地点数 10</x:v>
      </x:c>
    </x:row>
    <x:row r="103">
      <x:c r="A103" s="38" t="str">
        <x:v>pal_102</x:v>
      </x:c>
      <x:c r="B103" s="38" t="n">
        <x:v>2</x:v>
      </x:c>
      <x:c r="C103" s="38" t="str">
        <x:v>pT2</x:v>
      </x:c>
      <x:c r="D103" s="38" t="n">
        <x:v>85</x:v>
      </x:c>
      <x:c r="E103" s="38" t="n">
        <x:v>50</x:v>
      </x:c>
      <x:c r="F103" s="38" t="str">
        <x:v>来源对象 bz_van_102；主附魔 Turbo；真实来源地点数 10</x:v>
      </x:c>
    </x:row>
    <x:row r="104">
      <x:c r="A104" s="38" t="str">
        <x:v>pal_103</x:v>
      </x:c>
      <x:c r="B104" s="38" t="n">
        <x:v>1</x:v>
      </x:c>
      <x:c r="C104" s="38" t="str">
        <x:v>pT1</x:v>
      </x:c>
      <x:c r="D104" s="38" t="n">
        <x:v>100</x:v>
      </x:c>
      <x:c r="E104" s="38" t="n">
        <x:v>60</x:v>
      </x:c>
      <x:c r="F104" s="38" t="str">
        <x:v>来源对象 bz_van_103；主附魔 Restorative；真实来源地点数 10</x:v>
      </x:c>
    </x:row>
    <x:row r="105">
      <x:c r="A105" s="38" t="str">
        <x:v>pal_104</x:v>
      </x:c>
      <x:c r="B105" s="38" t="n">
        <x:v>2</x:v>
      </x:c>
      <x:c r="C105" s="38" t="str">
        <x:v>pT2</x:v>
      </x:c>
      <x:c r="D105" s="38" t="n">
        <x:v>85</x:v>
      </x:c>
      <x:c r="E105" s="38" t="n">
        <x:v>50</x:v>
      </x:c>
      <x:c r="F105" s="38" t="str">
        <x:v>来源对象 bz_van_104；主附魔 Turbo；真实来源地点数 10</x:v>
      </x:c>
    </x:row>
    <x:row r="106">
      <x:c r="A106" s="38" t="str">
        <x:v>pal_105</x:v>
      </x:c>
      <x:c r="B106" s="38" t="n">
        <x:v>1</x:v>
      </x:c>
      <x:c r="C106" s="38" t="str">
        <x:v>pT1</x:v>
      </x:c>
      <x:c r="D106" s="38" t="n">
        <x:v>100</x:v>
      </x:c>
      <x:c r="E106" s="38" t="n">
        <x:v>60</x:v>
      </x:c>
      <x:c r="F106" s="38" t="str">
        <x:v>来源对象 bz_van_105；主附魔 Deadly；真实来源地点数 10</x:v>
      </x:c>
    </x:row>
    <x:row r="107">
      <x:c r="A107" s="38" t="str">
        <x:v>pal_106</x:v>
      </x:c>
      <x:c r="B107" s="38" t="n">
        <x:v>2</x:v>
      </x:c>
      <x:c r="C107" s="38" t="str">
        <x:v>pT2</x:v>
      </x:c>
      <x:c r="D107" s="38" t="n">
        <x:v>85</x:v>
      </x:c>
      <x:c r="E107" s="38" t="n">
        <x:v>50</x:v>
      </x:c>
      <x:c r="F107" s="38" t="str">
        <x:v>来源对象 bz_van_106；主附魔 Toxic；真实来源地点数 10</x:v>
      </x:c>
    </x:row>
    <x:row r="108">
      <x:c r="A108" s="38" t="str">
        <x:v>pal_107</x:v>
      </x:c>
      <x:c r="B108" s="38" t="n">
        <x:v>6</x:v>
      </x:c>
      <x:c r="C108" s="38" t="str">
        <x:v>pT4</x:v>
      </x:c>
      <x:c r="D108" s="38" t="n">
        <x:v>40</x:v>
      </x:c>
      <x:c r="E108" s="38" t="n">
        <x:v>25</x:v>
      </x:c>
      <x:c r="F108" s="38" t="str">
        <x:v>来源对象 bz_van_107；主附魔 Radiant；真实来源地点数 10</x:v>
      </x:c>
    </x:row>
    <x:row r="109">
      <x:c r="A109" s="38" t="str">
        <x:v>pal_108</x:v>
      </x:c>
      <x:c r="B109" s="38" t="n">
        <x:v>1</x:v>
      </x:c>
      <x:c r="C109" s="38" t="str">
        <x:v>pT1</x:v>
      </x:c>
      <x:c r="D109" s="38" t="n">
        <x:v>100</x:v>
      </x:c>
      <x:c r="E109" s="38" t="n">
        <x:v>60</x:v>
      </x:c>
      <x:c r="F109" s="38" t="str">
        <x:v>来源对象 bz_van_108；主附魔 Deadly；真实来源地点数 10</x:v>
      </x:c>
    </x:row>
    <x:row r="110">
      <x:c r="A110" s="38" t="str">
        <x:v>pal_109</x:v>
      </x:c>
      <x:c r="B110" s="38" t="n">
        <x:v>2</x:v>
      </x:c>
      <x:c r="C110" s="38" t="str">
        <x:v>pT2</x:v>
      </x:c>
      <x:c r="D110" s="38" t="n">
        <x:v>85</x:v>
      </x:c>
      <x:c r="E110" s="38" t="n">
        <x:v>50</x:v>
      </x:c>
      <x:c r="F110" s="38" t="str">
        <x:v>来源对象 bz_van_109；主附魔 Icy；真实来源地点数 10</x:v>
      </x:c>
    </x:row>
    <x:row r="111">
      <x:c r="A111" s="38" t="str">
        <x:v>pal_110</x:v>
      </x:c>
      <x:c r="B111" s="38" t="n">
        <x:v>1</x:v>
      </x:c>
      <x:c r="C111" s="38" t="str">
        <x:v>pT1</x:v>
      </x:c>
      <x:c r="D111" s="38" t="n">
        <x:v>100</x:v>
      </x:c>
      <x:c r="E111" s="38" t="n">
        <x:v>60</x:v>
      </x:c>
      <x:c r="F111" s="38" t="str">
        <x:v>来源对象 bz_van_110；主附魔 Deadly；真实来源地点数 10</x:v>
      </x:c>
    </x:row>
    <x:row r="112">
      <x:c r="A112" s="38" t="str">
        <x:v>pal_111</x:v>
      </x:c>
      <x:c r="B112" s="38" t="n">
        <x:v>1</x:v>
      </x:c>
      <x:c r="C112" s="38" t="str">
        <x:v>pT1</x:v>
      </x:c>
      <x:c r="D112" s="38" t="n">
        <x:v>100</x:v>
      </x:c>
      <x:c r="E112" s="38" t="n">
        <x:v>60</x:v>
      </x:c>
      <x:c r="F112" s="38" t="str">
        <x:v>来源对象 bz_van_111；主附魔 Deadly；真实来源地点数 10</x:v>
      </x:c>
    </x:row>
    <x:row r="113">
      <x:c r="A113" s="38" t="str">
        <x:v>pal_112</x:v>
      </x:c>
      <x:c r="B113" s="38" t="n">
        <x:v>4</x:v>
      </x:c>
      <x:c r="C113" s="38" t="str">
        <x:v>pT3</x:v>
      </x:c>
      <x:c r="D113" s="38" t="n">
        <x:v>65</x:v>
      </x:c>
      <x:c r="E113" s="38" t="n">
        <x:v>40</x:v>
      </x:c>
      <x:c r="F113" s="38" t="str">
        <x:v>来源对象 bz_van_112；主附魔 Fiery；真实来源地点数 10</x:v>
      </x:c>
    </x:row>
    <x:row r="114">
      <x:c r="A114" s="38" t="str">
        <x:v>pal_113</x:v>
      </x:c>
      <x:c r="B114" s="38" t="n">
        <x:v>4</x:v>
      </x:c>
      <x:c r="C114" s="38" t="str">
        <x:v>pT3</x:v>
      </x:c>
      <x:c r="D114" s="38" t="n">
        <x:v>65</x:v>
      </x:c>
      <x:c r="E114" s="38" t="n">
        <x:v>40</x:v>
      </x:c>
      <x:c r="F114" s="38" t="str">
        <x:v>来源对象 bz_van_113；主附魔 Deadly；真实来源地点数 10</x:v>
      </x:c>
    </x:row>
    <x:row r="115">
      <x:c r="A115" s="38" t="str">
        <x:v>pal_114</x:v>
      </x:c>
      <x:c r="B115" s="38" t="n">
        <x:v>4</x:v>
      </x:c>
      <x:c r="C115" s="38" t="str">
        <x:v>pT3</x:v>
      </x:c>
      <x:c r="D115" s="38" t="n">
        <x:v>65</x:v>
      </x:c>
      <x:c r="E115" s="38" t="n">
        <x:v>40</x:v>
      </x:c>
      <x:c r="F115" s="38" t="str">
        <x:v>来源对象 bz_van_114；主附魔 Icy；真实来源地点数 10</x:v>
      </x:c>
    </x:row>
    <x:row r="116">
      <x:c r="A116" s="38" t="str">
        <x:v>pal_115</x:v>
      </x:c>
      <x:c r="B116" s="38" t="n">
        <x:v>1</x:v>
      </x:c>
      <x:c r="C116" s="38" t="str">
        <x:v>pT1</x:v>
      </x:c>
      <x:c r="D116" s="38" t="n">
        <x:v>100</x:v>
      </x:c>
      <x:c r="E116" s="38" t="n">
        <x:v>60</x:v>
      </x:c>
      <x:c r="F116" s="38" t="str">
        <x:v>来源对象 bz_van_115；主附魔 Turbo；真实来源地点数 10</x:v>
      </x:c>
    </x:row>
    <x:row r="117">
      <x:c r="A117" s="38" t="str">
        <x:v>pal_116</x:v>
      </x:c>
      <x:c r="B117" s="38" t="n">
        <x:v>2</x:v>
      </x:c>
      <x:c r="C117" s="38" t="str">
        <x:v>pT2</x:v>
      </x:c>
      <x:c r="D117" s="38" t="n">
        <x:v>85</x:v>
      </x:c>
      <x:c r="E117" s="38" t="n">
        <x:v>50</x:v>
      </x:c>
      <x:c r="F117" s="38" t="str">
        <x:v>来源对象 bz_van_116；主附魔 Deadly；真实来源地点数 10</x:v>
      </x:c>
    </x:row>
    <x:row r="118">
      <x:c r="A118" s="38" t="str">
        <x:v>pal_117</x:v>
      </x:c>
      <x:c r="B118" s="38" t="n">
        <x:v>2</x:v>
      </x:c>
      <x:c r="C118" s="38" t="str">
        <x:v>pT2</x:v>
      </x:c>
      <x:c r="D118" s="38" t="n">
        <x:v>85</x:v>
      </x:c>
      <x:c r="E118" s="38" t="n">
        <x:v>50</x:v>
      </x:c>
      <x:c r="F118" s="38" t="str">
        <x:v>来源对象 bz_van_117；主附魔 Icy；真实来源地点数 10</x:v>
      </x:c>
    </x:row>
    <x:row r="119">
      <x:c r="A119" s="38" t="str">
        <x:v>pal_118</x:v>
      </x:c>
      <x:c r="B119" s="38" t="n">
        <x:v>2</x:v>
      </x:c>
      <x:c r="C119" s="38" t="str">
        <x:v>pT2</x:v>
      </x:c>
      <x:c r="D119" s="38" t="n">
        <x:v>85</x:v>
      </x:c>
      <x:c r="E119" s="38" t="n">
        <x:v>50</x:v>
      </x:c>
      <x:c r="F119" s="38" t="str">
        <x:v>来源对象 bz_van_118；主附魔 Turbo；真实来源地点数 10</x:v>
      </x:c>
    </x:row>
    <x:row r="120">
      <x:c r="A120" s="38" t="str">
        <x:v>pal_119</x:v>
      </x:c>
      <x:c r="B120" s="38" t="n">
        <x:v>2</x:v>
      </x:c>
      <x:c r="C120" s="38" t="str">
        <x:v>pT2</x:v>
      </x:c>
      <x:c r="D120" s="38" t="n">
        <x:v>85</x:v>
      </x:c>
      <x:c r="E120" s="38" t="n">
        <x:v>50</x:v>
      </x:c>
      <x:c r="F120" s="38" t="str">
        <x:v>来源对象 bz_van_119；主附魔 Turbo；真实来源地点数 10</x:v>
      </x:c>
    </x:row>
    <x:row r="121">
      <x:c r="A121" s="38" t="str">
        <x:v>pal_120</x:v>
      </x:c>
      <x:c r="B121" s="38" t="n">
        <x:v>4</x:v>
      </x:c>
      <x:c r="C121" s="38" t="str">
        <x:v>pT3</x:v>
      </x:c>
      <x:c r="D121" s="38" t="n">
        <x:v>65</x:v>
      </x:c>
      <x:c r="E121" s="38" t="n">
        <x:v>40</x:v>
      </x:c>
      <x:c r="F121" s="38" t="str">
        <x:v>来源对象 bz_van_120；主附魔 Restorative；真实来源地点数 10</x:v>
      </x:c>
    </x:row>
    <x:row r="122">
      <x:c r="A122" s="38" t="str">
        <x:v>pal_121</x:v>
      </x:c>
      <x:c r="B122" s="38" t="n">
        <x:v>1</x:v>
      </x:c>
      <x:c r="C122" s="38" t="str">
        <x:v>pT1</x:v>
      </x:c>
      <x:c r="D122" s="38" t="n">
        <x:v>100</x:v>
      </x:c>
      <x:c r="E122" s="38" t="n">
        <x:v>60</x:v>
      </x:c>
      <x:c r="F122" s="38" t="str">
        <x:v>来源对象 bz_van_121；主附魔 Deadly；真实来源地点数 10</x:v>
      </x:c>
    </x:row>
    <x:row r="123">
      <x:c r="A123" s="38" t="str">
        <x:v>pal_122</x:v>
      </x:c>
      <x:c r="B123" s="38" t="n">
        <x:v>4</x:v>
      </x:c>
      <x:c r="C123" s="38" t="str">
        <x:v>pT3</x:v>
      </x:c>
      <x:c r="D123" s="38" t="n">
        <x:v>65</x:v>
      </x:c>
      <x:c r="E123" s="38" t="n">
        <x:v>40</x:v>
      </x:c>
      <x:c r="F123" s="38" t="str">
        <x:v>来源对象 bz_van_122；主附魔 Restorative；真实来源地点数 10</x:v>
      </x:c>
    </x:row>
    <x:row r="124">
      <x:c r="A124" s="38" t="str">
        <x:v>pal_123</x:v>
      </x:c>
      <x:c r="B124" s="38" t="n">
        <x:v>4</x:v>
      </x:c>
      <x:c r="C124" s="38" t="str">
        <x:v>pT3</x:v>
      </x:c>
      <x:c r="D124" s="38" t="n">
        <x:v>65</x:v>
      </x:c>
      <x:c r="E124" s="38" t="n">
        <x:v>40</x:v>
      </x:c>
      <x:c r="F124" s="38" t="str">
        <x:v>来源对象 bz_van_123；主附魔 Deadly；真实来源地点数 10</x:v>
      </x:c>
    </x:row>
    <x:row r="125">
      <x:c r="A125" s="38" t="str">
        <x:v>pal_124</x:v>
      </x:c>
      <x:c r="B125" s="38" t="n">
        <x:v>4</x:v>
      </x:c>
      <x:c r="C125" s="38" t="str">
        <x:v>pT1</x:v>
      </x:c>
      <x:c r="D125" s="38" t="n">
        <x:v>100</x:v>
      </x:c>
      <x:c r="E125" s="38" t="n">
        <x:v>60</x:v>
      </x:c>
      <x:c r="F125" s="38" t="str">
        <x:v>来源对象 bz_van_124；主附魔 Deadly；真实来源地点数 1</x:v>
      </x:c>
    </x:row>
    <x:row r="126">
      <x:c r="A126" s="38" t="str">
        <x:v>pal_125</x:v>
      </x:c>
      <x:c r="B126" s="38" t="n">
        <x:v>2</x:v>
      </x:c>
      <x:c r="C126" s="38" t="str">
        <x:v>pT2</x:v>
      </x:c>
      <x:c r="D126" s="38" t="n">
        <x:v>85</x:v>
      </x:c>
      <x:c r="E126" s="38" t="n">
        <x:v>50</x:v>
      </x:c>
      <x:c r="F126" s="38" t="str">
        <x:v>来源对象 bz_van_125；主附魔 Deadly；真实来源地点数 10</x:v>
      </x:c>
    </x:row>
    <x:row r="127">
      <x:c r="A127" s="38" t="str">
        <x:v>pal_126</x:v>
      </x:c>
      <x:c r="B127" s="38" t="n">
        <x:v>4</x:v>
      </x:c>
      <x:c r="C127" s="38" t="str">
        <x:v>pT3</x:v>
      </x:c>
      <x:c r="D127" s="38" t="n">
        <x:v>65</x:v>
      </x:c>
      <x:c r="E127" s="38" t="n">
        <x:v>40</x:v>
      </x:c>
      <x:c r="F127" s="38" t="str">
        <x:v>来源对象 bz_van_126；主附魔 Turbo；真实来源地点数 10</x:v>
      </x:c>
    </x:row>
    <x:row r="128">
      <x:c r="A128" s="38" t="str">
        <x:v>pal_127</x:v>
      </x:c>
      <x:c r="B128" s="38" t="n">
        <x:v>2</x:v>
      </x:c>
      <x:c r="C128" s="38" t="str">
        <x:v>pT2</x:v>
      </x:c>
      <x:c r="D128" s="38" t="n">
        <x:v>85</x:v>
      </x:c>
      <x:c r="E128" s="38" t="n">
        <x:v>50</x:v>
      </x:c>
      <x:c r="F128" s="38" t="str">
        <x:v>来源对象 bz_van_127；主附魔 Fiery；真实来源地点数 10</x:v>
      </x:c>
    </x:row>
    <x:row r="129">
      <x:c r="A129" s="38" t="str">
        <x:v>pal_128</x:v>
      </x:c>
      <x:c r="B129" s="38" t="n">
        <x:v>4</x:v>
      </x:c>
      <x:c r="C129" s="38" t="str">
        <x:v>pT3</x:v>
      </x:c>
      <x:c r="D129" s="38" t="n">
        <x:v>65</x:v>
      </x:c>
      <x:c r="E129" s="38" t="n">
        <x:v>40</x:v>
      </x:c>
      <x:c r="F129" s="38" t="str">
        <x:v>来源对象 bz_van_128；主附魔 Icy；真实来源地点数 10</x:v>
      </x:c>
    </x:row>
    <x:row r="130">
      <x:c r="A130" s="38" t="str">
        <x:v>pal_129</x:v>
      </x:c>
      <x:c r="B130" s="38" t="n">
        <x:v>4</x:v>
      </x:c>
      <x:c r="C130" s="38" t="str">
        <x:v>pT3</x:v>
      </x:c>
      <x:c r="D130" s="38" t="n">
        <x:v>65</x:v>
      </x:c>
      <x:c r="E130" s="38" t="n">
        <x:v>40</x:v>
      </x:c>
      <x:c r="F130" s="38" t="str">
        <x:v>来源对象 bz_van_129；主附魔 Icy；真实来源地点数 10</x:v>
      </x:c>
    </x:row>
    <x:row r="131">
      <x:c r="A131" s="38" t="str">
        <x:v>pal_130</x:v>
      </x:c>
      <x:c r="B131" s="38" t="n">
        <x:v>4</x:v>
      </x:c>
      <x:c r="C131" s="38" t="str">
        <x:v>pT3</x:v>
      </x:c>
      <x:c r="D131" s="38" t="n">
        <x:v>65</x:v>
      </x:c>
      <x:c r="E131" s="38" t="n">
        <x:v>40</x:v>
      </x:c>
      <x:c r="F131" s="38" t="str">
        <x:v>来源对象 bz_van_130；主附魔 Turbo；真实来源地点数 10</x:v>
      </x:c>
    </x:row>
    <x:row r="132">
      <x:c r="A132" s="38" t="str">
        <x:v>pal_131</x:v>
      </x:c>
      <x:c r="B132" s="38" t="n">
        <x:v>2</x:v>
      </x:c>
      <x:c r="C132" s="38" t="str">
        <x:v>pT2</x:v>
      </x:c>
      <x:c r="D132" s="38" t="n">
        <x:v>85</x:v>
      </x:c>
      <x:c r="E132" s="38" t="n">
        <x:v>50</x:v>
      </x:c>
      <x:c r="F132" s="38" t="str">
        <x:v>来源对象 bz_van_131；主附魔 Deadly；真实来源地点数 10</x:v>
      </x:c>
    </x:row>
    <x:row r="133">
      <x:c r="A133" s="38" t="str">
        <x:v>pal_132</x:v>
      </x:c>
      <x:c r="B133" s="38" t="n">
        <x:v>1</x:v>
      </x:c>
      <x:c r="C133" s="38" t="str">
        <x:v>pT1</x:v>
      </x:c>
      <x:c r="D133" s="38" t="n">
        <x:v>100</x:v>
      </x:c>
      <x:c r="E133" s="38" t="n">
        <x:v>60</x:v>
      </x:c>
      <x:c r="F133" s="38" t="str">
        <x:v>来源对象 bz_van_132；主附魔 Fiery；真实来源地点数 10</x:v>
      </x:c>
    </x:row>
    <x:row r="134">
      <x:c r="A134" s="38" t="str">
        <x:v>pal_133</x:v>
      </x:c>
      <x:c r="B134" s="38" t="n">
        <x:v>2</x:v>
      </x:c>
      <x:c r="C134" s="38" t="str">
        <x:v>pT2</x:v>
      </x:c>
      <x:c r="D134" s="38" t="n">
        <x:v>85</x:v>
      </x:c>
      <x:c r="E134" s="38" t="n">
        <x:v>50</x:v>
      </x:c>
      <x:c r="F134" s="38" t="str">
        <x:v>来源对象 bz_van_133；主附魔 Deadly；真实来源地点数 10</x:v>
      </x:c>
    </x:row>
    <x:row r="135">
      <x:c r="A135" s="38" t="str">
        <x:v>pal_134</x:v>
      </x:c>
      <x:c r="B135" s="38" t="n">
        <x:v>2</x:v>
      </x:c>
      <x:c r="C135" s="38" t="str">
        <x:v>pT2</x:v>
      </x:c>
      <x:c r="D135" s="38" t="n">
        <x:v>85</x:v>
      </x:c>
      <x:c r="E135" s="38" t="n">
        <x:v>50</x:v>
      </x:c>
      <x:c r="F135" s="38" t="str">
        <x:v>来源对象 bz_van_134；主附魔 Turbo；真实来源地点数 10</x:v>
      </x:c>
    </x:row>
    <x:row r="136">
      <x:c r="A136" s="38" t="str">
        <x:v>pal_135</x:v>
      </x:c>
      <x:c r="B136" s="38" t="n">
        <x:v>2</x:v>
      </x:c>
      <x:c r="C136" s="38" t="str">
        <x:v>pT2</x:v>
      </x:c>
      <x:c r="D136" s="38" t="n">
        <x:v>85</x:v>
      </x:c>
      <x:c r="E136" s="38" t="n">
        <x:v>50</x:v>
      </x:c>
      <x:c r="F136" s="38" t="str">
        <x:v>来源对象 bz_van_135；主附魔 Fiery；真实来源地点数 10</x:v>
      </x:c>
    </x:row>
    <x:row r="137">
      <x:c r="A137" s="38" t="str">
        <x:v>pal_136</x:v>
      </x:c>
      <x:c r="B137" s="38" t="n">
        <x:v>1</x:v>
      </x:c>
      <x:c r="C137" s="38" t="str">
        <x:v>pT1</x:v>
      </x:c>
      <x:c r="D137" s="38" t="n">
        <x:v>100</x:v>
      </x:c>
      <x:c r="E137" s="38" t="n">
        <x:v>60</x:v>
      </x:c>
      <x:c r="F137" s="38" t="str">
        <x:v>来源对象 bz_van_136；主附魔 Turbo；真实来源地点数 10</x:v>
      </x:c>
    </x:row>
    <x:row r="138">
      <x:c r="A138" s="38" t="str">
        <x:v>pal_137</x:v>
      </x:c>
      <x:c r="B138" s="38" t="n">
        <x:v>1</x:v>
      </x:c>
      <x:c r="C138" s="38" t="str">
        <x:v>pT1</x:v>
      </x:c>
      <x:c r="D138" s="38" t="n">
        <x:v>100</x:v>
      </x:c>
      <x:c r="E138" s="38" t="n">
        <x:v>60</x:v>
      </x:c>
      <x:c r="F138" s="38" t="str">
        <x:v>来源对象 bz_van_137；主附魔 Icy；真实来源地点数 10</x:v>
      </x:c>
    </x:row>
    <x:row r="139">
      <x:c r="A139" s="38" t="str">
        <x:v>pal_138</x:v>
      </x:c>
      <x:c r="B139" s="38" t="n">
        <x:v>1</x:v>
      </x:c>
      <x:c r="C139" s="38" t="str">
        <x:v>pT1</x:v>
      </x:c>
      <x:c r="D139" s="38" t="n">
        <x:v>100</x:v>
      </x:c>
      <x:c r="E139" s="38" t="n">
        <x:v>60</x:v>
      </x:c>
      <x:c r="F139" s="38" t="str">
        <x:v>来源对象 bz_van_138；主附魔 Fiery；真实来源地点数 10</x:v>
      </x:c>
    </x:row>
    <x:row r="140">
      <x:c r="A140" s="38" t="str">
        <x:v>pal_139</x:v>
      </x:c>
      <x:c r="B140" s="38" t="n">
        <x:v>4</x:v>
      </x:c>
      <x:c r="C140" s="38" t="str">
        <x:v>pT3</x:v>
      </x:c>
      <x:c r="D140" s="38" t="n">
        <x:v>65</x:v>
      </x:c>
      <x:c r="E140" s="38" t="n">
        <x:v>40</x:v>
      </x:c>
      <x:c r="F140" s="38" t="str">
        <x:v>来源对象 bz_van_139；主附魔 Turbo；真实来源地点数 5</x:v>
      </x:c>
    </x:row>
    <x:row r="141">
      <x:c r="A141" s="38" t="str">
        <x:v>pal_140</x:v>
      </x:c>
      <x:c r="B141" s="38" t="n">
        <x:v>2</x:v>
      </x:c>
      <x:c r="C141" s="38" t="str">
        <x:v>pT2</x:v>
      </x:c>
      <x:c r="D141" s="38" t="n">
        <x:v>85</x:v>
      </x:c>
      <x:c r="E141" s="38" t="n">
        <x:v>50</x:v>
      </x:c>
      <x:c r="F141" s="38" t="str">
        <x:v>来源对象 bz_van_140；主附魔 Golden；真实来源地点数 4</x:v>
      </x:c>
    </x:row>
    <x:row r="142">
      <x:c r="A142" s="38" t="str">
        <x:v>pal_141</x:v>
      </x:c>
      <x:c r="B142" s="38" t="n">
        <x:v>1</x:v>
      </x:c>
      <x:c r="C142" s="38" t="str">
        <x:v>pT1</x:v>
      </x:c>
      <x:c r="D142" s="38" t="n">
        <x:v>100</x:v>
      </x:c>
      <x:c r="E142" s="38" t="n">
        <x:v>60</x:v>
      </x:c>
      <x:c r="F142" s="38" t="str">
        <x:v>来源对象 bz_van_141；主附魔 Restorative；真实来源地点数 6</x:v>
      </x:c>
    </x:row>
    <x:row r="143">
      <x:c r="A143" s="38" t="str">
        <x:v>pal_142</x:v>
      </x:c>
      <x:c r="B143" s="38" t="n">
        <x:v>1</x:v>
      </x:c>
      <x:c r="C143" s="38" t="str">
        <x:v>pT1</x:v>
      </x:c>
      <x:c r="D143" s="38" t="n">
        <x:v>100</x:v>
      </x:c>
      <x:c r="E143" s="38" t="n">
        <x:v>60</x:v>
      </x:c>
      <x:c r="F143" s="38" t="str">
        <x:v>来源对象 bz_van_142；主附魔 Deadly；真实来源地点数 5</x:v>
      </x:c>
    </x:row>
    <x:row r="144">
      <x:c r="A144" s="38" t="str">
        <x:v>pal_143</x:v>
      </x:c>
      <x:c r="B144" s="38" t="n">
        <x:v>2</x:v>
      </x:c>
      <x:c r="C144" s="38" t="str">
        <x:v>pT2</x:v>
      </x:c>
      <x:c r="D144" s="38" t="n">
        <x:v>85</x:v>
      </x:c>
      <x:c r="E144" s="38" t="n">
        <x:v>50</x:v>
      </x:c>
      <x:c r="F144" s="38" t="str">
        <x:v>来源对象 bz_van_143；主附魔 Shielded；真实来源地点数 5</x:v>
      </x:c>
    </x:row>
    <x:row r="145">
      <x:c r="A145" s="38" t="str">
        <x:v>pal_144</x:v>
      </x:c>
      <x:c r="B145" s="38" t="n">
        <x:v>4</x:v>
      </x:c>
      <x:c r="C145" s="38" t="str">
        <x:v>pT3</x:v>
      </x:c>
      <x:c r="D145" s="38" t="n">
        <x:v>65</x:v>
      </x:c>
      <x:c r="E145" s="38" t="n">
        <x:v>40</x:v>
      </x:c>
      <x:c r="F145" s="38" t="str">
        <x:v>来源对象 bz_van_144；主附魔 Turbo；真实来源地点数 4</x:v>
      </x:c>
    </x:row>
    <x:row r="146">
      <x:c r="A146" s="38" t="str">
        <x:v>pal_145</x:v>
      </x:c>
      <x:c r="B146" s="38" t="n">
        <x:v>2</x:v>
      </x:c>
      <x:c r="C146" s="38" t="str">
        <x:v>pT2</x:v>
      </x:c>
      <x:c r="D146" s="38" t="n">
        <x:v>85</x:v>
      </x:c>
      <x:c r="E146" s="38" t="n">
        <x:v>50</x:v>
      </x:c>
      <x:c r="F146" s="38" t="str">
        <x:v>来源对象 bz_van_145；主附魔 Deadly；真实来源地点数 4</x:v>
      </x:c>
    </x:row>
    <x:row r="147">
      <x:c r="A147" s="38" t="str">
        <x:v>pal_146</x:v>
      </x:c>
      <x:c r="B147" s="38" t="n">
        <x:v>2</x:v>
      </x:c>
      <x:c r="C147" s="38" t="str">
        <x:v>pT2</x:v>
      </x:c>
      <x:c r="D147" s="38" t="n">
        <x:v>85</x:v>
      </x:c>
      <x:c r="E147" s="38" t="n">
        <x:v>50</x:v>
      </x:c>
      <x:c r="F147" s="38" t="str">
        <x:v>来源对象 bz_van_146；主附魔 Turbo；真实来源地点数 6</x:v>
      </x:c>
    </x:row>
    <x:row r="148">
      <x:c r="A148" s="38" t="str">
        <x:v>pal_147</x:v>
      </x:c>
      <x:c r="B148" s="38" t="n">
        <x:v>6</x:v>
      </x:c>
      <x:c r="C148" s="38" t="str">
        <x:v>pT4</x:v>
      </x:c>
      <x:c r="D148" s="38" t="n">
        <x:v>40</x:v>
      </x:c>
      <x:c r="E148" s="38" t="n">
        <x:v>25</x:v>
      </x:c>
      <x:c r="F148" s="38" t="str">
        <x:v>来源对象 bz_van_147；主附魔 Deadly；真实来源地点数 3</x:v>
      </x:c>
    </x:row>
    <x:row r="149">
      <x:c r="A149" s="38" t="str">
        <x:v>pal_148</x:v>
      </x:c>
      <x:c r="B149" s="38" t="n">
        <x:v>4</x:v>
      </x:c>
      <x:c r="C149" s="38" t="str">
        <x:v>pT3</x:v>
      </x:c>
      <x:c r="D149" s="38" t="n">
        <x:v>65</x:v>
      </x:c>
      <x:c r="E149" s="38" t="n">
        <x:v>40</x:v>
      </x:c>
      <x:c r="F149" s="38" t="str">
        <x:v>来源对象 bz_van_148；主附魔 Deadly；真实来源地点数 4</x:v>
      </x:c>
    </x:row>
    <x:row r="150">
      <x:c r="A150" s="38" t="str">
        <x:v>pal_149</x:v>
      </x:c>
      <x:c r="B150" s="38" t="n">
        <x:v>2</x:v>
      </x:c>
      <x:c r="C150" s="38" t="str">
        <x:v>pT2</x:v>
      </x:c>
      <x:c r="D150" s="38" t="n">
        <x:v>85</x:v>
      </x:c>
      <x:c r="E150" s="38" t="n">
        <x:v>50</x:v>
      </x:c>
      <x:c r="F150" s="38" t="str">
        <x:v>来源对象 bz_van_149；主附魔 Turbo；真实来源地点数 5</x:v>
      </x:c>
    </x:row>
    <x:row r="151">
      <x:c r="A151" s="38" t="str">
        <x:v>pal_150</x:v>
      </x:c>
      <x:c r="B151" s="38" t="n">
        <x:v>2</x:v>
      </x:c>
      <x:c r="C151" s="38" t="str">
        <x:v>pT2</x:v>
      </x:c>
      <x:c r="D151" s="38" t="n">
        <x:v>85</x:v>
      </x:c>
      <x:c r="E151" s="38" t="n">
        <x:v>50</x:v>
      </x:c>
      <x:c r="F151" s="38" t="str">
        <x:v>来源对象 bz_van_150；主附魔 Turbo；真实来源地点数 5</x:v>
      </x:c>
    </x:row>
    <x:row r="152">
      <x:c r="A152" s="38" t="str">
        <x:v>pal_151</x:v>
      </x:c>
      <x:c r="B152" s="38" t="n">
        <x:v>4</x:v>
      </x:c>
      <x:c r="C152" s="38" t="str">
        <x:v>pT3</x:v>
      </x:c>
      <x:c r="D152" s="38" t="n">
        <x:v>65</x:v>
      </x:c>
      <x:c r="E152" s="38" t="n">
        <x:v>40</x:v>
      </x:c>
      <x:c r="F152" s="38" t="str">
        <x:v>来源对象 bz_van_151；主附魔 Deadly；真实来源地点数 4</x:v>
      </x:c>
    </x:row>
    <x:row r="153">
      <x:c r="A153" s="38" t="str">
        <x:v>pal_152</x:v>
      </x:c>
      <x:c r="B153" s="38" t="n">
        <x:v>4</x:v>
      </x:c>
      <x:c r="C153" s="38" t="str">
        <x:v>pT3</x:v>
      </x:c>
      <x:c r="D153" s="38" t="n">
        <x:v>65</x:v>
      </x:c>
      <x:c r="E153" s="38" t="n">
        <x:v>40</x:v>
      </x:c>
      <x:c r="F153" s="38" t="str">
        <x:v>来源对象 bz_van_152；主附魔 Icy；真实来源地点数 6</x:v>
      </x:c>
    </x:row>
    <x:row r="154">
      <x:c r="A154" s="38" t="str">
        <x:v>pal_153</x:v>
      </x:c>
      <x:c r="B154" s="38" t="n">
        <x:v>2</x:v>
      </x:c>
      <x:c r="C154" s="38" t="str">
        <x:v>pT2</x:v>
      </x:c>
      <x:c r="D154" s="38" t="n">
        <x:v>85</x:v>
      </x:c>
      <x:c r="E154" s="38" t="n">
        <x:v>50</x:v>
      </x:c>
      <x:c r="F154" s="38" t="str">
        <x:v>来源对象 bz_van_153；主附魔 Turbo；真实来源地点数 5</x:v>
      </x:c>
    </x:row>
    <x:row r="155">
      <x:c r="A155" s="38" t="str">
        <x:v>pal_154</x:v>
      </x:c>
      <x:c r="B155" s="38" t="n">
        <x:v>2</x:v>
      </x:c>
      <x:c r="C155" s="38" t="str">
        <x:v>pT2</x:v>
      </x:c>
      <x:c r="D155" s="38" t="n">
        <x:v>85</x:v>
      </x:c>
      <x:c r="E155" s="38" t="n">
        <x:v>50</x:v>
      </x:c>
      <x:c r="F155" s="38" t="str">
        <x:v>来源对象 bz_van_154；主附魔 Fiery；真实来源地点数 6</x:v>
      </x:c>
    </x:row>
    <x:row r="156">
      <x:c r="A156" s="38" t="str">
        <x:v>pal_155</x:v>
      </x:c>
      <x:c r="B156" s="38" t="n">
        <x:v>6</x:v>
      </x:c>
      <x:c r="C156" s="38" t="str">
        <x:v>pT4</x:v>
      </x:c>
      <x:c r="D156" s="38" t="n">
        <x:v>40</x:v>
      </x:c>
      <x:c r="E156" s="38" t="n">
        <x:v>25</x:v>
      </x:c>
      <x:c r="F156" s="38" t="str">
        <x:v>来源对象 bz_van_155；主附魔 Deadly；真实来源地点数 3</x:v>
      </x:c>
    </x:row>
    <x:row r="157">
      <x:c r="A157" s="38" t="str">
        <x:v>pal_156</x:v>
      </x:c>
      <x:c r="B157" s="38" t="n">
        <x:v>4</x:v>
      </x:c>
      <x:c r="C157" s="38" t="str">
        <x:v>pT3</x:v>
      </x:c>
      <x:c r="D157" s="38" t="n">
        <x:v>65</x:v>
      </x:c>
      <x:c r="E157" s="38" t="n">
        <x:v>40</x:v>
      </x:c>
      <x:c r="F157" s="38" t="str">
        <x:v>来源对象 bz_van_156；主附魔 Turbo；真实来源地点数 3</x:v>
      </x:c>
    </x:row>
    <x:row r="158">
      <x:c r="A158" s="38" t="str">
        <x:v>pal_157</x:v>
      </x:c>
      <x:c r="B158" s="38" t="n">
        <x:v>2</x:v>
      </x:c>
      <x:c r="C158" s="38" t="str">
        <x:v>pT2</x:v>
      </x:c>
      <x:c r="D158" s="38" t="n">
        <x:v>85</x:v>
      </x:c>
      <x:c r="E158" s="38" t="n">
        <x:v>50</x:v>
      </x:c>
      <x:c r="F158" s="38" t="str">
        <x:v>来源对象 bz_van_157；主附魔 Fiery；真实来源地点数 5</x:v>
      </x:c>
    </x:row>
    <x:row r="159">
      <x:c r="A159" s="38" t="str">
        <x:v>pal_158</x:v>
      </x:c>
      <x:c r="B159" s="38" t="n">
        <x:v>4</x:v>
      </x:c>
      <x:c r="C159" s="38" t="str">
        <x:v>pT3</x:v>
      </x:c>
      <x:c r="D159" s="38" t="n">
        <x:v>65</x:v>
      </x:c>
      <x:c r="E159" s="38" t="n">
        <x:v>40</x:v>
      </x:c>
      <x:c r="F159" s="38" t="str">
        <x:v>来源对象 bz_van_158；主附魔 Turbo；真实来源地点数 6</x:v>
      </x:c>
    </x:row>
    <x:row r="160">
      <x:c r="A160" s="38" t="str">
        <x:v>pal_159</x:v>
      </x:c>
      <x:c r="B160" s="38" t="n">
        <x:v>2</x:v>
      </x:c>
      <x:c r="C160" s="38" t="str">
        <x:v>pT2</x:v>
      </x:c>
      <x:c r="D160" s="38" t="n">
        <x:v>85</x:v>
      </x:c>
      <x:c r="E160" s="38" t="n">
        <x:v>50</x:v>
      </x:c>
      <x:c r="F160" s="38" t="str">
        <x:v>来源对象 bz_van_159；主附魔 Icy；真实来源地点数 6</x:v>
      </x:c>
    </x:row>
    <x:row r="161">
      <x:c r="A161" s="38" t="str">
        <x:v>pal_160</x:v>
      </x:c>
      <x:c r="B161" s="38" t="n">
        <x:v>4</x:v>
      </x:c>
      <x:c r="C161" s="38" t="str">
        <x:v>pT3</x:v>
      </x:c>
      <x:c r="D161" s="38" t="n">
        <x:v>65</x:v>
      </x:c>
      <x:c r="E161" s="38" t="n">
        <x:v>40</x:v>
      </x:c>
      <x:c r="F161" s="38" t="str">
        <x:v>来源对象 bz_van_160；主附魔 Icy；真实来源地点数 6</x:v>
      </x:c>
    </x:row>
    <x:row r="162">
      <x:c r="A162" s="38" t="str">
        <x:v>pal_161</x:v>
      </x:c>
      <x:c r="B162" s="38" t="n">
        <x:v>1</x:v>
      </x:c>
      <x:c r="C162" s="38" t="str">
        <x:v>pT1</x:v>
      </x:c>
      <x:c r="D162" s="38" t="n">
        <x:v>100</x:v>
      </x:c>
      <x:c r="E162" s="38" t="n">
        <x:v>60</x:v>
      </x:c>
      <x:c r="F162" s="38" t="str">
        <x:v>来源对象 bz_van_161；主附魔 Deadly；真实来源地点数 6</x:v>
      </x:c>
    </x:row>
    <x:row r="163">
      <x:c r="A163" s="38" t="str">
        <x:v>pal_162</x:v>
      </x:c>
      <x:c r="B163" s="38" t="n">
        <x:v>1</x:v>
      </x:c>
      <x:c r="C163" s="38" t="str">
        <x:v>pT1</x:v>
      </x:c>
      <x:c r="D163" s="38" t="n">
        <x:v>100</x:v>
      </x:c>
      <x:c r="E163" s="38" t="n">
        <x:v>60</x:v>
      </x:c>
      <x:c r="F163" s="38" t="str">
        <x:v>来源对象 bz_van_162；主附魔 Deadly；真实来源地点数 5</x:v>
      </x:c>
    </x:row>
    <x:row r="164">
      <x:c r="A164" s="38" t="str">
        <x:v>pal_163</x:v>
      </x:c>
      <x:c r="B164" s="38" t="n">
        <x:v>2</x:v>
      </x:c>
      <x:c r="C164" s="38" t="str">
        <x:v>pT2</x:v>
      </x:c>
      <x:c r="D164" s="38" t="n">
        <x:v>85</x:v>
      </x:c>
      <x:c r="E164" s="38" t="n">
        <x:v>50</x:v>
      </x:c>
      <x:c r="F164" s="38" t="str">
        <x:v>来源对象 bz_van_163；主附魔 Shielded；真实来源地点数 6</x:v>
      </x:c>
    </x:row>
    <x:row r="165">
      <x:c r="A165" s="38" t="str">
        <x:v>pal_164</x:v>
      </x:c>
      <x:c r="B165" s="38" t="n">
        <x:v>4</x:v>
      </x:c>
      <x:c r="C165" s="38" t="str">
        <x:v>pT3</x:v>
      </x:c>
      <x:c r="D165" s="38" t="n">
        <x:v>65</x:v>
      </x:c>
      <x:c r="E165" s="38" t="n">
        <x:v>40</x:v>
      </x:c>
      <x:c r="F165" s="38" t="str">
        <x:v>来源对象 bz_van_164；主附魔 Fiery；真实来源地点数 6</x:v>
      </x:c>
    </x:row>
    <x:row r="166">
      <x:c r="A166" s="38" t="str">
        <x:v>pal_165</x:v>
      </x:c>
      <x:c r="B166" s="38" t="n">
        <x:v>4</x:v>
      </x:c>
      <x:c r="C166" s="38" t="str">
        <x:v>pT3</x:v>
      </x:c>
      <x:c r="D166" s="38" t="n">
        <x:v>65</x:v>
      </x:c>
      <x:c r="E166" s="38" t="n">
        <x:v>40</x:v>
      </x:c>
      <x:c r="F166" s="38" t="str">
        <x:v>来源对象 bz_van_165；主附魔 Turbo；真实来源地点数 6</x:v>
      </x:c>
    </x:row>
    <x:row r="167">
      <x:c r="A167" s="38" t="str">
        <x:v>pal_166</x:v>
      </x:c>
      <x:c r="B167" s="38" t="n">
        <x:v>6</x:v>
      </x:c>
      <x:c r="C167" s="38" t="str">
        <x:v>pT4</x:v>
      </x:c>
      <x:c r="D167" s="38" t="n">
        <x:v>40</x:v>
      </x:c>
      <x:c r="E167" s="38" t="n">
        <x:v>25</x:v>
      </x:c>
      <x:c r="F167" s="38" t="str">
        <x:v>来源对象 bz_van_166；主附魔 Fiery；真实来源地点数 2</x:v>
      </x:c>
    </x:row>
    <x:row r="168">
      <x:c r="A168" s="38" t="str">
        <x:v>pal_167</x:v>
      </x:c>
      <x:c r="B168" s="38" t="n">
        <x:v>2</x:v>
      </x:c>
      <x:c r="C168" s="38" t="str">
        <x:v>pT2</x:v>
      </x:c>
      <x:c r="D168" s="38" t="n">
        <x:v>85</x:v>
      </x:c>
      <x:c r="E168" s="38" t="n">
        <x:v>50</x:v>
      </x:c>
      <x:c r="F168" s="38" t="str">
        <x:v>来源对象 bz_van_167；主附魔 Restorative；真实来源地点数 5</x:v>
      </x:c>
    </x:row>
    <x:row r="169">
      <x:c r="A169" s="38" t="str">
        <x:v>pal_168</x:v>
      </x:c>
      <x:c r="B169" s="38" t="n">
        <x:v>6</x:v>
      </x:c>
      <x:c r="C169" s="38" t="str">
        <x:v>pT4</x:v>
      </x:c>
      <x:c r="D169" s="38" t="n">
        <x:v>40</x:v>
      </x:c>
      <x:c r="E169" s="38" t="n">
        <x:v>25</x:v>
      </x:c>
      <x:c r="F169" s="38" t="str">
        <x:v>来源对象 bz_van_168；主附魔 Restorative；真实来源地点数 3</x:v>
      </x:c>
    </x:row>
    <x:row r="170">
      <x:c r="A170" s="38" t="str">
        <x:v>pal_169</x:v>
      </x:c>
      <x:c r="B170" s="38" t="n">
        <x:v>2</x:v>
      </x:c>
      <x:c r="C170" s="38" t="str">
        <x:v>pT2</x:v>
      </x:c>
      <x:c r="D170" s="38" t="n">
        <x:v>85</x:v>
      </x:c>
      <x:c r="E170" s="38" t="n">
        <x:v>50</x:v>
      </x:c>
      <x:c r="F170" s="38" t="str">
        <x:v>来源对象 bz_van_169；主附魔 Fiery；真实来源地点数 5</x:v>
      </x:c>
    </x:row>
    <x:row r="171">
      <x:c r="A171" s="38" t="str">
        <x:v>pal_170</x:v>
      </x:c>
      <x:c r="B171" s="38" t="n">
        <x:v>2</x:v>
      </x:c>
      <x:c r="C171" s="38" t="str">
        <x:v>pT2</x:v>
      </x:c>
      <x:c r="D171" s="38" t="n">
        <x:v>85</x:v>
      </x:c>
      <x:c r="E171" s="38" t="n">
        <x:v>50</x:v>
      </x:c>
      <x:c r="F171" s="38" t="str">
        <x:v>来源对象 bz_van_170；主附魔 Toxic；真实来源地点数 6</x:v>
      </x:c>
    </x:row>
    <x:row r="172">
      <x:c r="A172" s="38" t="str">
        <x:v>pal_171</x:v>
      </x:c>
      <x:c r="B172" s="38" t="n">
        <x:v>1</x:v>
      </x:c>
      <x:c r="C172" s="38" t="str">
        <x:v>pT1</x:v>
      </x:c>
      <x:c r="D172" s="38" t="n">
        <x:v>100</x:v>
      </x:c>
      <x:c r="E172" s="38" t="n">
        <x:v>60</x:v>
      </x:c>
      <x:c r="F172" s="38" t="str">
        <x:v>来源对象 bz_van_171；主附魔 Fiery；真实来源地点数 5</x:v>
      </x:c>
    </x:row>
    <x:row r="173">
      <x:c r="A173" s="38" t="str">
        <x:v>pal_172</x:v>
      </x:c>
      <x:c r="B173" s="38" t="n">
        <x:v>1</x:v>
      </x:c>
      <x:c r="C173" s="38" t="str">
        <x:v>pT1</x:v>
      </x:c>
      <x:c r="D173" s="38" t="n">
        <x:v>100</x:v>
      </x:c>
      <x:c r="E173" s="38" t="n">
        <x:v>60</x:v>
      </x:c>
      <x:c r="F173" s="38" t="str">
        <x:v>来源对象 bz_van_172；主附魔 Toxic；真实来源地点数 5</x:v>
      </x:c>
    </x:row>
    <x:row r="174">
      <x:c r="A174" s="38" t="str">
        <x:v>pal_173</x:v>
      </x:c>
      <x:c r="B174" s="38" t="n">
        <x:v>1</x:v>
      </x:c>
      <x:c r="C174" s="38" t="str">
        <x:v>pT1</x:v>
      </x:c>
      <x:c r="D174" s="38" t="n">
        <x:v>100</x:v>
      </x:c>
      <x:c r="E174" s="38" t="n">
        <x:v>60</x:v>
      </x:c>
      <x:c r="F174" s="38" t="str">
        <x:v>来源对象 bz_van_173；主附魔 Fiery；真实来源地点数 5</x:v>
      </x:c>
    </x:row>
    <x:row r="175">
      <x:c r="A175" s="38" t="str">
        <x:v>pal_174</x:v>
      </x:c>
      <x:c r="B175" s="38" t="n">
        <x:v>2</x:v>
      </x:c>
      <x:c r="C175" s="38" t="str">
        <x:v>pT2</x:v>
      </x:c>
      <x:c r="D175" s="38" t="n">
        <x:v>85</x:v>
      </x:c>
      <x:c r="E175" s="38" t="n">
        <x:v>50</x:v>
      </x:c>
      <x:c r="F175" s="38" t="str">
        <x:v>来源对象 bz_van_174；主附魔 Fiery；真实来源地点数 5</x:v>
      </x:c>
    </x:row>
    <x:row r="176">
      <x:c r="A176" s="38" t="str">
        <x:v>pal_175</x:v>
      </x:c>
      <x:c r="B176" s="38" t="n">
        <x:v>4</x:v>
      </x:c>
      <x:c r="C176" s="38" t="str">
        <x:v>pT3</x:v>
      </x:c>
      <x:c r="D176" s="38" t="n">
        <x:v>65</x:v>
      </x:c>
      <x:c r="E176" s="38" t="n">
        <x:v>40</x:v>
      </x:c>
      <x:c r="F176" s="38" t="str">
        <x:v>来源对象 bz_van_175；主附魔 Deadly；真实来源地点数 4</x:v>
      </x:c>
    </x:row>
    <x:row r="177">
      <x:c r="A177" s="38" t="str">
        <x:v>pal_176</x:v>
      </x:c>
      <x:c r="B177" s="38" t="n">
        <x:v>2</x:v>
      </x:c>
      <x:c r="C177" s="38" t="str">
        <x:v>pT2</x:v>
      </x:c>
      <x:c r="D177" s="38" t="n">
        <x:v>85</x:v>
      </x:c>
      <x:c r="E177" s="38" t="n">
        <x:v>50</x:v>
      </x:c>
      <x:c r="F177" s="38" t="str">
        <x:v>来源对象 bz_van_176；主附魔 Deadly；真实来源地点数 5</x:v>
      </x:c>
    </x:row>
    <x:row r="178">
      <x:c r="A178" s="38" t="str">
        <x:v>pal_177</x:v>
      </x:c>
      <x:c r="B178" s="38" t="n">
        <x:v>2</x:v>
      </x:c>
      <x:c r="C178" s="38" t="str">
        <x:v>pT2</x:v>
      </x:c>
      <x:c r="D178" s="38" t="n">
        <x:v>85</x:v>
      </x:c>
      <x:c r="E178" s="38" t="n">
        <x:v>50</x:v>
      </x:c>
      <x:c r="F178" s="38" t="str">
        <x:v>来源对象 bz_van_177；主附魔 Deadly；真实来源地点数 5</x:v>
      </x:c>
    </x:row>
    <x:row r="179">
      <x:c r="A179" s="38" t="str">
        <x:v>pal_178</x:v>
      </x:c>
      <x:c r="B179" s="38" t="n">
        <x:v>2</x:v>
      </x:c>
      <x:c r="C179" s="38" t="str">
        <x:v>pT2</x:v>
      </x:c>
      <x:c r="D179" s="38" t="n">
        <x:v>85</x:v>
      </x:c>
      <x:c r="E179" s="38" t="n">
        <x:v>50</x:v>
      </x:c>
      <x:c r="F179" s="38" t="str">
        <x:v>来源对象 bz_van_178；主附魔 Deadly；真实来源地点数 5</x:v>
      </x:c>
    </x:row>
    <x:row r="180">
      <x:c r="A180" s="38" t="str">
        <x:v>pal_179</x:v>
      </x:c>
      <x:c r="B180" s="38" t="n">
        <x:v>4</x:v>
      </x:c>
      <x:c r="C180" s="38" t="str">
        <x:v>pT3</x:v>
      </x:c>
      <x:c r="D180" s="38" t="n">
        <x:v>65</x:v>
      </x:c>
      <x:c r="E180" s="38" t="n">
        <x:v>40</x:v>
      </x:c>
      <x:c r="F180" s="38" t="str">
        <x:v>来源对象 bz_van_179；主附魔 Deadly；真实来源地点数 5</x:v>
      </x:c>
    </x:row>
    <x:row r="181">
      <x:c r="A181" s="38" t="str">
        <x:v>pal_180</x:v>
      </x:c>
      <x:c r="B181" s="38" t="n">
        <x:v>4</x:v>
      </x:c>
      <x:c r="C181" s="38" t="str">
        <x:v>pT3</x:v>
      </x:c>
      <x:c r="D181" s="38" t="n">
        <x:v>65</x:v>
      </x:c>
      <x:c r="E181" s="38" t="n">
        <x:v>40</x:v>
      </x:c>
      <x:c r="F181" s="38" t="str">
        <x:v>来源对象 bz_van_180；主附魔 Turbo；真实来源地点数 6</x:v>
      </x:c>
    </x:row>
    <x:row r="182">
      <x:c r="A182" s="38" t="str">
        <x:v>pal_181</x:v>
      </x:c>
      <x:c r="B182" s="38" t="n">
        <x:v>6</x:v>
      </x:c>
      <x:c r="C182" s="38" t="str">
        <x:v>pT4</x:v>
      </x:c>
      <x:c r="D182" s="38" t="n">
        <x:v>40</x:v>
      </x:c>
      <x:c r="E182" s="38" t="n">
        <x:v>25</x:v>
      </x:c>
      <x:c r="F182" s="38" t="str">
        <x:v>来源对象 bz_van_181；主附魔 Restorative；真实来源地点数 4</x:v>
      </x:c>
    </x:row>
    <x:row r="183">
      <x:c r="A183" s="38" t="str">
        <x:v>pal_182</x:v>
      </x:c>
      <x:c r="B183" s="38" t="n">
        <x:v>6</x:v>
      </x:c>
      <x:c r="C183" s="38" t="str">
        <x:v>pT4</x:v>
      </x:c>
      <x:c r="D183" s="38" t="n">
        <x:v>40</x:v>
      </x:c>
      <x:c r="E183" s="38" t="n">
        <x:v>25</x:v>
      </x:c>
      <x:c r="F183" s="38" t="str">
        <x:v>来源对象 bz_van_182；主附魔 Radiant；真实来源地点数 3</x:v>
      </x:c>
    </x:row>
    <x:row r="184">
      <x:c r="A184" s="38" t="str">
        <x:v>pal_183</x:v>
      </x:c>
      <x:c r="B184" s="38" t="n">
        <x:v>1</x:v>
      </x:c>
      <x:c r="C184" s="38" t="str">
        <x:v>pT1</x:v>
      </x:c>
      <x:c r="D184" s="38" t="n">
        <x:v>100</x:v>
      </x:c>
      <x:c r="E184" s="38" t="n">
        <x:v>60</x:v>
      </x:c>
      <x:c r="F184" s="38" t="str">
        <x:v>来源对象 bz_van_183；主附魔 Shielded；真实来源地点数 5</x:v>
      </x:c>
    </x:row>
    <x:row r="185">
      <x:c r="A185" s="38" t="str">
        <x:v>pal_184</x:v>
      </x:c>
      <x:c r="B185" s="38" t="n">
        <x:v>2</x:v>
      </x:c>
      <x:c r="C185" s="38" t="str">
        <x:v>pT2</x:v>
      </x:c>
      <x:c r="D185" s="38" t="n">
        <x:v>85</x:v>
      </x:c>
      <x:c r="E185" s="38" t="n">
        <x:v>50</x:v>
      </x:c>
      <x:c r="F185" s="38" t="str">
        <x:v>来源对象 bz_van_184；主附魔 Deadly；真实来源地点数 6</x:v>
      </x:c>
    </x:row>
    <x:row r="186">
      <x:c r="A186" s="38" t="str">
        <x:v>pal_185</x:v>
      </x:c>
      <x:c r="B186" s="38" t="n">
        <x:v>2</x:v>
      </x:c>
      <x:c r="C186" s="38" t="str">
        <x:v>pT2</x:v>
      </x:c>
      <x:c r="D186" s="38" t="n">
        <x:v>85</x:v>
      </x:c>
      <x:c r="E186" s="38" t="n">
        <x:v>50</x:v>
      </x:c>
      <x:c r="F186" s="38" t="str">
        <x:v>来源对象 bz_van_185；主附魔 Fiery；真实来源地点数 6</x:v>
      </x:c>
    </x:row>
    <x:row r="187">
      <x:c r="A187" s="38" t="str">
        <x:v>pal_186</x:v>
      </x:c>
      <x:c r="B187" s="38" t="n">
        <x:v>6</x:v>
      </x:c>
      <x:c r="C187" s="38" t="str">
        <x:v>pT4</x:v>
      </x:c>
      <x:c r="D187" s="38" t="n">
        <x:v>40</x:v>
      </x:c>
      <x:c r="E187" s="38" t="n">
        <x:v>25</x:v>
      </x:c>
      <x:c r="F187" s="38" t="str">
        <x:v>来源对象 bz_van_186；主附魔 Deadly；真实来源地点数 4</x:v>
      </x:c>
    </x:row>
    <x:row r="188">
      <x:c r="A188" s="38" t="str">
        <x:v>pal_187</x:v>
      </x:c>
      <x:c r="B188" s="38" t="n">
        <x:v>2</x:v>
      </x:c>
      <x:c r="C188" s="38" t="str">
        <x:v>pT2</x:v>
      </x:c>
      <x:c r="D188" s="38" t="n">
        <x:v>85</x:v>
      </x:c>
      <x:c r="E188" s="38" t="n">
        <x:v>50</x:v>
      </x:c>
      <x:c r="F188" s="38" t="str">
        <x:v>来源对象 bz_van_187；主附魔 Deadly；真实来源地点数 5</x:v>
      </x:c>
    </x:row>
    <x:row r="189">
      <x:c r="A189" s="38" t="str">
        <x:v>pal_188</x:v>
      </x:c>
      <x:c r="B189" s="38" t="n">
        <x:v>2</x:v>
      </x:c>
      <x:c r="C189" s="38" t="str">
        <x:v>pT2</x:v>
      </x:c>
      <x:c r="D189" s="38" t="n">
        <x:v>85</x:v>
      </x:c>
      <x:c r="E189" s="38" t="n">
        <x:v>50</x:v>
      </x:c>
      <x:c r="F189" s="38" t="str">
        <x:v>来源对象 bz_van_188；主附魔 Shielded；真实来源地点数 5</x:v>
      </x:c>
    </x:row>
    <x:row r="190">
      <x:c r="A190" s="38" t="str">
        <x:v>pal_189</x:v>
      </x:c>
      <x:c r="B190" s="38" t="n">
        <x:v>6</x:v>
      </x:c>
      <x:c r="C190" s="38" t="str">
        <x:v>pT4</x:v>
      </x:c>
      <x:c r="D190" s="38" t="n">
        <x:v>40</x:v>
      </x:c>
      <x:c r="E190" s="38" t="n">
        <x:v>25</x:v>
      </x:c>
      <x:c r="F190" s="38" t="str">
        <x:v>来源对象 bz_van_189；主附魔 Fiery；真实来源地点数 3</x:v>
      </x:c>
    </x:row>
    <x:row r="191">
      <x:c r="A191" s="38" t="str">
        <x:v>pal_190</x:v>
      </x:c>
      <x:c r="B191" s="38" t="n">
        <x:v>2</x:v>
      </x:c>
      <x:c r="C191" s="38" t="str">
        <x:v>pT2</x:v>
      </x:c>
      <x:c r="D191" s="38" t="n">
        <x:v>85</x:v>
      </x:c>
      <x:c r="E191" s="38" t="n">
        <x:v>50</x:v>
      </x:c>
      <x:c r="F191" s="38" t="str">
        <x:v>来源对象 bz_van_190；主附魔 Turbo；真实来源地点数 6</x:v>
      </x:c>
    </x:row>
    <x:row r="192">
      <x:c r="A192" s="38" t="str">
        <x:v>pal_191</x:v>
      </x:c>
      <x:c r="B192" s="38" t="n">
        <x:v>2</x:v>
      </x:c>
      <x:c r="C192" s="38" t="str">
        <x:v>pT2</x:v>
      </x:c>
      <x:c r="D192" s="38" t="n">
        <x:v>85</x:v>
      </x:c>
      <x:c r="E192" s="38" t="n">
        <x:v>50</x:v>
      </x:c>
      <x:c r="F192" s="38" t="str">
        <x:v>来源对象 bz_van_191；主附魔 Fiery；真实来源地点数 6</x:v>
      </x:c>
    </x:row>
    <x:row r="193">
      <x:c r="A193" s="38" t="str">
        <x:v>pal_192</x:v>
      </x:c>
      <x:c r="B193" s="38" t="n">
        <x:v>2</x:v>
      </x:c>
      <x:c r="C193" s="38" t="str">
        <x:v>pT2</x:v>
      </x:c>
      <x:c r="D193" s="38" t="n">
        <x:v>85</x:v>
      </x:c>
      <x:c r="E193" s="38" t="n">
        <x:v>50</x:v>
      </x:c>
      <x:c r="F193" s="38" t="str">
        <x:v>来源对象 bz_van_192；主附魔 Fiery；真实来源地点数 5</x:v>
      </x:c>
    </x:row>
    <x:row r="194">
      <x:c r="A194" s="38" t="str">
        <x:v>pal_193</x:v>
      </x:c>
      <x:c r="B194" s="38" t="n">
        <x:v>2</x:v>
      </x:c>
      <x:c r="C194" s="38" t="str">
        <x:v>pT2</x:v>
      </x:c>
      <x:c r="D194" s="38" t="n">
        <x:v>85</x:v>
      </x:c>
      <x:c r="E194" s="38" t="n">
        <x:v>50</x:v>
      </x:c>
      <x:c r="F194" s="38" t="str">
        <x:v>来源对象 bz_van_193；主附魔 Deadly；真实来源地点数 6</x:v>
      </x:c>
    </x:row>
    <x:row r="195">
      <x:c r="A195" s="38" t="str">
        <x:v>pal_194</x:v>
      </x:c>
      <x:c r="B195" s="38" t="n">
        <x:v>4</x:v>
      </x:c>
      <x:c r="C195" s="38" t="str">
        <x:v>pT3</x:v>
      </x:c>
      <x:c r="D195" s="38" t="n">
        <x:v>65</x:v>
      </x:c>
      <x:c r="E195" s="38" t="n">
        <x:v>40</x:v>
      </x:c>
      <x:c r="F195" s="38" t="str">
        <x:v>来源对象 bz_van_194；主附魔 Deadly；真实来源地点数 4</x:v>
      </x:c>
    </x:row>
    <x:row r="196">
      <x:c r="A196" s="38" t="str">
        <x:v>pal_195</x:v>
      </x:c>
      <x:c r="B196" s="38" t="n">
        <x:v>2</x:v>
      </x:c>
      <x:c r="C196" s="38" t="str">
        <x:v>pT2</x:v>
      </x:c>
      <x:c r="D196" s="38" t="n">
        <x:v>85</x:v>
      </x:c>
      <x:c r="E196" s="38" t="n">
        <x:v>50</x:v>
      </x:c>
      <x:c r="F196" s="38" t="str">
        <x:v>来源对象 bz_van_195；主附魔 Fiery；真实来源地点数 5</x:v>
      </x:c>
    </x:row>
    <x:row r="197">
      <x:c r="A197" s="38" t="str">
        <x:v>pal_196</x:v>
      </x:c>
      <x:c r="B197" s="38" t="n">
        <x:v>4</x:v>
      </x:c>
      <x:c r="C197" s="38" t="str">
        <x:v>pT3</x:v>
      </x:c>
      <x:c r="D197" s="38" t="n">
        <x:v>65</x:v>
      </x:c>
      <x:c r="E197" s="38" t="n">
        <x:v>40</x:v>
      </x:c>
      <x:c r="F197" s="38" t="str">
        <x:v>来源对象 bz_van_196；主附魔 Icy；真实来源地点数 6</x:v>
      </x:c>
    </x:row>
    <x:row r="198">
      <x:c r="A198" s="38" t="str">
        <x:v>pal_197</x:v>
      </x:c>
      <x:c r="B198" s="38" t="n">
        <x:v>6</x:v>
      </x:c>
      <x:c r="C198" s="38" t="str">
        <x:v>pT4</x:v>
      </x:c>
      <x:c r="D198" s="38" t="n">
        <x:v>40</x:v>
      </x:c>
      <x:c r="E198" s="38" t="n">
        <x:v>25</x:v>
      </x:c>
      <x:c r="F198" s="38" t="str">
        <x:v>来源对象 bz_van_197；主附魔 Icy；真实来源地点数 3</x:v>
      </x:c>
    </x:row>
    <x:row r="199">
      <x:c r="A199" s="38" t="str">
        <x:v>pal_198</x:v>
      </x:c>
      <x:c r="B199" s="38" t="n">
        <x:v>1</x:v>
      </x:c>
      <x:c r="C199" s="38" t="str">
        <x:v>pT1</x:v>
      </x:c>
      <x:c r="D199" s="38" t="n">
        <x:v>100</x:v>
      </x:c>
      <x:c r="E199" s="38" t="n">
        <x:v>60</x:v>
      </x:c>
      <x:c r="F199" s="38" t="str">
        <x:v>来源对象 bz_van_198；主附魔 Fiery；真实来源地点数 5</x:v>
      </x:c>
    </x:row>
    <x:row r="200">
      <x:c r="A200" s="38" t="str">
        <x:v>pal_199</x:v>
      </x:c>
      <x:c r="B200" s="38" t="n">
        <x:v>1</x:v>
      </x:c>
      <x:c r="C200" s="38" t="str">
        <x:v>pT1</x:v>
      </x:c>
      <x:c r="D200" s="38" t="n">
        <x:v>100</x:v>
      </x:c>
      <x:c r="E200" s="38" t="n">
        <x:v>60</x:v>
      </x:c>
      <x:c r="F200" s="38" t="str">
        <x:v>来源对象 bz_van_199；主附魔 Toxic；真实来源地点数 5</x:v>
      </x:c>
    </x:row>
    <x:row r="201">
      <x:c r="A201" s="38" t="str">
        <x:v>pal_200</x:v>
      </x:c>
      <x:c r="B201" s="38" t="n">
        <x:v>4</x:v>
      </x:c>
      <x:c r="C201" s="38" t="str">
        <x:v>pT3</x:v>
      </x:c>
      <x:c r="D201" s="38" t="n">
        <x:v>65</x:v>
      </x:c>
      <x:c r="E201" s="38" t="n">
        <x:v>40</x:v>
      </x:c>
      <x:c r="F201" s="38" t="str">
        <x:v>来源对象 bz_van_200；主附魔 Fiery；真实来源地点数 5</x:v>
      </x:c>
    </x:row>
    <x:row r="202">
      <x:c r="A202" s="38" t="str">
        <x:v>pal_201</x:v>
      </x:c>
      <x:c r="B202" s="38" t="n">
        <x:v>2</x:v>
      </x:c>
      <x:c r="C202" s="38" t="str">
        <x:v>pT2</x:v>
      </x:c>
      <x:c r="D202" s="38" t="n">
        <x:v>85</x:v>
      </x:c>
      <x:c r="E202" s="38" t="n">
        <x:v>50</x:v>
      </x:c>
      <x:c r="F202" s="38" t="str">
        <x:v>来源对象 bz_van_201；主附魔 Restorative；真实来源地点数 7</x:v>
      </x:c>
    </x:row>
    <x:row r="203">
      <x:c r="A203" s="38" t="str">
        <x:v>pal_202</x:v>
      </x:c>
      <x:c r="B203" s="38" t="n">
        <x:v>4</x:v>
      </x:c>
      <x:c r="C203" s="38" t="str">
        <x:v>pT3</x:v>
      </x:c>
      <x:c r="D203" s="38" t="n">
        <x:v>65</x:v>
      </x:c>
      <x:c r="E203" s="38" t="n">
        <x:v>40</x:v>
      </x:c>
      <x:c r="F203" s="38" t="str">
        <x:v>来源对象 bz_van_202；主附魔 Toxic；真实来源地点数 5</x:v>
      </x:c>
    </x:row>
    <x:row r="204">
      <x:c r="A204" s="38" t="str">
        <x:v>pal_203</x:v>
      </x:c>
      <x:c r="B204" s="38" t="n">
        <x:v>2</x:v>
      </x:c>
      <x:c r="C204" s="38" t="str">
        <x:v>pT2</x:v>
      </x:c>
      <x:c r="D204" s="38" t="n">
        <x:v>85</x:v>
      </x:c>
      <x:c r="E204" s="38" t="n">
        <x:v>50</x:v>
      </x:c>
      <x:c r="F204" s="38" t="str">
        <x:v>来源对象 bz_van_203；主附魔 Shielded；真实来源地点数 6</x:v>
      </x:c>
    </x:row>
    <x:row r="205">
      <x:c r="A205" s="38" t="str">
        <x:v>pal_204</x:v>
      </x:c>
      <x:c r="B205" s="38" t="n">
        <x:v>2</x:v>
      </x:c>
      <x:c r="C205" s="38" t="str">
        <x:v>pT2</x:v>
      </x:c>
      <x:c r="D205" s="38" t="n">
        <x:v>85</x:v>
      </x:c>
      <x:c r="E205" s="38" t="n">
        <x:v>50</x:v>
      </x:c>
      <x:c r="F205" s="38" t="str">
        <x:v>来源对象 bz_van_204；主附魔 Deadly；真实来源地点数 6</x:v>
      </x:c>
    </x:row>
    <x:row r="206">
      <x:c r="A206" s="38" t="str">
        <x:v>pal_205</x:v>
      </x:c>
      <x:c r="B206" s="38" t="n">
        <x:v>2</x:v>
      </x:c>
      <x:c r="C206" s="38" t="str">
        <x:v>pT2</x:v>
      </x:c>
      <x:c r="D206" s="38" t="n">
        <x:v>85</x:v>
      </x:c>
      <x:c r="E206" s="38" t="n">
        <x:v>50</x:v>
      </x:c>
      <x:c r="F206" s="38" t="str">
        <x:v>来源对象 bz_van_205；主附魔 Deadly；真实来源地点数 6</x:v>
      </x:c>
    </x:row>
    <x:row r="207">
      <x:c r="A207" s="38" t="str">
        <x:v>pal_206</x:v>
      </x:c>
      <x:c r="B207" s="38" t="n">
        <x:v>2</x:v>
      </x:c>
      <x:c r="C207" s="38" t="str">
        <x:v>pT2</x:v>
      </x:c>
      <x:c r="D207" s="38" t="n">
        <x:v>85</x:v>
      </x:c>
      <x:c r="E207" s="38" t="n">
        <x:v>50</x:v>
      </x:c>
      <x:c r="F207" s="38" t="str">
        <x:v>来源对象 bz_van_206；主附魔 Icy；真实来源地点数 5</x:v>
      </x:c>
    </x:row>
    <x:row r="208">
      <x:c r="A208" s="38" t="str">
        <x:v>pal_207</x:v>
      </x:c>
      <x:c r="B208" s="38" t="n">
        <x:v>1</x:v>
      </x:c>
      <x:c r="C208" s="38" t="str">
        <x:v>pT1</x:v>
      </x:c>
      <x:c r="D208" s="38" t="n">
        <x:v>100</x:v>
      </x:c>
      <x:c r="E208" s="38" t="n">
        <x:v>60</x:v>
      </x:c>
      <x:c r="F208" s="38" t="str">
        <x:v>来源对象 bz_van_207；主附魔 Toxic；真实来源地点数 5</x:v>
      </x:c>
    </x:row>
    <x:row r="209">
      <x:c r="A209" s="38" t="str">
        <x:v>pal_208</x:v>
      </x:c>
      <x:c r="B209" s="38" t="n">
        <x:v>2</x:v>
      </x:c>
      <x:c r="C209" s="38" t="str">
        <x:v>pT2</x:v>
      </x:c>
      <x:c r="D209" s="38" t="n">
        <x:v>85</x:v>
      </x:c>
      <x:c r="E209" s="38" t="n">
        <x:v>50</x:v>
      </x:c>
      <x:c r="F209" s="38" t="str">
        <x:v>来源对象 bz_van_208；主附魔 Icy；真实来源地点数 6</x:v>
      </x:c>
    </x:row>
    <x:row r="210">
      <x:c r="A210" s="38" t="str">
        <x:v>pal_209</x:v>
      </x:c>
      <x:c r="B210" s="38" t="n">
        <x:v>2</x:v>
      </x:c>
      <x:c r="C210" s="38" t="str">
        <x:v>pT2</x:v>
      </x:c>
      <x:c r="D210" s="38" t="n">
        <x:v>85</x:v>
      </x:c>
      <x:c r="E210" s="38" t="n">
        <x:v>50</x:v>
      </x:c>
      <x:c r="F210" s="38" t="str">
        <x:v>来源对象 bz_van_209；主附魔 Golden；真实来源地点数 5</x:v>
      </x:c>
    </x:row>
    <x:row r="211">
      <x:c r="A211" s="38" t="str">
        <x:v>pal_210</x:v>
      </x:c>
      <x:c r="B211" s="38" t="n">
        <x:v>1</x:v>
      </x:c>
      <x:c r="C211" s="38" t="str">
        <x:v>pT1</x:v>
      </x:c>
      <x:c r="D211" s="38" t="n">
        <x:v>100</x:v>
      </x:c>
      <x:c r="E211" s="38" t="n">
        <x:v>60</x:v>
      </x:c>
      <x:c r="F211" s="38" t="str">
        <x:v>来源对象 bz_van_210；主附魔 Deadly；真实来源地点数 5</x:v>
      </x:c>
    </x:row>
    <x:row r="212">
      <x:c r="A212" s="38" t="str">
        <x:v>pal_211</x:v>
      </x:c>
      <x:c r="B212" s="38" t="n">
        <x:v>6</x:v>
      </x:c>
      <x:c r="C212" s="38" t="str">
        <x:v>pT4</x:v>
      </x:c>
      <x:c r="D212" s="38" t="n">
        <x:v>40</x:v>
      </x:c>
      <x:c r="E212" s="38" t="n">
        <x:v>25</x:v>
      </x:c>
      <x:c r="F212" s="38" t="str">
        <x:v>来源对象 bz_van_211；主附魔 Turbo；真实来源地点数 3</x:v>
      </x:c>
    </x:row>
    <x:row r="213">
      <x:c r="A213" s="38" t="str">
        <x:v>pal_212</x:v>
      </x:c>
      <x:c r="B213" s="38" t="n">
        <x:v>2</x:v>
      </x:c>
      <x:c r="C213" s="38" t="str">
        <x:v>pT2</x:v>
      </x:c>
      <x:c r="D213" s="38" t="n">
        <x:v>85</x:v>
      </x:c>
      <x:c r="E213" s="38" t="n">
        <x:v>50</x:v>
      </x:c>
      <x:c r="F213" s="38" t="str">
        <x:v>来源对象 bz_van_212；主附魔 Restorative；真实来源地点数 5</x:v>
      </x:c>
    </x:row>
    <x:row r="214">
      <x:c r="A214" s="38" t="str">
        <x:v>pal_213</x:v>
      </x:c>
      <x:c r="B214" s="38" t="n">
        <x:v>1</x:v>
      </x:c>
      <x:c r="C214" s="38" t="str">
        <x:v>pT1</x:v>
      </x:c>
      <x:c r="D214" s="38" t="n">
        <x:v>100</x:v>
      </x:c>
      <x:c r="E214" s="38" t="n">
        <x:v>60</x:v>
      </x:c>
      <x:c r="F214" s="38" t="str">
        <x:v>来源对象 bz_van_213；主附魔 Deadly；真实来源地点数 5</x:v>
      </x:c>
    </x:row>
    <x:row r="215">
      <x:c r="A215" s="38" t="str">
        <x:v>pal_214</x:v>
      </x:c>
      <x:c r="B215" s="38" t="n">
        <x:v>1</x:v>
      </x:c>
      <x:c r="C215" s="38" t="str">
        <x:v>pT1</x:v>
      </x:c>
      <x:c r="D215" s="38" t="n">
        <x:v>100</x:v>
      </x:c>
      <x:c r="E215" s="38" t="n">
        <x:v>60</x:v>
      </x:c>
      <x:c r="F215" s="38" t="str">
        <x:v>来源对象 bz_van_214；主附魔 Deadly；真实来源地点数 5</x:v>
      </x:c>
    </x:row>
    <x:row r="216">
      <x:c r="A216" s="38" t="str">
        <x:v>pal_215</x:v>
      </x:c>
      <x:c r="B216" s="38" t="n">
        <x:v>4</x:v>
      </x:c>
      <x:c r="C216" s="38" t="str">
        <x:v>pT3</x:v>
      </x:c>
      <x:c r="D216" s="38" t="n">
        <x:v>65</x:v>
      </x:c>
      <x:c r="E216" s="38" t="n">
        <x:v>40</x:v>
      </x:c>
      <x:c r="F216" s="38" t="str">
        <x:v>来源对象 bz_van_215；主附魔 Turbo；真实来源地点数 4</x:v>
      </x:c>
    </x:row>
    <x:row r="217">
      <x:c r="A217" s="38" t="str">
        <x:v>pal_216</x:v>
      </x:c>
      <x:c r="B217" s="38" t="n">
        <x:v>2</x:v>
      </x:c>
      <x:c r="C217" s="38" t="str">
        <x:v>pT2</x:v>
      </x:c>
      <x:c r="D217" s="38" t="n">
        <x:v>85</x:v>
      </x:c>
      <x:c r="E217" s="38" t="n">
        <x:v>50</x:v>
      </x:c>
      <x:c r="F217" s="38" t="str">
        <x:v>来源对象 bz_van_216；主附魔 Turbo；真实来源地点数 4</x:v>
      </x:c>
    </x:row>
    <x:row r="218">
      <x:c r="A218" s="38" t="str">
        <x:v>pal_217</x:v>
      </x:c>
      <x:c r="B218" s="38" t="n">
        <x:v>2</x:v>
      </x:c>
      <x:c r="C218" s="38" t="str">
        <x:v>pT2</x:v>
      </x:c>
      <x:c r="D218" s="38" t="n">
        <x:v>85</x:v>
      </x:c>
      <x:c r="E218" s="38" t="n">
        <x:v>50</x:v>
      </x:c>
      <x:c r="F218" s="38" t="str">
        <x:v>来源对象 bz_van_217；主附魔 Golden；真实来源地点数 5</x:v>
      </x:c>
    </x:row>
    <x:row r="219">
      <x:c r="A219" s="38" t="str">
        <x:v>pal_218</x:v>
      </x:c>
      <x:c r="B219" s="38" t="n">
        <x:v>6</x:v>
      </x:c>
      <x:c r="C219" s="38" t="str">
        <x:v>pT4</x:v>
      </x:c>
      <x:c r="D219" s="38" t="n">
        <x:v>40</x:v>
      </x:c>
      <x:c r="E219" s="38" t="n">
        <x:v>25</x:v>
      </x:c>
      <x:c r="F219" s="38" t="str">
        <x:v>来源对象 bz_van_218；主附魔 Fiery；真实来源地点数 3</x:v>
      </x:c>
    </x:row>
    <x:row r="220">
      <x:c r="A220" s="38" t="str">
        <x:v>pal_219</x:v>
      </x:c>
      <x:c r="B220" s="38" t="n">
        <x:v>2</x:v>
      </x:c>
      <x:c r="C220" s="38" t="str">
        <x:v>pT2</x:v>
      </x:c>
      <x:c r="D220" s="38" t="n">
        <x:v>85</x:v>
      </x:c>
      <x:c r="E220" s="38" t="n">
        <x:v>50</x:v>
      </x:c>
      <x:c r="F220" s="38" t="str">
        <x:v>来源对象 bz_van_219；主附魔 Deadly；真实来源地点数 6</x:v>
      </x:c>
    </x:row>
    <x:row r="221">
      <x:c r="A221" s="38" t="str">
        <x:v>pal_220</x:v>
      </x:c>
      <x:c r="B221" s="38" t="n">
        <x:v>4</x:v>
      </x:c>
      <x:c r="C221" s="38" t="str">
        <x:v>pT3</x:v>
      </x:c>
      <x:c r="D221" s="38" t="n">
        <x:v>65</x:v>
      </x:c>
      <x:c r="E221" s="38" t="n">
        <x:v>40</x:v>
      </x:c>
      <x:c r="F221" s="38" t="str">
        <x:v>来源对象 bz_van_220；主附魔 Turbo；真实来源地点数 4</x:v>
      </x:c>
    </x:row>
    <x:row r="222">
      <x:c r="A222" s="38" t="str">
        <x:v>pal_221</x:v>
      </x:c>
      <x:c r="B222" s="38" t="n">
        <x:v>6</x:v>
      </x:c>
      <x:c r="C222" s="38" t="str">
        <x:v>pT4</x:v>
      </x:c>
      <x:c r="D222" s="38" t="n">
        <x:v>40</x:v>
      </x:c>
      <x:c r="E222" s="38" t="n">
        <x:v>25</x:v>
      </x:c>
      <x:c r="F222" s="38" t="str">
        <x:v>来源对象 bz_van_221；主附魔 Deadly；真实来源地点数 5</x:v>
      </x:c>
    </x:row>
    <x:row r="223">
      <x:c r="A223" s="38" t="str">
        <x:v>pal_222</x:v>
      </x:c>
      <x:c r="B223" s="38" t="n">
        <x:v>4</x:v>
      </x:c>
      <x:c r="C223" s="38" t="str">
        <x:v>pT3</x:v>
      </x:c>
      <x:c r="D223" s="38" t="n">
        <x:v>65</x:v>
      </x:c>
      <x:c r="E223" s="38" t="n">
        <x:v>40</x:v>
      </x:c>
      <x:c r="F223" s="38" t="str">
        <x:v>来源对象 bz_van_222；主附魔 Turbo；真实来源地点数 5</x:v>
      </x:c>
    </x:row>
    <x:row r="224">
      <x:c r="A224" s="38" t="str">
        <x:v>pal_223</x:v>
      </x:c>
      <x:c r="B224" s="38" t="n">
        <x:v>6</x:v>
      </x:c>
      <x:c r="C224" s="38" t="str">
        <x:v>pT4</x:v>
      </x:c>
      <x:c r="D224" s="38" t="n">
        <x:v>40</x:v>
      </x:c>
      <x:c r="E224" s="38" t="n">
        <x:v>25</x:v>
      </x:c>
      <x:c r="F224" s="38" t="str">
        <x:v>来源对象 bz_van_223；主附魔 Fiery；真实来源地点数 4</x:v>
      </x:c>
    </x:row>
    <x:row r="225">
      <x:c r="A225" s="38" t="str">
        <x:v>pal_224</x:v>
      </x:c>
      <x:c r="B225" s="38" t="n">
        <x:v>2</x:v>
      </x:c>
      <x:c r="C225" s="38" t="str">
        <x:v>pT2</x:v>
      </x:c>
      <x:c r="D225" s="38" t="n">
        <x:v>85</x:v>
      </x:c>
      <x:c r="E225" s="38" t="n">
        <x:v>50</x:v>
      </x:c>
      <x:c r="F225" s="38" t="str">
        <x:v>来源对象 bz_van_224；主附魔 Icy；真实来源地点数 5</x:v>
      </x:c>
    </x:row>
    <x:row r="226">
      <x:c r="A226" s="38" t="str">
        <x:v>pal_225</x:v>
      </x:c>
      <x:c r="B226" s="38" t="n">
        <x:v>2</x:v>
      </x:c>
      <x:c r="C226" s="38" t="str">
        <x:v>pT2</x:v>
      </x:c>
      <x:c r="D226" s="38" t="n">
        <x:v>85</x:v>
      </x:c>
      <x:c r="E226" s="38" t="n">
        <x:v>50</x:v>
      </x:c>
      <x:c r="F226" s="38" t="str">
        <x:v>来源对象 bz_van_225；主附魔 Deadly；真实来源地点数 5</x:v>
      </x:c>
    </x:row>
    <x:row r="227">
      <x:c r="A227" s="38" t="str">
        <x:v>pal_226</x:v>
      </x:c>
      <x:c r="B227" s="38" t="n">
        <x:v>2</x:v>
      </x:c>
      <x:c r="C227" s="38" t="str">
        <x:v>pT2</x:v>
      </x:c>
      <x:c r="D227" s="38" t="n">
        <x:v>85</x:v>
      </x:c>
      <x:c r="E227" s="38" t="n">
        <x:v>50</x:v>
      </x:c>
      <x:c r="F227" s="38" t="str">
        <x:v>来源对象 bz_van_226；主附魔 Turbo；真实来源地点数 6</x:v>
      </x:c>
    </x:row>
    <x:row r="228">
      <x:c r="A228" s="38" t="str">
        <x:v>pal_227</x:v>
      </x:c>
      <x:c r="B228" s="38" t="n">
        <x:v>4</x:v>
      </x:c>
      <x:c r="C228" s="38" t="str">
        <x:v>pT3</x:v>
      </x:c>
      <x:c r="D228" s="38" t="n">
        <x:v>65</x:v>
      </x:c>
      <x:c r="E228" s="38" t="n">
        <x:v>40</x:v>
      </x:c>
      <x:c r="F228" s="38" t="str">
        <x:v>来源对象 bz_van_227；主附魔 Icy；真实来源地点数 5</x:v>
      </x:c>
    </x:row>
    <x:row r="229">
      <x:c r="A229" s="38" t="str">
        <x:v>pal_228</x:v>
      </x:c>
      <x:c r="B229" s="38" t="n">
        <x:v>2</x:v>
      </x:c>
      <x:c r="C229" s="38" t="str">
        <x:v>pT2</x:v>
      </x:c>
      <x:c r="D229" s="38" t="n">
        <x:v>85</x:v>
      </x:c>
      <x:c r="E229" s="38" t="n">
        <x:v>50</x:v>
      </x:c>
      <x:c r="F229" s="38" t="str">
        <x:v>来源对象 bz_van_228；主附魔 Icy；真实来源地点数 6</x:v>
      </x:c>
    </x:row>
    <x:row r="230">
      <x:c r="A230" s="38" t="str">
        <x:v>pal_229</x:v>
      </x:c>
      <x:c r="B230" s="38" t="n">
        <x:v>4</x:v>
      </x:c>
      <x:c r="C230" s="38" t="str">
        <x:v>pT3</x:v>
      </x:c>
      <x:c r="D230" s="38" t="n">
        <x:v>65</x:v>
      </x:c>
      <x:c r="E230" s="38" t="n">
        <x:v>40</x:v>
      </x:c>
      <x:c r="F230" s="38" t="str">
        <x:v>来源对象 bz_van_229；主附魔 Deadly；真实来源地点数 5</x:v>
      </x:c>
    </x:row>
    <x:row r="231">
      <x:c r="A231" s="38" t="str">
        <x:v>pal_230</x:v>
      </x:c>
      <x:c r="B231" s="38" t="n">
        <x:v>1</x:v>
      </x:c>
      <x:c r="C231" s="38" t="str">
        <x:v>pT1</x:v>
      </x:c>
      <x:c r="D231" s="38" t="n">
        <x:v>100</x:v>
      </x:c>
      <x:c r="E231" s="38" t="n">
        <x:v>60</x:v>
      </x:c>
      <x:c r="F231" s="38" t="str">
        <x:v>来源对象 bz_van_230；主附魔 Deadly；真实来源地点数 5</x:v>
      </x:c>
    </x:row>
    <x:row r="232">
      <x:c r="A232" s="38" t="str">
        <x:v>pal_231</x:v>
      </x:c>
      <x:c r="B232" s="38" t="n">
        <x:v>2</x:v>
      </x:c>
      <x:c r="C232" s="38" t="str">
        <x:v>pT2</x:v>
      </x:c>
      <x:c r="D232" s="38" t="n">
        <x:v>85</x:v>
      </x:c>
      <x:c r="E232" s="38" t="n">
        <x:v>50</x:v>
      </x:c>
      <x:c r="F232" s="38" t="str">
        <x:v>来源对象 bz_van_231；主附魔 Toxic；真实来源地点数 5</x:v>
      </x:c>
    </x:row>
    <x:row r="233">
      <x:c r="A233" s="38" t="str">
        <x:v>pal_232</x:v>
      </x:c>
      <x:c r="B233" s="38" t="n">
        <x:v>4</x:v>
      </x:c>
      <x:c r="C233" s="38" t="str">
        <x:v>pT3</x:v>
      </x:c>
      <x:c r="D233" s="38" t="n">
        <x:v>65</x:v>
      </x:c>
      <x:c r="E233" s="38" t="n">
        <x:v>40</x:v>
      </x:c>
      <x:c r="F233" s="38" t="str">
        <x:v>来源对象 bz_van_232；主附魔 Deadly；真实来源地点数 5</x:v>
      </x:c>
    </x:row>
    <x:row r="234">
      <x:c r="A234" s="38" t="str">
        <x:v>pal_233</x:v>
      </x:c>
      <x:c r="B234" s="38" t="n">
        <x:v>4</x:v>
      </x:c>
      <x:c r="C234" s="38" t="str">
        <x:v>pT3</x:v>
      </x:c>
      <x:c r="D234" s="38" t="n">
        <x:v>65</x:v>
      </x:c>
      <x:c r="E234" s="38" t="n">
        <x:v>40</x:v>
      </x:c>
      <x:c r="F234" s="38" t="str">
        <x:v>来源对象 bz_van_233；主附魔 Turbo；真实来源地点数 4</x:v>
      </x:c>
    </x:row>
    <x:row r="235">
      <x:c r="A235" s="38" t="str">
        <x:v>pal_234</x:v>
      </x:c>
      <x:c r="B235" s="38" t="n">
        <x:v>2</x:v>
      </x:c>
      <x:c r="C235" s="38" t="str">
        <x:v>pT2</x:v>
      </x:c>
      <x:c r="D235" s="38" t="n">
        <x:v>85</x:v>
      </x:c>
      <x:c r="E235" s="38" t="n">
        <x:v>50</x:v>
      </x:c>
      <x:c r="F235" s="38" t="str">
        <x:v>来源对象 bz_van_234；主附魔 Icy；真实来源地点数 6</x:v>
      </x:c>
    </x:row>
    <x:row r="236">
      <x:c r="A236" s="38" t="str">
        <x:v>pal_235</x:v>
      </x:c>
      <x:c r="B236" s="38" t="n">
        <x:v>2</x:v>
      </x:c>
      <x:c r="C236" s="38" t="str">
        <x:v>pT2</x:v>
      </x:c>
      <x:c r="D236" s="38" t="n">
        <x:v>85</x:v>
      </x:c>
      <x:c r="E236" s="38" t="n">
        <x:v>50</x:v>
      </x:c>
      <x:c r="F236" s="38" t="str">
        <x:v>来源对象 bz_van_235；主附魔 Fiery；真实来源地点数 6</x:v>
      </x:c>
    </x:row>
    <x:row r="237">
      <x:c r="A237" s="38" t="str">
        <x:v>pal_236</x:v>
      </x:c>
      <x:c r="B237" s="38" t="n">
        <x:v>6</x:v>
      </x:c>
      <x:c r="C237" s="38" t="str">
        <x:v>pT4</x:v>
      </x:c>
      <x:c r="D237" s="38" t="n">
        <x:v>40</x:v>
      </x:c>
      <x:c r="E237" s="38" t="n">
        <x:v>25</x:v>
      </x:c>
      <x:c r="F237" s="38" t="str">
        <x:v>来源对象 bz_van_236；主附魔 Shiny；真实来源地点数 2</x:v>
      </x:c>
    </x:row>
    <x:row r="238">
      <x:c r="A238" s="38" t="str">
        <x:v>pal_237</x:v>
      </x:c>
      <x:c r="B238" s="38" t="n">
        <x:v>4</x:v>
      </x:c>
      <x:c r="C238" s="38" t="str">
        <x:v>pT3</x:v>
      </x:c>
      <x:c r="D238" s="38" t="n">
        <x:v>65</x:v>
      </x:c>
      <x:c r="E238" s="38" t="n">
        <x:v>40</x:v>
      </x:c>
      <x:c r="F238" s="38" t="str">
        <x:v>来源对象 bz_van_237；主附魔 Icy；真实来源地点数 5</x:v>
      </x:c>
    </x:row>
    <x:row r="239">
      <x:c r="A239" s="38" t="str">
        <x:v>pal_238</x:v>
      </x:c>
      <x:c r="B239" s="38" t="n">
        <x:v>1</x:v>
      </x:c>
      <x:c r="C239" s="38" t="str">
        <x:v>pT1</x:v>
      </x:c>
      <x:c r="D239" s="38" t="n">
        <x:v>100</x:v>
      </x:c>
      <x:c r="E239" s="38" t="n">
        <x:v>60</x:v>
      </x:c>
      <x:c r="F239" s="38" t="str">
        <x:v>来源对象 bz_van_238；主附魔 Shielded；真实来源地点数 5</x:v>
      </x:c>
    </x:row>
    <x:row r="240">
      <x:c r="A240" s="38" t="str">
        <x:v>pal_239</x:v>
      </x:c>
      <x:c r="B240" s="38" t="n">
        <x:v>6</x:v>
      </x:c>
      <x:c r="C240" s="38" t="str">
        <x:v>pT4</x:v>
      </x:c>
      <x:c r="D240" s="38" t="n">
        <x:v>40</x:v>
      </x:c>
      <x:c r="E240" s="38" t="n">
        <x:v>25</x:v>
      </x:c>
      <x:c r="F240" s="38" t="str">
        <x:v>来源对象 bz_van_239；主附魔 Turbo；真实来源地点数 3</x:v>
      </x:c>
    </x:row>
    <x:row r="241">
      <x:c r="A241" s="38" t="str">
        <x:v>pal_240</x:v>
      </x:c>
      <x:c r="B241" s="38" t="n">
        <x:v>2</x:v>
      </x:c>
      <x:c r="C241" s="38" t="str">
        <x:v>pT2</x:v>
      </x:c>
      <x:c r="D241" s="38" t="n">
        <x:v>85</x:v>
      </x:c>
      <x:c r="E241" s="38" t="n">
        <x:v>50</x:v>
      </x:c>
      <x:c r="F241" s="38" t="str">
        <x:v>来源对象 bz_van_240；主附魔 Mossy；真实来源地点数 5</x:v>
      </x:c>
    </x:row>
    <x:row r="242">
      <x:c r="A242" s="38" t="str">
        <x:v>pal_241</x:v>
      </x:c>
      <x:c r="B242" s="38" t="n">
        <x:v>4</x:v>
      </x:c>
      <x:c r="C242" s="38" t="str">
        <x:v>pT3</x:v>
      </x:c>
      <x:c r="D242" s="38" t="n">
        <x:v>65</x:v>
      </x:c>
      <x:c r="E242" s="38" t="n">
        <x:v>40</x:v>
      </x:c>
      <x:c r="F242" s="38" t="str">
        <x:v>来源对象 bz_van_241；主附魔 Obsidian；真实来源地点数 3</x:v>
      </x:c>
    </x:row>
    <x:row r="243">
      <x:c r="A243" s="38" t="str">
        <x:v>pal_242</x:v>
      </x:c>
      <x:c r="B243" s="38" t="n">
        <x:v>1</x:v>
      </x:c>
      <x:c r="C243" s="38" t="str">
        <x:v>pT1</x:v>
      </x:c>
      <x:c r="D243" s="38" t="n">
        <x:v>100</x:v>
      </x:c>
      <x:c r="E243" s="38" t="n">
        <x:v>60</x:v>
      </x:c>
      <x:c r="F243" s="38" t="str">
        <x:v>来源对象 bz_van_242；主附魔 Deadly；真实来源地点数 5</x:v>
      </x:c>
    </x:row>
    <x:row r="244">
      <x:c r="A244" s="38" t="str">
        <x:v>pal_243</x:v>
      </x:c>
      <x:c r="B244" s="38" t="n">
        <x:v>1</x:v>
      </x:c>
      <x:c r="C244" s="38" t="str">
        <x:v>pT1</x:v>
      </x:c>
      <x:c r="D244" s="38" t="n">
        <x:v>100</x:v>
      </x:c>
      <x:c r="E244" s="38" t="n">
        <x:v>60</x:v>
      </x:c>
      <x:c r="F244" s="38" t="str">
        <x:v>来源对象 bz_van_243；主附魔 Deadly；真实来源地点数 5</x:v>
      </x:c>
    </x:row>
    <x:row r="245">
      <x:c r="A245" s="38" t="str">
        <x:v>pal_244</x:v>
      </x:c>
      <x:c r="B245" s="38" t="n">
        <x:v>2</x:v>
      </x:c>
      <x:c r="C245" s="38" t="str">
        <x:v>pT2</x:v>
      </x:c>
      <x:c r="D245" s="38" t="n">
        <x:v>85</x:v>
      </x:c>
      <x:c r="E245" s="38" t="n">
        <x:v>50</x:v>
      </x:c>
      <x:c r="F245" s="38" t="str">
        <x:v>来源对象 bz_van_244；主附魔 Icy；真实来源地点数 6</x:v>
      </x:c>
    </x:row>
    <x:row r="246">
      <x:c r="A246" s="38" t="str">
        <x:v>pal_245</x:v>
      </x:c>
      <x:c r="B246" s="38" t="n">
        <x:v>4</x:v>
      </x:c>
      <x:c r="C246" s="38" t="str">
        <x:v>pT3</x:v>
      </x:c>
      <x:c r="D246" s="38" t="n">
        <x:v>65</x:v>
      </x:c>
      <x:c r="E246" s="38" t="n">
        <x:v>40</x:v>
      </x:c>
      <x:c r="F246" s="38" t="str">
        <x:v>来源对象 bz_van_245；主附魔 Icy；真实来源地点数 4</x:v>
      </x:c>
    </x:row>
    <x:row r="247">
      <x:c r="A247" s="38" t="str">
        <x:v>pal_246</x:v>
      </x:c>
      <x:c r="B247" s="38" t="n">
        <x:v>2</x:v>
      </x:c>
      <x:c r="C247" s="38" t="str">
        <x:v>pT2</x:v>
      </x:c>
      <x:c r="D247" s="38" t="n">
        <x:v>85</x:v>
      </x:c>
      <x:c r="E247" s="38" t="n">
        <x:v>50</x:v>
      </x:c>
      <x:c r="F247" s="38" t="str">
        <x:v>来源对象 bz_van_246；主附魔 Fiery；真实来源地点数 6</x:v>
      </x:c>
    </x:row>
    <x:row r="248">
      <x:c r="A248" s="38" t="str">
        <x:v>pal_247</x:v>
      </x:c>
      <x:c r="B248" s="38" t="n">
        <x:v>2</x:v>
      </x:c>
      <x:c r="C248" s="38" t="str">
        <x:v>pT2</x:v>
      </x:c>
      <x:c r="D248" s="38" t="n">
        <x:v>85</x:v>
      </x:c>
      <x:c r="E248" s="38" t="n">
        <x:v>50</x:v>
      </x:c>
      <x:c r="F248" s="38" t="str">
        <x:v>来源对象 bz_van_247；主附魔 Restorative；真实来源地点数 5</x:v>
      </x:c>
    </x:row>
    <x:row r="249">
      <x:c r="A249" s="38" t="str">
        <x:v>pal_248</x:v>
      </x:c>
      <x:c r="B249" s="38" t="n">
        <x:v>2</x:v>
      </x:c>
      <x:c r="C249" s="38" t="str">
        <x:v>pT2</x:v>
      </x:c>
      <x:c r="D249" s="38" t="n">
        <x:v>85</x:v>
      </x:c>
      <x:c r="E249" s="38" t="n">
        <x:v>50</x:v>
      </x:c>
      <x:c r="F249" s="38" t="str">
        <x:v>来源对象 bz_van_248；主附魔 Shielded；真实来源地点数 6</x:v>
      </x:c>
    </x:row>
    <x:row r="250">
      <x:c r="A250" s="38" t="str">
        <x:v>pal_249</x:v>
      </x:c>
      <x:c r="B250" s="38" t="n">
        <x:v>6</x:v>
      </x:c>
      <x:c r="C250" s="38" t="str">
        <x:v>pT4</x:v>
      </x:c>
      <x:c r="D250" s="38" t="n">
        <x:v>40</x:v>
      </x:c>
      <x:c r="E250" s="38" t="n">
        <x:v>25</x:v>
      </x:c>
      <x:c r="F250" s="38" t="str">
        <x:v>来源对象 bz_van_249；主附魔 Deadly；真实来源地点数 4</x:v>
      </x:c>
    </x:row>
    <x:row r="251">
      <x:c r="A251" s="38" t="str">
        <x:v>pal_250</x:v>
      </x:c>
      <x:c r="B251" s="38" t="n">
        <x:v>2</x:v>
      </x:c>
      <x:c r="C251" s="38" t="str">
        <x:v>pT2</x:v>
      </x:c>
      <x:c r="D251" s="38" t="n">
        <x:v>85</x:v>
      </x:c>
      <x:c r="E251" s="38" t="n">
        <x:v>50</x:v>
      </x:c>
      <x:c r="F251" s="38" t="str">
        <x:v>来源对象 bz_van_250；主附魔 Icy；真实来源地点数 6</x:v>
      </x:c>
    </x:row>
    <x:row r="252">
      <x:c r="A252" s="38" t="str">
        <x:v>pal_251</x:v>
      </x:c>
      <x:c r="B252" s="38" t="n">
        <x:v>4</x:v>
      </x:c>
      <x:c r="C252" s="38" t="str">
        <x:v>pT3</x:v>
      </x:c>
      <x:c r="D252" s="38" t="n">
        <x:v>65</x:v>
      </x:c>
      <x:c r="E252" s="38" t="n">
        <x:v>40</x:v>
      </x:c>
      <x:c r="F252" s="38" t="str">
        <x:v>来源对象 bz_van_251；主附魔 Turbo；真实来源地点数 5</x:v>
      </x:c>
    </x:row>
    <x:row r="253">
      <x:c r="A253" s="38" t="str">
        <x:v>pal_252</x:v>
      </x:c>
      <x:c r="B253" s="38" t="n">
        <x:v>4</x:v>
      </x:c>
      <x:c r="C253" s="38" t="str">
        <x:v>pT3</x:v>
      </x:c>
      <x:c r="D253" s="38" t="n">
        <x:v>65</x:v>
      </x:c>
      <x:c r="E253" s="38" t="n">
        <x:v>40</x:v>
      </x:c>
      <x:c r="F253" s="38" t="str">
        <x:v>来源对象 bz_van_252；主附魔 Fiery；真实来源地点数 6</x:v>
      </x:c>
    </x:row>
    <x:row r="254">
      <x:c r="A254" s="38" t="str">
        <x:v>pal_253</x:v>
      </x:c>
      <x:c r="B254" s="38" t="n">
        <x:v>2</x:v>
      </x:c>
      <x:c r="C254" s="38" t="str">
        <x:v>pT2</x:v>
      </x:c>
      <x:c r="D254" s="38" t="n">
        <x:v>85</x:v>
      </x:c>
      <x:c r="E254" s="38" t="n">
        <x:v>50</x:v>
      </x:c>
      <x:c r="F254" s="38" t="str">
        <x:v>来源对象 bz_van_253；主附魔 Icy；真实来源地点数 6</x:v>
      </x:c>
    </x:row>
    <x:row r="255">
      <x:c r="A255" s="38" t="str">
        <x:v>pal_254</x:v>
      </x:c>
      <x:c r="B255" s="38" t="n">
        <x:v>4</x:v>
      </x:c>
      <x:c r="C255" s="38" t="str">
        <x:v>pT3</x:v>
      </x:c>
      <x:c r="D255" s="38" t="n">
        <x:v>65</x:v>
      </x:c>
      <x:c r="E255" s="38" t="n">
        <x:v>40</x:v>
      </x:c>
      <x:c r="F255" s="38" t="str">
        <x:v>来源对象 bz_van_254；主附魔 Fiery；真实来源地点数 6</x:v>
      </x:c>
    </x:row>
    <x:row r="256">
      <x:c r="A256" s="38" t="str">
        <x:v>pal_255</x:v>
      </x:c>
      <x:c r="B256" s="38" t="n">
        <x:v>2</x:v>
      </x:c>
      <x:c r="C256" s="38" t="str">
        <x:v>pT2</x:v>
      </x:c>
      <x:c r="D256" s="38" t="n">
        <x:v>85</x:v>
      </x:c>
      <x:c r="E256" s="38" t="n">
        <x:v>50</x:v>
      </x:c>
      <x:c r="F256" s="38" t="str">
        <x:v>来源对象 bz_van_255；主附魔 Icy；真实来源地点数 6</x:v>
      </x:c>
    </x:row>
    <x:row r="257">
      <x:c r="A257" s="38" t="str">
        <x:v>pal_256</x:v>
      </x:c>
      <x:c r="B257" s="38" t="n">
        <x:v>2</x:v>
      </x:c>
      <x:c r="C257" s="38" t="str">
        <x:v>pT2</x:v>
      </x:c>
      <x:c r="D257" s="38" t="n">
        <x:v>85</x:v>
      </x:c>
      <x:c r="E257" s="38" t="n">
        <x:v>50</x:v>
      </x:c>
      <x:c r="F257" s="38" t="str">
        <x:v>来源对象 bz_van_256；主附魔 Turbo；真实来源地点数 6</x:v>
      </x:c>
    </x:row>
    <x:row r="258">
      <x:c r="A258" s="38" t="str">
        <x:v>pal_257</x:v>
      </x:c>
      <x:c r="B258" s="38" t="n">
        <x:v>2</x:v>
      </x:c>
      <x:c r="C258" s="38" t="str">
        <x:v>pT2</x:v>
      </x:c>
      <x:c r="D258" s="38" t="n">
        <x:v>85</x:v>
      </x:c>
      <x:c r="E258" s="38" t="n">
        <x:v>50</x:v>
      </x:c>
      <x:c r="F258" s="38" t="str">
        <x:v>来源对象 bz_van_257；主附魔 Deadly；真实来源地点数 6</x:v>
      </x:c>
    </x:row>
    <x:row r="259">
      <x:c r="A259" s="38" t="str">
        <x:v>pal_258</x:v>
      </x:c>
      <x:c r="B259" s="38" t="n">
        <x:v>2</x:v>
      </x:c>
      <x:c r="C259" s="38" t="str">
        <x:v>pT2</x:v>
      </x:c>
      <x:c r="D259" s="38" t="n">
        <x:v>85</x:v>
      </x:c>
      <x:c r="E259" s="38" t="n">
        <x:v>50</x:v>
      </x:c>
      <x:c r="F259" s="38" t="str">
        <x:v>来源对象 bz_van_258；主附魔 Icy；真实来源地点数 5</x:v>
      </x:c>
    </x:row>
    <x:row r="260">
      <x:c r="A260" s="38" t="str">
        <x:v>pal_259</x:v>
      </x:c>
      <x:c r="B260" s="38" t="n">
        <x:v>2</x:v>
      </x:c>
      <x:c r="C260" s="38" t="str">
        <x:v>pT2</x:v>
      </x:c>
      <x:c r="D260" s="38" t="n">
        <x:v>85</x:v>
      </x:c>
      <x:c r="E260" s="38" t="n">
        <x:v>50</x:v>
      </x:c>
      <x:c r="F260" s="38" t="str">
        <x:v>来源对象 bz_van_259；主附魔 Turbo；真实来源地点数 6</x:v>
      </x:c>
    </x:row>
    <x:row r="261">
      <x:c r="A261" s="38" t="str">
        <x:v>pal_260</x:v>
      </x:c>
      <x:c r="B261" s="38" t="n">
        <x:v>1</x:v>
      </x:c>
      <x:c r="C261" s="38" t="str">
        <x:v>pT1</x:v>
      </x:c>
      <x:c r="D261" s="38" t="n">
        <x:v>100</x:v>
      </x:c>
      <x:c r="E261" s="38" t="n">
        <x:v>60</x:v>
      </x:c>
      <x:c r="F261" s="38" t="str">
        <x:v>来源对象 bz_van_260；主附魔 Deadly；真实来源地点数 5</x:v>
      </x:c>
    </x:row>
    <x:row r="262">
      <x:c r="A262" s="38" t="str">
        <x:v>pal_261</x:v>
      </x:c>
      <x:c r="B262" s="38" t="n">
        <x:v>2</x:v>
      </x:c>
      <x:c r="C262" s="38" t="str">
        <x:v>pT2</x:v>
      </x:c>
      <x:c r="D262" s="38" t="n">
        <x:v>85</x:v>
      </x:c>
      <x:c r="E262" s="38" t="n">
        <x:v>50</x:v>
      </x:c>
      <x:c r="F262" s="38" t="str">
        <x:v>来源对象 bz_van_261；主附魔 Icy；真实来源地点数 6</x:v>
      </x:c>
    </x:row>
    <x:row r="263">
      <x:c r="A263" s="38" t="str">
        <x:v>pal_262</x:v>
      </x:c>
      <x:c r="B263" s="38" t="n">
        <x:v>2</x:v>
      </x:c>
      <x:c r="C263" s="38" t="str">
        <x:v>pT2</x:v>
      </x:c>
      <x:c r="D263" s="38" t="n">
        <x:v>85</x:v>
      </x:c>
      <x:c r="E263" s="38" t="n">
        <x:v>50</x:v>
      </x:c>
      <x:c r="F263" s="38" t="str">
        <x:v>来源对象 bz_van_262；主附魔 Shielded；真实来源地点数 7</x:v>
      </x:c>
    </x:row>
    <x:row r="264">
      <x:c r="A264" s="38" t="str">
        <x:v>pal_263</x:v>
      </x:c>
      <x:c r="B264" s="38" t="n">
        <x:v>1</x:v>
      </x:c>
      <x:c r="C264" s="38" t="str">
        <x:v>pT1</x:v>
      </x:c>
      <x:c r="D264" s="38" t="n">
        <x:v>100</x:v>
      </x:c>
      <x:c r="E264" s="38" t="n">
        <x:v>60</x:v>
      </x:c>
      <x:c r="F264" s="38" t="str">
        <x:v>来源对象 bz_van_263；主附魔 Heavy；真实来源地点数 4</x:v>
      </x:c>
    </x:row>
    <x:row r="265">
      <x:c r="A265" s="38" t="str">
        <x:v>pal_264</x:v>
      </x:c>
      <x:c r="B265" s="38" t="n">
        <x:v>2</x:v>
      </x:c>
      <x:c r="C265" s="38" t="str">
        <x:v>pT2</x:v>
      </x:c>
      <x:c r="D265" s="38" t="n">
        <x:v>85</x:v>
      </x:c>
      <x:c r="E265" s="38" t="n">
        <x:v>50</x:v>
      </x:c>
      <x:c r="F265" s="38" t="str">
        <x:v>来源对象 bz_van_264；主附魔 Deadly；真实来源地点数 5</x:v>
      </x:c>
    </x:row>
    <x:row r="266">
      <x:c r="A266" s="38" t="str">
        <x:v>pal_265</x:v>
      </x:c>
      <x:c r="B266" s="38" t="n">
        <x:v>4</x:v>
      </x:c>
      <x:c r="C266" s="38" t="str">
        <x:v>pT3</x:v>
      </x:c>
      <x:c r="D266" s="38" t="n">
        <x:v>65</x:v>
      </x:c>
      <x:c r="E266" s="38" t="n">
        <x:v>40</x:v>
      </x:c>
      <x:c r="F266" s="38" t="str">
        <x:v>来源对象 bz_van_265；主附魔 Icy；真实来源地点数 6</x:v>
      </x:c>
    </x:row>
    <x:row r="267">
      <x:c r="A267" s="38" t="str">
        <x:v>pal_266</x:v>
      </x:c>
      <x:c r="B267" s="38" t="n">
        <x:v>2</x:v>
      </x:c>
      <x:c r="C267" s="38" t="str">
        <x:v>pT2</x:v>
      </x:c>
      <x:c r="D267" s="38" t="n">
        <x:v>85</x:v>
      </x:c>
      <x:c r="E267" s="38" t="n">
        <x:v>50</x:v>
      </x:c>
      <x:c r="F267" s="38" t="str">
        <x:v>来源对象 bz_van_266；主附魔 Deadly；真实来源地点数 6</x:v>
      </x:c>
    </x:row>
    <x:row r="268">
      <x:c r="A268" s="38" t="str">
        <x:v>pal_267</x:v>
      </x:c>
      <x:c r="B268" s="38" t="n">
        <x:v>4</x:v>
      </x:c>
      <x:c r="C268" s="38" t="str">
        <x:v>pT3</x:v>
      </x:c>
      <x:c r="D268" s="38" t="n">
        <x:v>65</x:v>
      </x:c>
      <x:c r="E268" s="38" t="n">
        <x:v>40</x:v>
      </x:c>
      <x:c r="F268" s="38" t="str">
        <x:v>来源对象 bz_van_267；主附魔 Turbo；真实来源地点数 3</x:v>
      </x:c>
    </x:row>
    <x:row r="269">
      <x:c r="A269" s="38" t="str">
        <x:v>pal_268</x:v>
      </x:c>
      <x:c r="B269" s="38" t="n">
        <x:v>1</x:v>
      </x:c>
      <x:c r="C269" s="38" t="str">
        <x:v>pT1</x:v>
      </x:c>
      <x:c r="D269" s="38" t="n">
        <x:v>100</x:v>
      </x:c>
      <x:c r="E269" s="38" t="n">
        <x:v>60</x:v>
      </x:c>
      <x:c r="F269" s="38" t="str">
        <x:v>来源对象 bz_van_268；主附魔 Shielded；真实来源地点数 5</x:v>
      </x:c>
    </x:row>
    <x:row r="270">
      <x:c r="A270" s="38" t="str">
        <x:v>pal_269</x:v>
      </x:c>
      <x:c r="B270" s="38" t="n">
        <x:v>2</x:v>
      </x:c>
      <x:c r="C270" s="38" t="str">
        <x:v>pT2</x:v>
      </x:c>
      <x:c r="D270" s="38" t="n">
        <x:v>85</x:v>
      </x:c>
      <x:c r="E270" s="38" t="n">
        <x:v>50</x:v>
      </x:c>
      <x:c r="F270" s="38" t="str">
        <x:v>来源对象 bz_van_269；主附魔 Fiery；真实来源地点数 6</x:v>
      </x:c>
    </x:row>
    <x:row r="271">
      <x:c r="A271" s="38" t="str">
        <x:v>pal_270</x:v>
      </x:c>
      <x:c r="B271" s="38" t="n">
        <x:v>2</x:v>
      </x:c>
      <x:c r="C271" s="38" t="str">
        <x:v>pT2</x:v>
      </x:c>
      <x:c r="D271" s="38" t="n">
        <x:v>85</x:v>
      </x:c>
      <x:c r="E271" s="38" t="n">
        <x:v>50</x:v>
      </x:c>
      <x:c r="F271" s="38" t="str">
        <x:v>来源对象 bz_van_270；主附魔 Toxic；真实来源地点数 6</x:v>
      </x:c>
    </x:row>
    <x:row r="272">
      <x:c r="A272" s="38" t="str">
        <x:v>pal_271</x:v>
      </x:c>
      <x:c r="B272" s="38" t="n">
        <x:v>2</x:v>
      </x:c>
      <x:c r="C272" s="38" t="str">
        <x:v>pT2</x:v>
      </x:c>
      <x:c r="D272" s="38" t="n">
        <x:v>85</x:v>
      </x:c>
      <x:c r="E272" s="38" t="n">
        <x:v>50</x:v>
      </x:c>
      <x:c r="F272" s="38" t="str">
        <x:v>来源对象 bz_van_271；主附魔 Toxic；真实来源地点数 5</x:v>
      </x:c>
    </x:row>
    <x:row r="273">
      <x:c r="A273" s="38" t="str">
        <x:v>pal_272</x:v>
      </x:c>
      <x:c r="B273" s="38" t="n">
        <x:v>2</x:v>
      </x:c>
      <x:c r="C273" s="38" t="str">
        <x:v>pT2</x:v>
      </x:c>
      <x:c r="D273" s="38" t="n">
        <x:v>85</x:v>
      </x:c>
      <x:c r="E273" s="38" t="n">
        <x:v>50</x:v>
      </x:c>
      <x:c r="F273" s="38" t="str">
        <x:v>来源对象 bz_van_272；主附魔 Toxic；真实来源地点数 6</x:v>
      </x:c>
    </x:row>
    <x:row r="274">
      <x:c r="A274" s="38" t="str">
        <x:v>pal_273</x:v>
      </x:c>
      <x:c r="B274" s="38" t="n">
        <x:v>2</x:v>
      </x:c>
      <x:c r="C274" s="38" t="str">
        <x:v>pT2</x:v>
      </x:c>
      <x:c r="D274" s="38" t="n">
        <x:v>85</x:v>
      </x:c>
      <x:c r="E274" s="38" t="n">
        <x:v>50</x:v>
      </x:c>
      <x:c r="F274" s="38" t="str">
        <x:v>来源对象 bz_van_273；主附魔 Fiery；真实来源地点数 6</x:v>
      </x:c>
    </x:row>
    <x:row r="275">
      <x:c r="A275" s="38" t="str">
        <x:v>pal_274</x:v>
      </x:c>
      <x:c r="B275" s="38" t="n">
        <x:v>4</x:v>
      </x:c>
      <x:c r="C275" s="38" t="str">
        <x:v>pT3</x:v>
      </x:c>
      <x:c r="D275" s="38" t="n">
        <x:v>65</x:v>
      </x:c>
      <x:c r="E275" s="38" t="n">
        <x:v>40</x:v>
      </x:c>
      <x:c r="F275" s="38" t="str">
        <x:v>来源对象 bz_van_274；主附魔 Toxic；真实来源地点数 6</x:v>
      </x:c>
    </x:row>
    <x:row r="276">
      <x:c r="A276" s="38" t="str">
        <x:v>pal_275</x:v>
      </x:c>
      <x:c r="B276" s="38" t="n">
        <x:v>6</x:v>
      </x:c>
      <x:c r="C276" s="38" t="str">
        <x:v>pT4</x:v>
      </x:c>
      <x:c r="D276" s="38" t="n">
        <x:v>40</x:v>
      </x:c>
      <x:c r="E276" s="38" t="n">
        <x:v>25</x:v>
      </x:c>
      <x:c r="F276" s="38" t="str">
        <x:v>来源对象 bz_van_275；主附魔 Toxic；真实来源地点数 4</x:v>
      </x:c>
    </x:row>
    <x:row r="277">
      <x:c r="A277" s="38" t="str">
        <x:v>pal_276</x:v>
      </x:c>
      <x:c r="B277" s="38" t="n">
        <x:v>2</x:v>
      </x:c>
      <x:c r="C277" s="38" t="str">
        <x:v>pT2</x:v>
      </x:c>
      <x:c r="D277" s="38" t="n">
        <x:v>85</x:v>
      </x:c>
      <x:c r="E277" s="38" t="n">
        <x:v>50</x:v>
      </x:c>
      <x:c r="F277" s="38" t="str">
        <x:v>来源对象 bz_van_276；主附魔 Fiery；真实来源地点数 5</x:v>
      </x:c>
    </x:row>
    <x:row r="278">
      <x:c r="A278" s="38" t="str">
        <x:v>pal_277</x:v>
      </x:c>
      <x:c r="B278" s="38" t="n">
        <x:v>6</x:v>
      </x:c>
      <x:c r="C278" s="38" t="str">
        <x:v>pT2</x:v>
      </x:c>
      <x:c r="D278" s="38" t="n">
        <x:v>85</x:v>
      </x:c>
      <x:c r="E278" s="38" t="n">
        <x:v>50</x:v>
      </x:c>
      <x:c r="F278" s="38" t="str">
        <x:v>来源对象 bz_van_277；主附魔 Turbo；真实来源地点数 2</x:v>
      </x:c>
    </x:row>
    <x:row r="279">
      <x:c r="A279" s="38" t="str">
        <x:v>pal_278</x:v>
      </x:c>
      <x:c r="B279" s="38" t="n">
        <x:v>4</x:v>
      </x:c>
      <x:c r="C279" s="38" t="str">
        <x:v>pT3</x:v>
      </x:c>
      <x:c r="D279" s="38" t="n">
        <x:v>65</x:v>
      </x:c>
      <x:c r="E279" s="38" t="n">
        <x:v>40</x:v>
      </x:c>
      <x:c r="F279" s="38" t="str">
        <x:v>来源对象 bz_van_278；主附魔 Turbo；真实来源地点数 2</x:v>
      </x:c>
    </x:row>
    <x:row r="280">
      <x:c r="A280" s="38" t="str">
        <x:v>pal_279</x:v>
      </x:c>
      <x:c r="B280" s="38" t="n">
        <x:v>4</x:v>
      </x:c>
      <x:c r="C280" s="38" t="str">
        <x:v>pT3</x:v>
      </x:c>
      <x:c r="D280" s="38" t="n">
        <x:v>65</x:v>
      </x:c>
      <x:c r="E280" s="38" t="n">
        <x:v>40</x:v>
      </x:c>
      <x:c r="F280" s="38" t="str">
        <x:v>来源对象 bz_van_279；主附魔 Turbo；真实来源地点数 2</x:v>
      </x:c>
    </x:row>
    <x:row r="281">
      <x:c r="A281" s="38" t="str">
        <x:v>pal_280</x:v>
      </x:c>
      <x:c r="B281" s="38" t="n">
        <x:v>4</x:v>
      </x:c>
      <x:c r="C281" s="38" t="str">
        <x:v>pT3</x:v>
      </x:c>
      <x:c r="D281" s="38" t="n">
        <x:v>65</x:v>
      </x:c>
      <x:c r="E281" s="38" t="n">
        <x:v>40</x:v>
      </x:c>
      <x:c r="F281" s="38" t="str">
        <x:v>来源对象 bz_van_280；主附魔 Icy；真实来源地点数 2</x:v>
      </x:c>
    </x:row>
    <x:row r="282">
      <x:c r="A282" s="38" t="str">
        <x:v>pal_281</x:v>
      </x:c>
      <x:c r="B282" s="38" t="n">
        <x:v>4</x:v>
      </x:c>
      <x:c r="C282" s="38" t="str">
        <x:v>pT2</x:v>
      </x:c>
      <x:c r="D282" s="38" t="n">
        <x:v>85</x:v>
      </x:c>
      <x:c r="E282" s="38" t="n">
        <x:v>50</x:v>
      </x:c>
      <x:c r="F282" s="38" t="str">
        <x:v>来源对象 bz_van_281；主附魔 Icy；真实来源地点数 2</x:v>
      </x:c>
    </x:row>
    <x:row r="283">
      <x:c r="A283" s="38" t="str">
        <x:v>pal_282</x:v>
      </x:c>
      <x:c r="B283" s="38" t="n">
        <x:v>4</x:v>
      </x:c>
      <x:c r="C283" s="38" t="str">
        <x:v>pT3</x:v>
      </x:c>
      <x:c r="D283" s="38" t="n">
        <x:v>65</x:v>
      </x:c>
      <x:c r="E283" s="38" t="n">
        <x:v>40</x:v>
      </x:c>
      <x:c r="F283" s="38" t="str">
        <x:v>来源对象 bz_van_282；主附魔 Icy；真实来源地点数 2</x:v>
      </x:c>
    </x:row>
    <x:row r="284">
      <x:c r="A284" s="38" t="str">
        <x:v>pal_283</x:v>
      </x:c>
      <x:c r="B284" s="38" t="n">
        <x:v>4</x:v>
      </x:c>
      <x:c r="C284" s="38" t="str">
        <x:v>pT3</x:v>
      </x:c>
      <x:c r="D284" s="38" t="n">
        <x:v>65</x:v>
      </x:c>
      <x:c r="E284" s="38" t="n">
        <x:v>40</x:v>
      </x:c>
      <x:c r="F284" s="38" t="str">
        <x:v>来源对象 bz_van_283；主附魔 Icy；真实来源地点数 2</x:v>
      </x:c>
    </x:row>
    <x:row r="285">
      <x:c r="A285" s="38" t="str">
        <x:v>pal_284</x:v>
      </x:c>
      <x:c r="B285" s="38" t="n">
        <x:v>4</x:v>
      </x:c>
      <x:c r="C285" s="38" t="str">
        <x:v>pT2</x:v>
      </x:c>
      <x:c r="D285" s="38" t="n">
        <x:v>85</x:v>
      </x:c>
      <x:c r="E285" s="38" t="n">
        <x:v>50</x:v>
      </x:c>
      <x:c r="F285" s="38" t="str">
        <x:v>来源对象 bz_van_284；主附魔 Icy；真实来源地点数 2</x:v>
      </x:c>
    </x:row>
    <x:row r="286">
      <x:c r="A286" s="38" t="str">
        <x:v>pal_285</x:v>
      </x:c>
      <x:c r="B286" s="38" t="n">
        <x:v>4</x:v>
      </x:c>
      <x:c r="C286" s="38" t="str">
        <x:v>pT3</x:v>
      </x:c>
      <x:c r="D286" s="38" t="n">
        <x:v>65</x:v>
      </x:c>
      <x:c r="E286" s="38" t="n">
        <x:v>40</x:v>
      </x:c>
      <x:c r="F286" s="38" t="str">
        <x:v>来源对象 bz_van_285；主附魔 Icy；真实来源地点数 2</x:v>
      </x:c>
    </x:row>
    <x:row r="287">
      <x:c r="A287" s="38" t="str">
        <x:v>pal_286</x:v>
      </x:c>
      <x:c r="B287" s="38" t="n">
        <x:v>4</x:v>
      </x:c>
      <x:c r="C287" s="38" t="str">
        <x:v>pT3</x:v>
      </x:c>
      <x:c r="D287" s="38" t="n">
        <x:v>65</x:v>
      </x:c>
      <x:c r="E287" s="38" t="n">
        <x:v>40</x:v>
      </x:c>
      <x:c r="F287" s="38" t="str">
        <x:v>来源对象 bz_van_286；主附魔 Fiery；真实来源地点数 2</x:v>
      </x:c>
    </x:row>
    <x:row r="288">
      <x:c r="A288" s="38" t="str">
        <x:v>pal_287</x:v>
      </x:c>
      <x:c r="B288" s="38" t="n">
        <x:v>4</x:v>
      </x:c>
      <x:c r="C288" s="38" t="str">
        <x:v>pT3</x:v>
      </x:c>
      <x:c r="D288" s="38" t="n">
        <x:v>65</x:v>
      </x:c>
      <x:c r="E288" s="38" t="n">
        <x:v>40</x:v>
      </x:c>
      <x:c r="F288" s="38" t="str">
        <x:v>来源对象 bz_van_287；主附魔 Fiery；真实来源地点数 2</x:v>
      </x:c>
    </x:row>
    <x:row r="289">
      <x:c r="A289" s="38" t="str">
        <x:v>pal_288</x:v>
      </x:c>
      <x:c r="B289" s="38" t="n">
        <x:v>4</x:v>
      </x:c>
      <x:c r="C289" s="38" t="str">
        <x:v>pT2</x:v>
      </x:c>
      <x:c r="D289" s="38" t="n">
        <x:v>85</x:v>
      </x:c>
      <x:c r="E289" s="38" t="n">
        <x:v>50</x:v>
      </x:c>
      <x:c r="F289" s="38" t="str">
        <x:v>来源对象 bz_van_288；主附魔 Fiery；真实来源地点数 2</x:v>
      </x:c>
    </x:row>
    <x:row r="290">
      <x:c r="A290" s="38" t="str">
        <x:v>pal_289</x:v>
      </x:c>
      <x:c r="B290" s="38" t="n">
        <x:v>6</x:v>
      </x:c>
      <x:c r="C290" s="38" t="str">
        <x:v>pT2</x:v>
      </x:c>
      <x:c r="D290" s="38" t="n">
        <x:v>85</x:v>
      </x:c>
      <x:c r="E290" s="38" t="n">
        <x:v>50</x:v>
      </x:c>
      <x:c r="F290" s="38" t="str">
        <x:v>来源对象 bz_van_289；主附魔 Toxic；真实来源地点数 2</x:v>
      </x:c>
    </x:row>
    <x:row r="291">
      <x:c r="A291" s="38" t="str">
        <x:v>pal_290</x:v>
      </x:c>
      <x:c r="B291" s="38" t="n">
        <x:v>4</x:v>
      </x:c>
      <x:c r="C291" s="38" t="str">
        <x:v>pT3</x:v>
      </x:c>
      <x:c r="D291" s="38" t="n">
        <x:v>65</x:v>
      </x:c>
      <x:c r="E291" s="38" t="n">
        <x:v>40</x:v>
      </x:c>
      <x:c r="F291" s="38" t="str">
        <x:v>来源对象 bz_van_290；主附魔 Toxic；真实来源地点数 2</x:v>
      </x:c>
    </x:row>
    <x:row r="292">
      <x:c r="A292" s="38" t="str">
        <x:v>pal_291</x:v>
      </x:c>
      <x:c r="B292" s="38" t="n">
        <x:v>4</x:v>
      </x:c>
      <x:c r="C292" s="38" t="str">
        <x:v>pT3</x:v>
      </x:c>
      <x:c r="D292" s="38" t="n">
        <x:v>65</x:v>
      </x:c>
      <x:c r="E292" s="38" t="n">
        <x:v>40</x:v>
      </x:c>
      <x:c r="F292" s="38" t="str">
        <x:v>来源对象 bz_van_291；主附魔 Toxic；真实来源地点数 2</x:v>
      </x:c>
    </x:row>
    <x:row r="293">
      <x:c r="A293" s="38" t="str">
        <x:v>pal_292</x:v>
      </x:c>
      <x:c r="B293" s="38" t="n">
        <x:v>4</x:v>
      </x:c>
      <x:c r="C293" s="38" t="str">
        <x:v>pT3</x:v>
      </x:c>
      <x:c r="D293" s="38" t="n">
        <x:v>65</x:v>
      </x:c>
      <x:c r="E293" s="38" t="n">
        <x:v>40</x:v>
      </x:c>
      <x:c r="F293" s="38" t="str">
        <x:v>来源对象 bz_van_292；主附魔 Golden；真实来源地点数 2</x:v>
      </x:c>
    </x:row>
    <x:row r="294">
      <x:c r="A294" s="38" t="str">
        <x:v>pal_293</x:v>
      </x:c>
      <x:c r="B294" s="38" t="n">
        <x:v>5</x:v>
      </x:c>
      <x:c r="C294" s="38" t="str">
        <x:v>pT2</x:v>
      </x:c>
      <x:c r="D294" s="38" t="n">
        <x:v>85</x:v>
      </x:c>
      <x:c r="E294" s="38" t="n">
        <x:v>50</x:v>
      </x:c>
      <x:c r="F294" s="38" t="str">
        <x:v>来源对象 bz_van_293；主附魔 Golden；真实来源地点数 2</x:v>
      </x:c>
    </x:row>
    <x:row r="295">
      <x:c r="A295" s="38" t="str">
        <x:v>pal_294</x:v>
      </x:c>
      <x:c r="B295" s="38" t="n">
        <x:v>4</x:v>
      </x:c>
      <x:c r="C295" s="38" t="str">
        <x:v>pT3</x:v>
      </x:c>
      <x:c r="D295" s="38" t="n">
        <x:v>65</x:v>
      </x:c>
      <x:c r="E295" s="38" t="n">
        <x:v>40</x:v>
      </x:c>
      <x:c r="F295" s="38" t="str">
        <x:v>来源对象 bz_van_294；主附魔 Golden；真实来源地点数 2</x:v>
      </x:c>
    </x:row>
    <x:row r="296">
      <x:c r="A296" s="38" t="str">
        <x:v>pal_295</x:v>
      </x:c>
      <x:c r="B296" s="38" t="n">
        <x:v>1</x:v>
      </x:c>
      <x:c r="C296" s="38" t="str">
        <x:v>pT1</x:v>
      </x:c>
      <x:c r="D296" s="38" t="n">
        <x:v>100</x:v>
      </x:c>
      <x:c r="E296" s="38" t="n">
        <x:v>60</x:v>
      </x:c>
      <x:c r="F296" s="38" t="str">
        <x:v>来源对象 bz_van_295；主附魔 Shielded；真实来源地点数 2</x:v>
      </x:c>
    </x:row>
    <x:row r="297">
      <x:c r="A297" s="38" t="str">
        <x:v>pal_296</x:v>
      </x:c>
      <x:c r="B297" s="38" t="n">
        <x:v>1</x:v>
      </x:c>
      <x:c r="C297" s="38" t="str">
        <x:v>pT1</x:v>
      </x:c>
      <x:c r="D297" s="38" t="n">
        <x:v>100</x:v>
      </x:c>
      <x:c r="E297" s="38" t="n">
        <x:v>60</x:v>
      </x:c>
      <x:c r="F297" s="38" t="str">
        <x:v>来源对象 bz_van_296；主附魔 Shielded；真实来源地点数 2</x:v>
      </x:c>
    </x:row>
    <x:row r="298">
      <x:c r="A298" s="38" t="str">
        <x:v>pal_297</x:v>
      </x:c>
      <x:c r="B298" s="38" t="n">
        <x:v>4</x:v>
      </x:c>
      <x:c r="C298" s="38" t="str">
        <x:v>pT2</x:v>
      </x:c>
      <x:c r="D298" s="38" t="n">
        <x:v>85</x:v>
      </x:c>
      <x:c r="E298" s="38" t="n">
        <x:v>50</x:v>
      </x:c>
      <x:c r="F298" s="38" t="str">
        <x:v>来源对象 bz_van_297；主附魔 Heavy；真实来源地点数 2</x:v>
      </x:c>
    </x:row>
    <x:row r="299">
      <x:c r="A299" s="38" t="str">
        <x:v>pal_298</x:v>
      </x:c>
      <x:c r="B299" s="38" t="n">
        <x:v>4</x:v>
      </x:c>
      <x:c r="C299" s="38" t="str">
        <x:v>pT2</x:v>
      </x:c>
      <x:c r="D299" s="38" t="n">
        <x:v>85</x:v>
      </x:c>
      <x:c r="E299" s="38" t="n">
        <x:v>50</x:v>
      </x:c>
      <x:c r="F299" s="38" t="str">
        <x:v>来源对象 bz_van_298；主附魔 Golden；真实来源地点数 2</x:v>
      </x:c>
    </x:row>
    <x:row r="300">
      <x:c r="A300" s="38" t="str">
        <x:v>pal_299</x:v>
      </x:c>
      <x:c r="B300" s="38" t="n">
        <x:v>4</x:v>
      </x:c>
      <x:c r="C300" s="38" t="str">
        <x:v>pT2</x:v>
      </x:c>
      <x:c r="D300" s="38" t="n">
        <x:v>85</x:v>
      </x:c>
      <x:c r="E300" s="38" t="n">
        <x:v>50</x:v>
      </x:c>
      <x:c r="F300" s="38" t="str">
        <x:v>来源对象 bz_van_299；主附魔 Shiny；真实来源地点数 2</x:v>
      </x:c>
    </x:row>
    <x:row r="301">
      <x:c r="A301" s="38" t="str">
        <x:v>pal_300</x:v>
      </x:c>
      <x:c r="B301" s="38" t="n">
        <x:v>5</x:v>
      </x:c>
      <x:c r="C301" s="38" t="str">
        <x:v>pT2</x:v>
      </x:c>
      <x:c r="D301" s="38" t="n">
        <x:v>85</x:v>
      </x:c>
      <x:c r="E301" s="38" t="n">
        <x:v>50</x:v>
      </x:c>
      <x:c r="F301" s="38" t="str">
        <x:v>来源对象 bz_van_300；主附魔 Shiny；真实来源地点数 2</x:v>
      </x:c>
    </x:row>
    <x:row r="302">
      <x:c r="A302" s="38" t="str">
        <x:v>pal_301</x:v>
      </x:c>
      <x:c r="B302" s="38" t="n">
        <x:v>5</x:v>
      </x:c>
      <x:c r="C302" s="38" t="str">
        <x:v>pT2</x:v>
      </x:c>
      <x:c r="D302" s="38" t="n">
        <x:v>85</x:v>
      </x:c>
      <x:c r="E302" s="38" t="n">
        <x:v>50</x:v>
      </x:c>
      <x:c r="F302" s="38" t="str">
        <x:v>来源对象 bz_van_301；主附魔 Shiny；真实来源地点数 2</x:v>
      </x:c>
    </x:row>
    <x:row r="303">
      <x:c r="A303" s="38" t="str">
        <x:v>pal_302</x:v>
      </x:c>
      <x:c r="B303" s="38" t="n">
        <x:v>5</x:v>
      </x:c>
      <x:c r="C303" s="38" t="str">
        <x:v>pT2</x:v>
      </x:c>
      <x:c r="D303" s="38" t="n">
        <x:v>85</x:v>
      </x:c>
      <x:c r="E303" s="38" t="n">
        <x:v>50</x:v>
      </x:c>
      <x:c r="F303" s="38" t="str">
        <x:v>来源对象 bz_van_302；主附魔 Heavy；真实来源地点数 2</x:v>
      </x:c>
    </x:row>
    <x:row r="304">
      <x:c r="A304" s="38" t="str">
        <x:v>pal_303</x:v>
      </x:c>
      <x:c r="B304" s="38" t="n">
        <x:v>1</x:v>
      </x:c>
      <x:c r="C304" s="38" t="str">
        <x:v>pT1</x:v>
      </x:c>
      <x:c r="D304" s="38" t="n">
        <x:v>100</x:v>
      </x:c>
      <x:c r="E304" s="38" t="n">
        <x:v>60</x:v>
      </x:c>
      <x:c r="F304" s="38" t="str">
        <x:v>来源对象 bz_van_303；主附魔 Heavy；真实来源地点数 2</x:v>
      </x:c>
    </x:row>
    <x:row r="305">
      <x:c r="A305" s="38" t="str">
        <x:v>pal_304</x:v>
      </x:c>
      <x:c r="B305" s="38" t="n">
        <x:v>2</x:v>
      </x:c>
      <x:c r="C305" s="38" t="str">
        <x:v>pT2</x:v>
      </x:c>
      <x:c r="D305" s="38" t="n">
        <x:v>85</x:v>
      </x:c>
      <x:c r="E305" s="38" t="n">
        <x:v>50</x:v>
      </x:c>
      <x:c r="F305" s="38" t="str">
        <x:v>来源对象 bz_van_304；主附魔 Heavy；真实来源地点数 2</x:v>
      </x:c>
    </x:row>
    <x:row r="306">
      <x:c r="A306" s="38" t="str">
        <x:v>pal_305</x:v>
      </x:c>
      <x:c r="B306" s="38" t="n">
        <x:v>1</x:v>
      </x:c>
      <x:c r="C306" s="38" t="str">
        <x:v>pT1</x:v>
      </x:c>
      <x:c r="D306" s="38" t="n">
        <x:v>100</x:v>
      </x:c>
      <x:c r="E306" s="38" t="n">
        <x:v>60</x:v>
      </x:c>
      <x:c r="F306" s="38" t="str">
        <x:v>来源对象 bz_van_305；主附魔 Heavy；真实来源地点数 2</x:v>
      </x:c>
    </x:row>
    <x:row r="307">
      <x:c r="A307" s="38" t="str">
        <x:v>pal_306</x:v>
      </x:c>
      <x:c r="B307" s="38" t="n">
        <x:v>6</x:v>
      </x:c>
      <x:c r="C307" s="38" t="str">
        <x:v>pT2</x:v>
      </x:c>
      <x:c r="D307" s="38" t="n">
        <x:v>85</x:v>
      </x:c>
      <x:c r="E307" s="38" t="n">
        <x:v>50</x:v>
      </x:c>
      <x:c r="F307" s="38" t="str">
        <x:v>来源对象 bz_van_306；主附魔 Heavy；真实来源地点数 2</x:v>
      </x:c>
    </x:row>
    <x:row r="308">
      <x:c r="A308" s="38" t="str">
        <x:v>pal_307</x:v>
      </x:c>
      <x:c r="B308" s="38" t="n">
        <x:v>6</x:v>
      </x:c>
      <x:c r="C308" s="38" t="str">
        <x:v>pT2</x:v>
      </x:c>
      <x:c r="D308" s="38" t="n">
        <x:v>85</x:v>
      </x:c>
      <x:c r="E308" s="38" t="n">
        <x:v>50</x:v>
      </x:c>
      <x:c r="F308" s="38" t="str">
        <x:v>来源对象 bz_van_307；主附魔 Golden；真实来源地点数 2</x:v>
      </x:c>
    </x:row>
    <x:row r="309">
      <x:c r="A309" s="38" t="str">
        <x:v>pal_308</x:v>
      </x:c>
      <x:c r="B309" s="38" t="n">
        <x:v>6</x:v>
      </x:c>
      <x:c r="C309" s="38" t="str">
        <x:v>pT2</x:v>
      </x:c>
      <x:c r="D309" s="38" t="n">
        <x:v>85</x:v>
      </x:c>
      <x:c r="E309" s="38" t="n">
        <x:v>50</x:v>
      </x:c>
      <x:c r="F309" s="38" t="str">
        <x:v>来源对象 bz_van_308；主附魔 Shiny；真实来源地点数 2</x:v>
      </x:c>
    </x:row>
    <x:row r="310">
      <x:c r="A310" s="38" t="str">
        <x:v>pal_309</x:v>
      </x:c>
      <x:c r="B310" s="38" t="n">
        <x:v>1</x:v>
      </x:c>
      <x:c r="C310" s="38" t="str">
        <x:v>pT1</x:v>
      </x:c>
      <x:c r="D310" s="38" t="n">
        <x:v>100</x:v>
      </x:c>
      <x:c r="E310" s="38" t="n">
        <x:v>60</x:v>
      </x:c>
      <x:c r="F310" s="38" t="str">
        <x:v>来源对象 bz_van_309；主附魔 Shiny；真实来源地点数 2</x:v>
      </x:c>
    </x:row>
    <x:row r="311">
      <x:c r="A311" s="38" t="str">
        <x:v>pal_310</x:v>
      </x:c>
      <x:c r="B311" s="38" t="n">
        <x:v>1</x:v>
      </x:c>
      <x:c r="C311" s="38" t="str">
        <x:v>pT1</x:v>
      </x:c>
      <x:c r="D311" s="38" t="n">
        <x:v>100</x:v>
      </x:c>
      <x:c r="E311" s="38" t="n">
        <x:v>60</x:v>
      </x:c>
      <x:c r="F311" s="38" t="str">
        <x:v>来源对象 bz_van_310；主附魔 Shiny；真实来源地点数 2</x:v>
      </x:c>
    </x:row>
    <x:row r="312">
      <x:c r="A312" s="38" t="str">
        <x:v>pal_311</x:v>
      </x:c>
      <x:c r="B312" s="38" t="n">
        <x:v>2</x:v>
      </x:c>
      <x:c r="C312" s="38" t="str">
        <x:v>pT2</x:v>
      </x:c>
      <x:c r="D312" s="38" t="n">
        <x:v>85</x:v>
      </x:c>
      <x:c r="E312" s="38" t="n">
        <x:v>50</x:v>
      </x:c>
      <x:c r="F312" s="38" t="str">
        <x:v>来源对象 bz_van_311；主附魔 Heavy；真实来源地点数 2</x:v>
      </x:c>
    </x:row>
    <x:row r="313">
      <x:c r="A313" s="38" t="str">
        <x:v>pal_312</x:v>
      </x:c>
      <x:c r="B313" s="38" t="n">
        <x:v>1</x:v>
      </x:c>
      <x:c r="C313" s="38" t="str">
        <x:v>pT1</x:v>
      </x:c>
      <x:c r="D313" s="38" t="n">
        <x:v>100</x:v>
      </x:c>
      <x:c r="E313" s="38" t="n">
        <x:v>60</x:v>
      </x:c>
      <x:c r="F313" s="38" t="str">
        <x:v>来源对象 bz_van_312；主附魔 Shiny；真实来源地点数 2</x:v>
      </x:c>
    </x:row>
    <x:row r="314">
      <x:c r="A314" s="38" t="str">
        <x:v>pal_313</x:v>
      </x:c>
      <x:c r="B314" s="38" t="n">
        <x:v>1</x:v>
      </x:c>
      <x:c r="C314" s="38" t="str">
        <x:v>pT1</x:v>
      </x:c>
      <x:c r="D314" s="38" t="n">
        <x:v>100</x:v>
      </x:c>
      <x:c r="E314" s="38" t="n">
        <x:v>60</x:v>
      </x:c>
      <x:c r="F314" s="38" t="str">
        <x:v>来源对象 bz_van_313；主附魔 Heavy；真实来源地点数 2</x:v>
      </x:c>
    </x:row>
    <x:row r="315">
      <x:c r="A315" s="38" t="str">
        <x:v>pal_314</x:v>
      </x:c>
      <x:c r="B315" s="38" t="n">
        <x:v>6</x:v>
      </x:c>
      <x:c r="C315" s="38" t="str">
        <x:v>pT2</x:v>
      </x:c>
      <x:c r="D315" s="38" t="n">
        <x:v>85</x:v>
      </x:c>
      <x:c r="E315" s="38" t="n">
        <x:v>50</x:v>
      </x:c>
      <x:c r="F315" s="38" t="str">
        <x:v>来源对象 bz_van_314；主附魔 Shiny；真实来源地点数 2</x:v>
      </x:c>
    </x:row>
    <x:row r="316">
      <x:c r="A316" s="38" t="str">
        <x:v>pal_315</x:v>
      </x:c>
      <x:c r="B316" s="38" t="n">
        <x:v>1</x:v>
      </x:c>
      <x:c r="C316" s="38" t="str">
        <x:v>pT1</x:v>
      </x:c>
      <x:c r="D316" s="38" t="n">
        <x:v>100</x:v>
      </x:c>
      <x:c r="E316" s="38" t="n">
        <x:v>60</x:v>
      </x:c>
      <x:c r="F316" s="38" t="str">
        <x:v>来源对象 bz_van_315；主附魔 Heavy；真实来源地点数 2</x:v>
      </x:c>
    </x:row>
    <x:row r="317">
      <x:c r="A317" s="38" t="str">
        <x:v>pal_316</x:v>
      </x:c>
      <x:c r="B317" s="38" t="n">
        <x:v>1</x:v>
      </x:c>
      <x:c r="C317" s="38" t="str">
        <x:v>pT1</x:v>
      </x:c>
      <x:c r="D317" s="38" t="n">
        <x:v>100</x:v>
      </x:c>
      <x:c r="E317" s="38" t="n">
        <x:v>60</x:v>
      </x:c>
      <x:c r="F317" s="38" t="str">
        <x:v>来源对象 bz_van_316；主附魔 Shiny；真实来源地点数 2</x:v>
      </x:c>
    </x:row>
    <x:row r="318">
      <x:c r="A318" s="38" t="str">
        <x:v>pal_317</x:v>
      </x:c>
      <x:c r="B318" s="38" t="n">
        <x:v>1</x:v>
      </x:c>
      <x:c r="C318" s="38" t="str">
        <x:v>pT1</x:v>
      </x:c>
      <x:c r="D318" s="38" t="n">
        <x:v>100</x:v>
      </x:c>
      <x:c r="E318" s="38" t="n">
        <x:v>60</x:v>
      </x:c>
      <x:c r="F318" s="38" t="str">
        <x:v>来源对象 bz_van_317；主附魔 Shiny；真实来源地点数 1</x:v>
      </x:c>
    </x:row>
    <x:row r="319">
      <x:c r="A319" s="38" t="str">
        <x:v>pal_318</x:v>
      </x:c>
      <x:c r="B319" s="38" t="n">
        <x:v>1</x:v>
      </x:c>
      <x:c r="C319" s="38" t="str">
        <x:v>pT1</x:v>
      </x:c>
      <x:c r="D319" s="38" t="n">
        <x:v>100</x:v>
      </x:c>
      <x:c r="E319" s="38" t="n">
        <x:v>60</x:v>
      </x:c>
      <x:c r="F319" s="38" t="str">
        <x:v>来源对象 bz_van_318；主附魔 Heavy；真实来源地点数 1</x:v>
      </x:c>
    </x:row>
    <x:row r="320">
      <x:c r="A320" s="38" t="str">
        <x:v>pal_319</x:v>
      </x:c>
      <x:c r="B320" s="38" t="n">
        <x:v>2</x:v>
      </x:c>
      <x:c r="C320" s="38" t="str">
        <x:v>pT2</x:v>
      </x:c>
      <x:c r="D320" s="38" t="n">
        <x:v>85</x:v>
      </x:c>
      <x:c r="E320" s="38" t="n">
        <x:v>50</x:v>
      </x:c>
      <x:c r="F320" s="38" t="str">
        <x:v>来源对象 bz_van_319；主附魔 Shiny；真实来源地点数 2</x:v>
      </x:c>
    </x:row>
    <x:row r="321">
      <x:c r="A321" s="38" t="str">
        <x:v>pal_320</x:v>
      </x:c>
      <x:c r="B321" s="38" t="n">
        <x:v>4</x:v>
      </x:c>
      <x:c r="C321" s="38" t="str">
        <x:v>pT2</x:v>
      </x:c>
      <x:c r="D321" s="38" t="n">
        <x:v>85</x:v>
      </x:c>
      <x:c r="E321" s="38" t="n">
        <x:v>50</x:v>
      </x:c>
      <x:c r="F321" s="38" t="str">
        <x:v>来源对象 bz_van_320；主附魔 Golden；真实来源地点数 2</x:v>
      </x:c>
    </x:row>
    <x:row r="322">
      <x:c r="A322" s="38" t="str">
        <x:v>pal_321</x:v>
      </x:c>
      <x:c r="B322" s="38" t="n">
        <x:v>4</x:v>
      </x:c>
      <x:c r="C322" s="38" t="str">
        <x:v>pT2</x:v>
      </x:c>
      <x:c r="D322" s="38" t="n">
        <x:v>85</x:v>
      </x:c>
      <x:c r="E322" s="38" t="n">
        <x:v>50</x:v>
      </x:c>
      <x:c r="F322" s="38" t="str">
        <x:v>来源对象 bz_van_321；主附魔 Golden；真实来源地点数 2</x:v>
      </x:c>
    </x:row>
    <x:row r="323">
      <x:c r="A323" s="38" t="str">
        <x:v>pal_322</x:v>
      </x:c>
      <x:c r="B323" s="38" t="n">
        <x:v>4</x:v>
      </x:c>
      <x:c r="C323" s="38" t="str">
        <x:v>pT2</x:v>
      </x:c>
      <x:c r="D323" s="38" t="n">
        <x:v>85</x:v>
      </x:c>
      <x:c r="E323" s="38" t="n">
        <x:v>50</x:v>
      </x:c>
      <x:c r="F323" s="38" t="str">
        <x:v>来源对象 bz_van_322；主附魔 Golden；真实来源地点数 2</x:v>
      </x:c>
    </x:row>
    <x:row r="324">
      <x:c r="A324" s="38" t="str">
        <x:v>pal_323</x:v>
      </x:c>
      <x:c r="B324" s="38" t="n">
        <x:v>4</x:v>
      </x:c>
      <x:c r="C324" s="38" t="str">
        <x:v>pT2</x:v>
      </x:c>
      <x:c r="D324" s="38" t="n">
        <x:v>85</x:v>
      </x:c>
      <x:c r="E324" s="38" t="n">
        <x:v>50</x:v>
      </x:c>
      <x:c r="F324" s="38" t="str">
        <x:v>来源对象 bz_van_323；主附魔 Shiny；真实来源地点数 2</x:v>
      </x:c>
    </x:row>
    <x:row r="325">
      <x:c r="A325" s="38" t="str">
        <x:v>pal_324</x:v>
      </x:c>
      <x:c r="B325" s="38" t="n">
        <x:v>4</x:v>
      </x:c>
      <x:c r="C325" s="38" t="str">
        <x:v>pT2</x:v>
      </x:c>
      <x:c r="D325" s="38" t="n">
        <x:v>85</x:v>
      </x:c>
      <x:c r="E325" s="38" t="n">
        <x:v>50</x:v>
      </x:c>
      <x:c r="F325" s="38" t="str">
        <x:v>来源对象 bz_van_324；主附魔 Shiny；真实来源地点数 2</x:v>
      </x:c>
    </x:row>
    <x:row r="326">
      <x:c r="A326" s="38" t="str">
        <x:v>pal_325</x:v>
      </x:c>
      <x:c r="B326" s="38" t="n">
        <x:v>1</x:v>
      </x:c>
      <x:c r="C326" s="38" t="str">
        <x:v>pT1</x:v>
      </x:c>
      <x:c r="D326" s="38" t="n">
        <x:v>100</x:v>
      </x:c>
      <x:c r="E326" s="38" t="n">
        <x:v>60</x:v>
      </x:c>
      <x:c r="F326" s="38" t="str">
        <x:v>来源对象 bz_van_325；主附魔 Heavy；真实来源地点数 2</x:v>
      </x:c>
    </x:row>
    <x:row r="327">
      <x:c r="A327" s="38" t="str">
        <x:v>pal_326</x:v>
      </x:c>
      <x:c r="B327" s="38" t="n">
        <x:v>1</x:v>
      </x:c>
      <x:c r="C327" s="38" t="str">
        <x:v>pT1</x:v>
      </x:c>
      <x:c r="D327" s="38" t="n">
        <x:v>100</x:v>
      </x:c>
      <x:c r="E327" s="38" t="n">
        <x:v>60</x:v>
      </x:c>
      <x:c r="F327" s="38" t="str">
        <x:v>来源对象 bz_van_326；主附魔 Shiny；真实来源地点数 2</x:v>
      </x:c>
    </x:row>
    <x:row r="328">
      <x:c r="A328" s="38" t="str">
        <x:v>pal_327</x:v>
      </x:c>
      <x:c r="B328" s="38" t="n">
        <x:v>5</x:v>
      </x:c>
      <x:c r="C328" s="38" t="str">
        <x:v>pT2</x:v>
      </x:c>
      <x:c r="D328" s="38" t="n">
        <x:v>85</x:v>
      </x:c>
      <x:c r="E328" s="38" t="n">
        <x:v>50</x:v>
      </x:c>
      <x:c r="F328" s="38" t="str">
        <x:v>来源对象 bz_van_327；主附魔 Shiny；真实来源地点数 2</x:v>
      </x:c>
    </x:row>
    <x:row r="329">
      <x:c r="A329" s="38" t="str">
        <x:v>pal_328</x:v>
      </x:c>
      <x:c r="B329" s="38" t="n">
        <x:v>5</x:v>
      </x:c>
      <x:c r="C329" s="38" t="str">
        <x:v>pT2</x:v>
      </x:c>
      <x:c r="D329" s="38" t="n">
        <x:v>85</x:v>
      </x:c>
      <x:c r="E329" s="38" t="n">
        <x:v>50</x:v>
      </x:c>
      <x:c r="F329" s="38" t="str">
        <x:v>来源对象 bz_van_328；主附魔 Golden；真实来源地点数 2</x:v>
      </x:c>
    </x:row>
    <x:row r="330">
      <x:c r="A330" s="38" t="str">
        <x:v>pal_329</x:v>
      </x:c>
      <x:c r="B330" s="38" t="n">
        <x:v>2</x:v>
      </x:c>
      <x:c r="C330" s="38" t="str">
        <x:v>pT2</x:v>
      </x:c>
      <x:c r="D330" s="38" t="n">
        <x:v>85</x:v>
      </x:c>
      <x:c r="E330" s="38" t="n">
        <x:v>50</x:v>
      </x:c>
      <x:c r="F330" s="38" t="str">
        <x:v>来源对象 bz_van_329；主附魔 Heavy；真实来源地点数 2</x:v>
      </x:c>
    </x:row>
    <x:row r="331">
      <x:c r="A331" s="38" t="str">
        <x:v>pal_330</x:v>
      </x:c>
      <x:c r="B331" s="38" t="n">
        <x:v>1</x:v>
      </x:c>
      <x:c r="C331" s="38" t="str">
        <x:v>pT1</x:v>
      </x:c>
      <x:c r="D331" s="38" t="n">
        <x:v>100</x:v>
      </x:c>
      <x:c r="E331" s="38" t="n">
        <x:v>60</x:v>
      </x:c>
      <x:c r="F331" s="38" t="str">
        <x:v>来源对象 bz_van_330；主附魔 Shiny；真实来源地点数 2</x:v>
      </x:c>
    </x:row>
    <x:row r="332">
      <x:c r="A332" s="38" t="str">
        <x:v>pal_331</x:v>
      </x:c>
      <x:c r="B332" s="38" t="n">
        <x:v>4</x:v>
      </x:c>
      <x:c r="C332" s="38" t="str">
        <x:v>pT2</x:v>
      </x:c>
      <x:c r="D332" s="38" t="n">
        <x:v>85</x:v>
      </x:c>
      <x:c r="E332" s="38" t="n">
        <x:v>50</x:v>
      </x:c>
      <x:c r="F332" s="38" t="str">
        <x:v>来源对象 bz_van_331；主附魔 Heavy；真实来源地点数 2</x:v>
      </x:c>
    </x:row>
    <x:row r="333">
      <x:c r="A333" s="38" t="str">
        <x:v>pal_332</x:v>
      </x:c>
      <x:c r="B333" s="38" t="n">
        <x:v>1</x:v>
      </x:c>
      <x:c r="C333" s="38" t="str">
        <x:v>pT1</x:v>
      </x:c>
      <x:c r="D333" s="38" t="n">
        <x:v>100</x:v>
      </x:c>
      <x:c r="E333" s="38" t="n">
        <x:v>60</x:v>
      </x:c>
      <x:c r="F333" s="38" t="str">
        <x:v>来源对象 bz_van_332；主附魔 Shiny；真实来源地点数 2</x:v>
      </x:c>
    </x:row>
    <x:row r="334">
      <x:c r="A334" s="38" t="str">
        <x:v>pal_333</x:v>
      </x:c>
      <x:c r="B334" s="38" t="n">
        <x:v>1</x:v>
      </x:c>
      <x:c r="C334" s="38" t="str">
        <x:v>pT1</x:v>
      </x:c>
      <x:c r="D334" s="38" t="n">
        <x:v>100</x:v>
      </x:c>
      <x:c r="E334" s="38" t="n">
        <x:v>60</x:v>
      </x:c>
      <x:c r="F334" s="38" t="str">
        <x:v>来源对象 bz_van_333；主附魔 Shiny；真实来源地点数 2</x:v>
      </x:c>
    </x:row>
    <x:row r="335">
      <x:c r="A335" s="38" t="str">
        <x:v>pal_334</x:v>
      </x:c>
      <x:c r="B335" s="38" t="n">
        <x:v>4</x:v>
      </x:c>
      <x:c r="C335" s="38" t="str">
        <x:v>pT3</x:v>
      </x:c>
      <x:c r="D335" s="38" t="n">
        <x:v>65</x:v>
      </x:c>
      <x:c r="E335" s="38" t="n">
        <x:v>40</x:v>
      </x:c>
      <x:c r="F335" s="38" t="str">
        <x:v>来源对象 bz_van_334；主附魔 Golden；真实来源地点数 2</x:v>
      </x:c>
    </x:row>
    <x:row r="336">
      <x:c r="A336" s="38" t="str">
        <x:v>pal_335</x:v>
      </x:c>
      <x:c r="B336" s="38" t="n">
        <x:v>5</x:v>
      </x:c>
      <x:c r="C336" s="38" t="str">
        <x:v>pT2</x:v>
      </x:c>
      <x:c r="D336" s="38" t="n">
        <x:v>85</x:v>
      </x:c>
      <x:c r="E336" s="38" t="n">
        <x:v>50</x:v>
      </x:c>
      <x:c r="F336" s="38" t="str">
        <x:v>来源对象 bz_van_335；主附魔 Heavy；真实来源地点数 2</x:v>
      </x:c>
    </x:row>
    <x:row r="337">
      <x:c r="A337" s="38" t="str">
        <x:v>pal_336</x:v>
      </x:c>
      <x:c r="B337" s="38" t="n">
        <x:v>4</x:v>
      </x:c>
      <x:c r="C337" s="38" t="str">
        <x:v>pT3</x:v>
      </x:c>
      <x:c r="D337" s="38" t="n">
        <x:v>65</x:v>
      </x:c>
      <x:c r="E337" s="38" t="n">
        <x:v>40</x:v>
      </x:c>
      <x:c r="F337" s="38" t="str">
        <x:v>来源对象 bz_van_336；主附魔 Golden；真实来源地点数 2</x:v>
      </x:c>
    </x:row>
    <x:row r="338">
      <x:c r="A338" s="38" t="str">
        <x:v>pal_337</x:v>
      </x:c>
      <x:c r="B338" s="38" t="n">
        <x:v>4</x:v>
      </x:c>
      <x:c r="C338" s="38" t="str">
        <x:v>pT2</x:v>
      </x:c>
      <x:c r="D338" s="38" t="n">
        <x:v>85</x:v>
      </x:c>
      <x:c r="E338" s="38" t="n">
        <x:v>50</x:v>
      </x:c>
      <x:c r="F338" s="38" t="str">
        <x:v>来源对象 bz_van_337；主附魔 Heavy；真实来源地点数 2</x:v>
      </x:c>
    </x:row>
    <x:row r="339">
      <x:c r="A339" s="38" t="str">
        <x:v>pal_338</x:v>
      </x:c>
      <x:c r="B339" s="38" t="n">
        <x:v>4</x:v>
      </x:c>
      <x:c r="C339" s="38" t="str">
        <x:v>pT2</x:v>
      </x:c>
      <x:c r="D339" s="38" t="n">
        <x:v>85</x:v>
      </x:c>
      <x:c r="E339" s="38" t="n">
        <x:v>50</x:v>
      </x:c>
      <x:c r="F339" s="38" t="str">
        <x:v>来源对象 bz_van_338；主附魔 Heavy；真实来源地点数 2</x:v>
      </x:c>
    </x:row>
    <x:row r="340">
      <x:c r="A340" s="38" t="str">
        <x:v>pal_339</x:v>
      </x:c>
      <x:c r="B340" s="38" t="n">
        <x:v>4</x:v>
      </x:c>
      <x:c r="C340" s="38" t="str">
        <x:v>pT2</x:v>
      </x:c>
      <x:c r="D340" s="38" t="n">
        <x:v>85</x:v>
      </x:c>
      <x:c r="E340" s="38" t="n">
        <x:v>50</x:v>
      </x:c>
      <x:c r="F340" s="38" t="str">
        <x:v>来源对象 bz_van_339；主附魔 Shiny；真实来源地点数 2</x:v>
      </x:c>
    </x:row>
    <x:row r="341">
      <x:c r="A341" s="38" t="str">
        <x:v>pal_340</x:v>
      </x:c>
      <x:c r="B341" s="38" t="n">
        <x:v>1</x:v>
      </x:c>
      <x:c r="C341" s="38" t="str">
        <x:v>pT1</x:v>
      </x:c>
      <x:c r="D341" s="38" t="n">
        <x:v>100</x:v>
      </x:c>
      <x:c r="E341" s="38" t="n">
        <x:v>60</x:v>
      </x:c>
      <x:c r="F341" s="38" t="str">
        <x:v>来源对象 bz_van_340；主附魔 Heavy；真实来源地点数 2</x:v>
      </x:c>
    </x:row>
    <x:row r="342">
      <x:c r="A342" s="38" t="str">
        <x:v>pal_341</x:v>
      </x:c>
      <x:c r="B342" s="38" t="n">
        <x:v>2</x:v>
      </x:c>
      <x:c r="C342" s="38" t="str">
        <x:v>pT2</x:v>
      </x:c>
      <x:c r="D342" s="38" t="n">
        <x:v>85</x:v>
      </x:c>
      <x:c r="E342" s="38" t="n">
        <x:v>50</x:v>
      </x:c>
      <x:c r="F342" s="38" t="str">
        <x:v>来源对象 bz_van_341；主附魔 Heavy；真实来源地点数 2</x:v>
      </x:c>
    </x:row>
    <x:row r="343">
      <x:c r="A343" s="38" t="str">
        <x:v>pal_342</x:v>
      </x:c>
      <x:c r="B343" s="38" t="n">
        <x:v>1</x:v>
      </x:c>
      <x:c r="C343" s="38" t="str">
        <x:v>pT1</x:v>
      </x:c>
      <x:c r="D343" s="38" t="n">
        <x:v>100</x:v>
      </x:c>
      <x:c r="E343" s="38" t="n">
        <x:v>60</x:v>
      </x:c>
      <x:c r="F343" s="38" t="str">
        <x:v>来源对象 bz_van_342；主附魔 Heavy；真实来源地点数 2</x:v>
      </x:c>
    </x:row>
    <x:row r="344">
      <x:c r="A344" s="38" t="str">
        <x:v>pal_343</x:v>
      </x:c>
      <x:c r="B344" s="38" t="n">
        <x:v>2</x:v>
      </x:c>
      <x:c r="C344" s="38" t="str">
        <x:v>pT2</x:v>
      </x:c>
      <x:c r="D344" s="38" t="n">
        <x:v>85</x:v>
      </x:c>
      <x:c r="E344" s="38" t="n">
        <x:v>50</x:v>
      </x:c>
      <x:c r="F344" s="38" t="str">
        <x:v>来源对象 bz_van_343；主附魔 Shiny；真实来源地点数 2</x:v>
      </x:c>
    </x:row>
    <x:row r="345">
      <x:c r="A345" s="38" t="str">
        <x:v>pal_344</x:v>
      </x:c>
      <x:c r="B345" s="38" t="n">
        <x:v>1</x:v>
      </x:c>
      <x:c r="C345" s="38" t="str">
        <x:v>pT1</x:v>
      </x:c>
      <x:c r="D345" s="38" t="n">
        <x:v>100</x:v>
      </x:c>
      <x:c r="E345" s="38" t="n">
        <x:v>60</x:v>
      </x:c>
      <x:c r="F345" s="38" t="str">
        <x:v>来源对象 bz_van_344；主附魔 Heavy；真实来源地点数 2</x:v>
      </x:c>
    </x:row>
    <x:row r="346">
      <x:c r="A346" s="38" t="str">
        <x:v>pal_345</x:v>
      </x:c>
      <x:c r="B346" s="38" t="n">
        <x:v>1</x:v>
      </x:c>
      <x:c r="C346" s="38" t="str">
        <x:v>pT1</x:v>
      </x:c>
      <x:c r="D346" s="38" t="n">
        <x:v>100</x:v>
      </x:c>
      <x:c r="E346" s="38" t="n">
        <x:v>60</x:v>
      </x:c>
      <x:c r="F346" s="38" t="str">
        <x:v>来源对象 bz_van_345；主附魔 Shiny；真实来源地点数 2</x:v>
      </x:c>
    </x:row>
    <x:row r="347">
      <x:c r="A347" s="38" t="str">
        <x:v>pal_346</x:v>
      </x:c>
      <x:c r="B347" s="38" t="n">
        <x:v>1</x:v>
      </x:c>
      <x:c r="C347" s="38" t="str">
        <x:v>pT1</x:v>
      </x:c>
      <x:c r="D347" s="38" t="n">
        <x:v>100</x:v>
      </x:c>
      <x:c r="E347" s="38" t="n">
        <x:v>60</x:v>
      </x:c>
      <x:c r="F347" s="38" t="str">
        <x:v>来源对象 bz_van_346；主附魔 Shiny；真实来源地点数 2</x:v>
      </x:c>
    </x:row>
    <x:row r="348">
      <x:c r="A348" s="38" t="str">
        <x:v>pal_347</x:v>
      </x:c>
      <x:c r="B348" s="38" t="n">
        <x:v>2</x:v>
      </x:c>
      <x:c r="C348" s="38" t="str">
        <x:v>pT2</x:v>
      </x:c>
      <x:c r="D348" s="38" t="n">
        <x:v>85</x:v>
      </x:c>
      <x:c r="E348" s="38" t="n">
        <x:v>50</x:v>
      </x:c>
      <x:c r="F348" s="38" t="str">
        <x:v>来源对象 bz_van_347；主附魔 Shiny；真实来源地点数 2</x:v>
      </x:c>
    </x:row>
    <x:row r="349">
      <x:c r="A349" s="38" t="str">
        <x:v>pal_348</x:v>
      </x:c>
      <x:c r="B349" s="38" t="n">
        <x:v>1</x:v>
      </x:c>
      <x:c r="C349" s="38" t="str">
        <x:v>pT1</x:v>
      </x:c>
      <x:c r="D349" s="38" t="n">
        <x:v>100</x:v>
      </x:c>
      <x:c r="E349" s="38" t="n">
        <x:v>60</x:v>
      </x:c>
      <x:c r="F349" s="38" t="str">
        <x:v>来源对象 bz_van_348；主附魔 Shiny；真实来源地点数 2</x:v>
      </x:c>
    </x:row>
    <x:row r="350">
      <x:c r="A350" s="38" t="str">
        <x:v>pal_349</x:v>
      </x:c>
      <x:c r="B350" s="38" t="n">
        <x:v>1</x:v>
      </x:c>
      <x:c r="C350" s="38" t="str">
        <x:v>pT1</x:v>
      </x:c>
      <x:c r="D350" s="38" t="n">
        <x:v>100</x:v>
      </x:c>
      <x:c r="E350" s="38" t="n">
        <x:v>60</x:v>
      </x:c>
      <x:c r="F350" s="38" t="str">
        <x:v>来源对象 bz_van_349；主附魔 Shiny；真实来源地点数 2</x:v>
      </x:c>
    </x:row>
    <x:row r="351">
      <x:c r="A351" s="38" t="str">
        <x:v>pal_350</x:v>
      </x:c>
      <x:c r="B351" s="38" t="n">
        <x:v>2</x:v>
      </x:c>
      <x:c r="C351" s="38" t="str">
        <x:v>pT2</x:v>
      </x:c>
      <x:c r="D351" s="38" t="n">
        <x:v>85</x:v>
      </x:c>
      <x:c r="E351" s="38" t="n">
        <x:v>50</x:v>
      </x:c>
      <x:c r="F351" s="38" t="str">
        <x:v>来源对象 bz_van_350；主附魔 Heavy；真实来源地点数 2</x:v>
      </x:c>
    </x:row>
    <x:row r="352">
      <x:c r="A352" s="38" t="str">
        <x:v>pal_351</x:v>
      </x:c>
      <x:c r="B352" s="38" t="n">
        <x:v>2</x:v>
      </x:c>
      <x:c r="C352" s="38" t="str">
        <x:v>pT2</x:v>
      </x:c>
      <x:c r="D352" s="38" t="n">
        <x:v>85</x:v>
      </x:c>
      <x:c r="E352" s="38" t="n">
        <x:v>50</x:v>
      </x:c>
      <x:c r="F352" s="38" t="str">
        <x:v>来源对象 bz_van_351；主附魔 Shiny；真实来源地点数 2</x:v>
      </x:c>
    </x:row>
    <x:row r="353">
      <x:c r="A353" s="38" t="str">
        <x:v>pal_352</x:v>
      </x:c>
      <x:c r="B353" s="38" t="n">
        <x:v>5</x:v>
      </x:c>
      <x:c r="C353" s="38" t="str">
        <x:v>pT2</x:v>
      </x:c>
      <x:c r="D353" s="38" t="n">
        <x:v>85</x:v>
      </x:c>
      <x:c r="E353" s="38" t="n">
        <x:v>50</x:v>
      </x:c>
      <x:c r="F353" s="38" t="str">
        <x:v>来源对象 bz_van_352；主附魔 Shiny；真实来源地点数 2</x:v>
      </x:c>
    </x:row>
    <x:row r="354">
      <x:c r="A354" s="38" t="str">
        <x:v>pal_353</x:v>
      </x:c>
      <x:c r="B354" s="38" t="n">
        <x:v>5</x:v>
      </x:c>
      <x:c r="C354" s="38" t="str">
        <x:v>pT2</x:v>
      </x:c>
      <x:c r="D354" s="38" t="n">
        <x:v>85</x:v>
      </x:c>
      <x:c r="E354" s="38" t="n">
        <x:v>50</x:v>
      </x:c>
      <x:c r="F354" s="38" t="str">
        <x:v>来源对象 bz_van_353；主附魔 Shiny；真实来源地点数 2</x:v>
      </x:c>
    </x:row>
    <x:row r="355">
      <x:c r="A355" s="38" t="str">
        <x:v>pal_354</x:v>
      </x:c>
      <x:c r="B355" s="38" t="n">
        <x:v>5</x:v>
      </x:c>
      <x:c r="C355" s="38" t="str">
        <x:v>pT2</x:v>
      </x:c>
      <x:c r="D355" s="38" t="n">
        <x:v>85</x:v>
      </x:c>
      <x:c r="E355" s="38" t="n">
        <x:v>50</x:v>
      </x:c>
      <x:c r="F355" s="38" t="str">
        <x:v>来源对象 bz_van_354；主附魔 Heavy；真实来源地点数 2</x:v>
      </x:c>
    </x:row>
    <x:row r="356">
      <x:c r="A356" s="38" t="str">
        <x:v>pal_355</x:v>
      </x:c>
      <x:c r="B356" s="38" t="n">
        <x:v>1</x:v>
      </x:c>
      <x:c r="C356" s="38" t="str">
        <x:v>pT1</x:v>
      </x:c>
      <x:c r="D356" s="38" t="n">
        <x:v>100</x:v>
      </x:c>
      <x:c r="E356" s="38" t="n">
        <x:v>60</x:v>
      </x:c>
      <x:c r="F356" s="38" t="str">
        <x:v>来源对象 bz_van_355；主附魔 Heavy；真实来源地点数 2</x:v>
      </x:c>
    </x:row>
    <x:row r="357">
      <x:c r="A357" s="38" t="str">
        <x:v>pal_356</x:v>
      </x:c>
      <x:c r="B357" s="38" t="n">
        <x:v>1</x:v>
      </x:c>
      <x:c r="C357" s="38" t="str">
        <x:v>pT1</x:v>
      </x:c>
      <x:c r="D357" s="38" t="n">
        <x:v>100</x:v>
      </x:c>
      <x:c r="E357" s="38" t="n">
        <x:v>60</x:v>
      </x:c>
      <x:c r="F357" s="38" t="str">
        <x:v>来源对象 bz_van_356；主附魔 Shiny；真实来源地点数 2</x:v>
      </x:c>
    </x:row>
    <x:row r="358">
      <x:c r="A358" s="38" t="str">
        <x:v>pal_357</x:v>
      </x:c>
      <x:c r="B358" s="38" t="n">
        <x:v>6</x:v>
      </x:c>
      <x:c r="C358" s="38" t="str">
        <x:v>pT2</x:v>
      </x:c>
      <x:c r="D358" s="38" t="n">
        <x:v>85</x:v>
      </x:c>
      <x:c r="E358" s="38" t="n">
        <x:v>50</x:v>
      </x:c>
      <x:c r="F358" s="38" t="str">
        <x:v>来源对象 bz_van_357；主附魔 Heavy；真实来源地点数 2</x:v>
      </x:c>
    </x:row>
    <x:row r="359">
      <x:c r="A359" s="38" t="str">
        <x:v>pal_358</x:v>
      </x:c>
      <x:c r="B359" s="38" t="n">
        <x:v>1</x:v>
      </x:c>
      <x:c r="C359" s="38" t="str">
        <x:v>pT1</x:v>
      </x:c>
      <x:c r="D359" s="38" t="n">
        <x:v>100</x:v>
      </x:c>
      <x:c r="E359" s="38" t="n">
        <x:v>60</x:v>
      </x:c>
      <x:c r="F359" s="38" t="str">
        <x:v>来源对象 bz_van_358；主附魔 Heavy；真实来源地点数 2</x:v>
      </x:c>
    </x:row>
    <x:row r="360">
      <x:c r="A360" s="38" t="str">
        <x:v>pal_359</x:v>
      </x:c>
      <x:c r="B360" s="38" t="n">
        <x:v>6</x:v>
      </x:c>
      <x:c r="C360" s="38" t="str">
        <x:v>pT2</x:v>
      </x:c>
      <x:c r="D360" s="38" t="n">
        <x:v>85</x:v>
      </x:c>
      <x:c r="E360" s="38" t="n">
        <x:v>50</x:v>
      </x:c>
      <x:c r="F360" s="38" t="str">
        <x:v>来源对象 bz_van_359；主附魔 Shiny；真实来源地点数 1</x:v>
      </x:c>
    </x:row>
    <x:row r="361">
      <x:c r="A361" s="38" t="str">
        <x:v>pal_360</x:v>
      </x:c>
      <x:c r="B361" s="38" t="n">
        <x:v>1</x:v>
      </x:c>
      <x:c r="C361" s="38" t="str">
        <x:v>pT1</x:v>
      </x:c>
      <x:c r="D361" s="38" t="n">
        <x:v>100</x:v>
      </x:c>
      <x:c r="E361" s="38" t="n">
        <x:v>60</x:v>
      </x:c>
      <x:c r="F361" s="38" t="str">
        <x:v>来源对象 bz_van_360；主附魔 Heavy；真实来源地点数 2</x:v>
      </x:c>
    </x:row>
    <x:row r="362">
      <x:c r="A362" s="38" t="str">
        <x:v>pal_361</x:v>
      </x:c>
      <x:c r="B362" s="38" t="n">
        <x:v>1</x:v>
      </x:c>
      <x:c r="C362" s="38" t="str">
        <x:v>pT1</x:v>
      </x:c>
      <x:c r="D362" s="38" t="n">
        <x:v>100</x:v>
      </x:c>
      <x:c r="E362" s="38" t="n">
        <x:v>60</x:v>
      </x:c>
      <x:c r="F362" s="38" t="str">
        <x:v>来源对象 bz_van_361；主附魔 Shiny；真实来源地点数 2</x:v>
      </x:c>
    </x:row>
    <x:row r="363">
      <x:c r="A363" s="38" t="str">
        <x:v>pal_362</x:v>
      </x:c>
      <x:c r="B363" s="38" t="n">
        <x:v>1</x:v>
      </x:c>
      <x:c r="C363" s="38" t="str">
        <x:v>pT1</x:v>
      </x:c>
      <x:c r="D363" s="38" t="n">
        <x:v>100</x:v>
      </x:c>
      <x:c r="E363" s="38" t="n">
        <x:v>60</x:v>
      </x:c>
      <x:c r="F363" s="38" t="str">
        <x:v>来源对象 bz_van_362；主附魔 Heavy；真实来源地点数 2</x:v>
      </x:c>
    </x:row>
    <x:row r="364">
      <x:c r="A364" s="38" t="str">
        <x:v>pal_363</x:v>
      </x:c>
      <x:c r="B364" s="38" t="n">
        <x:v>6</x:v>
      </x:c>
      <x:c r="C364" s="38" t="str">
        <x:v>pT2</x:v>
      </x:c>
      <x:c r="D364" s="38" t="n">
        <x:v>85</x:v>
      </x:c>
      <x:c r="E364" s="38" t="n">
        <x:v>50</x:v>
      </x:c>
      <x:c r="F364" s="38" t="str">
        <x:v>来源对象 bz_van_363；主附魔 Shiny；真实来源地点数 2</x:v>
      </x:c>
    </x:row>
    <x:row r="365">
      <x:c r="A365" s="38" t="str">
        <x:v>pal_364</x:v>
      </x:c>
      <x:c r="B365" s="38" t="n">
        <x:v>4</x:v>
      </x:c>
      <x:c r="C365" s="38" t="str">
        <x:v>pT3</x:v>
      </x:c>
      <x:c r="D365" s="38" t="n">
        <x:v>65</x:v>
      </x:c>
      <x:c r="E365" s="38" t="n">
        <x:v>40</x:v>
      </x:c>
      <x:c r="F365" s="38" t="str">
        <x:v>来源对象 bz_van_364；主附魔 Golden；真实来源地点数 2</x:v>
      </x:c>
    </x:row>
    <x:row r="366">
      <x:c r="A366" s="38" t="str">
        <x:v>pal_365</x:v>
      </x:c>
      <x:c r="B366" s="38" t="n">
        <x:v>4</x:v>
      </x:c>
      <x:c r="C366" s="38" t="str">
        <x:v>pT3</x:v>
      </x:c>
      <x:c r="D366" s="38" t="n">
        <x:v>65</x:v>
      </x:c>
      <x:c r="E366" s="38" t="n">
        <x:v>40</x:v>
      </x:c>
      <x:c r="F366" s="38" t="str">
        <x:v>来源对象 bz_van_365；主附魔 Golden；真实来源地点数 2</x:v>
      </x:c>
    </x:row>
    <x:row r="367">
      <x:c r="A367" s="38" t="str">
        <x:v>pal_366</x:v>
      </x:c>
      <x:c r="B367" s="38" t="n">
        <x:v>4</x:v>
      </x:c>
      <x:c r="C367" s="38" t="str">
        <x:v>pT3</x:v>
      </x:c>
      <x:c r="D367" s="38" t="n">
        <x:v>65</x:v>
      </x:c>
      <x:c r="E367" s="38" t="n">
        <x:v>40</x:v>
      </x:c>
      <x:c r="F367" s="38" t="str">
        <x:v>来源对象 bz_van_366；主附魔 Golden；真实来源地点数 2</x:v>
      </x:c>
    </x:row>
    <x:row r="368">
      <x:c r="A368" s="38" t="str">
        <x:v>pal_367</x:v>
      </x:c>
      <x:c r="B368" s="38" t="n">
        <x:v>6</x:v>
      </x:c>
      <x:c r="C368" s="38" t="str">
        <x:v>pT2</x:v>
      </x:c>
      <x:c r="D368" s="38" t="n">
        <x:v>85</x:v>
      </x:c>
      <x:c r="E368" s="38" t="n">
        <x:v>50</x:v>
      </x:c>
      <x:c r="F368" s="38" t="str">
        <x:v>来源对象 bz_van_367；主附魔 Heavy；真实来源地点数 2</x:v>
      </x:c>
    </x:row>
    <x:row r="369">
      <x:c r="A369" s="38" t="str">
        <x:v>pal_368</x:v>
      </x:c>
      <x:c r="B369" s="38" t="n">
        <x:v>6</x:v>
      </x:c>
      <x:c r="C369" s="38" t="str">
        <x:v>pT2</x:v>
      </x:c>
      <x:c r="D369" s="38" t="n">
        <x:v>85</x:v>
      </x:c>
      <x:c r="E369" s="38" t="n">
        <x:v>50</x:v>
      </x:c>
      <x:c r="F369" s="38" t="str">
        <x:v>来源对象 bz_van_368；主附魔 Shiny；真实来源地点数 2</x:v>
      </x:c>
    </x:row>
    <x:row r="370">
      <x:c r="A370" s="38" t="str">
        <x:v>pal_369</x:v>
      </x:c>
      <x:c r="B370" s="38" t="n">
        <x:v>6</x:v>
      </x:c>
      <x:c r="C370" s="38" t="str">
        <x:v>pT2</x:v>
      </x:c>
      <x:c r="D370" s="38" t="n">
        <x:v>85</x:v>
      </x:c>
      <x:c r="E370" s="38" t="n">
        <x:v>50</x:v>
      </x:c>
      <x:c r="F370" s="38" t="str">
        <x:v>来源对象 bz_van_369；主附魔 Heavy；真实来源地点数 2</x:v>
      </x:c>
    </x:row>
  </x:sheetData>
  <x:pageMargins left="0.7" right="0.7" top="0.75" bottom="0.75" header="0.3" footer="0.3"/>
  <x:tableParts count="1">
    <x:tablePart xmlns:r="http://schemas.openxmlformats.org/officeDocument/2006/relationships" r:id="R93ffeece9c814927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30" hidden="0" customWidth="1"/>
    <x:col min="2" max="2" width="22" hidden="0" customWidth="1"/>
    <x:col min="3" max="3" width="24" hidden="0" customWidth="1"/>
    <x:col min="4" max="4" width="58" hidden="0" customWidth="1"/>
    <x:col min="5" max="5" width="12" hidden="0" customWidth="1"/>
    <x:col min="6" max="6" width="21" customWidth="1"/>
    <x:col min="7" max="7" width="36" customWidth="1"/>
    <x:col min="8" max="8" width="36" customWidth="1"/>
    <x:col min="9" max="9" width="28" customWidth="1"/>
    <x:col min="10" max="10" width="36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0" customWidth="1"/>
    <x:col min="16" max="16" width="10" customWidth="1"/>
    <x:col min="17" max="17" width="10" customWidth="1"/>
    <x:col min="18" max="18" width="10" customWidth="1"/>
    <x:col min="19" max="19" width="17" customWidth="1"/>
  </x:cols>
  <x:sheetData>
    <x:row r="1">
      <x:c r="A1" s="4" t="str">
        <x:v>#csv</x:v>
      </x:c>
      <x:c r="B1" s="4" t="str">
        <x:v>04_mechanisms.csv</x:v>
      </x:c>
      <x:c r="C1" s="4" t="str">
        <x:v>机制注册表：机制 ID、触发、效果、接入状态。</x:v>
      </x:c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</x:row>
    <x:row r="2">
      <x:c r="A2" s="5" t="str">
        <x:v>机制编号</x:v>
      </x:c>
      <x:c r="B2" s="5" t="str">
        <x:v>机制ID</x:v>
      </x:c>
      <x:c r="C2" s="5" t="str">
        <x:v>机制名</x:v>
      </x:c>
      <x:c r="D2" s="5" t="str">
        <x:v>分类</x:v>
      </x:c>
      <x:c r="E2" s="5" t="str">
        <x:v>适用对象</x:v>
      </x:c>
      <x:c r="F2" s="5" t="str">
        <x:v>触发</x:v>
      </x:c>
      <x:c r="G2" s="5" t="str">
        <x:v>条件</x:v>
      </x:c>
      <x:c r="H2" s="5" t="str">
        <x:v>参数默认</x:v>
      </x:c>
      <x:c r="I2" s="5" t="str">
        <x:v>效果</x:v>
      </x:c>
      <x:c r="J2" s="5" t="str">
        <x:v>日志模板</x:v>
      </x:c>
      <x:c r="K2" s="5" t="str">
        <x:v>机制分</x:v>
      </x:c>
      <x:c r="L2" s="5" t="str">
        <x:v>强度</x:v>
      </x:c>
      <x:c r="M2" s="5" t="str">
        <x:v>状态</x:v>
      </x:c>
      <x:c r="N2" s="5" t="str">
        <x:v>接入状态</x:v>
      </x:c>
      <x:c r="O2" s="5" t="str">
        <x:v>宠物用</x:v>
      </x:c>
      <x:c r="P2" s="5" t="str">
        <x:v>怪物用</x:v>
      </x:c>
      <x:c r="Q2" s="5" t="str">
        <x:v>事件用</x:v>
      </x:c>
      <x:c r="R2" s="5" t="str">
        <x:v>波次用</x:v>
      </x:c>
      <x:c r="S2" s="5" t="str">
        <x:v>备注</x:v>
      </x:c>
    </x:row>
    <x:row r="3">
      <x:c r="A3" s="3" t="str">
        <x:v>M00</x:v>
      </x:c>
      <x:c r="B3" s="3" t="str">
        <x:v>none</x:v>
      </x:c>
      <x:c r="C3" s="3" t="str">
        <x:v>无机制</x:v>
      </x:c>
      <x:c r="D3" s="3" t="str">
        <x:v>占位</x:v>
      </x:c>
      <x:c r="E3" s="3" t="str">
        <x:v>宠物/怪物/事件/波次</x:v>
      </x:c>
      <x:c r="F3" s="3" t="str">
        <x:v>无</x:v>
      </x:c>
      <x:c r="G3" s="3" t="str">
        <x:v>无</x:v>
      </x:c>
      <x:c r="H3" s="3" t="str">
        <x:v>{}</x:v>
      </x:c>
      <x:c r="I3" s="3" t="str">
        <x:v>不产生任何效果</x:v>
      </x:c>
      <x:c r="J3" s="3" t="str">
        <x:v>{unit} 没有特殊机制。</x:v>
      </x:c>
      <x:c r="K3" s="3" t="str">
        <x:v>0</x:v>
      </x:c>
      <x:c r="L3" s="3" t="str">
        <x:v>无</x:v>
      </x:c>
      <x:c r="M3" s="3" t="str">
        <x:v>正式</x:v>
      </x:c>
      <x:c r="N3" s="3" t="str">
        <x:v>可接入</x:v>
      </x:c>
      <x:c r="O3" s="3" t="str">
        <x:v>1</x:v>
      </x:c>
      <x:c r="P3" s="3" t="str">
        <x:v>1</x:v>
      </x:c>
      <x:c r="Q3" s="3" t="str">
        <x:v>1</x:v>
      </x:c>
      <x:c r="R3" s="3" t="str">
        <x:v>1</x:v>
      </x:c>
      <x:c r="S3" s="3" t="str">
        <x:v>正式空机制，占位用。</x:v>
      </x:c>
    </x:row>
    <x:row r="4">
      <x:c r="A4" s="3" t="str">
        <x:v>M01</x:v>
      </x:c>
      <x:c r="B4" s="3" t="str">
        <x:v>mech_shield_flat</x:v>
      </x:c>
      <x:c r="C4" s="3" t="str">
        <x:v>开场护盾</x:v>
      </x:c>
      <x:c r="D4" s="3" t="str">
        <x:v>防御/护盾</x:v>
      </x:c>
      <x:c r="E4" s="3" t="str">
        <x:v>宠物/怪物</x:v>
      </x:c>
      <x:c r="F4" s="3" t="str">
        <x:v>battle_start</x:v>
      </x:c>
      <x:c r="G4" s="3" t="str">
        <x:v>单位入场</x:v>
      </x:c>
      <x:c r="H4" s="3" t="str">
        <x:v>shield=6</x:v>
      </x:c>
      <x:c r="I4" s="3" t="str">
        <x:v>入场获得固定护盾。</x:v>
      </x:c>
      <x:c r="J4" s="3" t="str">
        <x:v>{unit} 获得 {shield} 点护盾。</x:v>
      </x:c>
      <x:c r="K4" s="3" t="str">
        <x:v>2</x:v>
      </x:c>
      <x:c r="L4" s="3" t="str">
        <x:v>低</x:v>
      </x:c>
      <x:c r="M4" s="3" t="str">
        <x:v>正式</x:v>
      </x:c>
      <x:c r="N4" s="3" t="str">
        <x:v>可接入</x:v>
      </x:c>
      <x:c r="O4" s="3" t="str">
        <x:v>1</x:v>
      </x:c>
      <x:c r="P4" s="3" t="str">
        <x:v>1</x:v>
      </x:c>
      <x:c r="Q4" s="3" t="str">
        <x:v>0</x:v>
      </x:c>
      <x:c r="R4" s="3" t="str">
        <x:v>0</x:v>
      </x:c>
      <x:c r="S4" s="3" t="str">
        <x:v>最基础护盾词条。</x:v>
      </x:c>
    </x:row>
    <x:row r="5">
      <x:c r="A5" s="3" t="str">
        <x:v>M02</x:v>
      </x:c>
      <x:c r="B5" s="3" t="str">
        <x:v>mech_armor_flat</x:v>
      </x:c>
      <x:c r="C5" s="3" t="str">
        <x:v>护甲减伤</x:v>
      </x:c>
      <x:c r="D5" s="3" t="str">
        <x:v>防御/护盾</x:v>
      </x:c>
      <x:c r="E5" s="3" t="str">
        <x:v>宠物/怪物</x:v>
      </x:c>
      <x:c r="F5" s="3" t="str">
        <x:v>before_damage</x:v>
      </x:c>
      <x:c r="G5" s="3" t="str">
        <x:v>受到攻击伤害</x:v>
      </x:c>
      <x:c r="H5" s="3" t="str">
        <x:v>armor=2</x:v>
      </x:c>
      <x:c r="I5" s="3" t="str">
        <x:v>每次受攻击伤害前，先减少固定伤害。</x:v>
      </x:c>
      <x:c r="J5" s="3" t="str">
        <x:v>{unit} 的护甲抵消 {armor} 点伤害。</x:v>
      </x:c>
      <x:c r="K5" s="3" t="str">
        <x:v>3</x:v>
      </x:c>
      <x:c r="L5" s="3" t="str">
        <x:v>低</x:v>
      </x:c>
      <x:c r="M5" s="3" t="str">
        <x:v>正式</x:v>
      </x:c>
      <x:c r="N5" s="3" t="str">
        <x:v>可接入</x:v>
      </x:c>
      <x:c r="O5" s="3" t="str">
        <x:v>1</x:v>
      </x:c>
      <x:c r="P5" s="3" t="str">
        <x:v>1</x:v>
      </x:c>
      <x:c r="Q5" s="3" t="str">
        <x:v>0</x:v>
      </x:c>
      <x:c r="R5" s="3" t="str">
        <x:v>0</x:v>
      </x:c>
      <x:c r="S5" s="3" t="str">
        <x:v>适合厚盾低血怪或坦克宠物。</x:v>
      </x:c>
    </x:row>
    <x:row r="6">
      <x:c r="A6" s="3" t="str">
        <x:v>M03</x:v>
      </x:c>
      <x:c r="B6" s="3" t="str">
        <x:v>mech_damage_reduce_pct</x:v>
      </x:c>
      <x:c r="C6" s="3" t="str">
        <x:v>百分比免伤</x:v>
      </x:c>
      <x:c r="D6" s="3" t="str">
        <x:v>防御/护盾</x:v>
      </x:c>
      <x:c r="E6" s="3" t="str">
        <x:v>宠物/怪物</x:v>
      </x:c>
      <x:c r="F6" s="3" t="str">
        <x:v>before_damage</x:v>
      </x:c>
      <x:c r="G6" s="3" t="str">
        <x:v>受到任意伤害</x:v>
      </x:c>
      <x:c r="H6" s="3" t="str">
        <x:v>rate=0.3</x:v>
      </x:c>
      <x:c r="I6" s="3" t="str">
        <x:v>按比例降低最终伤害，至少保留 min_damage。</x:v>
      </x:c>
      <x:c r="J6" s="3" t="str">
        <x:v>{unit} 免伤 {percent}%，伤害降为 {damage}。</x:v>
      </x:c>
      <x:c r="K6" s="3" t="str">
        <x:v>5</x:v>
      </x:c>
      <x:c r="L6" s="3" t="str">
        <x:v>中</x:v>
      </x:c>
      <x:c r="M6" s="3" t="str">
        <x:v>正式</x:v>
      </x:c>
      <x:c r="N6" s="3" t="str">
        <x:v>待接入</x:v>
      </x:c>
      <x:c r="O6" s="3" t="str">
        <x:v>1</x:v>
      </x:c>
      <x:c r="P6" s="3" t="str">
        <x:v>1</x:v>
      </x:c>
      <x:c r="Q6" s="3" t="str">
        <x:v>0</x:v>
      </x:c>
      <x:c r="R6" s="3" t="str">
        <x:v>0</x:v>
      </x:c>
      <x:c r="S6" s="3" t="str">
        <x:v>需要明确四舍五入规则。</x:v>
      </x:c>
    </x:row>
    <x:row r="7">
      <x:c r="A7" s="3" t="str">
        <x:v>M04</x:v>
      </x:c>
      <x:c r="B7" s="3" t="str">
        <x:v>mech_first_hit_immunity</x:v>
      </x:c>
      <x:c r="C7" s="3" t="str">
        <x:v>首次免疫</x:v>
      </x:c>
      <x:c r="D7" s="3" t="str">
        <x:v>防御/护盾</x:v>
      </x:c>
      <x:c r="E7" s="3" t="str">
        <x:v>宠物/怪物</x:v>
      </x:c>
      <x:c r="F7" s="3" t="str">
        <x:v>before_damage</x:v>
      </x:c>
      <x:c r="G7" s="3" t="str">
        <x:v>本场第一次受到伤害</x:v>
      </x:c>
      <x:c r="H7" s="3" t="str">
        <x:v>times=1</x:v>
      </x:c>
      <x:c r="I7" s="3" t="str">
        <x:v>完全免疫前 N 次伤害。</x:v>
      </x:c>
      <x:c r="J7" s="3" t="str">
        <x:v>{unit} 触发首次免疫，抵消本次伤害。</x:v>
      </x:c>
      <x:c r="K7" s="3" t="str">
        <x:v>6</x:v>
      </x:c>
      <x:c r="L7" s="3" t="str">
        <x:v>中</x:v>
      </x:c>
      <x:c r="M7" s="3" t="str">
        <x:v>正式</x:v>
      </x:c>
      <x:c r="N7" s="3" t="str">
        <x:v>待接入</x:v>
      </x:c>
      <x:c r="O7" s="3" t="str">
        <x:v>1</x:v>
      </x:c>
      <x:c r="P7" s="3" t="str">
        <x:v>1</x:v>
      </x:c>
      <x:c r="Q7" s="3" t="str">
        <x:v>0</x:v>
      </x:c>
      <x:c r="R7" s="3" t="str">
        <x:v>0</x:v>
      </x:c>
      <x:c r="S7" s="3" t="str">
        <x:v>魔塔式可计算机制。</x:v>
      </x:c>
    </x:row>
    <x:row r="8">
      <x:c r="A8" s="3" t="str">
        <x:v>M05</x:v>
      </x:c>
      <x:c r="B8" s="3" t="str">
        <x:v>mech_damage_cap_per_round</x:v>
      </x:c>
      <x:c r="C8" s="3" t="str">
        <x:v>每回合损血上限</x:v>
      </x:c>
      <x:c r="D8" s="3" t="str">
        <x:v>防御/护盾</x:v>
      </x:c>
      <x:c r="E8" s="3" t="str">
        <x:v>怪物/首领</x:v>
      </x:c>
      <x:c r="F8" s="3" t="str">
        <x:v>before_damage</x:v>
      </x:c>
      <x:c r="G8" s="3" t="str">
        <x:v>本回合累计伤害超过上限</x:v>
      </x:c>
      <x:c r="H8" s="3" t="str">
        <x:v>cap=8</x:v>
      </x:c>
      <x:c r="I8" s="3" t="str">
        <x:v>单回合最多损失 cap 点 HP。</x:v>
      </x:c>
      <x:c r="J8" s="3" t="str">
        <x:v>{unit} 本回合伤害达到上限，额外伤害无效。</x:v>
      </x:c>
      <x:c r="K8" s="3" t="str">
        <x:v>8</x:v>
      </x:c>
      <x:c r="L8" s="3" t="str">
        <x:v>高</x:v>
      </x:c>
      <x:c r="M8" s="3" t="str">
        <x:v>正式</x:v>
      </x:c>
      <x:c r="N8" s="3" t="str">
        <x:v>待接入</x:v>
      </x:c>
      <x:c r="O8" s="3" t="str">
        <x:v>0</x:v>
      </x:c>
      <x:c r="P8" s="3" t="str">
        <x:v>1</x:v>
      </x:c>
      <x:c r="Q8" s="3" t="str">
        <x:v>0</x:v>
      </x:c>
      <x:c r="R8" s="3" t="str">
        <x:v>1</x:v>
      </x:c>
      <x:c r="S8" s="3" t="str">
        <x:v>适合防秒杀精英/首领。</x:v>
      </x:c>
    </x:row>
    <x:row r="9">
      <x:c r="A9" s="3" t="str">
        <x:v>M06</x:v>
      </x:c>
      <x:c r="B9" s="3" t="str">
        <x:v>mech_shield_regen</x:v>
      </x:c>
      <x:c r="C9" s="3" t="str">
        <x:v>回合回盾</x:v>
      </x:c>
      <x:c r="D9" s="3" t="str">
        <x:v>防御/护盾</x:v>
      </x:c>
      <x:c r="E9" s="3" t="str">
        <x:v>宠物/怪物</x:v>
      </x:c>
      <x:c r="F9" s="3" t="str">
        <x:v>round_start</x:v>
      </x:c>
      <x:c r="G9" s="3" t="str">
        <x:v>单位存活</x:v>
      </x:c>
      <x:c r="H9" s="3" t="str">
        <x:v>shield=3</x:v>
      </x:c>
      <x:c r="I9" s="3" t="str">
        <x:v>每回合开始获得固定护盾。</x:v>
      </x:c>
      <x:c r="J9" s="3" t="str">
        <x:v>{unit} 回合开始恢复 {shield} 点护盾。</x:v>
      </x:c>
      <x:c r="K9" s="3" t="str">
        <x:v>4</x:v>
      </x:c>
      <x:c r="L9" s="3" t="str">
        <x:v>中</x:v>
      </x:c>
      <x:c r="M9" s="3" t="str">
        <x:v>正式</x:v>
      </x:c>
      <x:c r="N9" s="3" t="str">
        <x:v>可接入</x:v>
      </x:c>
      <x:c r="O9" s="3" t="str">
        <x:v>1</x:v>
      </x:c>
      <x:c r="P9" s="3" t="str">
        <x:v>1</x:v>
      </x:c>
      <x:c r="Q9" s="3" t="str">
        <x:v>0</x:v>
      </x:c>
      <x:c r="R9" s="3" t="str">
        <x:v>0</x:v>
      </x:c>
      <x:c r="S9" s="3" t="str">
        <x:v>与拖回合惩罚形成压力。</x:v>
      </x:c>
    </x:row>
    <x:row r="10">
      <x:c r="A10" s="3" t="str">
        <x:v>M07</x:v>
      </x:c>
      <x:c r="B10" s="3" t="str">
        <x:v>mech_thorn_shield</x:v>
      </x:c>
      <x:c r="C10" s="3" t="str">
        <x:v>荆棘护盾</x:v>
      </x:c>
      <x:c r="D10" s="3" t="str">
        <x:v>防御/反击</x:v>
      </x:c>
      <x:c r="E10" s="3" t="str">
        <x:v>宠物/怪物</x:v>
      </x:c>
      <x:c r="F10" s="3" t="str">
        <x:v>after_hit</x:v>
      </x:c>
      <x:c r="G10" s="3" t="str">
        <x:v>有护盾时被攻击</x:v>
      </x:c>
      <x:c r="H10" s="3" t="str">
        <x:v>reflect=2</x:v>
      </x:c>
      <x:c r="I10" s="3" t="str">
        <x:v>有护盾时受到攻击，反弹固定伤害。</x:v>
      </x:c>
      <x:c r="J10" s="3" t="str">
        <x:v>{unit} 的荆棘反弹 {reflect} 点伤害。</x:v>
      </x:c>
      <x:c r="K10" s="3" t="str">
        <x:v>5</x:v>
      </x:c>
      <x:c r="L10" s="3" t="str">
        <x:v>中</x:v>
      </x:c>
      <x:c r="M10" s="3" t="str">
        <x:v>正式</x:v>
      </x:c>
      <x:c r="N10" s="3" t="str">
        <x:v>待接入</x:v>
      </x:c>
      <x:c r="O10" s="3" t="str">
        <x:v>1</x:v>
      </x:c>
      <x:c r="P10" s="3" t="str">
        <x:v>1</x:v>
      </x:c>
      <x:c r="Q10" s="3" t="str">
        <x:v>0</x:v>
      </x:c>
      <x:c r="R10" s="3" t="str">
        <x:v>0</x:v>
      </x:c>
      <x:c r="S10" s="3" t="str">
        <x:v>反伤类的低复杂版。</x:v>
      </x:c>
    </x:row>
    <x:row r="11">
      <x:c r="A11" s="3" t="str">
        <x:v>M08</x:v>
      </x:c>
      <x:c r="B11" s="3" t="str">
        <x:v>mech_element_barrier</x:v>
      </x:c>
      <x:c r="C11" s="3" t="str">
        <x:v>元素屏障</x:v>
      </x:c>
      <x:c r="D11" s="3" t="str">
        <x:v>防御/元素</x:v>
      </x:c>
      <x:c r="E11" s="3" t="str">
        <x:v>宠物/怪物</x:v>
      </x:c>
      <x:c r="F11" s="3" t="str">
        <x:v>before_damage</x:v>
      </x:c>
      <x:c r="G11" s="3" t="str">
        <x:v>受到非克制元素伤害</x:v>
      </x:c>
      <x:c r="H11" s="3" t="str">
        <x:v>element=earth; reduce=3</x:v>
      </x:c>
      <x:c r="I11" s="3" t="str">
        <x:v>特定元素屏障减少非克制伤害。</x:v>
      </x:c>
      <x:c r="J11" s="3" t="str">
        <x:v>{unit} 的 {element} 屏障抵消 {reduce} 点伤害。</x:v>
      </x:c>
      <x:c r="K11" s="3" t="str">
        <x:v>5</x:v>
      </x:c>
      <x:c r="L11" s="3" t="str">
        <x:v>中</x:v>
      </x:c>
      <x:c r="M11" s="3" t="str">
        <x:v>正式</x:v>
      </x:c>
      <x:c r="N11" s="3" t="str">
        <x:v>待接入</x:v>
      </x:c>
      <x:c r="O11" s="3" t="str">
        <x:v>1</x:v>
      </x:c>
      <x:c r="P11" s="3" t="str">
        <x:v>1</x:v>
      </x:c>
      <x:c r="Q11" s="3" t="str">
        <x:v>0</x:v>
      </x:c>
      <x:c r="R11" s="3" t="str">
        <x:v>0</x:v>
      </x:c>
      <x:c r="S11" s="3" t="str">
        <x:v>需要元素克制表。</x:v>
      </x:c>
    </x:row>
    <x:row r="12">
      <x:c r="A12" s="3" t="str">
        <x:v>M09</x:v>
      </x:c>
      <x:c r="B12" s="3" t="str">
        <x:v>mech_guard_taunt</x:v>
      </x:c>
      <x:c r="C12" s="3" t="str">
        <x:v>嘲讽守护</x:v>
      </x:c>
      <x:c r="D12" s="3" t="str">
        <x:v>防御/控制</x:v>
      </x:c>
      <x:c r="E12" s="3" t="str">
        <x:v>宠物/怪物</x:v>
      </x:c>
      <x:c r="F12" s="3" t="str">
        <x:v>target_select</x:v>
      </x:c>
      <x:c r="G12" s="3" t="str">
        <x:v>敌方选择目标时</x:v>
      </x:c>
      <x:c r="H12" s="3" t="str">
        <x:v>range=1</x:v>
      </x:c>
      <x:c r="I12" s="3" t="str">
        <x:v>强制附近敌人优先攻击自己。</x:v>
      </x:c>
      <x:c r="J12" s="3" t="str">
        <x:v>{unit} 嘲讽附近敌人。</x:v>
      </x:c>
      <x:c r="K12" s="3" t="str">
        <x:v>4</x:v>
      </x:c>
      <x:c r="L12" s="3" t="str">
        <x:v>中</x:v>
      </x:c>
      <x:c r="M12" s="3" t="str">
        <x:v>正式</x:v>
      </x:c>
      <x:c r="N12" s="3" t="str">
        <x:v>待接入</x:v>
      </x:c>
      <x:c r="O12" s="3" t="str">
        <x:v>1</x:v>
      </x:c>
      <x:c r="P12" s="3" t="str">
        <x:v>1</x:v>
      </x:c>
      <x:c r="Q12" s="3" t="str">
        <x:v>0</x:v>
      </x:c>
      <x:c r="R12" s="3" t="str">
        <x:v>0</x:v>
      </x:c>
      <x:c r="S12" s="3" t="str">
        <x:v>需要目标选择钩子。</x:v>
      </x:c>
    </x:row>
    <x:row r="13">
      <x:c r="A13" s="3" t="str">
        <x:v>M10</x:v>
      </x:c>
      <x:c r="B13" s="3" t="str">
        <x:v>mech_last_stand_shield</x:v>
      </x:c>
      <x:c r="C13" s="3" t="str">
        <x:v>濒死护盾</x:v>
      </x:c>
      <x:c r="D13" s="3" t="str">
        <x:v>防御/成长</x:v>
      </x:c>
      <x:c r="E13" s="3" t="str">
        <x:v>宠物/怪物</x:v>
      </x:c>
      <x:c r="F13" s="3" t="str">
        <x:v>after_damage</x:v>
      </x:c>
      <x:c r="G13" s="3" t="str">
        <x:v>HP低于阈值且未触发</x:v>
      </x:c>
      <x:c r="H13" s="3" t="str">
        <x:v>hp_pct=0.3; shield=10; once=true</x:v>
      </x:c>
      <x:c r="I13" s="3" t="str">
        <x:v>低血时获得一次大量护盾。</x:v>
      </x:c>
      <x:c r="J13" s="3" t="str">
        <x:v>{unit} 濒死触发，获得 {shield} 点护盾。</x:v>
      </x:c>
      <x:c r="K13" s="3" t="str">
        <x:v>7</x:v>
      </x:c>
      <x:c r="L13" s="3" t="str">
        <x:v>高</x:v>
      </x:c>
      <x:c r="M13" s="3" t="str">
        <x:v>正式</x:v>
      </x:c>
      <x:c r="N13" s="3" t="str">
        <x:v>待接入</x:v>
      </x:c>
      <x:c r="O13" s="3" t="str">
        <x:v>1</x:v>
      </x:c>
      <x:c r="P13" s="3" t="str">
        <x:v>1</x:v>
      </x:c>
      <x:c r="Q13" s="3" t="str">
        <x:v>0</x:v>
      </x:c>
      <x:c r="R13" s="3" t="str">
        <x:v>0</x:v>
      </x:c>
      <x:c r="S13" s="3" t="str">
        <x:v>适合精英转阶段。</x:v>
      </x:c>
    </x:row>
    <x:row r="14">
      <x:c r="A14" s="3" t="str">
        <x:v>M11</x:v>
      </x:c>
      <x:c r="B14" s="3" t="str">
        <x:v>mech_counter_damage</x:v>
      </x:c>
      <x:c r="C14" s="3" t="str">
        <x:v>受击反伤</x:v>
      </x:c>
      <x:c r="D14" s="3" t="str">
        <x:v>反击/爆炸</x:v>
      </x:c>
      <x:c r="E14" s="3" t="str">
        <x:v>宠物/怪物</x:v>
      </x:c>
      <x:c r="F14" s="3" t="str">
        <x:v>after_hit</x:v>
      </x:c>
      <x:c r="G14" s="3" t="str">
        <x:v>受到攻击伤害后</x:v>
      </x:c>
      <x:c r="H14" s="3" t="str">
        <x:v>damage=3</x:v>
      </x:c>
      <x:c r="I14" s="3" t="str">
        <x:v>对攻击者造成固定反伤。</x:v>
      </x:c>
      <x:c r="J14" s="3" t="str">
        <x:v>{unit} 反击，造成 {damage} 点伤害。</x:v>
      </x:c>
      <x:c r="K14" s="3" t="str">
        <x:v>4</x:v>
      </x:c>
      <x:c r="L14" s="3" t="str">
        <x:v>中</x:v>
      </x:c>
      <x:c r="M14" s="3" t="str">
        <x:v>正式</x:v>
      </x:c>
      <x:c r="N14" s="3" t="str">
        <x:v>可接入</x:v>
      </x:c>
      <x:c r="O14" s="3" t="str">
        <x:v>1</x:v>
      </x:c>
      <x:c r="P14" s="3" t="str">
        <x:v>1</x:v>
      </x:c>
      <x:c r="Q14" s="3" t="str">
        <x:v>0</x:v>
      </x:c>
      <x:c r="R14" s="3" t="str">
        <x:v>0</x:v>
      </x:c>
      <x:c r="S14" s="3" t="str">
        <x:v>最直接反击。</x:v>
      </x:c>
    </x:row>
    <x:row r="15">
      <x:c r="A15" s="3" t="str">
        <x:v>M12</x:v>
      </x:c>
      <x:c r="B15" s="3" t="str">
        <x:v>mech_death_explosion</x:v>
      </x:c>
      <x:c r="C15" s="3" t="str">
        <x:v>死亡爆炸</x:v>
      </x:c>
      <x:c r="D15" s="3" t="str">
        <x:v>反击/爆炸</x:v>
      </x:c>
      <x:c r="E15" s="3" t="str">
        <x:v>怪物</x:v>
      </x:c>
      <x:c r="F15" s="3" t="str">
        <x:v>on_death</x:v>
      </x:c>
      <x:c r="G15" s="3" t="str">
        <x:v>单位死亡</x:v>
      </x:c>
      <x:c r="H15" s="3" t="str">
        <x:v>damage=6; radius=cross1</x:v>
      </x:c>
      <x:c r="I15" s="3" t="str">
        <x:v>死亡时对周围造成伤害。</x:v>
      </x:c>
      <x:c r="J15" s="3" t="str">
        <x:v>{unit} 死亡爆炸，造成 {damage} 点伤害。</x:v>
      </x:c>
      <x:c r="K15" s="3" t="str">
        <x:v>6</x:v>
      </x:c>
      <x:c r="L15" s="3" t="str">
        <x:v>中</x:v>
      </x:c>
      <x:c r="M15" s="3" t="str">
        <x:v>正式</x:v>
      </x:c>
      <x:c r="N15" s="3" t="str">
        <x:v>可接入</x:v>
      </x:c>
      <x:c r="O15" s="3" t="str">
        <x:v>0</x:v>
      </x:c>
      <x:c r="P15" s="3" t="str">
        <x:v>1</x:v>
      </x:c>
      <x:c r="Q15" s="3" t="str">
        <x:v>0</x:v>
      </x:c>
      <x:c r="R15" s="3" t="str">
        <x:v>1</x:v>
      </x:c>
      <x:c r="S15" s="3" t="str">
        <x:v>已在怪物方向讨论过。</x:v>
      </x:c>
    </x:row>
    <x:row r="16">
      <x:c r="A16" s="3" t="str">
        <x:v>M13</x:v>
      </x:c>
      <x:c r="B16" s="3" t="str">
        <x:v>mech_self_destruct</x:v>
      </x:c>
      <x:c r="C16" s="3" t="str">
        <x:v>自爆倒计时</x:v>
      </x:c>
      <x:c r="D16" s="3" t="str">
        <x:v>反击/爆炸</x:v>
      </x:c>
      <x:c r="E16" s="3" t="str">
        <x:v>怪物</x:v>
      </x:c>
      <x:c r="F16" s="3" t="str">
        <x:v>round_end</x:v>
      </x:c>
      <x:c r="G16" s="3" t="str">
        <x:v>倒计时结束且存活</x:v>
      </x:c>
      <x:c r="H16" s="3" t="str">
        <x:v>rounds=2; damage=8; radius=cross1</x:v>
      </x:c>
      <x:c r="I16" s="3" t="str">
        <x:v>存活到倒计时结束后自爆。</x:v>
      </x:c>
      <x:c r="J16" s="3" t="str">
        <x:v>{unit} 自爆，造成 {damage} 点伤害。</x:v>
      </x:c>
      <x:c r="K16" s="3" t="str">
        <x:v>7</x:v>
      </x:c>
      <x:c r="L16" s="3" t="str">
        <x:v>高</x:v>
      </x:c>
      <x:c r="M16" s="3" t="str">
        <x:v>正式</x:v>
      </x:c>
      <x:c r="N16" s="3" t="str">
        <x:v>待接入</x:v>
      </x:c>
      <x:c r="O16" s="3" t="str">
        <x:v>0</x:v>
      </x:c>
      <x:c r="P16" s="3" t="str">
        <x:v>1</x:v>
      </x:c>
      <x:c r="Q16" s="3" t="str">
        <x:v>0</x:v>
      </x:c>
      <x:c r="R16" s="3" t="str">
        <x:v>1</x:v>
      </x:c>
      <x:c r="S16" s="3" t="str">
        <x:v>促使玩家优先处理。</x:v>
      </x:c>
    </x:row>
    <x:row r="17">
      <x:c r="A17" s="3" t="str">
        <x:v>M14</x:v>
      </x:c>
      <x:c r="B17" s="3" t="str">
        <x:v>mech_on_hit_blast</x:v>
      </x:c>
      <x:c r="C17" s="3" t="str">
        <x:v>受击溅射</x:v>
      </x:c>
      <x:c r="D17" s="3" t="str">
        <x:v>反击/爆炸</x:v>
      </x:c>
      <x:c r="E17" s="3" t="str">
        <x:v>宠物/怪物</x:v>
      </x:c>
      <x:c r="F17" s="3" t="str">
        <x:v>after_hit</x:v>
      </x:c>
      <x:c r="G17" s="3" t="str">
        <x:v>受到伤害后</x:v>
      </x:c>
      <x:c r="H17" s="3" t="str">
        <x:v>damage=2; radius=adjacent</x:v>
      </x:c>
      <x:c r="I17" s="3" t="str">
        <x:v>被打后对周围溅射。</x:v>
      </x:c>
      <x:c r="J17" s="3" t="str">
        <x:v>{unit} 受击溅射，周围受到 {damage} 点伤害。</x:v>
      </x:c>
      <x:c r="K17" s="3" t="str">
        <x:v>5</x:v>
      </x:c>
      <x:c r="L17" s="3" t="str">
        <x:v>中</x:v>
      </x:c>
      <x:c r="M17" s="3" t="str">
        <x:v>正式</x:v>
      </x:c>
      <x:c r="N17" s="3" t="str">
        <x:v>待接入</x:v>
      </x:c>
      <x:c r="O17" s="3" t="str">
        <x:v>1</x:v>
      </x:c>
      <x:c r="P17" s="3" t="str">
        <x:v>1</x:v>
      </x:c>
      <x:c r="Q17" s="3" t="str">
        <x:v>0</x:v>
      </x:c>
      <x:c r="R17" s="3" t="str">
        <x:v>0</x:v>
      </x:c>
      <x:c r="S17" s="3" t="str">
        <x:v>需要区分敌我伤害。</x:v>
      </x:c>
    </x:row>
    <x:row r="18">
      <x:c r="A18" s="3" t="str">
        <x:v>M15</x:v>
      </x:c>
      <x:c r="B18" s="3" t="str">
        <x:v>mech_reflect_first_hit</x:v>
      </x:c>
      <x:c r="C18" s="3" t="str">
        <x:v>首次反弹</x:v>
      </x:c>
      <x:c r="D18" s="3" t="str">
        <x:v>反击/防御</x:v>
      </x:c>
      <x:c r="E18" s="3" t="str">
        <x:v>宠物/怪物</x:v>
      </x:c>
      <x:c r="F18" s="3" t="str">
        <x:v>after_hit</x:v>
      </x:c>
      <x:c r="G18" s="3" t="str">
        <x:v>第一次被命中</x:v>
      </x:c>
      <x:c r="H18" s="3" t="str">
        <x:v>rate=1.0</x:v>
      </x:c>
      <x:c r="I18" s="3" t="str">
        <x:v>第一次被命中时反弹等量伤害。</x:v>
      </x:c>
      <x:c r="J18" s="3" t="str">
        <x:v>{unit} 首次反弹 {damage} 点伤害。</x:v>
      </x:c>
      <x:c r="K18" s="3" t="str">
        <x:v>6</x:v>
      </x:c>
      <x:c r="L18" s="3" t="str">
        <x:v>中</x:v>
      </x:c>
      <x:c r="M18" s="3" t="str">
        <x:v>正式</x:v>
      </x:c>
      <x:c r="N18" s="3" t="str">
        <x:v>待接入</x:v>
      </x:c>
      <x:c r="O18" s="3" t="str">
        <x:v>1</x:v>
      </x:c>
      <x:c r="P18" s="3" t="str">
        <x:v>1</x:v>
      </x:c>
      <x:c r="Q18" s="3" t="str">
        <x:v>0</x:v>
      </x:c>
      <x:c r="R18" s="3" t="str">
        <x:v>0</x:v>
      </x:c>
      <x:c r="S18" s="3" t="str">
        <x:v>首次免疫的进攻版。</x:v>
      </x:c>
    </x:row>
    <x:row r="19">
      <x:c r="A19" s="3" t="str">
        <x:v>M16</x:v>
      </x:c>
      <x:c r="B19" s="3" t="str">
        <x:v>mech_shield_break_explosion</x:v>
      </x:c>
      <x:c r="C19" s="3" t="str">
        <x:v>破盾爆炸</x:v>
      </x:c>
      <x:c r="D19" s="3" t="str">
        <x:v>反击/爆炸</x:v>
      </x:c>
      <x:c r="E19" s="3" t="str">
        <x:v>宠物/怪物</x:v>
      </x:c>
      <x:c r="F19" s="3" t="str">
        <x:v>on_shield_break</x:v>
      </x:c>
      <x:c r="G19" s="3" t="str">
        <x:v>护盾从正数降到0</x:v>
      </x:c>
      <x:c r="H19" s="3" t="str">
        <x:v>damage=5; radius=cross1</x:v>
      </x:c>
      <x:c r="I19" s="3" t="str">
        <x:v>破盾时爆炸。</x:v>
      </x:c>
      <x:c r="J19" s="3" t="str">
        <x:v>{unit} 破盾爆炸，造成 {damage} 点伤害。</x:v>
      </x:c>
      <x:c r="K19" s="3" t="str">
        <x:v>6</x:v>
      </x:c>
      <x:c r="L19" s="3" t="str">
        <x:v>中</x:v>
      </x:c>
      <x:c r="M19" s="3" t="str">
        <x:v>正式</x:v>
      </x:c>
      <x:c r="N19" s="3" t="str">
        <x:v>待接入</x:v>
      </x:c>
      <x:c r="O19" s="3" t="str">
        <x:v>1</x:v>
      </x:c>
      <x:c r="P19" s="3" t="str">
        <x:v>1</x:v>
      </x:c>
      <x:c r="Q19" s="3" t="str">
        <x:v>0</x:v>
      </x:c>
      <x:c r="R19" s="3" t="str">
        <x:v>0</x:v>
      </x:c>
      <x:c r="S19" s="3" t="str">
        <x:v>盾怪破盾反馈。</x:v>
      </x:c>
    </x:row>
    <x:row r="20">
      <x:c r="A20" s="3" t="str">
        <x:v>M17</x:v>
      </x:c>
      <x:c r="B20" s="3" t="str">
        <x:v>mech_retaliate_summon</x:v>
      </x:c>
      <x:c r="C20" s="3" t="str">
        <x:v>受击召唤</x:v>
      </x:c>
      <x:c r="D20" s="3" t="str">
        <x:v>反击/召唤</x:v>
      </x:c>
      <x:c r="E20" s="3" t="str">
        <x:v>怪物/首领</x:v>
      </x:c>
      <x:c r="F20" s="3" t="str">
        <x:v>after_hit</x:v>
      </x:c>
      <x:c r="G20" s="3" t="str">
        <x:v>每回合首次受击</x:v>
      </x:c>
      <x:c r="H20" s="3" t="str">
        <x:v>summon=mon_swarm_plain_01; count=1</x:v>
      </x:c>
      <x:c r="I20" s="3" t="str">
        <x:v>受击后召唤小怪。</x:v>
      </x:c>
      <x:c r="J20" s="3" t="str">
        <x:v>{unit} 受击召唤 {count} 个援军。</x:v>
      </x:c>
      <x:c r="K20" s="3" t="str">
        <x:v>8</x:v>
      </x:c>
      <x:c r="L20" s="3" t="str">
        <x:v>高</x:v>
      </x:c>
      <x:c r="M20" s="3" t="str">
        <x:v>正式</x:v>
      </x:c>
      <x:c r="N20" s="3" t="str">
        <x:v>待接入</x:v>
      </x:c>
      <x:c r="O20" s="3" t="str">
        <x:v>0</x:v>
      </x:c>
      <x:c r="P20" s="3" t="str">
        <x:v>1</x:v>
      </x:c>
      <x:c r="Q20" s="3" t="str">
        <x:v>0</x:v>
      </x:c>
      <x:c r="R20" s="3" t="str">
        <x:v>1</x:v>
      </x:c>
      <x:c r="S20" s="3" t="str">
        <x:v>精英/首领用。</x:v>
      </x:c>
    </x:row>
    <x:row r="21">
      <x:c r="A21" s="3" t="str">
        <x:v>M18</x:v>
      </x:c>
      <x:c r="B21" s="3" t="str">
        <x:v>mech_revenge_buff</x:v>
      </x:c>
      <x:c r="C21" s="3" t="str">
        <x:v>复仇强化</x:v>
      </x:c>
      <x:c r="D21" s="3" t="str">
        <x:v>反击/成长</x:v>
      </x:c>
      <x:c r="E21" s="3" t="str">
        <x:v>宠物/怪物</x:v>
      </x:c>
      <x:c r="F21" s="3" t="str">
        <x:v>ally_death</x:v>
      </x:c>
      <x:c r="G21" s="3" t="str">
        <x:v>同阵营单位死亡</x:v>
      </x:c>
      <x:c r="H21" s="3" t="str">
        <x:v>atk=1; shield=2</x:v>
      </x:c>
      <x:c r="I21" s="3" t="str">
        <x:v>友方死亡时自身加攻/盾。</x:v>
      </x:c>
      <x:c r="J21" s="3" t="str">
        <x:v>{unit} 因同伴死亡获得复仇强化。</x:v>
      </x:c>
      <x:c r="K21" s="3" t="str">
        <x:v>6</x:v>
      </x:c>
      <x:c r="L21" s="3" t="str">
        <x:v>中</x:v>
      </x:c>
      <x:c r="M21" s="3" t="str">
        <x:v>正式</x:v>
      </x:c>
      <x:c r="N21" s="3" t="str">
        <x:v>待接入</x:v>
      </x:c>
      <x:c r="O21" s="3" t="str">
        <x:v>1</x:v>
      </x:c>
      <x:c r="P21" s="3" t="str">
        <x:v>1</x:v>
      </x:c>
      <x:c r="Q21" s="3" t="str">
        <x:v>0</x:v>
      </x:c>
      <x:c r="R21" s="3" t="str">
        <x:v>1</x:v>
      </x:c>
      <x:c r="S21" s="3" t="str">
        <x:v>群怪联动。</x:v>
      </x:c>
    </x:row>
    <x:row r="22">
      <x:c r="A22" s="3" t="str">
        <x:v>M19</x:v>
      </x:c>
      <x:c r="B22" s="3" t="str">
        <x:v>mech_thorns_percent</x:v>
      </x:c>
      <x:c r="C22" s="3" t="str">
        <x:v>比例反伤</x:v>
      </x:c>
      <x:c r="D22" s="3" t="str">
        <x:v>反击/防御</x:v>
      </x:c>
      <x:c r="E22" s="3" t="str">
        <x:v>宠物/怪物</x:v>
      </x:c>
      <x:c r="F22" s="3" t="str">
        <x:v>after_hit</x:v>
      </x:c>
      <x:c r="G22" s="3" t="str">
        <x:v>受到攻击伤害后</x:v>
      </x:c>
      <x:c r="H22" s="3" t="str">
        <x:v>rate=0.3</x:v>
      </x:c>
      <x:c r="I22" s="3" t="str">
        <x:v>按受到伤害比例反弹。</x:v>
      </x:c>
      <x:c r="J22" s="3" t="str">
        <x:v>{unit} 反弹 {damage} 点伤害。</x:v>
      </x:c>
      <x:c r="K22" s="3" t="str">
        <x:v>6</x:v>
      </x:c>
      <x:c r="L22" s="3" t="str">
        <x:v>中</x:v>
      </x:c>
      <x:c r="M22" s="3" t="str">
        <x:v>正式</x:v>
      </x:c>
      <x:c r="N22" s="3" t="str">
        <x:v>待接入</x:v>
      </x:c>
      <x:c r="O22" s="3" t="str">
        <x:v>1</x:v>
      </x:c>
      <x:c r="P22" s="3" t="str">
        <x:v>1</x:v>
      </x:c>
      <x:c r="Q22" s="3" t="str">
        <x:v>0</x:v>
      </x:c>
      <x:c r="R22" s="3" t="str">
        <x:v>0</x:v>
      </x:c>
      <x:c r="S22" s="3" t="str">
        <x:v>比固定反伤更易失控。</x:v>
      </x:c>
    </x:row>
    <x:row r="23">
      <x:c r="A23" s="3" t="str">
        <x:v>M20</x:v>
      </x:c>
      <x:c r="B23" s="3" t="str">
        <x:v>mech_counter_attack</x:v>
      </x:c>
      <x:c r="C23" s="3" t="str">
        <x:v>受击反击行动</x:v>
      </x:c>
      <x:c r="D23" s="3" t="str">
        <x:v>反击/行动</x:v>
      </x:c>
      <x:c r="E23" s="3" t="str">
        <x:v>宠物/怪物</x:v>
      </x:c>
      <x:c r="F23" s="3" t="str">
        <x:v>after_hit</x:v>
      </x:c>
      <x:c r="G23" s="3" t="str">
        <x:v>AP足够且未反击过</x:v>
      </x:c>
      <x:c r="H23" s="3" t="str">
        <x:v>ap_cost=1; damage=atk</x:v>
      </x:c>
      <x:c r="I23" s="3" t="str">
        <x:v>被攻击后立即进行一次反击行动。</x:v>
      </x:c>
      <x:c r="J23" s="3" t="str">
        <x:v>{unit} 立即反击。</x:v>
      </x:c>
      <x:c r="K23" s="3" t="str">
        <x:v>8</x:v>
      </x:c>
      <x:c r="L23" s="3" t="str">
        <x:v>高</x:v>
      </x:c>
      <x:c r="M23" s="3" t="str">
        <x:v>正式</x:v>
      </x:c>
      <x:c r="N23" s="3" t="str">
        <x:v>待接入</x:v>
      </x:c>
      <x:c r="O23" s="3" t="str">
        <x:v>1</x:v>
      </x:c>
      <x:c r="P23" s="3" t="str">
        <x:v>1</x:v>
      </x:c>
      <x:c r="Q23" s="3" t="str">
        <x:v>0</x:v>
      </x:c>
      <x:c r="R23" s="3" t="str">
        <x:v>0</x:v>
      </x:c>
      <x:c r="S23" s="3" t="str">
        <x:v>需要行动队列钩子。</x:v>
      </x:c>
    </x:row>
    <x:row r="24">
      <x:c r="A24" s="3" t="str">
        <x:v>M21</x:v>
      </x:c>
      <x:c r="B24" s="3" t="str">
        <x:v>mech_grow_atk_each_round</x:v>
      </x:c>
      <x:c r="C24" s="3" t="str">
        <x:v>每回合加攻</x:v>
      </x:c>
      <x:c r="D24" s="3" t="str">
        <x:v>成长/狂暴</x:v>
      </x:c>
      <x:c r="E24" s="3" t="str">
        <x:v>宠物/怪物</x:v>
      </x:c>
      <x:c r="F24" s="3" t="str">
        <x:v>round_start</x:v>
      </x:c>
      <x:c r="G24" s="3" t="str">
        <x:v>单位存活</x:v>
      </x:c>
      <x:c r="H24" s="3" t="str">
        <x:v>atk=1</x:v>
      </x:c>
      <x:c r="I24" s="3" t="str">
        <x:v>每回合开始攻击增加。</x:v>
      </x:c>
      <x:c r="J24" s="3" t="str">
        <x:v>{unit} 攻击提升 {atk}。</x:v>
      </x:c>
      <x:c r="K24" s="3" t="str">
        <x:v>4</x:v>
      </x:c>
      <x:c r="L24" s="3" t="str">
        <x:v>中</x:v>
      </x:c>
      <x:c r="M24" s="3" t="str">
        <x:v>正式</x:v>
      </x:c>
      <x:c r="N24" s="3" t="str">
        <x:v>可接入</x:v>
      </x:c>
      <x:c r="O24" s="3" t="str">
        <x:v>1</x:v>
      </x:c>
      <x:c r="P24" s="3" t="str">
        <x:v>1</x:v>
      </x:c>
      <x:c r="Q24" s="3" t="str">
        <x:v>0</x:v>
      </x:c>
      <x:c r="R24" s="3" t="str">
        <x:v>1</x:v>
      </x:c>
      <x:c r="S24" s="3" t="str">
        <x:v>杀戮尖塔式成长。</x:v>
      </x:c>
    </x:row>
    <x:row r="25">
      <x:c r="A25" s="3" t="str">
        <x:v>M22</x:v>
      </x:c>
      <x:c r="B25" s="3" t="str">
        <x:v>mech_grow_shield_each_round</x:v>
      </x:c>
      <x:c r="C25" s="3" t="str">
        <x:v>每回合加盾</x:v>
      </x:c>
      <x:c r="D25" s="3" t="str">
        <x:v>成长/护盾</x:v>
      </x:c>
      <x:c r="E25" s="3" t="str">
        <x:v>宠物/怪物</x:v>
      </x:c>
      <x:c r="F25" s="3" t="str">
        <x:v>round_start</x:v>
      </x:c>
      <x:c r="G25" s="3" t="str">
        <x:v>单位存活</x:v>
      </x:c>
      <x:c r="H25" s="3" t="str">
        <x:v>shield=3</x:v>
      </x:c>
      <x:c r="I25" s="3" t="str">
        <x:v>每回合开始获得更多护盾。</x:v>
      </x:c>
      <x:c r="J25" s="3" t="str">
        <x:v>{unit} 护盾提升 {shield}。</x:v>
      </x:c>
      <x:c r="K25" s="3" t="str">
        <x:v>4</x:v>
      </x:c>
      <x:c r="L25" s="3" t="str">
        <x:v>中</x:v>
      </x:c>
      <x:c r="M25" s="3" t="str">
        <x:v>正式</x:v>
      </x:c>
      <x:c r="N25" s="3" t="str">
        <x:v>可接入</x:v>
      </x:c>
      <x:c r="O25" s="3" t="str">
        <x:v>1</x:v>
      </x:c>
      <x:c r="P25" s="3" t="str">
        <x:v>1</x:v>
      </x:c>
      <x:c r="Q25" s="3" t="str">
        <x:v>0</x:v>
      </x:c>
      <x:c r="R25" s="3" t="str">
        <x:v>1</x:v>
      </x:c>
      <x:c r="S25" s="3" t="str">
        <x:v>拖回合压力。</x:v>
      </x:c>
    </x:row>
    <x:row r="26">
      <x:c r="A26" s="3" t="str">
        <x:v>M23</x:v>
      </x:c>
      <x:c r="B26" s="3" t="str">
        <x:v>mech_rage_low_hp</x:v>
      </x:c>
      <x:c r="C26" s="3" t="str">
        <x:v>低血狂暴</x:v>
      </x:c>
      <x:c r="D26" s="3" t="str">
        <x:v>成长/狂暴</x:v>
      </x:c>
      <x:c r="E26" s="3" t="str">
        <x:v>宠物/怪物</x:v>
      </x:c>
      <x:c r="F26" s="3" t="str">
        <x:v>after_damage</x:v>
      </x:c>
      <x:c r="G26" s="3" t="str">
        <x:v>HP低于阈值</x:v>
      </x:c>
      <x:c r="H26" s="3" t="str">
        <x:v>hp_pct=0.5; atk=3</x:v>
      </x:c>
      <x:c r="I26" s="3" t="str">
        <x:v>低血后攻击增强。</x:v>
      </x:c>
      <x:c r="J26" s="3" t="str">
        <x:v>{unit} 进入狂暴，攻击+{atk}。</x:v>
      </x:c>
      <x:c r="K26" s="3" t="str">
        <x:v>6</x:v>
      </x:c>
      <x:c r="L26" s="3" t="str">
        <x:v>中</x:v>
      </x:c>
      <x:c r="M26" s="3" t="str">
        <x:v>正式</x:v>
      </x:c>
      <x:c r="N26" s="3" t="str">
        <x:v>待接入</x:v>
      </x:c>
      <x:c r="O26" s="3" t="str">
        <x:v>1</x:v>
      </x:c>
      <x:c r="P26" s="3" t="str">
        <x:v>1</x:v>
      </x:c>
      <x:c r="Q26" s="3" t="str">
        <x:v>0</x:v>
      </x:c>
      <x:c r="R26" s="3" t="str">
        <x:v>0</x:v>
      </x:c>
      <x:c r="S26" s="3" t="str">
        <x:v>二阶段简化版。</x:v>
      </x:c>
    </x:row>
    <x:row r="27">
      <x:c r="A27" s="3" t="str">
        <x:v>M24</x:v>
      </x:c>
      <x:c r="B27" s="3" t="str">
        <x:v>mech_harden_when_hit</x:v>
      </x:c>
      <x:c r="C27" s="3" t="str">
        <x:v>越打越硬</x:v>
      </x:c>
      <x:c r="D27" s="3" t="str">
        <x:v>成长/护盾</x:v>
      </x:c>
      <x:c r="E27" s="3" t="str">
        <x:v>宠物/怪物</x:v>
      </x:c>
      <x:c r="F27" s="3" t="str">
        <x:v>after_hit</x:v>
      </x:c>
      <x:c r="G27" s="3" t="str">
        <x:v>受到伤害后</x:v>
      </x:c>
      <x:c r="H27" s="3" t="str">
        <x:v>def=1; max=5</x:v>
      </x:c>
      <x:c r="I27" s="3" t="str">
        <x:v>每次受击增加防御。</x:v>
      </x:c>
      <x:c r="J27" s="3" t="str">
        <x:v>{unit} 变硬，防御+{def}。</x:v>
      </x:c>
      <x:c r="K27" s="3" t="str">
        <x:v>6</x:v>
      </x:c>
      <x:c r="L27" s="3" t="str">
        <x:v>中</x:v>
      </x:c>
      <x:c r="M27" s="3" t="str">
        <x:v>正式</x:v>
      </x:c>
      <x:c r="N27" s="3" t="str">
        <x:v>待接入</x:v>
      </x:c>
      <x:c r="O27" s="3" t="str">
        <x:v>1</x:v>
      </x:c>
      <x:c r="P27" s="3" t="str">
        <x:v>1</x:v>
      </x:c>
      <x:c r="Q27" s="3" t="str">
        <x:v>0</x:v>
      </x:c>
      <x:c r="R27" s="3" t="str">
        <x:v>0</x:v>
      </x:c>
      <x:c r="S27" s="3" t="str">
        <x:v>厚怪时间压力。</x:v>
      </x:c>
    </x:row>
    <x:row r="28">
      <x:c r="A28" s="3" t="str">
        <x:v>M25</x:v>
      </x:c>
      <x:c r="B28" s="3" t="str">
        <x:v>mech_soften_when_hit</x:v>
      </x:c>
      <x:c r="C28" s="3" t="str">
        <x:v>破甲递减</x:v>
      </x:c>
      <x:c r="D28" s="3" t="str">
        <x:v>成长/破甲</x:v>
      </x:c>
      <x:c r="E28" s="3" t="str">
        <x:v>怪物</x:v>
      </x:c>
      <x:c r="F28" s="3" t="str">
        <x:v>after_hit</x:v>
      </x:c>
      <x:c r="G28" s="3" t="str">
        <x:v>受到伤害后</x:v>
      </x:c>
      <x:c r="H28" s="3" t="str">
        <x:v>def=-1; min=0</x:v>
      </x:c>
      <x:c r="I28" s="3" t="str">
        <x:v>每次受击降低防御。</x:v>
      </x:c>
      <x:c r="J28" s="3" t="str">
        <x:v>{unit} 被削弱，防御下降。</x:v>
      </x:c>
      <x:c r="K28" s="3" t="str">
        <x:v>4</x:v>
      </x:c>
      <x:c r="L28" s="3" t="str">
        <x:v>低</x:v>
      </x:c>
      <x:c r="M28" s="3" t="str">
        <x:v>正式</x:v>
      </x:c>
      <x:c r="N28" s="3" t="str">
        <x:v>待接入</x:v>
      </x:c>
      <x:c r="O28" s="3" t="str">
        <x:v>0</x:v>
      </x:c>
      <x:c r="P28" s="3" t="str">
        <x:v>1</x:v>
      </x:c>
      <x:c r="Q28" s="3" t="str">
        <x:v>0</x:v>
      </x:c>
      <x:c r="R28" s="3" t="str">
        <x:v>0</x:v>
      </x:c>
      <x:c r="S28" s="3" t="str">
        <x:v>鼓励多段攻击。</x:v>
      </x:c>
    </x:row>
    <x:row r="29">
      <x:c r="A29" s="3" t="str">
        <x:v>M26</x:v>
      </x:c>
      <x:c r="B29" s="3" t="str">
        <x:v>mech_delayed_powerup</x:v>
      </x:c>
      <x:c r="C29" s="3" t="str">
        <x:v>延迟强化</x:v>
      </x:c>
      <x:c r="D29" s="3" t="str">
        <x:v>成长/倒计时</x:v>
      </x:c>
      <x:c r="E29" s="3" t="str">
        <x:v>怪物/首领</x:v>
      </x:c>
      <x:c r="F29" s="3" t="str">
        <x:v>round_start</x:v>
      </x:c>
      <x:c r="G29" s="3" t="str">
        <x:v>达到指定回合</x:v>
      </x:c>
      <x:c r="H29" s="3" t="str">
        <x:v>round=3; atk=5; shield=10</x:v>
      </x:c>
      <x:c r="I29" s="3" t="str">
        <x:v>指定回合后大幅强化。</x:v>
      </x:c>
      <x:c r="J29" s="3" t="str">
        <x:v>{unit} 完成蓄力，获得强化。</x:v>
      </x:c>
      <x:c r="K29" s="3" t="str">
        <x:v>7</x:v>
      </x:c>
      <x:c r="L29" s="3" t="str">
        <x:v>高</x:v>
      </x:c>
      <x:c r="M29" s="3" t="str">
        <x:v>正式</x:v>
      </x:c>
      <x:c r="N29" s="3" t="str">
        <x:v>待接入</x:v>
      </x:c>
      <x:c r="O29" s="3" t="str">
        <x:v>0</x:v>
      </x:c>
      <x:c r="P29" s="3" t="str">
        <x:v>1</x:v>
      </x:c>
      <x:c r="Q29" s="3" t="str">
        <x:v>0</x:v>
      </x:c>
      <x:c r="R29" s="3" t="str">
        <x:v>1</x:v>
      </x:c>
      <x:c r="S29" s="3" t="str">
        <x:v>与5回合奖励目标相容。</x:v>
      </x:c>
    </x:row>
    <x:row r="30">
      <x:c r="A30" s="3" t="str">
        <x:v>M27</x:v>
      </x:c>
      <x:c r="B30" s="3" t="str">
        <x:v>mech_consume_layers_grow</x:v>
      </x:c>
      <x:c r="C30" s="3" t="str">
        <x:v>吸收元素成长</x:v>
      </x:c>
      <x:c r="D30" s="3" t="str">
        <x:v>成长/元素</x:v>
      </x:c>
      <x:c r="E30" s="3" t="str">
        <x:v>宠物/怪物</x:v>
      </x:c>
      <x:c r="F30" s="3" t="str">
        <x:v>after_element_apply</x:v>
      </x:c>
      <x:c r="G30" s="3" t="str">
        <x:v>所在格有元素层</x:v>
      </x:c>
      <x:c r="H30" s="3" t="str">
        <x:v>element=any; atk_per_layer=1</x:v>
      </x:c>
      <x:c r="I30" s="3" t="str">
        <x:v>吸收格子元素层获得成长。</x:v>
      </x:c>
      <x:c r="J30" s="3" t="str">
        <x:v>{unit} 吸收元素，攻击提升。</x:v>
      </x:c>
      <x:c r="K30" s="3" t="str">
        <x:v>8</x:v>
      </x:c>
      <x:c r="L30" s="3" t="str">
        <x:v>高</x:v>
      </x:c>
      <x:c r="M30" s="3" t="str">
        <x:v>正式</x:v>
      </x:c>
      <x:c r="N30" s="3" t="str">
        <x:v>待接入</x:v>
      </x:c>
      <x:c r="O30" s="3" t="str">
        <x:v>1</x:v>
      </x:c>
      <x:c r="P30" s="3" t="str">
        <x:v>1</x:v>
      </x:c>
      <x:c r="Q30" s="3" t="str">
        <x:v>0</x:v>
      </x:c>
      <x:c r="R30" s="3" t="str">
        <x:v>0</x:v>
      </x:c>
      <x:c r="S30" s="3" t="str">
        <x:v>需元素层钩子。</x:v>
      </x:c>
    </x:row>
    <x:row r="31">
      <x:c r="A31" s="3" t="str">
        <x:v>M28</x:v>
      </x:c>
      <x:c r="B31" s="3" t="str">
        <x:v>mech_enrage_after_round</x:v>
      </x:c>
      <x:c r="C31" s="3" t="str">
        <x:v>回合狂暴</x:v>
      </x:c>
      <x:c r="D31" s="3" t="str">
        <x:v>成长/波次</x:v>
      </x:c>
      <x:c r="E31" s="3" t="str">
        <x:v>怪物/首领</x:v>
      </x:c>
      <x:c r="F31" s="3" t="str">
        <x:v>round_start</x:v>
      </x:c>
      <x:c r="G31" s="3" t="str">
        <x:v>当前回合&gt;=阈值</x:v>
      </x:c>
      <x:c r="H31" s="3" t="str">
        <x:v>round=5; atk=3</x:v>
      </x:c>
      <x:c r="I31" s="3" t="str">
        <x:v>战斗拖到指定回合后强化。</x:v>
      </x:c>
      <x:c r="J31" s="3" t="str">
        <x:v>{unit} 因战斗拖延进入狂暴。</x:v>
      </x:c>
      <x:c r="K31" s="3" t="str">
        <x:v>7</x:v>
      </x:c>
      <x:c r="L31" s="3" t="str">
        <x:v>高</x:v>
      </x:c>
      <x:c r="M31" s="3" t="str">
        <x:v>正式</x:v>
      </x:c>
      <x:c r="N31" s="3" t="str">
        <x:v>待接入</x:v>
      </x:c>
      <x:c r="O31" s="3" t="str">
        <x:v>0</x:v>
      </x:c>
      <x:c r="P31" s="3" t="str">
        <x:v>1</x:v>
      </x:c>
      <x:c r="Q31" s="3" t="str">
        <x:v>0</x:v>
      </x:c>
      <x:c r="R31" s="3" t="str">
        <x:v>1</x:v>
      </x:c>
      <x:c r="S31" s="3" t="str">
        <x:v>压缩战斗节奏。</x:v>
      </x:c>
    </x:row>
    <x:row r="32">
      <x:c r="A32" s="3" t="str">
        <x:v>M29</x:v>
      </x:c>
      <x:c r="B32" s="3" t="str">
        <x:v>mech_second_phase</x:v>
      </x:c>
      <x:c r="C32" s="3" t="str">
        <x:v>二阶段转化</x:v>
      </x:c>
      <x:c r="D32" s="3" t="str">
        <x:v>成长/首领</x:v>
      </x:c>
      <x:c r="E32" s="3" t="str">
        <x:v>首领/精英</x:v>
      </x:c>
      <x:c r="F32" s="3" t="str">
        <x:v>after_damage</x:v>
      </x:c>
      <x:c r="G32" s="3" t="str">
        <x:v>HP低于阈值</x:v>
      </x:c>
      <x:c r="H32" s="3" t="str">
        <x:v>hp_pct=0.5; new_mech=mech_rage_low_hp</x:v>
      </x:c>
      <x:c r="I32" s="3" t="str">
        <x:v>进入第二阶段并切换机制。</x:v>
      </x:c>
      <x:c r="J32" s="3" t="str">
        <x:v>{unit} 进入第二阶段。</x:v>
      </x:c>
      <x:c r="K32" s="3" t="str">
        <x:v>10</x:v>
      </x:c>
      <x:c r="L32" s="3" t="str">
        <x:v>高</x:v>
      </x:c>
      <x:c r="M32" s="3" t="str">
        <x:v>正式</x:v>
      </x:c>
      <x:c r="N32" s="3" t="str">
        <x:v>待接入</x:v>
      </x:c>
      <x:c r="O32" s="3" t="str">
        <x:v>0</x:v>
      </x:c>
      <x:c r="P32" s="3" t="str">
        <x:v>1</x:v>
      </x:c>
      <x:c r="Q32" s="3" t="str">
        <x:v>0</x:v>
      </x:c>
      <x:c r="R32" s="3" t="str">
        <x:v>1</x:v>
      </x:c>
      <x:c r="S32" s="3" t="str">
        <x:v>首领核心机制。</x:v>
      </x:c>
    </x:row>
    <x:row r="33">
      <x:c r="A33" s="3" t="str">
        <x:v>M30</x:v>
      </x:c>
      <x:c r="B33" s="3" t="str">
        <x:v>mech_scale_with_allies</x:v>
      </x:c>
      <x:c r="C33" s="3" t="str">
        <x:v>随同伴成长</x:v>
      </x:c>
      <x:c r="D33" s="3" t="str">
        <x:v>成长/群怪</x:v>
      </x:c>
      <x:c r="E33" s="3" t="str">
        <x:v>怪物</x:v>
      </x:c>
      <x:c r="F33" s="3" t="str">
        <x:v>round_start</x:v>
      </x:c>
      <x:c r="G33" s="3" t="str">
        <x:v>同阵营存活数量&gt;1</x:v>
      </x:c>
      <x:c r="H33" s="3" t="str">
        <x:v>atk_per_ally=1; shield_per_ally=1</x:v>
      </x:c>
      <x:c r="I33" s="3" t="str">
        <x:v>同伴越多越强。</x:v>
      </x:c>
      <x:c r="J33" s="3" t="str">
        <x:v>{unit} 因同伴获得强化。</x:v>
      </x:c>
      <x:c r="K33" s="3" t="str">
        <x:v>7</x:v>
      </x:c>
      <x:c r="L33" s="3" t="str">
        <x:v>中</x:v>
      </x:c>
      <x:c r="M33" s="3" t="str">
        <x:v>正式</x:v>
      </x:c>
      <x:c r="N33" s="3" t="str">
        <x:v>待接入</x:v>
      </x:c>
      <x:c r="O33" s="3" t="str">
        <x:v>0</x:v>
      </x:c>
      <x:c r="P33" s="3" t="str">
        <x:v>1</x:v>
      </x:c>
      <x:c r="Q33" s="3" t="str">
        <x:v>0</x:v>
      </x:c>
      <x:c r="R33" s="3" t="str">
        <x:v>1</x:v>
      </x:c>
      <x:c r="S33" s="3" t="str">
        <x:v>鼓励先清小怪。</x:v>
      </x:c>
    </x:row>
    <x:row r="34">
      <x:c r="A34" s="3" t="str">
        <x:v>M31</x:v>
      </x:c>
      <x:c r="B34" s="3" t="str">
        <x:v>mech_summon_each_round</x:v>
      </x:c>
      <x:c r="C34" s="3" t="str">
        <x:v>每回合召唤</x:v>
      </x:c>
      <x:c r="D34" s="3" t="str">
        <x:v>召唤/分裂</x:v>
      </x:c>
      <x:c r="E34" s="3" t="str">
        <x:v>怪物/首领</x:v>
      </x:c>
      <x:c r="F34" s="3" t="str">
        <x:v>round_start</x:v>
      </x:c>
      <x:c r="G34" s="3" t="str">
        <x:v>召唤位可用</x:v>
      </x:c>
      <x:c r="H34" s="3" t="str">
        <x:v>summon=mon_swarm_plain_01; count=1</x:v>
      </x:c>
      <x:c r="I34" s="3" t="str">
        <x:v>每回合召唤小怪。</x:v>
      </x:c>
      <x:c r="J34" s="3" t="str">
        <x:v>{unit} 召唤 {count} 个单位。</x:v>
      </x:c>
      <x:c r="K34" s="3" t="str">
        <x:v>8</x:v>
      </x:c>
      <x:c r="L34" s="3" t="str">
        <x:v>高</x:v>
      </x:c>
      <x:c r="M34" s="3" t="str">
        <x:v>正式</x:v>
      </x:c>
      <x:c r="N34" s="3" t="str">
        <x:v>待接入</x:v>
      </x:c>
      <x:c r="O34" s="3" t="str">
        <x:v>0</x:v>
      </x:c>
      <x:c r="P34" s="3" t="str">
        <x:v>1</x:v>
      </x:c>
      <x:c r="Q34" s="3" t="str">
        <x:v>0</x:v>
      </x:c>
      <x:c r="R34" s="3" t="str">
        <x:v>1</x:v>
      </x:c>
      <x:c r="S34" s="3" t="str">
        <x:v>核心召唤压力。</x:v>
      </x:c>
    </x:row>
    <x:row r="35">
      <x:c r="A35" s="3" t="str">
        <x:v>M32</x:v>
      </x:c>
      <x:c r="B35" s="3" t="str">
        <x:v>mech_death_summon</x:v>
      </x:c>
      <x:c r="C35" s="3" t="str">
        <x:v>死亡召唤</x:v>
      </x:c>
      <x:c r="D35" s="3" t="str">
        <x:v>召唤/分裂</x:v>
      </x:c>
      <x:c r="E35" s="3" t="str">
        <x:v>宠物/怪物</x:v>
      </x:c>
      <x:c r="F35" s="3" t="str">
        <x:v>on_death</x:v>
      </x:c>
      <x:c r="G35" s="3" t="str">
        <x:v>死亡时</x:v>
      </x:c>
      <x:c r="H35" s="3" t="str">
        <x:v>summon=mon_swarm_plain_01; count=2</x:v>
      </x:c>
      <x:c r="I35" s="3" t="str">
        <x:v>死亡后召唤单位。</x:v>
      </x:c>
      <x:c r="J35" s="3" t="str">
        <x:v>{unit} 死亡后留下 {count} 个单位。</x:v>
      </x:c>
      <x:c r="K35" s="3" t="str">
        <x:v>7</x:v>
      </x:c>
      <x:c r="L35" s="3" t="str">
        <x:v>高</x:v>
      </x:c>
      <x:c r="M35" s="3" t="str">
        <x:v>正式</x:v>
      </x:c>
      <x:c r="N35" s="3" t="str">
        <x:v>待接入</x:v>
      </x:c>
      <x:c r="O35" s="3" t="str">
        <x:v>1</x:v>
      </x:c>
      <x:c r="P35" s="3" t="str">
        <x:v>1</x:v>
      </x:c>
      <x:c r="Q35" s="3" t="str">
        <x:v>0</x:v>
      </x:c>
      <x:c r="R35" s="3" t="str">
        <x:v>1</x:v>
      </x:c>
      <x:c r="S35" s="3" t="str">
        <x:v>适合分裂怪。</x:v>
      </x:c>
    </x:row>
    <x:row r="36">
      <x:c r="A36" s="3" t="str">
        <x:v>M33</x:v>
      </x:c>
      <x:c r="B36" s="3" t="str">
        <x:v>mech_split_into_minions</x:v>
      </x:c>
      <x:c r="C36" s="3" t="str">
        <x:v>分裂小怪</x:v>
      </x:c>
      <x:c r="D36" s="3" t="str">
        <x:v>召唤/分裂</x:v>
      </x:c>
      <x:c r="E36" s="3" t="str">
        <x:v>怪物</x:v>
      </x:c>
      <x:c r="F36" s="3" t="str">
        <x:v>on_death</x:v>
      </x:c>
      <x:c r="G36" s="3" t="str">
        <x:v>体型&gt;=中型</x:v>
      </x:c>
      <x:c r="H36" s="3" t="str">
        <x:v>count=2; hp_pct=0.4</x:v>
      </x:c>
      <x:c r="I36" s="3" t="str">
        <x:v>死亡分裂成多只小怪。</x:v>
      </x:c>
      <x:c r="J36" s="3" t="str">
        <x:v>{unit} 分裂成 {count} 只小怪。</x:v>
      </x:c>
      <x:c r="K36" s="3" t="str">
        <x:v>8</x:v>
      </x:c>
      <x:c r="L36" s="3" t="str">
        <x:v>高</x:v>
      </x:c>
      <x:c r="M36" s="3" t="str">
        <x:v>正式</x:v>
      </x:c>
      <x:c r="N36" s="3" t="str">
        <x:v>待接入</x:v>
      </x:c>
      <x:c r="O36" s="3" t="str">
        <x:v>0</x:v>
      </x:c>
      <x:c r="P36" s="3" t="str">
        <x:v>1</x:v>
      </x:c>
      <x:c r="Q36" s="3" t="str">
        <x:v>0</x:v>
      </x:c>
      <x:c r="R36" s="3" t="str">
        <x:v>1</x:v>
      </x:c>
      <x:c r="S36" s="3" t="str">
        <x:v>杀戮尖塔史莱姆方向。</x:v>
      </x:c>
    </x:row>
    <x:row r="37">
      <x:c r="A37" s="3" t="str">
        <x:v>M34</x:v>
      </x:c>
      <x:c r="B37" s="3" t="str">
        <x:v>mech_summon_on_empty_cell</x:v>
      </x:c>
      <x:c r="C37" s="3" t="str">
        <x:v>空格召唤</x:v>
      </x:c>
      <x:c r="D37" s="3" t="str">
        <x:v>召唤/元素</x:v>
      </x:c>
      <x:c r="E37" s="3" t="str">
        <x:v>宠物</x:v>
      </x:c>
      <x:c r="F37" s="3" t="str">
        <x:v>after_element_apply</x:v>
      </x:c>
      <x:c r="G37" s="3" t="str">
        <x:v>目标格为空且有元素</x:v>
      </x:c>
      <x:c r="H37" s="3" t="str">
        <x:v>summon=ally_sprite; hp=6</x:v>
      </x:c>
      <x:c r="I37" s="3" t="str">
        <x:v>在元素格生成召唤物。</x:v>
      </x:c>
      <x:c r="J37" s="3" t="str">
        <x:v>{unit} 在元素格召唤小灵。</x:v>
      </x:c>
      <x:c r="K37" s="3" t="str">
        <x:v>6</x:v>
      </x:c>
      <x:c r="L37" s="3" t="str">
        <x:v>中</x:v>
      </x:c>
      <x:c r="M37" s="3" t="str">
        <x:v>正式</x:v>
      </x:c>
      <x:c r="N37" s="3" t="str">
        <x:v>待接入</x:v>
      </x:c>
      <x:c r="O37" s="3" t="str">
        <x:v>1</x:v>
      </x:c>
      <x:c r="P37" s="3" t="str">
        <x:v>0</x:v>
      </x:c>
      <x:c r="Q37" s="3" t="str">
        <x:v>0</x:v>
      </x:c>
      <x:c r="R37" s="3" t="str">
        <x:v>0</x:v>
      </x:c>
      <x:c r="S37" s="3" t="str">
        <x:v>对应召芽灵方向。</x:v>
      </x:c>
    </x:row>
    <x:row r="38">
      <x:c r="A38" s="3" t="str">
        <x:v>M35</x:v>
      </x:c>
      <x:c r="B38" s="3" t="str">
        <x:v>mech_copy_weak_self</x:v>
      </x:c>
      <x:c r="C38" s="3" t="str">
        <x:v>复制弱化体</x:v>
      </x:c>
      <x:c r="D38" s="3" t="str">
        <x:v>召唤/复制</x:v>
      </x:c>
      <x:c r="E38" s="3" t="str">
        <x:v>宠物/怪物</x:v>
      </x:c>
      <x:c r="F38" s="3" t="str">
        <x:v>after_action</x:v>
      </x:c>
      <x:c r="G38" s="3" t="str">
        <x:v>满足冷却</x:v>
      </x:c>
      <x:c r="H38" s="3" t="str">
        <x:v>count=1; hp_pct=0.5; atk_pct=0.5</x:v>
      </x:c>
      <x:c r="I38" s="3" t="str">
        <x:v>复制一个弱化自身。</x:v>
      </x:c>
      <x:c r="J38" s="3" t="str">
        <x:v>{unit} 复制出一个弱化体。</x:v>
      </x:c>
      <x:c r="K38" s="3" t="str">
        <x:v>9</x:v>
      </x:c>
      <x:c r="L38" s="3" t="str">
        <x:v>高</x:v>
      </x:c>
      <x:c r="M38" s="3" t="str">
        <x:v>正式</x:v>
      </x:c>
      <x:c r="N38" s="3" t="str">
        <x:v>待接入</x:v>
      </x:c>
      <x:c r="O38" s="3" t="str">
        <x:v>1</x:v>
      </x:c>
      <x:c r="P38" s="3" t="str">
        <x:v>1</x:v>
      </x:c>
      <x:c r="Q38" s="3" t="str">
        <x:v>0</x:v>
      </x:c>
      <x:c r="R38" s="3" t="str">
        <x:v>0</x:v>
      </x:c>
      <x:c r="S38" s="3" t="str">
        <x:v>高风险强反馈。</x:v>
      </x:c>
    </x:row>
    <x:row r="39">
      <x:c r="A39" s="3" t="str">
        <x:v>M36</x:v>
      </x:c>
      <x:c r="B39" s="3" t="str">
        <x:v>mech_summon_wall</x:v>
      </x:c>
      <x:c r="C39" s="3" t="str">
        <x:v>召唤障碍</x:v>
      </x:c>
      <x:c r="D39" s="3" t="str">
        <x:v>召唤/地形</x:v>
      </x:c>
      <x:c r="E39" s="3" t="str">
        <x:v>宠物/怪物</x:v>
      </x:c>
      <x:c r="F39" s="3" t="str">
        <x:v>after_action</x:v>
      </x:c>
      <x:c r="G39" s="3" t="str">
        <x:v>指定格可放置</x:v>
      </x:c>
      <x:c r="H39" s="3" t="str">
        <x:v>hp=8; duration=2</x:v>
      </x:c>
      <x:c r="I39" s="3" t="str">
        <x:v>召唤可阻挡单位的障碍。</x:v>
      </x:c>
      <x:c r="J39" s="3" t="str">
        <x:v>{unit} 召唤障碍。</x:v>
      </x:c>
      <x:c r="K39" s="3" t="str">
        <x:v>6</x:v>
      </x:c>
      <x:c r="L39" s="3" t="str">
        <x:v>中</x:v>
      </x:c>
      <x:c r="M39" s="3" t="str">
        <x:v>正式</x:v>
      </x:c>
      <x:c r="N39" s="3" t="str">
        <x:v>待接入</x:v>
      </x:c>
      <x:c r="O39" s="3" t="str">
        <x:v>1</x:v>
      </x:c>
      <x:c r="P39" s="3" t="str">
        <x:v>1</x:v>
      </x:c>
      <x:c r="Q39" s="3" t="str">
        <x:v>0</x:v>
      </x:c>
      <x:c r="R39" s="3" t="str">
        <x:v>0</x:v>
      </x:c>
      <x:c r="S39" s="3" t="str">
        <x:v>需要单位/地形层区分。</x:v>
      </x:c>
    </x:row>
    <x:row r="40">
      <x:c r="A40" s="3" t="str">
        <x:v>M37</x:v>
      </x:c>
      <x:c r="B40" s="3" t="str">
        <x:v>mech_summon_trap</x:v>
      </x:c>
      <x:c r="C40" s="3" t="str">
        <x:v>生成陷阱</x:v>
      </x:c>
      <x:c r="D40" s="3" t="str">
        <x:v>召唤/陷阱</x:v>
      </x:c>
      <x:c r="E40" s="3" t="str">
        <x:v>宠物/怪物</x:v>
      </x:c>
      <x:c r="F40" s="3" t="str">
        <x:v>after_action</x:v>
      </x:c>
      <x:c r="G40" s="3" t="str">
        <x:v>目标格可放陷阱</x:v>
      </x:c>
      <x:c r="H40" s="3" t="str">
        <x:v>element=fire; layers=2</x:v>
      </x:c>
      <x:c r="I40" s="3" t="str">
        <x:v>在格子生成元素陷阱。</x:v>
      </x:c>
      <x:c r="J40" s="3" t="str">
        <x:v>{unit} 生成 {element} 陷阱。</x:v>
      </x:c>
      <x:c r="K40" s="3" t="str">
        <x:v>6</x:v>
      </x:c>
      <x:c r="L40" s="3" t="str">
        <x:v>中</x:v>
      </x:c>
      <x:c r="M40" s="3" t="str">
        <x:v>正式</x:v>
      </x:c>
      <x:c r="N40" s="3" t="str">
        <x:v>待接入</x:v>
      </x:c>
      <x:c r="O40" s="3" t="str">
        <x:v>1</x:v>
      </x:c>
      <x:c r="P40" s="3" t="str">
        <x:v>1</x:v>
      </x:c>
      <x:c r="Q40" s="3" t="str">
        <x:v>0</x:v>
      </x:c>
      <x:c r="R40" s="3" t="str">
        <x:v>0</x:v>
      </x:c>
      <x:c r="S40" s="3" t="str">
        <x:v>和陷阱层规则联动。</x:v>
      </x:c>
    </x:row>
    <x:row r="41">
      <x:c r="A41" s="3" t="str">
        <x:v>M38</x:v>
      </x:c>
      <x:c r="B41" s="3" t="str">
        <x:v>mech_summon_when_hit</x:v>
      </x:c>
      <x:c r="C41" s="3" t="str">
        <x:v>受击分裂</x:v>
      </x:c>
      <x:c r="D41" s="3" t="str">
        <x:v>召唤/反击</x:v>
      </x:c>
      <x:c r="E41" s="3" t="str">
        <x:v>怪物</x:v>
      </x:c>
      <x:c r="F41" s="3" t="str">
        <x:v>after_hit</x:v>
      </x:c>
      <x:c r="G41" s="3" t="str">
        <x:v>每回合一次</x:v>
      </x:c>
      <x:c r="H41" s="3" t="str">
        <x:v>summon=mon_swarm_plain_01; count=1</x:v>
      </x:c>
      <x:c r="I41" s="3" t="str">
        <x:v>受击后分裂出小怪。</x:v>
      </x:c>
      <x:c r="J41" s="3" t="str">
        <x:v>{unit} 受击分裂出小怪。</x:v>
      </x:c>
      <x:c r="K41" s="3" t="str">
        <x:v>8</x:v>
      </x:c>
      <x:c r="L41" s="3" t="str">
        <x:v>高</x:v>
      </x:c>
      <x:c r="M41" s="3" t="str">
        <x:v>正式</x:v>
      </x:c>
      <x:c r="N41" s="3" t="str">
        <x:v>待接入</x:v>
      </x:c>
      <x:c r="O41" s="3" t="str">
        <x:v>0</x:v>
      </x:c>
      <x:c r="P41" s="3" t="str">
        <x:v>1</x:v>
      </x:c>
      <x:c r="Q41" s="3" t="str">
        <x:v>0</x:v>
      </x:c>
      <x:c r="R41" s="3" t="str">
        <x:v>1</x:v>
      </x:c>
      <x:c r="S41" s="3" t="str">
        <x:v>比受击召唤更偏群压。</x:v>
      </x:c>
    </x:row>
    <x:row r="42">
      <x:c r="A42" s="3" t="str">
        <x:v>M39</x:v>
      </x:c>
      <x:c r="B42" s="3" t="str">
        <x:v>mech_summon_after_kill</x:v>
      </x:c>
      <x:c r="C42" s="3" t="str">
        <x:v>击杀召唤</x:v>
      </x:c>
      <x:c r="D42" s="3" t="str">
        <x:v>召唤/成长</x:v>
      </x:c>
      <x:c r="E42" s="3" t="str">
        <x:v>宠物/怪物</x:v>
      </x:c>
      <x:c r="F42" s="3" t="str">
        <x:v>after_kill</x:v>
      </x:c>
      <x:c r="G42" s="3" t="str">
        <x:v>击杀目标</x:v>
      </x:c>
      <x:c r="H42" s="3" t="str">
        <x:v>summon=ally_sprite; count=1</x:v>
      </x:c>
      <x:c r="I42" s="3" t="str">
        <x:v>击杀后召唤单位。</x:v>
      </x:c>
      <x:c r="J42" s="3" t="str">
        <x:v>{unit} 击杀后召唤援军。</x:v>
      </x:c>
      <x:c r="K42" s="3" t="str">
        <x:v>7</x:v>
      </x:c>
      <x:c r="L42" s="3" t="str">
        <x:v>中</x:v>
      </x:c>
      <x:c r="M42" s="3" t="str">
        <x:v>正式</x:v>
      </x:c>
      <x:c r="N42" s="3" t="str">
        <x:v>待接入</x:v>
      </x:c>
      <x:c r="O42" s="3" t="str">
        <x:v>1</x:v>
      </x:c>
      <x:c r="P42" s="3" t="str">
        <x:v>1</x:v>
      </x:c>
      <x:c r="Q42" s="3" t="str">
        <x:v>0</x:v>
      </x:c>
      <x:c r="R42" s="3" t="str">
        <x:v>0</x:v>
      </x:c>
      <x:c r="S42" s="3" t="str">
        <x:v>适合爽感滚雪球。</x:v>
      </x:c>
    </x:row>
    <x:row r="43">
      <x:c r="A43" s="3" t="str">
        <x:v>M40</x:v>
      </x:c>
      <x:c r="B43" s="3" t="str">
        <x:v>mech_hatch_after_rounds</x:v>
      </x:c>
      <x:c r="C43" s="3" t="str">
        <x:v>孵化倒计时</x:v>
      </x:c>
      <x:c r="D43" s="3" t="str">
        <x:v>召唤/倒计时</x:v>
      </x:c>
      <x:c r="E43" s="3" t="str">
        <x:v>怪物/事件</x:v>
      </x:c>
      <x:c r="F43" s="3" t="str">
        <x:v>round_end</x:v>
      </x:c>
      <x:c r="G43" s="3" t="str">
        <x:v>倒计时归零</x:v>
      </x:c>
      <x:c r="H43" s="3" t="str">
        <x:v>rounds=3; summon=mon_elite_egg</x:v>
      </x:c>
      <x:c r="I43" s="3" t="str">
        <x:v>若未提前击破，孵化成更强单位。</x:v>
      </x:c>
      <x:c r="J43" s="3" t="str">
        <x:v>{unit} 孵化完成。</x:v>
      </x:c>
      <x:c r="K43" s="3" t="str">
        <x:v>8</x:v>
      </x:c>
      <x:c r="L43" s="3" t="str">
        <x:v>高</x:v>
      </x:c>
      <x:c r="M43" s="3" t="str">
        <x:v>正式</x:v>
      </x:c>
      <x:c r="N43" s="3" t="str">
        <x:v>待接入</x:v>
      </x:c>
      <x:c r="O43" s="3" t="str">
        <x:v>0</x:v>
      </x:c>
      <x:c r="P43" s="3" t="str">
        <x:v>1</x:v>
      </x:c>
      <x:c r="Q43" s="3" t="str">
        <x:v>1</x:v>
      </x:c>
      <x:c r="R43" s="3" t="str">
        <x:v>1</x:v>
      </x:c>
      <x:c r="S43" s="3" t="str">
        <x:v>非常适合事件怪/蛋。</x:v>
      </x:c>
    </x:row>
    <x:row r="44">
      <x:c r="A44" s="3" t="str">
        <x:v>M41</x:v>
      </x:c>
      <x:c r="B44" s="3" t="str">
        <x:v>mech_fire_ignite_bonus</x:v>
      </x:c>
      <x:c r="C44" s="3" t="str">
        <x:v>火层增伤</x:v>
      </x:c>
      <x:c r="D44" s="3" t="str">
        <x:v>元素/火</x:v>
      </x:c>
      <x:c r="E44" s="3" t="str">
        <x:v>宠物/怪物</x:v>
      </x:c>
      <x:c r="F44" s="3" t="str">
        <x:v>element_damage</x:v>
      </x:c>
      <x:c r="G44" s="3" t="str">
        <x:v>火层结算</x:v>
      </x:c>
      <x:c r="H44" s="3" t="str">
        <x:v>per_layer=1</x:v>
      </x:c>
      <x:c r="I44" s="3" t="str">
        <x:v>火元素层结算额外增伤。</x:v>
      </x:c>
      <x:c r="J44" s="3" t="str">
        <x:v>火焰增强，额外造成 {bonus} 伤害。</x:v>
      </x:c>
      <x:c r="K44" s="3" t="str">
        <x:v>5</x:v>
      </x:c>
      <x:c r="L44" s="3" t="str">
        <x:v>中</x:v>
      </x:c>
      <x:c r="M44" s="3" t="str">
        <x:v>正式</x:v>
      </x:c>
      <x:c r="N44" s="3" t="str">
        <x:v>可接入</x:v>
      </x:c>
      <x:c r="O44" s="3" t="str">
        <x:v>1</x:v>
      </x:c>
      <x:c r="P44" s="3" t="str">
        <x:v>1</x:v>
      </x:c>
      <x:c r="Q44" s="3" t="str">
        <x:v>0</x:v>
      </x:c>
      <x:c r="R44" s="3" t="str">
        <x:v>0</x:v>
      </x:c>
      <x:c r="S44" s="3" t="str">
        <x:v>火系基础词条。</x:v>
      </x:c>
    </x:row>
    <x:row r="45">
      <x:c r="A45" s="3" t="str">
        <x:v>M42</x:v>
      </x:c>
      <x:c r="B45" s="3" t="str">
        <x:v>mech_water_heal_on_layer</x:v>
      </x:c>
      <x:c r="C45" s="3" t="str">
        <x:v>水层治疗</x:v>
      </x:c>
      <x:c r="D45" s="3" t="str">
        <x:v>元素/水</x:v>
      </x:c>
      <x:c r="E45" s="3" t="str">
        <x:v>宠物</x:v>
      </x:c>
      <x:c r="F45" s="3" t="str">
        <x:v>after_element_apply</x:v>
      </x:c>
      <x:c r="G45" s="3" t="str">
        <x:v>施加水层</x:v>
      </x:c>
      <x:c r="H45" s="3" t="str">
        <x:v>heal_per_layer=1</x:v>
      </x:c>
      <x:c r="I45" s="3" t="str">
        <x:v>施加水层时治疗友方。</x:v>
      </x:c>
      <x:c r="J45" s="3" t="str">
        <x:v>水流治疗 {heal} 点。</x:v>
      </x:c>
      <x:c r="K45" s="3" t="str">
        <x:v>5</x:v>
      </x:c>
      <x:c r="L45" s="3" t="str">
        <x:v>中</x:v>
      </x:c>
      <x:c r="M45" s="3" t="str">
        <x:v>正式</x:v>
      </x:c>
      <x:c r="N45" s="3" t="str">
        <x:v>待接入</x:v>
      </x:c>
      <x:c r="O45" s="3" t="str">
        <x:v>1</x:v>
      </x:c>
      <x:c r="P45" s="3" t="str">
        <x:v>0</x:v>
      </x:c>
      <x:c r="Q45" s="3" t="str">
        <x:v>0</x:v>
      </x:c>
      <x:c r="R45" s="3" t="str">
        <x:v>0</x:v>
      </x:c>
      <x:c r="S45" s="3" t="str">
        <x:v>水系基础词条。</x:v>
      </x:c>
    </x:row>
    <x:row r="46">
      <x:c r="A46" s="3" t="str">
        <x:v>M43</x:v>
      </x:c>
      <x:c r="B46" s="3" t="str">
        <x:v>mech_wind_push_on_hit</x:v>
      </x:c>
      <x:c r="C46" s="3" t="str">
        <x:v>元素推拉</x:v>
      </x:c>
      <x:c r="D46" s="3" t="str">
        <x:v>元素/通用</x:v>
      </x:c>
      <x:c r="E46" s="3" t="str">
        <x:v>宠物/怪物</x:v>
      </x:c>
      <x:c r="F46" s="3" t="str">
        <x:v>after_hit</x:v>
      </x:c>
      <x:c r="G46" s="3" t="str">
        <x:v>任意元素命中</x:v>
      </x:c>
      <x:c r="H46" s="3" t="str">
        <x:v>distance=1</x:v>
      </x:c>
      <x:c r="I46" s="3" t="str">
        <x:v>命中后推开/拉动目标。</x:v>
      </x:c>
      <x:c r="J46" s="3" t="str">
        <x:v>{element}元素推动目标 {distance} 格。</x:v>
      </x:c>
      <x:c r="K46" s="3" t="str">
        <x:v>6</x:v>
      </x:c>
      <x:c r="L46" s="3" t="str">
        <x:v>中</x:v>
      </x:c>
      <x:c r="M46" s="3" t="str">
        <x:v>正式</x:v>
      </x:c>
      <x:c r="N46" s="3" t="str">
        <x:v>待接入</x:v>
      </x:c>
      <x:c r="O46" s="3" t="str">
        <x:v>1</x:v>
      </x:c>
      <x:c r="P46" s="3" t="str">
        <x:v>1</x:v>
      </x:c>
      <x:c r="Q46" s="3" t="str">
        <x:v>0</x:v>
      </x:c>
      <x:c r="R46" s="3" t="str">
        <x:v>0</x:v>
      </x:c>
      <x:c r="S46" s="3" t="str">
        <x:v>兼容旧机制ID；适配九系与双属性。</x:v>
      </x:c>
    </x:row>
    <x:row r="47">
      <x:c r="A47" s="3" t="str">
        <x:v>M44</x:v>
      </x:c>
      <x:c r="B47" s="3" t="str">
        <x:v>mech_earth_shield_on_layer</x:v>
      </x:c>
      <x:c r="C47" s="3" t="str">
        <x:v>元素层护盾</x:v>
      </x:c>
      <x:c r="D47" s="3" t="str">
        <x:v>元素/通用</x:v>
      </x:c>
      <x:c r="E47" s="3" t="str">
        <x:v>宠物</x:v>
      </x:c>
      <x:c r="F47" s="3" t="str">
        <x:v>after_element_apply</x:v>
      </x:c>
      <x:c r="G47" s="3" t="str">
        <x:v>施加任意元素层</x:v>
      </x:c>
      <x:c r="H47" s="3" t="str">
        <x:v>shield_per_layer=2</x:v>
      </x:c>
      <x:c r="I47" s="3" t="str">
        <x:v>施加元素层获得护盾。</x:v>
      </x:c>
      <x:c r="J47" s="3" t="str">
        <x:v>{element}元素提供 {shield} 点护盾。</x:v>
      </x:c>
      <x:c r="K47" s="3" t="str">
        <x:v>5</x:v>
      </x:c>
      <x:c r="L47" s="3" t="str">
        <x:v>中</x:v>
      </x:c>
      <x:c r="M47" s="3" t="str">
        <x:v>正式</x:v>
      </x:c>
      <x:c r="N47" s="3" t="str">
        <x:v>待接入</x:v>
      </x:c>
      <x:c r="O47" s="3" t="str">
        <x:v>1</x:v>
      </x:c>
      <x:c r="P47" s="3" t="str">
        <x:v>0</x:v>
      </x:c>
      <x:c r="Q47" s="3" t="str">
        <x:v>0</x:v>
      </x:c>
      <x:c r="R47" s="3" t="str">
        <x:v>0</x:v>
      </x:c>
      <x:c r="S47" s="3" t="str">
        <x:v>兼容旧机制ID；适配九系与双属性。</x:v>
      </x:c>
    </x:row>
    <x:row r="48">
      <x:c r="A48" s="3" t="str">
        <x:v>M45</x:v>
      </x:c>
      <x:c r="B48" s="3" t="str">
        <x:v>mech_multi_element_bonus</x:v>
      </x:c>
      <x:c r="C48" s="3" t="str">
        <x:v>多元素共鸣</x:v>
      </x:c>
      <x:c r="D48" s="3" t="str">
        <x:v>元素/多元素</x:v>
      </x:c>
      <x:c r="E48" s="3" t="str">
        <x:v>宠物/怪物</x:v>
      </x:c>
      <x:c r="F48" s="3" t="str">
        <x:v>element_settle</x:v>
      </x:c>
      <x:c r="G48" s="3" t="str">
        <x:v>同格多元素&gt;=2</x:v>
      </x:c>
      <x:c r="H48" s="3" t="str">
        <x:v>bonus=3</x:v>
      </x:c>
      <x:c r="I48" s="3" t="str">
        <x:v>同格多元素结算额外效果。</x:v>
      </x:c>
      <x:c r="J48" s="3" t="str">
        <x:v>多元素共鸣，额外造成 {bonus}。</x:v>
      </x:c>
      <x:c r="K48" s="3" t="str">
        <x:v>7</x:v>
      </x:c>
      <x:c r="L48" s="3" t="str">
        <x:v>高</x:v>
      </x:c>
      <x:c r="M48" s="3" t="str">
        <x:v>正式</x:v>
      </x:c>
      <x:c r="N48" s="3" t="str">
        <x:v>待接入</x:v>
      </x:c>
      <x:c r="O48" s="3" t="str">
        <x:v>1</x:v>
      </x:c>
      <x:c r="P48" s="3" t="str">
        <x:v>1</x:v>
      </x:c>
      <x:c r="Q48" s="3" t="str">
        <x:v>0</x:v>
      </x:c>
      <x:c r="R48" s="3" t="str">
        <x:v>0</x:v>
      </x:c>
      <x:c r="S48" s="3" t="str">
        <x:v>别过早削弱。</x:v>
      </x:c>
    </x:row>
    <x:row r="49">
      <x:c r="A49" s="3" t="str">
        <x:v>M46</x:v>
      </x:c>
      <x:c r="B49" s="3" t="str">
        <x:v>mech_trap_stack_trigger</x:v>
      </x:c>
      <x:c r="C49" s="3" t="str">
        <x:v>陷阱叠加触发</x:v>
      </x:c>
      <x:c r="D49" s="3" t="str">
        <x:v>元素/陷阱</x:v>
      </x:c>
      <x:c r="E49" s="3" t="str">
        <x:v>宠物/怪物</x:v>
      </x:c>
      <x:c r="F49" s="3" t="str">
        <x:v>on_enter_cell</x:v>
      </x:c>
      <x:c r="G49" s="3" t="str">
        <x:v>进入陷阱格</x:v>
      </x:c>
      <x:c r="H49" s="3" t="str">
        <x:v>trigger_all=true</x:v>
      </x:c>
      <x:c r="I49" s="3" t="str">
        <x:v>踩入格子时触发该格所有元素陷阱。</x:v>
      </x:c>
      <x:c r="J49" s="3" t="str">
        <x:v>{unit} 踩中陷阱，触发全部元素。</x:v>
      </x:c>
      <x:c r="K49" s="3" t="str">
        <x:v>7</x:v>
      </x:c>
      <x:c r="L49" s="3" t="str">
        <x:v>高</x:v>
      </x:c>
      <x:c r="M49" s="3" t="str">
        <x:v>正式</x:v>
      </x:c>
      <x:c r="N49" s="3" t="str">
        <x:v>待接入</x:v>
      </x:c>
      <x:c r="O49" s="3" t="str">
        <x:v>1</x:v>
      </x:c>
      <x:c r="P49" s="3" t="str">
        <x:v>1</x:v>
      </x:c>
      <x:c r="Q49" s="3" t="str">
        <x:v>0</x:v>
      </x:c>
      <x:c r="R49" s="3" t="str">
        <x:v>1</x:v>
      </x:c>
      <x:c r="S49" s="3" t="str">
        <x:v>对应已定陷阱叠加规则。</x:v>
      </x:c>
    </x:row>
    <x:row r="50">
      <x:c r="A50" s="3" t="str">
        <x:v>M47</x:v>
      </x:c>
      <x:c r="B50" s="3" t="str">
        <x:v>mech_fire_cross_detonate_diamond</x:v>
      </x:c>
      <x:c r="C50" s="3" t="str">
        <x:v>火魔十字引爆</x:v>
      </x:c>
      <x:c r="D50" s="3" t="str">
        <x:v>元素/火</x:v>
      </x:c>
      <x:c r="E50" s="3" t="str">
        <x:v>钻石火魔</x:v>
      </x:c>
      <x:c r="F50" s="3" t="str">
        <x:v>element_explode</x:v>
      </x:c>
      <x:c r="G50" s="3" t="str">
        <x:v>火魔钻石且在场/背包</x:v>
      </x:c>
      <x:c r="H50" s="3" t="str">
        <x:v>shape=cross5</x:v>
      </x:c>
      <x:c r="I50" s="3" t="str">
        <x:v>火引爆改为十字五格。</x:v>
      </x:c>
      <x:c r="J50" s="3" t="str">
        <x:v>火魔引爆十字区域。</x:v>
      </x:c>
      <x:c r="K50" s="3" t="str">
        <x:v>10</x:v>
      </x:c>
      <x:c r="L50" s="3" t="str">
        <x:v>高</x:v>
      </x:c>
      <x:c r="M50" s="3" t="str">
        <x:v>正式</x:v>
      </x:c>
      <x:c r="N50" s="3" t="str">
        <x:v>待接入</x:v>
      </x:c>
      <x:c r="O50" s="3" t="str">
        <x:v>1</x:v>
      </x:c>
      <x:c r="P50" s="3" t="str">
        <x:v>0</x:v>
      </x:c>
      <x:c r="Q50" s="3" t="str">
        <x:v>0</x:v>
      </x:c>
      <x:c r="R50" s="3" t="str">
        <x:v>0</x:v>
      </x:c>
      <x:c r="S50" s="3" t="str">
        <x:v>仅钻石火魔，不得默认全局启用。</x:v>
      </x:c>
    </x:row>
    <x:row r="51">
      <x:c r="A51" s="3" t="str">
        <x:v>M48</x:v>
      </x:c>
      <x:c r="B51" s="3" t="str">
        <x:v>mech_water_cleanse_debuff</x:v>
      </x:c>
      <x:c r="C51" s="3" t="str">
        <x:v>水系净化</x:v>
      </x:c>
      <x:c r="D51" s="3" t="str">
        <x:v>元素/水</x:v>
      </x:c>
      <x:c r="E51" s="3" t="str">
        <x:v>宠物</x:v>
      </x:c>
      <x:c r="F51" s="3" t="str">
        <x:v>round_start</x:v>
      </x:c>
      <x:c r="G51" s="3" t="str">
        <x:v>友方有负面状态</x:v>
      </x:c>
      <x:c r="H51" s="3" t="str">
        <x:v>cleanse=1</x:v>
      </x:c>
      <x:c r="I51" s="3" t="str">
        <x:v>移除负面状态。</x:v>
      </x:c>
      <x:c r="J51" s="3" t="str">
        <x:v>水流净化了 {count} 个负面状态。</x:v>
      </x:c>
      <x:c r="K51" s="3" t="str">
        <x:v>6</x:v>
      </x:c>
      <x:c r="L51" s="3" t="str">
        <x:v>中</x:v>
      </x:c>
      <x:c r="M51" s="3" t="str">
        <x:v>正式</x:v>
      </x:c>
      <x:c r="N51" s="3" t="str">
        <x:v>待接入</x:v>
      </x:c>
      <x:c r="O51" s="3" t="str">
        <x:v>1</x:v>
      </x:c>
      <x:c r="P51" s="3" t="str">
        <x:v>0</x:v>
      </x:c>
      <x:c r="Q51" s="3" t="str">
        <x:v>0</x:v>
      </x:c>
      <x:c r="R51" s="3" t="str">
        <x:v>0</x:v>
      </x:c>
      <x:c r="S51" s="3" t="str">
        <x:v>状态系统后接。</x:v>
      </x:c>
    </x:row>
    <x:row r="52">
      <x:c r="A52" s="3" t="str">
        <x:v>M49</x:v>
      </x:c>
      <x:c r="B52" s="3" t="str">
        <x:v>mech_wind_slow_ap</x:v>
      </x:c>
      <x:c r="C52" s="3" t="str">
        <x:v>元素减行动</x:v>
      </x:c>
      <x:c r="D52" s="3" t="str">
        <x:v>元素/通用</x:v>
      </x:c>
      <x:c r="E52" s="3" t="str">
        <x:v>宠物/怪物</x:v>
      </x:c>
      <x:c r="F52" s="3" t="str">
        <x:v>after_hit</x:v>
      </x:c>
      <x:c r="G52" s="3" t="str">
        <x:v>任意元素命中</x:v>
      </x:c>
      <x:c r="H52" s="3" t="str">
        <x:v>ap_delta=-1</x:v>
      </x:c>
      <x:c r="I52" s="3" t="str">
        <x:v>降低目标行动力或本回合AP。</x:v>
      </x:c>
      <x:c r="J52" s="3" t="str">
        <x:v>{element}元素降低目标行动力。</x:v>
      </x:c>
      <x:c r="K52" s="3" t="str">
        <x:v>6</x:v>
      </x:c>
      <x:c r="L52" s="3" t="str">
        <x:v>中</x:v>
      </x:c>
      <x:c r="M52" s="3" t="str">
        <x:v>正式</x:v>
      </x:c>
      <x:c r="N52" s="3" t="str">
        <x:v>待接入</x:v>
      </x:c>
      <x:c r="O52" s="3" t="str">
        <x:v>1</x:v>
      </x:c>
      <x:c r="P52" s="3" t="str">
        <x:v>1</x:v>
      </x:c>
      <x:c r="Q52" s="3" t="str">
        <x:v>0</x:v>
      </x:c>
      <x:c r="R52" s="3" t="str">
        <x:v>0</x:v>
      </x:c>
      <x:c r="S52" s="3" t="str">
        <x:v>兼容旧机制ID；适配九系与双属性。</x:v>
      </x:c>
    </x:row>
    <x:row r="53">
      <x:c r="A53" s="3" t="str">
        <x:v>M50</x:v>
      </x:c>
      <x:c r="B53" s="3" t="str">
        <x:v>mech_earth_block_cell</x:v>
      </x:c>
      <x:c r="C53" s="3" t="str">
        <x:v>元素阻挡</x:v>
      </x:c>
      <x:c r="D53" s="3" t="str">
        <x:v>元素/通用</x:v>
      </x:c>
      <x:c r="E53" s="3" t="str">
        <x:v>宠物/怪物</x:v>
      </x:c>
      <x:c r="F53" s="3" t="str">
        <x:v>after_element_apply</x:v>
      </x:c>
      <x:c r="G53" s="3" t="str">
        <x:v>目标格可阻挡</x:v>
      </x:c>
      <x:c r="H53" s="3" t="str">
        <x:v>duration=1; hp=6</x:v>
      </x:c>
      <x:c r="I53" s="3" t="str">
        <x:v>任意元素形成阻挡地块。</x:v>
      </x:c>
      <x:c r="J53" s="3" t="str">
        <x:v>元素地块阻挡路径。</x:v>
      </x:c>
      <x:c r="K53" s="3" t="str">
        <x:v>7</x:v>
      </x:c>
      <x:c r="L53" s="3" t="str">
        <x:v>高</x:v>
      </x:c>
      <x:c r="M53" s="3" t="str">
        <x:v>正式</x:v>
      </x:c>
      <x:c r="N53" s="3" t="str">
        <x:v>待接入</x:v>
      </x:c>
      <x:c r="O53" s="3" t="str">
        <x:v>1</x:v>
      </x:c>
      <x:c r="P53" s="3" t="str">
        <x:v>1</x:v>
      </x:c>
      <x:c r="Q53" s="3" t="str">
        <x:v>0</x:v>
      </x:c>
      <x:c r="R53" s="3" t="str">
        <x:v>0</x:v>
      </x:c>
      <x:c r="S53" s="3" t="str">
        <x:v>兼容旧机制ID；适配九系与双属性。</x:v>
      </x:c>
    </x:row>
    <x:row r="54">
      <x:c r="A54" s="3" t="str">
        <x:v>M51</x:v>
      </x:c>
      <x:c r="B54" s="3" t="str">
        <x:v>mech_curse_gold_loss</x:v>
      </x:c>
      <x:c r="C54" s="3" t="str">
        <x:v>金币诅咒</x:v>
      </x:c>
      <x:c r="D54" s="3" t="str">
        <x:v>诅咒/经济</x:v>
      </x:c>
      <x:c r="E54" s="3" t="str">
        <x:v>事件/怪物</x:v>
      </x:c>
      <x:c r="F54" s="3" t="str">
        <x:v>battle_end</x:v>
      </x:c>
      <x:c r="G54" s="3" t="str">
        <x:v>单位存活或事件选择</x:v>
      </x:c>
      <x:c r="H54" s="3" t="str">
        <x:v>gold=-2</x:v>
      </x:c>
      <x:c r="I54" s="3" t="str">
        <x:v>减少金币。</x:v>
      </x:c>
      <x:c r="J54" s="3" t="str">
        <x:v>诅咒生效，金币 {gold}。</x:v>
      </x:c>
      <x:c r="K54" s="3" t="str">
        <x:v>4</x:v>
      </x:c>
      <x:c r="L54" s="3" t="str">
        <x:v>中</x:v>
      </x:c>
      <x:c r="M54" s="3" t="str">
        <x:v>正式</x:v>
      </x:c>
      <x:c r="N54" s="3" t="str">
        <x:v>待接入</x:v>
      </x:c>
      <x:c r="O54" s="3" t="str">
        <x:v>0</x:v>
      </x:c>
      <x:c r="P54" s="3" t="str">
        <x:v>1</x:v>
      </x:c>
      <x:c r="Q54" s="3" t="str">
        <x:v>1</x:v>
      </x:c>
      <x:c r="R54" s="3" t="str">
        <x:v>1</x:v>
      </x:c>
      <x:c r="S54" s="3" t="str">
        <x:v>事件和失败惩罚可复用。</x:v>
      </x:c>
    </x:row>
    <x:row r="55">
      <x:c r="A55" s="3" t="str">
        <x:v>M52</x:v>
      </x:c>
      <x:c r="B55" s="3" t="str">
        <x:v>mech_reduce_reward_if_alive</x:v>
      </x:c>
      <x:c r="C55" s="3" t="str">
        <x:v>存活减奖</x:v>
      </x:c>
      <x:c r="D55" s="3" t="str">
        <x:v>诅咒/奖励</x:v>
      </x:c>
      <x:c r="E55" s="3" t="str">
        <x:v>波次/怪物</x:v>
      </x:c>
      <x:c r="F55" s="3" t="str">
        <x:v>battle_end</x:v>
      </x:c>
      <x:c r="G55" s="3" t="str">
        <x:v>特定怪物未击杀</x:v>
      </x:c>
      <x:c r="H55" s="3" t="str">
        <x:v>reward_pct=-0.2</x:v>
      </x:c>
      <x:c r="I55" s="3" t="str">
        <x:v>降低奖励倍率。</x:v>
      </x:c>
      <x:c r="J55" s="3" t="str">
        <x:v>敌人未清，奖励降低。</x:v>
      </x:c>
      <x:c r="K55" s="3" t="str">
        <x:v>5</x:v>
      </x:c>
      <x:c r="L55" s="3" t="str">
        <x:v>中</x:v>
      </x:c>
      <x:c r="M55" s="3" t="str">
        <x:v>正式</x:v>
      </x:c>
      <x:c r="N55" s="3" t="str">
        <x:v>待接入</x:v>
      </x:c>
      <x:c r="O55" s="3" t="str">
        <x:v>0</x:v>
      </x:c>
      <x:c r="P55" s="3" t="str">
        <x:v>1</x:v>
      </x:c>
      <x:c r="Q55" s="3" t="str">
        <x:v>1</x:v>
      </x:c>
      <x:c r="R55" s="3" t="str">
        <x:v>1</x:v>
      </x:c>
      <x:c r="S55" s="3" t="str">
        <x:v>波次用。</x:v>
      </x:c>
    </x:row>
    <x:row r="56">
      <x:c r="A56" s="3" t="str">
        <x:v>M53</x:v>
      </x:c>
      <x:c r="B56" s="3" t="str">
        <x:v>mech_castle_line_damage</x:v>
      </x:c>
      <x:c r="C56" s="3" t="str">
        <x:v>城堡扣线</x:v>
      </x:c>
      <x:c r="D56" s="3" t="str">
        <x:v>波次/失败</x:v>
      </x:c>
      <x:c r="E56" s="3" t="str">
        <x:v>波次/怪物</x:v>
      </x:c>
      <x:c r="F56" s="3" t="str">
        <x:v>battle_fail</x:v>
      </x:c>
      <x:c r="G56" s="3" t="str">
        <x:v>战斗失败或怪物越线</x:v>
      </x:c>
      <x:c r="H56" s="3" t="str">
        <x:v>castle_hp=-1</x:v>
      </x:c>
      <x:c r="I56" s="3" t="str">
        <x:v>扣城堡线。</x:v>
      </x:c>
      <x:c r="J56" s="3" t="str">
        <x:v>城堡受到 {damage} 点损害。</x:v>
      </x:c>
      <x:c r="K56" s="3" t="str">
        <x:v>5</x:v>
      </x:c>
      <x:c r="L56" s="3" t="str">
        <x:v>中</x:v>
      </x:c>
      <x:c r="M56" s="3" t="str">
        <x:v>正式</x:v>
      </x:c>
      <x:c r="N56" s="3" t="str">
        <x:v>可接入</x:v>
      </x:c>
      <x:c r="O56" s="3" t="str">
        <x:v>0</x:v>
      </x:c>
      <x:c r="P56" s="3" t="str">
        <x:v>1</x:v>
      </x:c>
      <x:c r="Q56" s="3" t="str">
        <x:v>1</x:v>
      </x:c>
      <x:c r="R56" s="3" t="str">
        <x:v>1</x:v>
      </x:c>
      <x:c r="S56" s="3" t="str">
        <x:v>10回合失败核心。</x:v>
      </x:c>
    </x:row>
    <x:row r="57">
      <x:c r="A57" s="3" t="str">
        <x:v>M54</x:v>
      </x:c>
      <x:c r="B57" s="3" t="str">
        <x:v>mech_economy_decay_on_fail</x:v>
      </x:c>
      <x:c r="C57" s="3" t="str">
        <x:v>失败经济折损</x:v>
      </x:c>
      <x:c r="D57" s="3" t="str">
        <x:v>波次/失败</x:v>
      </x:c>
      <x:c r="E57" s="3" t="str">
        <x:v>波次/事件</x:v>
      </x:c>
      <x:c r="F57" s="3" t="str">
        <x:v>battle_fail</x:v>
      </x:c>
      <x:c r="G57" s="3" t="str">
        <x:v>战斗失败</x:v>
      </x:c>
      <x:c r="H57" s="3" t="str">
        <x:v>income_pct=0.8</x:v>
      </x:c>
      <x:c r="I57" s="3" t="str">
        <x:v>后续经济收益降低。</x:v>
      </x:c>
      <x:c r="J57" s="3" t="str">
        <x:v>失败导致经济收益降低。</x:v>
      </x:c>
      <x:c r="K57" s="3" t="str">
        <x:v>6</x:v>
      </x:c>
      <x:c r="L57" s="3" t="str">
        <x:v>中</x:v>
      </x:c>
      <x:c r="M57" s="3" t="str">
        <x:v>正式</x:v>
      </x:c>
      <x:c r="N57" s="3" t="str">
        <x:v>待接入</x:v>
      </x:c>
      <x:c r="O57" s="3" t="str">
        <x:v>0</x:v>
      </x:c>
      <x:c r="P57" s="3" t="str">
        <x:v>0</x:v>
      </x:c>
      <x:c r="Q57" s="3" t="str">
        <x:v>1</x:v>
      </x:c>
      <x:c r="R57" s="3" t="str">
        <x:v>1</x:v>
      </x:c>
      <x:c r="S57" s="3" t="str">
        <x:v>和大巴扎节奏相关。</x:v>
      </x:c>
    </x:row>
    <x:row r="58">
      <x:c r="A58" s="3" t="str">
        <x:v>M55</x:v>
      </x:c>
      <x:c r="B58" s="3" t="str">
        <x:v>mech_dirty_cell</x:v>
      </x:c>
      <x:c r="C58" s="3" t="str">
        <x:v>污染格子</x:v>
      </x:c>
      <x:c r="D58" s="3" t="str">
        <x:v>诅咒/地形</x:v>
      </x:c>
      <x:c r="E58" s="3" t="str">
        <x:v>怪物/事件</x:v>
      </x:c>
      <x:c r="F58" s="3" t="str">
        <x:v>after_action</x:v>
      </x:c>
      <x:c r="G58" s="3" t="str">
        <x:v>目标格可污染</x:v>
      </x:c>
      <x:c r="H58" s="3" t="str">
        <x:v>duration=2; penalty=1</x:v>
      </x:c>
      <x:c r="I58" s="3" t="str">
        <x:v>生成污染地块，影响站位/路径。</x:v>
      </x:c>
      <x:c r="J58" s="3" t="str">
        <x:v>{unit} 污染了格子。</x:v>
      </x:c>
      <x:c r="K58" s="3" t="str">
        <x:v>6</x:v>
      </x:c>
      <x:c r="L58" s="3" t="str">
        <x:v>中</x:v>
      </x:c>
      <x:c r="M58" s="3" t="str">
        <x:v>正式</x:v>
      </x:c>
      <x:c r="N58" s="3" t="str">
        <x:v>待接入</x:v>
      </x:c>
      <x:c r="O58" s="3" t="str">
        <x:v>0</x:v>
      </x:c>
      <x:c r="P58" s="3" t="str">
        <x:v>1</x:v>
      </x:c>
      <x:c r="Q58" s="3" t="str">
        <x:v>1</x:v>
      </x:c>
      <x:c r="R58" s="3" t="str">
        <x:v>1</x:v>
      </x:c>
      <x:c r="S58" s="3" t="str">
        <x:v>地形层实现。</x:v>
      </x:c>
    </x:row>
    <x:row r="59">
      <x:c r="A59" s="3" t="str">
        <x:v>M56</x:v>
      </x:c>
      <x:c r="B59" s="3" t="str">
        <x:v>mech_countdown_pressure</x:v>
      </x:c>
      <x:c r="C59" s="3" t="str">
        <x:v>倒计时压力</x:v>
      </x:c>
      <x:c r="D59" s="3" t="str">
        <x:v>波次/倒计时</x:v>
      </x:c>
      <x:c r="E59" s="3" t="str">
        <x:v>波次/事件</x:v>
      </x:c>
      <x:c r="F59" s="3" t="str">
        <x:v>round_start</x:v>
      </x:c>
      <x:c r="G59" s="3" t="str">
        <x:v>指定回合后</x:v>
      </x:c>
      <x:c r="H59" s="3" t="str">
        <x:v>round=5; effect=spawn_extra</x:v>
      </x:c>
      <x:c r="I59" s="3" t="str">
        <x:v>达到回合后追加惩罚。</x:v>
      </x:c>
      <x:c r="J59" s="3" t="str">
        <x:v>倒计时触发，战场压力上升。</x:v>
      </x:c>
      <x:c r="K59" s="3" t="str">
        <x:v>7</x:v>
      </x:c>
      <x:c r="L59" s="3" t="str">
        <x:v>高</x:v>
      </x:c>
      <x:c r="M59" s="3" t="str">
        <x:v>正式</x:v>
      </x:c>
      <x:c r="N59" s="3" t="str">
        <x:v>待接入</x:v>
      </x:c>
      <x:c r="O59" s="3" t="str">
        <x:v>0</x:v>
      </x:c>
      <x:c r="P59" s="3" t="str">
        <x:v>0</x:v>
      </x:c>
      <x:c r="Q59" s="3" t="str">
        <x:v>1</x:v>
      </x:c>
      <x:c r="R59" s="3" t="str">
        <x:v>1</x:v>
      </x:c>
      <x:c r="S59" s="3" t="str">
        <x:v>压缩战斗节奏。</x:v>
      </x:c>
    </x:row>
    <x:row r="60">
      <x:c r="A60" s="3" t="str">
        <x:v>M57</x:v>
      </x:c>
      <x:c r="B60" s="3" t="str">
        <x:v>mech_shop_discount_after_clear</x:v>
      </x:c>
      <x:c r="C60" s="3" t="str">
        <x:v>快速清场折扣</x:v>
      </x:c>
      <x:c r="D60" s="3" t="str">
        <x:v>奖励/商店</x:v>
      </x:c>
      <x:c r="E60" s="3" t="str">
        <x:v>波次/事件</x:v>
      </x:c>
      <x:c r="F60" s="3" t="str">
        <x:v>battle_end</x:v>
      </x:c>
      <x:c r="G60" s="3" t="str">
        <x:v>5回合内清场</x:v>
      </x:c>
      <x:c r="H60" s="3" t="str">
        <x:v>discount=1; slots=1</x:v>
      </x:c>
      <x:c r="I60" s="3" t="str">
        <x:v>下一商店获得折扣位。</x:v>
      </x:c>
      <x:c r="J60" s="3" t="str">
        <x:v>快速清场，获得折扣商店位。</x:v>
      </x:c>
      <x:c r="K60" s="3" t="str">
        <x:v>5</x:v>
      </x:c>
      <x:c r="L60" s="3" t="str">
        <x:v>中</x:v>
      </x:c>
      <x:c r="M60" s="3" t="str">
        <x:v>正式</x:v>
      </x:c>
      <x:c r="N60" s="3" t="str">
        <x:v>待接入</x:v>
      </x:c>
      <x:c r="O60" s="3" t="str">
        <x:v>0</x:v>
      </x:c>
      <x:c r="P60" s="3" t="str">
        <x:v>0</x:v>
      </x:c>
      <x:c r="Q60" s="3" t="str">
        <x:v>1</x:v>
      </x:c>
      <x:c r="R60" s="3" t="str">
        <x:v>1</x:v>
      </x:c>
      <x:c r="S60" s="3" t="str">
        <x:v>大巴扎式奖励。</x:v>
      </x:c>
    </x:row>
    <x:row r="61">
      <x:c r="A61" s="3" t="str">
        <x:v>M58</x:v>
      </x:c>
      <x:c r="B61" s="3" t="str">
        <x:v>mech_bonus_reward_under_round5</x:v>
      </x:c>
      <x:c r="C61" s="3" t="str">
        <x:v>5回合高奖</x:v>
      </x:c>
      <x:c r="D61" s="3" t="str">
        <x:v>奖励/波次</x:v>
      </x:c>
      <x:c r="E61" s="3" t="str">
        <x:v>波次</x:v>
      </x:c>
      <x:c r="F61" s="3" t="str">
        <x:v>battle_end</x:v>
      </x:c>
      <x:c r="G61" s="3" t="str">
        <x:v>回合&lt;=5且胜利</x:v>
      </x:c>
      <x:c r="H61" s="3" t="str">
        <x:v>reward_pct=1.3</x:v>
      </x:c>
      <x:c r="I61" s="3" t="str">
        <x:v>5回合内胜利提高奖励。</x:v>
      </x:c>
      <x:c r="J61" s="3" t="str">
        <x:v>5回合清场，奖励提升。</x:v>
      </x:c>
      <x:c r="K61" s="3" t="str">
        <x:v>6</x:v>
      </x:c>
      <x:c r="L61" s="3" t="str">
        <x:v>中</x:v>
      </x:c>
      <x:c r="M61" s="3" t="str">
        <x:v>正式</x:v>
      </x:c>
      <x:c r="N61" s="3" t="str">
        <x:v>待接入</x:v>
      </x:c>
      <x:c r="O61" s="3" t="str">
        <x:v>0</x:v>
      </x:c>
      <x:c r="P61" s="3" t="str">
        <x:v>0</x:v>
      </x:c>
      <x:c r="Q61" s="3" t="str">
        <x:v>1</x:v>
      </x:c>
      <x:c r="R61" s="3" t="str">
        <x:v>1</x:v>
      </x:c>
      <x:c r="S61" s="3" t="str">
        <x:v>用户已定目标。</x:v>
      </x:c>
    </x:row>
    <x:row r="62">
      <x:c r="A62" s="3" t="str">
        <x:v>M59</x:v>
      </x:c>
      <x:c r="B62" s="3" t="str">
        <x:v>mech_penalty_after_round10</x:v>
      </x:c>
      <x:c r="C62" s="3" t="str">
        <x:v>10回合失败</x:v>
      </x:c>
      <x:c r="D62" s="3" t="str">
        <x:v>失败/波次</x:v>
      </x:c>
      <x:c r="E62" s="3" t="str">
        <x:v>波次</x:v>
      </x:c>
      <x:c r="F62" s="3" t="str">
        <x:v>round_end</x:v>
      </x:c>
      <x:c r="G62" s="3" t="str">
        <x:v>回合&gt;10且未清场</x:v>
      </x:c>
      <x:c r="H62" s="3" t="str">
        <x:v>fail=true</x:v>
      </x:c>
      <x:c r="I62" s="3" t="str">
        <x:v>超过10回合判失败并结算惩罚。</x:v>
      </x:c>
      <x:c r="J62" s="3" t="str">
        <x:v>超过10回合，战斗失败。</x:v>
      </x:c>
      <x:c r="K62" s="3" t="str">
        <x:v>8</x:v>
      </x:c>
      <x:c r="L62" s="3" t="str">
        <x:v>高</x:v>
      </x:c>
      <x:c r="M62" s="3" t="str">
        <x:v>正式</x:v>
      </x:c>
      <x:c r="N62" s="3" t="str">
        <x:v>待接入</x:v>
      </x:c>
      <x:c r="O62" s="3" t="str">
        <x:v>0</x:v>
      </x:c>
      <x:c r="P62" s="3" t="str">
        <x:v>0</x:v>
      </x:c>
      <x:c r="Q62" s="3" t="str">
        <x:v>1</x:v>
      </x:c>
      <x:c r="R62" s="3" t="str">
        <x:v>1</x:v>
      </x:c>
      <x:c r="S62" s="3" t="str">
        <x:v>用户已定硬规则。</x:v>
      </x:c>
    </x:row>
    <x:row r="63">
      <x:c r="A63" s="3" t="str">
        <x:v>M60</x:v>
      </x:c>
      <x:c r="B63" s="3" t="str">
        <x:v>mech_elite_reward_bonus</x:v>
      </x:c>
      <x:c r="C63" s="3" t="str">
        <x:v>精英额外奖励</x:v>
      </x:c>
      <x:c r="D63" s="3" t="str">
        <x:v>奖励/精英</x:v>
      </x:c>
      <x:c r="E63" s="3" t="str">
        <x:v>怪物/波次</x:v>
      </x:c>
      <x:c r="F63" s="3" t="str">
        <x:v>battle_end</x:v>
      </x:c>
      <x:c r="G63" s="3" t="str">
        <x:v>精英死亡且胜利</x:v>
      </x:c>
      <x:c r="H63" s="3" t="str">
        <x:v>reward=elite_chest</x:v>
      </x:c>
      <x:c r="I63" s="3" t="str">
        <x:v>击杀精英提供额外奖励。</x:v>
      </x:c>
      <x:c r="J63" s="3" t="str">
        <x:v>击败精英，获得额外奖励。</x:v>
      </x:c>
      <x:c r="K63" s="3" t="str">
        <x:v>6</x:v>
      </x:c>
      <x:c r="L63" s="3" t="str">
        <x:v>中</x:v>
      </x:c>
      <x:c r="M63" s="3" t="str">
        <x:v>正式</x:v>
      </x:c>
      <x:c r="N63" s="3" t="str">
        <x:v>待接入</x:v>
      </x:c>
      <x:c r="O63" s="3" t="str">
        <x:v>0</x:v>
      </x:c>
      <x:c r="P63" s="3" t="str">
        <x:v>1</x:v>
      </x:c>
      <x:c r="Q63" s="3" t="str">
        <x:v>1</x:v>
      </x:c>
      <x:c r="R63" s="3" t="str">
        <x:v>1</x:v>
      </x:c>
      <x:c r="S63" s="3" t="str">
        <x:v>精英/事件用。</x:v>
      </x:c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  <x:c r="AK63"/>
      <x:c r="AL63"/>
      <x:c r="AM63"/>
      <x:c r="AN63"/>
      <x:c r="AO63"/>
      <x:c r="AP63"/>
      <x:c r="AQ63"/>
      <x:c r="AR63"/>
      <x:c r="AS63"/>
      <x:c r="AT63"/>
      <x:c r="AU63"/>
      <x:c r="AV63"/>
      <x:c r="AW63"/>
      <x:c r="AX63"/>
      <x:c r="AY63"/>
      <x:c r="AZ63"/>
    </x:row>
    <x:row r="64">
      <x:c r="A64" s="3" t="str">
        <x:v>M61</x:v>
      </x:c>
      <x:c r="B64" s="3" t="str">
        <x:v>pet_pal_005_red_tail_fox</x:v>
      </x:c>
      <x:c r="C64" s="3" t="str">
        <x:v>狐火号令</x:v>
      </x:c>
      <x:c r="D64" s="3" t="str">
        <x:v>宠物/火种</x:v>
      </x:c>
      <x:c r="E64" s="3" t="str">
        <x:v>宠物</x:v>
      </x:c>
      <x:c r="F64" s="3" t="str">
        <x:v>element_settle</x:v>
      </x:c>
      <x:c r="G64" s="3" t="str">
        <x:v>火种地形回合末结算</x:v>
      </x:c>
      <x:c r="H64" s="3" t="str">
        <x:v>per_layer=1</x:v>
      </x:c>
      <x:c r="I64" s="3" t="str">
        <x:v>火种地形结算时，每层额外造成1点伤害。</x:v>
      </x:c>
      <x:c r="J64" s="3" t="str">
        <x:v>狐火号令：本格火种每层额外造成1点伤害。</x:v>
      </x:c>
      <x:c r="K64" s="3" t="n">
        <x:v>8</x:v>
      </x:c>
      <x:c r="L64" s="3" t="str">
        <x:v>高</x:v>
      </x:c>
      <x:c r="M64" s="3" t="str">
        <x:v>正式</x:v>
      </x:c>
      <x:c r="N64" s="3" t="str">
        <x:v>可接入</x:v>
      </x:c>
      <x:c r="O64" s="3" t="n">
        <x:v>1</x:v>
      </x:c>
      <x:c r="P64" s="3" t="n">
        <x:v>0</x:v>
      </x:c>
      <x:c r="Q64" s="3" t="n">
        <x:v>0</x:v>
      </x:c>
      <x:c r="R64" s="3" t="n">
        <x:v>0</x:v>
      </x:c>
      <x:c r="S64" s="3" t="str">
        <x:v>第一套核心；只读取地形火层，不持有回合权威。</x:v>
      </x:c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  <x:c r="AK64"/>
      <x:c r="AL64"/>
      <x:c r="AM64"/>
      <x:c r="AN64"/>
      <x:c r="AO64"/>
      <x:c r="AP64"/>
      <x:c r="AQ64"/>
      <x:c r="AR64"/>
      <x:c r="AS64"/>
      <x:c r="AT64"/>
      <x:c r="AU64"/>
      <x:c r="AV64"/>
      <x:c r="AW64"/>
      <x:c r="AX64"/>
      <x:c r="AY64"/>
      <x:c r="AZ64"/>
    </x:row>
    <x:row r="65">
      <x:c r="A65" s="3" t="str">
        <x:v>M62</x:v>
      </x:c>
      <x:c r="B65" s="3" t="str">
        <x:v>pet_pal_007_thunder_whisker_cat</x:v>
      </x:c>
      <x:c r="C65" s="3" t="str">
        <x:v>雷火跃迁</x:v>
      </x:c>
      <x:c r="D65" s="3" t="str">
        <x:v>宠物/火种</x:v>
      </x:c>
      <x:c r="E65" s="3" t="str">
        <x:v>宠物</x:v>
      </x:c>
      <x:c r="F65" s="3" t="str">
        <x:v>after_element_apply</x:v>
      </x:c>
      <x:c r="G65" s="3" t="str">
        <x:v>自身铺设火种地形</x:v>
      </x:c>
      <x:c r="H65" s="3" t="str">
        <x:v>spread_layers=1</x:v>
      </x:c>
      <x:c r="I65" s="3" t="str">
        <x:v>上下左右相邻格各获得1层火种地形。</x:v>
      </x:c>
      <x:c r="J65" s="3" t="str">
        <x:v>雷火跃迁：相邻格各获得1层火种。</x:v>
      </x:c>
      <x:c r="K65" s="3" t="n">
        <x:v>6</x:v>
      </x:c>
      <x:c r="L65" s="3" t="str">
        <x:v>中</x:v>
      </x:c>
      <x:c r="M65" s="3" t="str">
        <x:v>正式</x:v>
      </x:c>
      <x:c r="N65" s="3" t="str">
        <x:v>可接入</x:v>
      </x:c>
      <x:c r="O65" s="3" t="n">
        <x:v>1</x:v>
      </x:c>
      <x:c r="P65" s="3" t="n">
        <x:v>0</x:v>
      </x:c>
      <x:c r="Q65" s="3" t="n">
        <x:v>0</x:v>
      </x:c>
      <x:c r="R65" s="3" t="n">
        <x:v>0</x:v>
      </x:c>
      <x:c r="S65" s="3" t="str">
        <x:v>只写地形；扩散不会递归触发。</x:v>
      </x:c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  <x:c r="AK65"/>
      <x:c r="AL65"/>
      <x:c r="AM65"/>
      <x:c r="AN65"/>
      <x:c r="AO65"/>
      <x:c r="AP65"/>
      <x:c r="AQ65"/>
      <x:c r="AR65"/>
      <x:c r="AS65"/>
      <x:c r="AT65"/>
      <x:c r="AU65"/>
      <x:c r="AV65"/>
      <x:c r="AW65"/>
      <x:c r="AX65"/>
      <x:c r="AY65"/>
      <x:c r="AZ65"/>
    </x:row>
    <x:row r="66">
      <x:c r="A66" s="3" t="str">
        <x:v>M63</x:v>
      </x:c>
      <x:c r="B66" s="3" t="str">
        <x:v>pet_pal_009_fire_antler_deer</x:v>
      </x:c>
      <x:c r="C66" s="3" t="str">
        <x:v>踏火留种</x:v>
      </x:c>
      <x:c r="D66" s="3" t="str">
        <x:v>宠物/火种</x:v>
      </x:c>
      <x:c r="E66" s="3" t="str">
        <x:v>宠物</x:v>
      </x:c>
      <x:c r="F66" s="3" t="str">
        <x:v>after_element_apply</x:v>
      </x:c>
      <x:c r="G66" s="3" t="str">
        <x:v>自身铺设火种地形</x:v>
      </x:c>
      <x:c r="H66" s="3" t="str">
        <x:v>bonus_layers=1</x:v>
      </x:c>
      <x:c r="I66" s="3" t="str">
        <x:v>本次铺火所在格额外获得1层火种地形。</x:v>
      </x:c>
      <x:c r="J66" s="3" t="str">
        <x:v>踏火留种：该格火种+1层。</x:v>
      </x:c>
      <x:c r="K66" s="3" t="n">
        <x:v>5</x:v>
      </x:c>
      <x:c r="L66" s="3" t="str">
        <x:v>中</x:v>
      </x:c>
      <x:c r="M66" s="3" t="str">
        <x:v>正式</x:v>
      </x:c>
      <x:c r="N66" s="3" t="str">
        <x:v>可接入</x:v>
      </x:c>
      <x:c r="O66" s="3" t="n">
        <x:v>1</x:v>
      </x:c>
      <x:c r="P66" s="3" t="n">
        <x:v>0</x:v>
      </x:c>
      <x:c r="Q66" s="3" t="n">
        <x:v>0</x:v>
      </x:c>
      <x:c r="R66" s="3" t="n">
        <x:v>0</x:v>
      </x:c>
      <x:c r="S66" s="3" t="str">
        <x:v>第一套基础火种供应。</x:v>
      </x:c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  <x:c r="AK66"/>
      <x:c r="AL66"/>
      <x:c r="AM66"/>
      <x:c r="AN66"/>
      <x:c r="AO66"/>
      <x:c r="AP66"/>
      <x:c r="AQ66"/>
      <x:c r="AR66"/>
      <x:c r="AS66"/>
      <x:c r="AT66"/>
      <x:c r="AU66"/>
      <x:c r="AV66"/>
      <x:c r="AW66"/>
      <x:c r="AX66"/>
      <x:c r="AY66"/>
      <x:c r="AZ66"/>
    </x:row>
    <x:row r="67">
      <x:c r="A67" s="3" t="str">
        <x:v>M64</x:v>
      </x:c>
      <x:c r="B67" s="3" t="str">
        <x:v>pet_pal_012_electric_quill_mouse</x:v>
      </x:c>
      <x:c r="C67" s="3" t="str">
        <x:v>电棘引燃</x:v>
      </x:c>
      <x:c r="D67" s="3" t="str">
        <x:v>宠物/火雷</x:v>
      </x:c>
      <x:c r="E67" s="3" t="str">
        <x:v>宠物</x:v>
      </x:c>
      <x:c r="F67" s="3" t="str">
        <x:v>element_settle</x:v>
      </x:c>
      <x:c r="G67" s="3" t="str">
        <x:v>同格同时存在火种与雷地形</x:v>
      </x:c>
      <x:c r="H67" s="3" t="str">
        <x:v>per_pair=2</x:v>
      </x:c>
      <x:c r="I67" s="3" t="str">
        <x:v>火种统一结算时，按火雷配对层数每层额外造成2点伤害。</x:v>
      </x:c>
      <x:c r="J67" s="3" t="str">
        <x:v>电棘引燃：火雷配对额外造成伤害。</x:v>
      </x:c>
      <x:c r="K67" s="3" t="n">
        <x:v>7</x:v>
      </x:c>
      <x:c r="L67" s="3" t="str">
        <x:v>高</x:v>
      </x:c>
      <x:c r="M67" s="3" t="str">
        <x:v>正式</x:v>
      </x:c>
      <x:c r="N67" s="3" t="str">
        <x:v>可接入</x:v>
      </x:c>
      <x:c r="O67" s="3" t="n">
        <x:v>1</x:v>
      </x:c>
      <x:c r="P67" s="3" t="n">
        <x:v>0</x:v>
      </x:c>
      <x:c r="Q67" s="3" t="n">
        <x:v>0</x:v>
      </x:c>
      <x:c r="R67" s="3" t="n">
        <x:v>0</x:v>
      </x:c>
      <x:c r="S67" s="3" t="str">
        <x:v>只读取同格地形快照。</x:v>
      </x:c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  <x:c r="AK67"/>
      <x:c r="AL67"/>
      <x:c r="AM67"/>
      <x:c r="AN67"/>
      <x:c r="AO67"/>
      <x:c r="AP67"/>
      <x:c r="AQ67"/>
      <x:c r="AR67"/>
      <x:c r="AS67"/>
      <x:c r="AT67"/>
      <x:c r="AU67"/>
      <x:c r="AV67"/>
      <x:c r="AW67"/>
      <x:c r="AX67"/>
      <x:c r="AY67"/>
      <x:c r="AZ67"/>
    </x:row>
    <x:row r="68">
      <x:c r="A68" s="3" t="str">
        <x:v>M65</x:v>
      </x:c>
      <x:c r="B68" s="3" t="str">
        <x:v>pet_pal_014_money_raccoon</x:v>
      </x:c>
      <x:c r="C68" s="3" t="str">
        <x:v>火场生意</x:v>
      </x:c>
      <x:c r="D68" s="3" t="str">
        <x:v>宠物/经济</x:v>
      </x:c>
      <x:c r="E68" s="3" t="str">
        <x:v>宠物</x:v>
      </x:c>
      <x:c r="F68" s="3" t="str">
        <x:v>battle_end</x:v>
      </x:c>
      <x:c r="G68" s="3" t="str">
        <x:v>胜利且自身存活</x:v>
      </x:c>
      <x:c r="H68" s="3" t="str">
        <x:v>gold=1</x:v>
      </x:c>
      <x:c r="I68" s="3" t="str">
        <x:v>战斗胜利后额外获得1金币。</x:v>
      </x:c>
      <x:c r="J68" s="3" t="str">
        <x:v>火场生意：额外获得1金币。</x:v>
      </x:c>
      <x:c r="K68" s="3" t="n">
        <x:v>5</x:v>
      </x:c>
      <x:c r="L68" s="3" t="str">
        <x:v>中</x:v>
      </x:c>
      <x:c r="M68" s="3" t="str">
        <x:v>正式</x:v>
      </x:c>
      <x:c r="N68" s="3" t="str">
        <x:v>可接入</x:v>
      </x:c>
      <x:c r="O68" s="3" t="n">
        <x:v>1</x:v>
      </x:c>
      <x:c r="P68" s="3" t="n">
        <x:v>0</x:v>
      </x:c>
      <x:c r="Q68" s="3" t="n">
        <x:v>0</x:v>
      </x:c>
      <x:c r="R68" s="3" t="n">
        <x:v>0</x:v>
      </x:c>
      <x:c r="S68" s="3" t="str">
        <x:v>第一套经济桥接。</x:v>
      </x:c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  <x:c r="AK68"/>
      <x:c r="AL68"/>
      <x:c r="AM68"/>
      <x:c r="AN68"/>
      <x:c r="AO68"/>
      <x:c r="AP68"/>
      <x:c r="AQ68"/>
      <x:c r="AR68"/>
      <x:c r="AS68"/>
      <x:c r="AT68"/>
      <x:c r="AU68"/>
      <x:c r="AV68"/>
      <x:c r="AW68"/>
      <x:c r="AX68"/>
      <x:c r="AY68"/>
      <x:c r="AZ68"/>
    </x:row>
    <x:row r="69">
      <x:c r="A69" s="3" t="str">
        <x:v>M66</x:v>
      </x:c>
      <x:c r="B69" s="3" t="str">
        <x:v>pet_pal_017_black_horn_rhino</x:v>
      </x:c>
      <x:c r="C69" s="3" t="str">
        <x:v>烈角冲阵</x:v>
      </x:c>
      <x:c r="D69" s="3" t="str">
        <x:v>宠物/站位</x:v>
      </x:c>
      <x:c r="E69" s="3" t="str">
        <x:v>宠物</x:v>
      </x:c>
      <x:c r="F69" s="3" t="str">
        <x:v>after_hit</x:v>
      </x:c>
      <x:c r="G69" s="3" t="str">
        <x:v>火攻击命中存活目标且后方格为空</x:v>
      </x:c>
      <x:c r="H69" s="3" t="str">
        <x:v>distance=1</x:v>
      </x:c>
      <x:c r="I69" s="3" t="str">
        <x:v>将目标沿攻击方向推动1格；不提前结算火种地形。</x:v>
      </x:c>
      <x:c r="J69" s="3" t="str">
        <x:v>烈角冲阵：目标被推动1格。</x:v>
      </x:c>
      <x:c r="K69" s="3" t="n">
        <x:v>6</x:v>
      </x:c>
      <x:c r="L69" s="3" t="str">
        <x:v>中</x:v>
      </x:c>
      <x:c r="M69" s="3" t="str">
        <x:v>正式</x:v>
      </x:c>
      <x:c r="N69" s="3" t="str">
        <x:v>可接入</x:v>
      </x:c>
      <x:c r="O69" s="3" t="n">
        <x:v>1</x:v>
      </x:c>
      <x:c r="P69" s="3" t="n">
        <x:v>0</x:v>
      </x:c>
      <x:c r="Q69" s="3" t="n">
        <x:v>0</x:v>
      </x:c>
      <x:c r="R69" s="3" t="n">
        <x:v>0</x:v>
      </x:c>
      <x:c r="S69" s="3" t="str">
        <x:v>位置变化后仍由回合末统一结算目标所在格。</x:v>
      </x:c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  <x:c r="AK69"/>
      <x:c r="AL69"/>
      <x:c r="AM69"/>
      <x:c r="AN69"/>
      <x:c r="AO69"/>
      <x:c r="AP69"/>
      <x:c r="AQ69"/>
      <x:c r="AR69"/>
      <x:c r="AS69"/>
      <x:c r="AT69"/>
      <x:c r="AU69"/>
      <x:c r="AV69"/>
      <x:c r="AW69"/>
      <x:c r="AX69"/>
      <x:c r="AY69"/>
      <x:c r="AZ69"/>
    </x:row>
    <x:row r="70">
      <x:c r="A70" s="3" t="str">
        <x:v>M67</x:v>
      </x:c>
      <x:c r="B70" s="3" t="str">
        <x:v>pet_pal_019_night_burrow_mole</x:v>
      </x:c>
      <x:c r="C70" s="3" t="str">
        <x:v>地火伏爆</x:v>
      </x:c>
      <x:c r="D70" s="3" t="str">
        <x:v>宠物/火种</x:v>
      </x:c>
      <x:c r="E70" s="3" t="str">
        <x:v>宠物</x:v>
      </x:c>
      <x:c r="F70" s="3" t="str">
        <x:v>element_settle</x:v>
      </x:c>
      <x:c r="G70" s="3" t="str">
        <x:v>火种地形达到3层</x:v>
      </x:c>
      <x:c r="H70" s="3" t="str">
        <x:v>threshold=3; bonus=5</x:v>
      </x:c>
      <x:c r="I70" s="3" t="str">
        <x:v>火种统一结算额外造成5点伤害。</x:v>
      </x:c>
      <x:c r="J70" s="3" t="str">
        <x:v>地火伏爆：额外造成5点伤害。</x:v>
      </x:c>
      <x:c r="K70" s="3" t="n">
        <x:v>7</x:v>
      </x:c>
      <x:c r="L70" s="3" t="str">
        <x:v>高</x:v>
      </x:c>
      <x:c r="M70" s="3" t="str">
        <x:v>正式</x:v>
      </x:c>
      <x:c r="N70" s="3" t="str">
        <x:v>可接入</x:v>
      </x:c>
      <x:c r="O70" s="3" t="n">
        <x:v>1</x:v>
      </x:c>
      <x:c r="P70" s="3" t="n">
        <x:v>0</x:v>
      </x:c>
      <x:c r="Q70" s="3" t="n">
        <x:v>0</x:v>
      </x:c>
      <x:c r="R70" s="3" t="n">
        <x:v>0</x:v>
      </x:c>
      <x:c r="S70" s="3" t="str">
        <x:v>第一套高层火种副核。</x:v>
      </x:c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  <x:c r="AK70"/>
      <x:c r="AL70"/>
      <x:c r="AM70"/>
      <x:c r="AN70"/>
      <x:c r="AO70"/>
      <x:c r="AP70"/>
      <x:c r="AQ70"/>
      <x:c r="AR70"/>
      <x:c r="AS70"/>
      <x:c r="AT70"/>
      <x:c r="AU70"/>
      <x:c r="AV70"/>
      <x:c r="AW70"/>
      <x:c r="AX70"/>
      <x:c r="AY70"/>
      <x:c r="AZ70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  <x:c r="AK71"/>
      <x:c r="AL71"/>
      <x:c r="AM71"/>
      <x:c r="AN71"/>
      <x:c r="AO71"/>
      <x:c r="AP71"/>
      <x:c r="AQ71"/>
      <x:c r="AR71"/>
      <x:c r="AS71"/>
      <x:c r="AT71"/>
      <x:c r="AU71"/>
      <x:c r="AV71"/>
      <x:c r="AW71"/>
      <x:c r="AX71"/>
      <x:c r="AY71"/>
      <x:c r="AZ71"/>
    </x:row>
    <x:row r="72">
      <x:c r="A72" s="6" t="str">
        <x:v>#csv</x:v>
      </x:c>
      <x:c r="B72" s="6" t="str">
        <x:v>28_quality_growth.csv</x:v>
      </x:c>
      <x:c r="C72" s="6" t="str">
        <x:v>品质成长数值。</x:v>
      </x:c>
      <x:c r="D72" s="6"/>
      <x:c r="E72" s="6"/>
      <x:c r="F72" s="6"/>
      <x:c r="G72" s="6"/>
      <x:c r="H72" s="6"/>
      <x:c r="I72" s="6"/>
      <x:c r="J72" s="6"/>
      <x:c r="K72" s="6"/>
      <x:c r="L72" s="6"/>
      <x:c r="M72" s="6"/>
      <x:c r="N72" s="6"/>
      <x:c r="O72" s="6"/>
      <x:c r="P72" s="6"/>
      <x:c r="Q72" s="6"/>
      <x:c r="R72" s="6"/>
      <x:c r="S72" s="6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  <x:c r="AK72"/>
      <x:c r="AL72"/>
      <x:c r="AM72"/>
      <x:c r="AN72"/>
      <x:c r="AO72"/>
      <x:c r="AP72"/>
      <x:c r="AQ72"/>
      <x:c r="AR72"/>
      <x:c r="AS72"/>
      <x:c r="AT72"/>
      <x:c r="AU72"/>
      <x:c r="AV72"/>
      <x:c r="AW72"/>
      <x:c r="AX72"/>
      <x:c r="AY72"/>
      <x:c r="AZ72"/>
    </x:row>
    <x:row r="73">
      <x:c r="A73" s="5" t="str">
        <x:v>quality</x:v>
      </x:c>
      <x:c r="B73" s="5" t="str">
        <x:v>label</x:v>
      </x:c>
      <x:c r="C73" s="5" t="str">
        <x:v>shape_size</x:v>
      </x:c>
      <x:c r="D73" s="5" t="str">
        <x:v>hp_bonus</x:v>
      </x:c>
      <x:c r="E73" s="5" t="str">
        <x:v>atk_bonus</x:v>
      </x:c>
      <x:c r="F73" s="5" t="str">
        <x:v>mechanic</x:v>
      </x:c>
      <x:c r="G73" s="5" t="str">
        <x:v>description</x:v>
      </x:c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  <x:c r="AK73"/>
      <x:c r="AL73"/>
      <x:c r="AM73"/>
      <x:c r="AN73"/>
      <x:c r="AO73"/>
      <x:c r="AP73"/>
      <x:c r="AQ73"/>
      <x:c r="AR73"/>
      <x:c r="AS73"/>
      <x:c r="AT73"/>
      <x:c r="AU73"/>
      <x:c r="AV73"/>
      <x:c r="AW73"/>
      <x:c r="AX73"/>
      <x:c r="AY73"/>
      <x:c r="AZ73"/>
    </x:row>
    <x:row r="74">
      <x:c r="A74" s="3" t="str">
        <x:v>bronze</x:v>
      </x:c>
      <x:c r="B74" s="3" t="str">
        <x:v>青铜</x:v>
      </x:c>
      <x:c r="C74" s="3" t="str">
        <x:v>1</x:v>
      </x:c>
      <x:c r="D74" s="3" t="str">
        <x:v>0</x:v>
      </x:c>
      <x:c r="E74" s="3" t="str">
        <x:v>0</x:v>
      </x:c>
      <x:c r="F74" s="3" t="str">
        <x:v>基础</x:v>
      </x:c>
      <x:c r="G74" s="3" t="str">
        <x:v>只有基础生命、攻击和 3 个行动形状。</x:v>
      </x:c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  <x:c r="AK74"/>
      <x:c r="AL74"/>
      <x:c r="AM74"/>
      <x:c r="AN74"/>
      <x:c r="AO74"/>
      <x:c r="AP74"/>
      <x:c r="AQ74"/>
      <x:c r="AR74"/>
      <x:c r="AS74"/>
      <x:c r="AT74"/>
      <x:c r="AU74"/>
      <x:c r="AV74"/>
      <x:c r="AW74"/>
      <x:c r="AX74"/>
      <x:c r="AY74"/>
      <x:c r="AZ74"/>
    </x:row>
    <x:row r="75">
      <x:c r="A75" s="3" t="str">
        <x:v>bronze</x:v>
      </x:c>
      <x:c r="B75" s="3" t="str">
        <x:v>青铜</x:v>
      </x:c>
      <x:c r="C75" s="3" t="str">
        <x:v>2</x:v>
      </x:c>
      <x:c r="D75" s="3" t="str">
        <x:v>0</x:v>
      </x:c>
      <x:c r="E75" s="3" t="str">
        <x:v>0</x:v>
      </x:c>
      <x:c r="F75" s="3" t="str">
        <x:v>基础</x:v>
      </x:c>
      <x:c r="G75" s="3" t="str">
        <x:v>只有基础生命、攻击和 3 个行动形状。</x:v>
      </x:c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  <x:c r="AK75"/>
      <x:c r="AL75"/>
      <x:c r="AM75"/>
      <x:c r="AN75"/>
      <x:c r="AO75"/>
      <x:c r="AP75"/>
      <x:c r="AQ75"/>
      <x:c r="AR75"/>
      <x:c r="AS75"/>
      <x:c r="AT75"/>
      <x:c r="AU75"/>
      <x:c r="AV75"/>
      <x:c r="AW75"/>
      <x:c r="AX75"/>
      <x:c r="AY75"/>
      <x:c r="AZ75"/>
    </x:row>
    <x:row r="76">
      <x:c r="A76" s="3" t="str">
        <x:v>bronze</x:v>
      </x:c>
      <x:c r="B76" s="3" t="str">
        <x:v>青铜</x:v>
      </x:c>
      <x:c r="C76" s="3" t="str">
        <x:v>3</x:v>
      </x:c>
      <x:c r="D76" s="3" t="str">
        <x:v>0</x:v>
      </x:c>
      <x:c r="E76" s="3" t="str">
        <x:v>0</x:v>
      </x:c>
      <x:c r="F76" s="3" t="str">
        <x:v>基础</x:v>
      </x:c>
      <x:c r="G76" s="3" t="str">
        <x:v>只有基础生命、攻击和 3 个行动形状。</x:v>
      </x:c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  <x:c r="AK76"/>
      <x:c r="AL76"/>
      <x:c r="AM76"/>
      <x:c r="AN76"/>
      <x:c r="AO76"/>
      <x:c r="AP76"/>
      <x:c r="AQ76"/>
      <x:c r="AR76"/>
      <x:c r="AS76"/>
      <x:c r="AT76"/>
      <x:c r="AU76"/>
      <x:c r="AV76"/>
      <x:c r="AW76"/>
      <x:c r="AX76"/>
      <x:c r="AY76"/>
      <x:c r="AZ76"/>
    </x:row>
    <x:row r="77">
      <x:c r="A77" s="3" t="str">
        <x:v>silver</x:v>
      </x:c>
      <x:c r="B77" s="3" t="str">
        <x:v>白银</x:v>
      </x:c>
      <x:c r="C77" s="3" t="str">
        <x:v>1</x:v>
      </x:c>
      <x:c r="D77" s="3" t="str">
        <x:v>4</x:v>
      </x:c>
      <x:c r="E77" s="3" t="str">
        <x:v>1</x:v>
      </x:c>
      <x:c r="F77" s="3" t="str">
        <x:v>白银 Buff</x:v>
      </x:c>
      <x:c r="G77" s="3" t="str">
        <x:v>获得小幅数值成长，并获得 1 个自动触发的白银 Buff。</x:v>
      </x:c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  <x:c r="AK77"/>
      <x:c r="AL77"/>
      <x:c r="AM77"/>
      <x:c r="AN77"/>
      <x:c r="AO77"/>
      <x:c r="AP77"/>
      <x:c r="AQ77"/>
      <x:c r="AR77"/>
      <x:c r="AS77"/>
      <x:c r="AT77"/>
      <x:c r="AU77"/>
      <x:c r="AV77"/>
      <x:c r="AW77"/>
      <x:c r="AX77"/>
      <x:c r="AY77"/>
      <x:c r="AZ77"/>
    </x:row>
    <x:row r="78">
      <x:c r="A78" s="3" t="inlineStr">
        <x:is>
          <x:t xml:space="preserve">silver</x:t>
        </x:is>
      </x:c>
      <x:c r="B78" s="3" t="inlineStr">
        <x:is>
          <x:t xml:space="preserve">白银</x:t>
        </x:is>
      </x:c>
      <x:c r="C78" s="3" t="inlineStr">
        <x:is>
          <x:t xml:space="preserve">2</x:t>
        </x:is>
      </x:c>
      <x:c r="D78" s="3" t="inlineStr">
        <x:is>
          <x:t xml:space="preserve">5</x:t>
        </x:is>
      </x:c>
      <x:c r="E78" s="3" t="inlineStr">
        <x:is>
          <x:t xml:space="preserve">1</x:t>
        </x:is>
      </x:c>
      <x:c r="F78" s="3" t="inlineStr">
        <x:is>
          <x:t xml:space="preserve">白银 Buff</x:t>
        </x:is>
      </x:c>
      <x:c r="G78" s="3" t="inlineStr">
        <x:is>
          <x:t xml:space="preserve">获得小幅数值成长，并获得 1 个自动触发的白银 Buff。</x:t>
        </x:is>
      </x:c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  <x:c r="AK78"/>
      <x:c r="AL78"/>
      <x:c r="AM78"/>
      <x:c r="AN78"/>
      <x:c r="AO78"/>
      <x:c r="AP78"/>
      <x:c r="AQ78"/>
      <x:c r="AR78"/>
      <x:c r="AS78"/>
      <x:c r="AT78"/>
      <x:c r="AU78"/>
      <x:c r="AV78"/>
      <x:c r="AW78"/>
      <x:c r="AX78"/>
      <x:c r="AY78"/>
      <x:c r="AZ78"/>
    </x:row>
    <x:row r="79">
      <x:c r="A79" s="3" t="inlineStr">
        <x:is>
          <x:t xml:space="preserve">silver</x:t>
        </x:is>
      </x:c>
      <x:c r="B79" s="3" t="inlineStr">
        <x:is>
          <x:t xml:space="preserve">白银</x:t>
        </x:is>
      </x:c>
      <x:c r="C79" s="3" t="inlineStr">
        <x:is>
          <x:t xml:space="preserve">3</x:t>
        </x:is>
      </x:c>
      <x:c r="D79" s="3" t="inlineStr">
        <x:is>
          <x:t xml:space="preserve">6</x:t>
        </x:is>
      </x:c>
      <x:c r="E79" s="3" t="inlineStr">
        <x:is>
          <x:t xml:space="preserve">1</x:t>
        </x:is>
      </x:c>
      <x:c r="F79" s="3" t="inlineStr">
        <x:is>
          <x:t xml:space="preserve">白银 Buff</x:t>
        </x:is>
      </x:c>
      <x:c r="G79" s="3" t="inlineStr">
        <x:is>
          <x:t xml:space="preserve">获得小幅数值成长，并获得 1 个自动触发的白银 Buff。</x:t>
        </x:is>
      </x:c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  <x:c r="AI79"/>
      <x:c r="AJ79"/>
      <x:c r="AK79"/>
      <x:c r="AL79"/>
      <x:c r="AM79"/>
      <x:c r="AN79"/>
      <x:c r="AO79"/>
      <x:c r="AP79"/>
      <x:c r="AQ79"/>
      <x:c r="AR79"/>
      <x:c r="AS79"/>
      <x:c r="AT79"/>
      <x:c r="AU79"/>
      <x:c r="AV79"/>
      <x:c r="AW79"/>
      <x:c r="AX79"/>
      <x:c r="AY79"/>
      <x:c r="AZ79"/>
    </x:row>
    <x:row r="80">
      <x:c r="A80" s="3" t="inlineStr">
        <x:is>
          <x:t xml:space="preserve">gold</x:t>
        </x:is>
      </x:c>
      <x:c r="B80" s="3" t="inlineStr">
        <x:is>
          <x:t xml:space="preserve">黄金</x:t>
        </x:is>
      </x:c>
      <x:c r="C80" s="3" t="inlineStr">
        <x:is>
          <x:t xml:space="preserve">1</x:t>
        </x:is>
      </x:c>
      <x:c r="D80" s="3" t="inlineStr">
        <x:is>
          <x:t xml:space="preserve">8</x:t>
        </x:is>
      </x:c>
      <x:c r="E80" s="3" t="inlineStr">
        <x:is>
          <x:t xml:space="preserve">2</x:t>
        </x:is>
      </x:c>
      <x:c r="F80" s="3" t="inlineStr">
        <x:is>
          <x:t xml:space="preserve">黄金升级</x:t>
        </x:is>
      </x:c>
      <x:c r="G80" s="3" t="inlineStr">
        <x:is>
          <x:t xml:space="preserve">获得中幅数值成长，并获得 1 个黄金升级。黄金升级主要围绕形状强化。</x:t>
        </x:is>
      </x:c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  <x:c r="AK80"/>
      <x:c r="AL80"/>
      <x:c r="AM80"/>
      <x:c r="AN80"/>
      <x:c r="AO80"/>
      <x:c r="AP80"/>
      <x:c r="AQ80"/>
      <x:c r="AR80"/>
      <x:c r="AS80"/>
      <x:c r="AT80"/>
      <x:c r="AU80"/>
      <x:c r="AV80"/>
      <x:c r="AW80"/>
      <x:c r="AX80"/>
      <x:c r="AY80"/>
      <x:c r="AZ80"/>
    </x:row>
    <x:row r="81">
      <x:c r="A81" s="3" t="inlineStr">
        <x:is>
          <x:t xml:space="preserve">gold</x:t>
        </x:is>
      </x:c>
      <x:c r="B81" s="3" t="inlineStr">
        <x:is>
          <x:t xml:space="preserve">黄金</x:t>
        </x:is>
      </x:c>
      <x:c r="C81" s="3" t="inlineStr">
        <x:is>
          <x:t xml:space="preserve">2</x:t>
        </x:is>
      </x:c>
      <x:c r="D81" s="3" t="inlineStr">
        <x:is>
          <x:t xml:space="preserve">10</x:t>
        </x:is>
      </x:c>
      <x:c r="E81" s="3" t="inlineStr">
        <x:is>
          <x:t xml:space="preserve">2</x:t>
        </x:is>
      </x:c>
      <x:c r="F81" s="3" t="inlineStr">
        <x:is>
          <x:t xml:space="preserve">黄金升级</x:t>
        </x:is>
      </x:c>
      <x:c r="G81" s="3" t="inlineStr">
        <x:is>
          <x:t xml:space="preserve">获得中幅数值成长，并获得 1 个黄金升级。黄金升级主要围绕形状强化。</x:t>
        </x:is>
      </x:c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  <x:c r="AK81"/>
      <x:c r="AL81"/>
      <x:c r="AM81"/>
      <x:c r="AN81"/>
      <x:c r="AO81"/>
      <x:c r="AP81"/>
      <x:c r="AQ81"/>
      <x:c r="AR81"/>
      <x:c r="AS81"/>
      <x:c r="AT81"/>
      <x:c r="AU81"/>
      <x:c r="AV81"/>
      <x:c r="AW81"/>
      <x:c r="AX81"/>
      <x:c r="AY81"/>
      <x:c r="AZ81"/>
    </x:row>
    <x:row r="82">
      <x:c r="A82" s="3" t="inlineStr">
        <x:is>
          <x:t xml:space="preserve">gold</x:t>
        </x:is>
      </x:c>
      <x:c r="B82" s="3" t="inlineStr">
        <x:is>
          <x:t xml:space="preserve">黄金</x:t>
        </x:is>
      </x:c>
      <x:c r="C82" s="3" t="inlineStr">
        <x:is>
          <x:t xml:space="preserve">3</x:t>
        </x:is>
      </x:c>
      <x:c r="D82" s="3" t="inlineStr">
        <x:is>
          <x:t xml:space="preserve">12</x:t>
        </x:is>
      </x:c>
      <x:c r="E82" s="3" t="inlineStr">
        <x:is>
          <x:t xml:space="preserve">2</x:t>
        </x:is>
      </x:c>
      <x:c r="F82" s="3" t="inlineStr">
        <x:is>
          <x:t xml:space="preserve">黄金升级</x:t>
        </x:is>
      </x:c>
      <x:c r="G82" s="3" t="inlineStr">
        <x:is>
          <x:t xml:space="preserve">获得中幅数值成长，并获得 1 个黄金升级。黄金升级主要围绕形状强化。</x:t>
        </x:is>
      </x:c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  <x:c r="AK82"/>
      <x:c r="AL82"/>
      <x:c r="AM82"/>
      <x:c r="AN82"/>
      <x:c r="AO82"/>
      <x:c r="AP82"/>
      <x:c r="AQ82"/>
      <x:c r="AR82"/>
      <x:c r="AS82"/>
      <x:c r="AT82"/>
      <x:c r="AU82"/>
      <x:c r="AV82"/>
      <x:c r="AW82"/>
      <x:c r="AX82"/>
      <x:c r="AY82"/>
      <x:c r="AZ82"/>
    </x:row>
    <x:row r="83">
      <x:c r="A83" s="3" t="inlineStr">
        <x:is>
          <x:t xml:space="preserve">diamond</x:t>
        </x:is>
      </x:c>
      <x:c r="B83" s="3" t="inlineStr">
        <x:is>
          <x:t xml:space="preserve">钻石</x:t>
        </x:is>
      </x:c>
      <x:c r="C83" s="3" t="inlineStr">
        <x:is>
          <x:t xml:space="preserve">1</x:t>
        </x:is>
      </x:c>
      <x:c r="D83" s="3" t="inlineStr">
        <x:is>
          <x:t xml:space="preserve">12</x:t>
        </x:is>
      </x:c>
      <x:c r="E83" s="3" t="inlineStr">
        <x:is>
          <x:t xml:space="preserve">3</x:t>
        </x:is>
      </x:c>
      <x:c r="F83" s="3" t="inlineStr">
        <x:is>
          <x:t xml:space="preserve">钻石质变</x:t>
        </x:is>
      </x:c>
      <x:c r="G83" s="3" t="inlineStr">
        <x:is>
          <x:t xml:space="preserve">获得高幅数值成长，并获得 1 个钻石质变。钻石主要改变形状、结算或棋盘。</x:t>
        </x:is>
      </x:c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  <x:c r="AK83"/>
      <x:c r="AL83"/>
      <x:c r="AM83"/>
      <x:c r="AN83"/>
      <x:c r="AO83"/>
      <x:c r="AP83"/>
      <x:c r="AQ83"/>
      <x:c r="AR83"/>
      <x:c r="AS83"/>
      <x:c r="AT83"/>
      <x:c r="AU83"/>
      <x:c r="AV83"/>
      <x:c r="AW83"/>
      <x:c r="AX83"/>
      <x:c r="AY83"/>
      <x:c r="AZ83"/>
    </x:row>
    <x:row r="84">
      <x:c r="A84" s="3" t="inlineStr">
        <x:is>
          <x:t xml:space="preserve">diamond</x:t>
        </x:is>
      </x:c>
      <x:c r="B84" s="3" t="inlineStr">
        <x:is>
          <x:t xml:space="preserve">钻石</x:t>
        </x:is>
      </x:c>
      <x:c r="C84" s="3" t="inlineStr">
        <x:is>
          <x:t xml:space="preserve">2</x:t>
        </x:is>
      </x:c>
      <x:c r="D84" s="3" t="inlineStr">
        <x:is>
          <x:t xml:space="preserve">15</x:t>
        </x:is>
      </x:c>
      <x:c r="E84" s="3" t="inlineStr">
        <x:is>
          <x:t xml:space="preserve">3</x:t>
        </x:is>
      </x:c>
      <x:c r="F84" s="3" t="inlineStr">
        <x:is>
          <x:t xml:space="preserve">钻石质变</x:t>
        </x:is>
      </x:c>
      <x:c r="G84" s="3" t="inlineStr">
        <x:is>
          <x:t xml:space="preserve">获得高幅数值成长，并获得 1 个钻石质变。钻石主要改变形状、结算或棋盘。</x:t>
        </x:is>
      </x:c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  <x:c r="AK84"/>
      <x:c r="AL84"/>
      <x:c r="AM84"/>
      <x:c r="AN84"/>
      <x:c r="AO84"/>
      <x:c r="AP84"/>
      <x:c r="AQ84"/>
      <x:c r="AR84"/>
      <x:c r="AS84"/>
      <x:c r="AT84"/>
      <x:c r="AU84"/>
      <x:c r="AV84"/>
      <x:c r="AW84"/>
      <x:c r="AX84"/>
      <x:c r="AY84"/>
      <x:c r="AZ84"/>
    </x:row>
    <x:row r="85">
      <x:c r="A85" s="3" t="inlineStr">
        <x:is>
          <x:t xml:space="preserve">diamond</x:t>
        </x:is>
      </x:c>
      <x:c r="B85" s="3" t="inlineStr">
        <x:is>
          <x:t xml:space="preserve">钻石</x:t>
        </x:is>
      </x:c>
      <x:c r="C85" s="3" t="inlineStr">
        <x:is>
          <x:t xml:space="preserve">3</x:t>
        </x:is>
      </x:c>
      <x:c r="D85" s="3" t="inlineStr">
        <x:is>
          <x:t xml:space="preserve">18</x:t>
        </x:is>
      </x:c>
      <x:c r="E85" s="3" t="inlineStr">
        <x:is>
          <x:t xml:space="preserve">3</x:t>
        </x:is>
      </x:c>
      <x:c r="F85" s="3" t="inlineStr">
        <x:is>
          <x:t xml:space="preserve">钻石质变</x:t>
        </x:is>
      </x:c>
      <x:c r="G85" s="3" t="inlineStr">
        <x:is>
          <x:t xml:space="preserve">获得高幅数值成长，并获得 1 个钻石质变。钻石主要改变形状、结算或棋盘。</x:t>
        </x:is>
      </x:c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  <x:c r="AK85"/>
      <x:c r="AL85"/>
      <x:c r="AM85"/>
      <x:c r="AN85"/>
      <x:c r="AO85"/>
      <x:c r="AP85"/>
      <x:c r="AQ85"/>
      <x:c r="AR85"/>
      <x:c r="AS85"/>
      <x:c r="AT85"/>
      <x:c r="AU85"/>
      <x:c r="AV85"/>
      <x:c r="AW85"/>
      <x:c r="AX85"/>
      <x:c r="AY85"/>
      <x:c r="AZ85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  <x:c r="AK86"/>
      <x:c r="AL86"/>
      <x:c r="AM86"/>
      <x:c r="AN86"/>
      <x:c r="AO86"/>
      <x:c r="AP86"/>
      <x:c r="AQ86"/>
      <x:c r="AR86"/>
      <x:c r="AS86"/>
      <x:c r="AT86"/>
      <x:c r="AU86"/>
      <x:c r="AV86"/>
      <x:c r="AW86"/>
      <x:c r="AX86"/>
      <x:c r="AY86"/>
      <x:c r="AZ86"/>
    </x:row>
    <x:row r="87">
      <x:c r="A87" s="6" t="inlineStr">
        <x:is>
          <x:t xml:space="preserve">#csv</x:t>
        </x:is>
      </x:c>
      <x:c r="B87" s="6" t="inlineStr">
        <x:is>
          <x:t xml:space="preserve">29_quality_upgrades.csv</x:t>
        </x:is>
      </x:c>
      <x:c r="C87" s="6" t="inlineStr">
        <x:is>
          <x:t xml:space="preserve">品质升级质变。</x:t>
        </x:is>
      </x:c>
      <x:c r="D87" s="6"/>
      <x:c r="E87" s="6"/>
      <x:c r="F87" s="6"/>
      <x:c r="G87" s="6"/>
      <x:c r="H87" s="6"/>
      <x:c r="I87" s="6"/>
      <x:c r="J87" s="6"/>
      <x:c r="K87" s="6"/>
      <x:c r="L87" s="6"/>
      <x:c r="M87" s="6"/>
      <x:c r="N87" s="6"/>
      <x:c r="O87" s="6"/>
      <x:c r="P87" s="6"/>
      <x:c r="Q87" s="6"/>
      <x:c r="R87" s="6"/>
      <x:c r="S87" s="6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  <x:c r="AK87"/>
      <x:c r="AL87"/>
      <x:c r="AM87"/>
      <x:c r="AN87"/>
      <x:c r="AO87"/>
      <x:c r="AP87"/>
      <x:c r="AQ87"/>
      <x:c r="AR87"/>
      <x:c r="AS87"/>
      <x:c r="AT87"/>
      <x:c r="AU87"/>
      <x:c r="AV87"/>
      <x:c r="AW87"/>
      <x:c r="AX87"/>
      <x:c r="AY87"/>
      <x:c r="AZ87"/>
    </x:row>
    <x:row r="88">
      <x:c r="A88" s="5" t="inlineStr">
        <x:is>
          <x:t xml:space="preserve">upgrade_id</x:t>
        </x:is>
      </x:c>
      <x:c r="B88" s="5" t="inlineStr">
        <x:is>
          <x:t xml:space="preserve">name</x:t>
        </x:is>
      </x:c>
      <x:c r="C88" s="5" t="inlineStr">
        <x:is>
          <x:t xml:space="preserve">quality</x:t>
        </x:is>
      </x:c>
      <x:c r="D88" s="5" t="inlineStr">
        <x:is>
          <x:t xml:space="preserve">category</x:t>
        </x:is>
      </x:c>
      <x:c r="E88" s="5" t="inlineStr">
        <x:is>
          <x:t xml:space="preserve">operation_level</x:t>
        </x:is>
      </x:c>
      <x:c r="F88" s="5" t="inlineStr">
        <x:is>
          <x:t xml:space="preserve">allowed_shape_sizes</x:t>
        </x:is>
      </x:c>
      <x:c r="G88" s="5" t="inlineStr">
        <x:is>
          <x:t xml:space="preserve">effect</x:t>
        </x:is>
      </x:c>
      <x:c r="H88" s="5" t="inlineStr">
        <x:is>
          <x:t xml:space="preserve">design_note</x:t>
        </x:is>
      </x:c>
      <x:c r="I88" s="5" t="inlineStr">
        <x:is>
          <x:t xml:space="preserve">runtime_status</x:t>
        </x:is>
      </x:c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  <x:c r="AK88"/>
      <x:c r="AL88"/>
      <x:c r="AM88"/>
      <x:c r="AN88"/>
      <x:c r="AO88"/>
      <x:c r="AP88"/>
      <x:c r="AQ88"/>
      <x:c r="AR88"/>
      <x:c r="AS88"/>
      <x:c r="AT88"/>
      <x:c r="AU88"/>
      <x:c r="AV88"/>
      <x:c r="AW88"/>
      <x:c r="AX88"/>
      <x:c r="AY88"/>
      <x:c r="AZ88"/>
    </x:row>
    <x:row r="89">
      <x:c r="A89" s="3" t="inlineStr">
        <x:is>
          <x:t xml:space="preserve">S01</x:t>
        </x:is>
      </x:c>
      <x:c r="B89" s="3" t="inlineStr">
        <x:is>
          <x:t xml:space="preserve">护体</x:t>
        </x:is>
      </x:c>
      <x:c r="C89" s="3" t="inlineStr">
        <x:is>
          <x:t xml:space="preserve">silver</x:t>
        </x:is>
      </x:c>
      <x:c r="D89" s="3" t="inlineStr">
        <x:is>
          <x:t xml:space="preserve">passive</x:t>
        </x:is>
      </x:c>
      <x:c r="E89" s="3" t="inlineStr">
        <x:is>
          <x:t xml:space="preserve">none</x:t>
        </x:is>
      </x:c>
      <x:c r="F89" s="3" t="inlineStr">
        <x:is>
          <x:t xml:space="preserve">1|2|3</x:t>
        </x:is>
      </x:c>
      <x:c r="G89" s="3" t="inlineStr">
        <x:is>
          <x:t xml:space="preserve">回合开始时，获得 15 点护盾。</x:t>
        </x:is>
      </x:c>
      <x:c r="H89" s="3"/>
      <x:c r="I89" s="3" t="inlineStr">
        <x:is>
          <x:t xml:space="preserve">implemented</x:t>
        </x:is>
      </x:c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  <x:c r="AK89"/>
      <x:c r="AL89"/>
      <x:c r="AM89"/>
      <x:c r="AN89"/>
      <x:c r="AO89"/>
      <x:c r="AP89"/>
      <x:c r="AQ89"/>
      <x:c r="AR89"/>
      <x:c r="AS89"/>
      <x:c r="AT89"/>
      <x:c r="AU89"/>
      <x:c r="AV89"/>
      <x:c r="AW89"/>
      <x:c r="AX89"/>
      <x:c r="AY89"/>
      <x:c r="AZ89"/>
    </x:row>
    <x:row r="90">
      <x:c r="A90" s="3" t="inlineStr">
        <x:is>
          <x:t xml:space="preserve">S02</x:t>
        </x:is>
      </x:c>
      <x:c r="B90" s="3" t="inlineStr">
        <x:is>
          <x:t xml:space="preserve">自愈</x:t>
        </x:is>
      </x:c>
      <x:c r="C90" s="3" t="inlineStr">
        <x:is>
          <x:t xml:space="preserve">silver</x:t>
        </x:is>
      </x:c>
      <x:c r="D90" s="3" t="inlineStr">
        <x:is>
          <x:t xml:space="preserve">passive</x:t>
        </x:is>
      </x:c>
      <x:c r="E90" s="3" t="inlineStr">
        <x:is>
          <x:t xml:space="preserve">none</x:t>
        </x:is>
      </x:c>
      <x:c r="F90" s="3" t="inlineStr">
        <x:is>
          <x:t xml:space="preserve">1|2|3</x:t>
        </x:is>
      </x:c>
      <x:c r="G90" s="3" t="inlineStr">
        <x:is>
          <x:t xml:space="preserve">回合开始时，恢复自身 20 点生命值。</x:t>
        </x:is>
      </x:c>
      <x:c r="H90" s="3"/>
      <x:c r="I90" s="3" t="inlineStr">
        <x:is>
          <x:t xml:space="preserve">implemented</x:t>
        </x:is>
      </x:c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  <x:c r="AK90"/>
      <x:c r="AL90"/>
      <x:c r="AM90"/>
      <x:c r="AN90"/>
      <x:c r="AO90"/>
      <x:c r="AP90"/>
      <x:c r="AQ90"/>
      <x:c r="AR90"/>
      <x:c r="AS90"/>
      <x:c r="AT90"/>
      <x:c r="AU90"/>
      <x:c r="AV90"/>
      <x:c r="AW90"/>
      <x:c r="AX90"/>
      <x:c r="AY90"/>
      <x:c r="AZ90"/>
    </x:row>
    <x:row r="91">
      <x:c r="A91" s="3" t="inlineStr">
        <x:is>
          <x:t xml:space="preserve">S03</x:t>
        </x:is>
      </x:c>
      <x:c r="B91" s="3" t="inlineStr">
        <x:is>
          <x:t xml:space="preserve">壮体</x:t>
        </x:is>
      </x:c>
      <x:c r="C91" s="3" t="inlineStr">
        <x:is>
          <x:t xml:space="preserve">silver</x:t>
        </x:is>
      </x:c>
      <x:c r="D91" s="3" t="inlineStr">
        <x:is>
          <x:t xml:space="preserve">passive</x:t>
        </x:is>
      </x:c>
      <x:c r="E91" s="3" t="inlineStr">
        <x:is>
          <x:t xml:space="preserve">none</x:t>
        </x:is>
      </x:c>
      <x:c r="F91" s="3" t="inlineStr">
        <x:is>
          <x:t xml:space="preserve">1|2|3</x:t>
        </x:is>
      </x:c>
      <x:c r="G91" s="3" t="inlineStr">
        <x:is>
          <x:t xml:space="preserve">回合开始时，最大生命值翻倍，但最大生命值最多不超过 30。</x:t>
        </x:is>
      </x:c>
      <x:c r="H91" s="3"/>
      <x:c r="I91" s="3" t="inlineStr">
        <x:is>
          <x:t xml:space="preserve">implemented</x:t>
        </x:is>
      </x:c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  <x:c r="AK91"/>
      <x:c r="AL91"/>
      <x:c r="AM91"/>
      <x:c r="AN91"/>
      <x:c r="AO91"/>
      <x:c r="AP91"/>
      <x:c r="AQ91"/>
      <x:c r="AR91"/>
      <x:c r="AS91"/>
      <x:c r="AT91"/>
      <x:c r="AU91"/>
      <x:c r="AV91"/>
      <x:c r="AW91"/>
      <x:c r="AX91"/>
      <x:c r="AY91"/>
      <x:c r="AZ91"/>
    </x:row>
    <x:row r="92">
      <x:c r="A92" s="3" t="inlineStr">
        <x:is>
          <x:t xml:space="preserve">S04</x:t>
        </x:is>
      </x:c>
      <x:c r="B92" s="3" t="inlineStr">
        <x:is>
          <x:t xml:space="preserve">元素回响</x:t>
        </x:is>
      </x:c>
      <x:c r="C92" s="3" t="inlineStr">
        <x:is>
          <x:t xml:space="preserve">silver</x:t>
        </x:is>
      </x:c>
      <x:c r="D92" s="3" t="inlineStr">
        <x:is>
          <x:t xml:space="preserve">passive</x:t>
        </x:is>
      </x:c>
      <x:c r="E92" s="3" t="inlineStr">
        <x:is>
          <x:t xml:space="preserve">none</x:t>
        </x:is>
      </x:c>
      <x:c r="F92" s="3" t="inlineStr">
        <x:is>
          <x:t xml:space="preserve">1|2|3</x:t>
        </x:is>
      </x:c>
      <x:c r="G92" s="3" t="inlineStr">
        <x:is>
          <x:t xml:space="preserve">造成元素伤害时，该元素伤害重复结算 1 次。</x:t>
        </x:is>
      </x:c>
      <x:c r="H92" s="3"/>
      <x:c r="I92" s="3" t="inlineStr">
        <x:is>
          <x:t xml:space="preserve">implemented</x:t>
        </x:is>
      </x:c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  <x:c r="AI92"/>
      <x:c r="AJ92"/>
      <x:c r="AK92"/>
      <x:c r="AL92"/>
      <x:c r="AM92"/>
      <x:c r="AN92"/>
      <x:c r="AO92"/>
      <x:c r="AP92"/>
      <x:c r="AQ92"/>
      <x:c r="AR92"/>
      <x:c r="AS92"/>
      <x:c r="AT92"/>
      <x:c r="AU92"/>
      <x:c r="AV92"/>
      <x:c r="AW92"/>
      <x:c r="AX92"/>
      <x:c r="AY92"/>
      <x:c r="AZ92"/>
    </x:row>
    <x:row r="93">
      <x:c r="A93" s="3" t="inlineStr">
        <x:is>
          <x:t xml:space="preserve">S05</x:t>
        </x:is>
      </x:c>
      <x:c r="B93" s="3" t="inlineStr">
        <x:is>
          <x:t xml:space="preserve">收尾暴击</x:t>
        </x:is>
      </x:c>
      <x:c r="C93" s="3" t="inlineStr">
        <x:is>
          <x:t xml:space="preserve">silver</x:t>
        </x:is>
      </x:c>
      <x:c r="D93" s="3" t="inlineStr">
        <x:is>
          <x:t xml:space="preserve">passive</x:t>
        </x:is>
      </x:c>
      <x:c r="E93" s="3" t="inlineStr">
        <x:is>
          <x:t xml:space="preserve">none</x:t>
        </x:is>
      </x:c>
      <x:c r="F93" s="3" t="inlineStr">
        <x:is>
          <x:t xml:space="preserve">2|3</x:t>
        </x:is>
      </x:c>
      <x:c r="G93" s="3" t="inlineStr">
        <x:is>
          <x:t xml:space="preserve">本次行动的最后一击必定暴击。</x:t>
        </x:is>
      </x:c>
      <x:c r="H93" s="3" t="inlineStr">
        <x:is>
          <x:t xml:space="preserve">更适合二格、三格、多段结算角色。</x:t>
        </x:is>
      </x:c>
      <x:c r="I93" s="3" t="inlineStr">
        <x:is>
          <x:t xml:space="preserve">implemented</x:t>
        </x:is>
      </x:c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  <x:c r="AK93"/>
      <x:c r="AL93"/>
      <x:c r="AM93"/>
      <x:c r="AN93"/>
      <x:c r="AO93"/>
      <x:c r="AP93"/>
      <x:c r="AQ93"/>
      <x:c r="AR93"/>
      <x:c r="AS93"/>
      <x:c r="AT93"/>
      <x:c r="AU93"/>
      <x:c r="AV93"/>
      <x:c r="AW93"/>
      <x:c r="AX93"/>
      <x:c r="AY93"/>
      <x:c r="AZ93"/>
    </x:row>
    <x:row r="94">
      <x:c r="A94" s="3" t="inlineStr">
        <x:is>
          <x:t xml:space="preserve">S06</x:t>
        </x:is>
      </x:c>
      <x:c r="B94" s="3" t="inlineStr">
        <x:is>
          <x:t xml:space="preserve">连击倍增</x:t>
        </x:is>
      </x:c>
      <x:c r="C94" s="3" t="inlineStr">
        <x:is>
          <x:t xml:space="preserve">silver</x:t>
        </x:is>
      </x:c>
      <x:c r="D94" s="3" t="inlineStr">
        <x:is>
          <x:t xml:space="preserve">passive</x:t>
        </x:is>
      </x:c>
      <x:c r="E94" s="3" t="inlineStr">
        <x:is>
          <x:t xml:space="preserve">none</x:t>
        </x:is>
      </x:c>
      <x:c r="F94" s="3" t="inlineStr">
        <x:is>
          <x:t xml:space="preserve">2|3</x:t>
        </x:is>
      </x:c>
      <x:c r="G94" s="3" t="inlineStr">
        <x:is>
          <x:t xml:space="preserve">第一击伤害减半，之后每一击都是前一击的 2 倍。</x:t>
        </x:is>
      </x:c>
      <x:c r="H94" s="3"/>
      <x:c r="I94" s="3" t="inlineStr">
        <x:is>
          <x:t xml:space="preserve">implemented</x:t>
        </x:is>
      </x:c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  <x:c r="AK94"/>
      <x:c r="AL94"/>
      <x:c r="AM94"/>
      <x:c r="AN94"/>
      <x:c r="AO94"/>
      <x:c r="AP94"/>
      <x:c r="AQ94"/>
      <x:c r="AR94"/>
      <x:c r="AS94"/>
      <x:c r="AT94"/>
      <x:c r="AU94"/>
      <x:c r="AV94"/>
      <x:c r="AW94"/>
      <x:c r="AX94"/>
      <x:c r="AY94"/>
      <x:c r="AZ94"/>
    </x:row>
    <x:row r="95">
      <x:c r="A95" s="3" t="inlineStr">
        <x:is>
          <x:t xml:space="preserve">S07</x:t>
        </x:is>
      </x:c>
      <x:c r="B95" s="3" t="inlineStr">
        <x:is>
          <x:t xml:space="preserve">越战越勇</x:t>
        </x:is>
      </x:c>
      <x:c r="C95" s="3" t="inlineStr">
        <x:is>
          <x:t xml:space="preserve">silver</x:t>
        </x:is>
      </x:c>
      <x:c r="D95" s="3" t="inlineStr">
        <x:is>
          <x:t xml:space="preserve">passive</x:t>
        </x:is>
      </x:c>
      <x:c r="E95" s="3" t="inlineStr">
        <x:is>
          <x:t xml:space="preserve">none</x:t>
        </x:is>
      </x:c>
      <x:c r="F95" s="3" t="inlineStr">
        <x:is>
          <x:t xml:space="preserve">1|2|3</x:t>
        </x:is>
      </x:c>
      <x:c r="G95" s="3" t="inlineStr">
        <x:is>
          <x:t xml:space="preserve">每击杀 5 个怪，永久 +1 攻击力。</x:t>
        </x:is>
      </x:c>
      <x:c r="H95" s="3"/>
      <x:c r="I95" s="3" t="inlineStr">
        <x:is>
          <x:t xml:space="preserve">implemented</x:t>
        </x:is>
      </x:c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  <x:c r="AK95"/>
      <x:c r="AL95"/>
      <x:c r="AM95"/>
      <x:c r="AN95"/>
      <x:c r="AO95"/>
      <x:c r="AP95"/>
      <x:c r="AQ95"/>
      <x:c r="AR95"/>
      <x:c r="AS95"/>
      <x:c r="AT95"/>
      <x:c r="AU95"/>
      <x:c r="AV95"/>
      <x:c r="AW95"/>
      <x:c r="AX95"/>
      <x:c r="AY95"/>
      <x:c r="AZ95"/>
    </x:row>
    <x:row r="96">
      <x:c r="A96" s="3" t="inlineStr">
        <x:is>
          <x:t xml:space="preserve">S08</x:t>
        </x:is>
      </x:c>
      <x:c r="B96" s="3" t="inlineStr">
        <x:is>
          <x:t xml:space="preserve">本命爆发</x:t>
        </x:is>
      </x:c>
      <x:c r="C96" s="3" t="inlineStr">
        <x:is>
          <x:t xml:space="preserve">silver</x:t>
        </x:is>
      </x:c>
      <x:c r="D96" s="3" t="inlineStr">
        <x:is>
          <x:t xml:space="preserve">passive</x:t>
        </x:is>
      </x:c>
      <x:c r="E96" s="3" t="inlineStr">
        <x:is>
          <x:t xml:space="preserve">none</x:t>
        </x:is>
      </x:c>
      <x:c r="F96" s="3" t="inlineStr">
        <x:is>
          <x:t xml:space="preserve">1|2|3</x:t>
        </x:is>
      </x:c>
      <x:c r="G96" s="3" t="inlineStr">
        <x:is>
          <x:t xml:space="preserve">如果自身携带和自己相同的元素，元素爆发翻倍。</x:t>
        </x:is>
      </x:c>
      <x:c r="H96" s="3"/>
      <x:c r="I96" s="3" t="inlineStr">
        <x:is>
          <x:t xml:space="preserve">implemented</x:t>
        </x:is>
      </x:c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  <x:c r="AK96"/>
      <x:c r="AL96"/>
      <x:c r="AM96"/>
      <x:c r="AN96"/>
      <x:c r="AO96"/>
      <x:c r="AP96"/>
      <x:c r="AQ96"/>
      <x:c r="AR96"/>
      <x:c r="AS96"/>
      <x:c r="AT96"/>
      <x:c r="AU96"/>
      <x:c r="AV96"/>
      <x:c r="AW96"/>
      <x:c r="AX96"/>
      <x:c r="AY96"/>
      <x:c r="AZ96"/>
    </x:row>
    <x:row r="97">
      <x:c r="A97" s="3" t="inlineStr">
        <x:is>
          <x:t xml:space="preserve">G01</x:t>
        </x:is>
      </x:c>
      <x:c r="B97" s="3" t="inlineStr">
        <x:is>
          <x:t xml:space="preserve">攻守切换</x:t>
        </x:is>
      </x:c>
      <x:c r="C97" s="3" t="inlineStr">
        <x:is>
          <x:t xml:space="preserve">gold</x:t>
        </x:is>
      </x:c>
      <x:c r="D97" s="3" t="inlineStr">
        <x:is>
          <x:t xml:space="preserve">dualMode</x:t>
        </x:is>
      </x:c>
      <x:c r="E97" s="3" t="inlineStr">
        <x:is>
          <x:t xml:space="preserve">low</x:t>
        </x:is>
      </x:c>
      <x:c r="F97" s="3" t="inlineStr">
        <x:is>
          <x:t xml:space="preserve">1|2|3</x:t>
        </x:is>
      </x:c>
      <x:c r="G97" s="3" t="inlineStr">
        <x:is>
          <x:t xml:space="preserve">每回合可在攻/守之间切换。攻形态伤害 +2；守形态回合开始获得 8 护盾。</x:t>
        </x:is>
      </x:c>
      <x:c r="H97" s="3"/>
      <x:c r="I97" s="3" t="inlineStr">
        <x:is>
          <x:t xml:space="preserve">implemented</x:t>
        </x:is>
      </x:c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  <x:c r="AK97"/>
      <x:c r="AL97"/>
      <x:c r="AM97"/>
      <x:c r="AN97"/>
      <x:c r="AO97"/>
      <x:c r="AP97"/>
      <x:c r="AQ97"/>
      <x:c r="AR97"/>
      <x:c r="AS97"/>
      <x:c r="AT97"/>
      <x:c r="AU97"/>
      <x:c r="AV97"/>
      <x:c r="AW97"/>
      <x:c r="AX97"/>
      <x:c r="AY97"/>
      <x:c r="AZ97"/>
    </x:row>
    <x:row r="98">
      <x:c r="A98" s="3" t="inlineStr">
        <x:is>
          <x:t xml:space="preserve">G02</x:t>
        </x:is>
      </x:c>
      <x:c r="B98" s="3" t="inlineStr">
        <x:is>
          <x:t xml:space="preserve">稳爆切换</x:t>
        </x:is>
      </x:c>
      <x:c r="C98" s="3" t="inlineStr">
        <x:is>
          <x:t xml:space="preserve">gold</x:t>
        </x:is>
      </x:c>
      <x:c r="D98" s="3" t="inlineStr">
        <x:is>
          <x:t xml:space="preserve">dualMode</x:t>
        </x:is>
      </x:c>
      <x:c r="E98" s="3" t="inlineStr">
        <x:is>
          <x:t xml:space="preserve">low</x:t>
        </x:is>
      </x:c>
      <x:c r="F98" s="3" t="inlineStr">
        <x:is>
          <x:t xml:space="preserve">1|2|3</x:t>
        </x:is>
      </x:c>
      <x:c r="G98" s="3" t="inlineStr">
        <x:is>
          <x:t xml:space="preserve">可在稳定/爆发之间切换。稳定形态攻击 +1；爆发形态本回合第一次命中伤害 +4。</x:t>
        </x:is>
      </x:c>
      <x:c r="H98" s="3"/>
      <x:c r="I98" s="3" t="inlineStr">
        <x:is>
          <x:t xml:space="preserve">implemented</x:t>
        </x:is>
      </x:c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  <x:c r="AK98"/>
      <x:c r="AL98"/>
      <x:c r="AM98"/>
      <x:c r="AN98"/>
      <x:c r="AO98"/>
      <x:c r="AP98"/>
      <x:c r="AQ98"/>
      <x:c r="AR98"/>
      <x:c r="AS98"/>
      <x:c r="AT98"/>
      <x:c r="AU98"/>
      <x:c r="AV98"/>
      <x:c r="AW98"/>
      <x:c r="AX98"/>
      <x:c r="AY98"/>
      <x:c r="AZ98"/>
    </x:row>
    <x:row r="99">
      <x:c r="A99" s="3" t="inlineStr">
        <x:is>
          <x:t xml:space="preserve">G03</x:t>
        </x:is>
      </x:c>
      <x:c r="B99" s="3" t="inlineStr">
        <x:is>
          <x:t xml:space="preserve">金色核心格</x:t>
        </x:is>
      </x:c>
      <x:c r="C99" s="3" t="inlineStr">
        <x:is>
          <x:t xml:space="preserve">gold</x:t>
        </x:is>
      </x:c>
      <x:c r="D99" s="3" t="inlineStr">
        <x:is>
          <x:t xml:space="preserve">empoweredCell</x:t>
        </x:is>
      </x:c>
      <x:c r="E99" s="3" t="inlineStr">
        <x:is>
          <x:t xml:space="preserve">none</x:t>
        </x:is>
      </x:c>
      <x:c r="F99" s="3" t="inlineStr">
        <x:is>
          <x:t xml:space="preserve">1|2|3</x:t>
        </x:is>
      </x:c>
      <x:c r="G99" s="3" t="inlineStr">
        <x:is>
          <x:t xml:space="preserve">每个行动形状中有 1 个金色核心格，核心格命中敌人时伤害 +3。</x:t>
        </x:is>
      </x:c>
      <x:c r="H99" s="3"/>
      <x:c r="I99" s="3" t="inlineStr">
        <x:is>
          <x:t xml:space="preserve">implemented</x:t>
        </x:is>
      </x:c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  <x:c r="AK99"/>
      <x:c r="AL99"/>
      <x:c r="AM99"/>
      <x:c r="AN99"/>
      <x:c r="AO99"/>
      <x:c r="AP99"/>
      <x:c r="AQ99"/>
      <x:c r="AR99"/>
      <x:c r="AS99"/>
      <x:c r="AT99"/>
      <x:c r="AU99"/>
      <x:c r="AV99"/>
      <x:c r="AW99"/>
      <x:c r="AX99"/>
      <x:c r="AY99"/>
      <x:c r="AZ99"/>
    </x:row>
    <x:row r="100">
      <x:c r="A100" s="3" t="inlineStr">
        <x:is>
          <x:t xml:space="preserve">G04</x:t>
        </x:is>
      </x:c>
      <x:c r="B100" s="3" t="inlineStr">
        <x:is>
          <x:t xml:space="preserve">守护核心格</x:t>
        </x:is>
      </x:c>
      <x:c r="C100" s="3" t="inlineStr">
        <x:is>
          <x:t xml:space="preserve">gold</x:t>
        </x:is>
      </x:c>
      <x:c r="D100" s="3" t="inlineStr">
        <x:is>
          <x:t xml:space="preserve">empoweredCell</x:t>
        </x:is>
      </x:c>
      <x:c r="E100" s="3" t="inlineStr">
        <x:is>
          <x:t xml:space="preserve">none</x:t>
        </x:is>
      </x:c>
      <x:c r="F100" s="3" t="inlineStr">
        <x:is>
          <x:t xml:space="preserve">1|2|3</x:t>
        </x:is>
      </x:c>
      <x:c r="G100" s="3" t="inlineStr">
        <x:is>
          <x:t xml:space="preserve">核心格覆盖友方时，该友方获得 8 护盾。</x:t>
        </x:is>
      </x:c>
      <x:c r="H100" s="3"/>
      <x:c r="I100" s="3" t="inlineStr">
        <x:is>
          <x:t xml:space="preserve">implemented</x:t>
        </x:is>
      </x:c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  <x:c r="AK100"/>
      <x:c r="AL100"/>
      <x:c r="AM100"/>
      <x:c r="AN100"/>
      <x:c r="AO100"/>
      <x:c r="AP100"/>
      <x:c r="AQ100"/>
      <x:c r="AR100"/>
      <x:c r="AS100"/>
      <x:c r="AT100"/>
      <x:c r="AU100"/>
      <x:c r="AV100"/>
      <x:c r="AW100"/>
      <x:c r="AX100"/>
      <x:c r="AY100"/>
      <x:c r="AZ100"/>
    </x:row>
    <x:row r="101">
      <x:c r="A101" s="3" t="inlineStr">
        <x:is>
          <x:t xml:space="preserve">G05</x:t>
        </x:is>
      </x:c>
      <x:c r="B101" s="3" t="inlineStr">
        <x:is>
          <x:t xml:space="preserve">回春核心格</x:t>
        </x:is>
      </x:c>
      <x:c r="C101" s="3" t="inlineStr">
        <x:is>
          <x:t xml:space="preserve">gold</x:t>
        </x:is>
      </x:c>
      <x:c r="D101" s="3" t="inlineStr">
        <x:is>
          <x:t xml:space="preserve">empoweredCell</x:t>
        </x:is>
      </x:c>
      <x:c r="E101" s="3" t="inlineStr">
        <x:is>
          <x:t xml:space="preserve">none</x:t>
        </x:is>
      </x:c>
      <x:c r="F101" s="3" t="inlineStr">
        <x:is>
          <x:t xml:space="preserve">1|2|3</x:t>
        </x:is>
      </x:c>
      <x:c r="G101" s="3" t="inlineStr">
        <x:is>
          <x:t xml:space="preserve">核心格覆盖友方时，恢复 6 生命。</x:t>
        </x:is>
      </x:c>
      <x:c r="H101" s="3"/>
      <x:c r="I101" s="3" t="inlineStr">
        <x:is>
          <x:t xml:space="preserve">implemented</x:t>
        </x:is>
      </x:c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  <x:c r="AK101"/>
      <x:c r="AL101"/>
      <x:c r="AM101"/>
      <x:c r="AN101"/>
      <x:c r="AO101"/>
      <x:c r="AP101"/>
      <x:c r="AQ101"/>
      <x:c r="AR101"/>
      <x:c r="AS101"/>
      <x:c r="AT101"/>
      <x:c r="AU101"/>
      <x:c r="AV101"/>
      <x:c r="AW101"/>
      <x:c r="AX101"/>
      <x:c r="AY101"/>
      <x:c r="AZ101"/>
    </x:row>
    <x:row r="102">
      <x:c r="A102" s="3" t="inlineStr">
        <x:is>
          <x:t xml:space="preserve">G06</x:t>
        </x:is>
      </x:c>
      <x:c r="B102" s="3" t="inlineStr">
        <x:is>
          <x:t xml:space="preserve">破敌核心格</x:t>
        </x:is>
      </x:c>
      <x:c r="C102" s="3" t="inlineStr">
        <x:is>
          <x:t xml:space="preserve">gold</x:t>
        </x:is>
      </x:c>
      <x:c r="D102" s="3" t="inlineStr">
        <x:is>
          <x:t xml:space="preserve">empoweredCell</x:t>
        </x:is>
      </x:c>
      <x:c r="E102" s="3" t="inlineStr">
        <x:is>
          <x:t xml:space="preserve">none</x:t>
        </x:is>
      </x:c>
      <x:c r="F102" s="3" t="inlineStr">
        <x:is>
          <x:t xml:space="preserve">1|2|3</x:t>
        </x:is>
      </x:c>
      <x:c r="G102" s="3" t="inlineStr">
        <x:is>
          <x:t xml:space="preserve">核心格命中敌人时，额外造成 2 点破甲伤害。</x:t>
        </x:is>
      </x:c>
      <x:c r="H102" s="3"/>
      <x:c r="I102" s="3" t="inlineStr">
        <x:is>
          <x:t xml:space="preserve">implemented</x:t>
        </x:is>
      </x:c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  <x:c r="AK102"/>
      <x:c r="AL102"/>
      <x:c r="AM102"/>
      <x:c r="AN102"/>
      <x:c r="AO102"/>
      <x:c r="AP102"/>
      <x:c r="AQ102"/>
      <x:c r="AR102"/>
      <x:c r="AS102"/>
      <x:c r="AT102"/>
      <x:c r="AU102"/>
      <x:c r="AV102"/>
      <x:c r="AW102"/>
      <x:c r="AX102"/>
      <x:c r="AY102"/>
      <x:c r="AZ102"/>
    </x:row>
    <x:row r="103">
      <x:c r="A103" s="3" t="inlineStr">
        <x:is>
          <x:t xml:space="preserve">G07</x:t>
        </x:is>
      </x:c>
      <x:c r="B103" s="3" t="inlineStr">
        <x:is>
          <x:t xml:space="preserve">正向强化</x:t>
        </x:is>
      </x:c>
      <x:c r="C103" s="3" t="inlineStr">
        <x:is>
          <x:t xml:space="preserve">gold</x:t>
        </x:is>
      </x:c>
      <x:c r="D103" s="3" t="inlineStr">
        <x:is>
          <x:t xml:space="preserve">directionBonus</x:t>
        </x:is>
      </x:c>
      <x:c r="E103" s="3" t="inlineStr">
        <x:is>
          <x:t xml:space="preserve">none</x:t>
        </x:is>
      </x:c>
      <x:c r="F103" s="3" t="inlineStr">
        <x:is>
          <x:t xml:space="preserve">1|2|3</x:t>
        </x:is>
      </x:c>
      <x:c r="G103" s="3" t="inlineStr">
        <x:is>
          <x:t xml:space="preserve">形状朝向正前方的最远格伤害 +3。</x:t>
        </x:is>
      </x:c>
      <x:c r="H103" s="3"/>
      <x:c r="I103" s="3" t="inlineStr">
        <x:is>
          <x:t xml:space="preserve">implemented</x:t>
        </x:is>
      </x:c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  <x:c r="AK103"/>
      <x:c r="AL103"/>
      <x:c r="AM103"/>
      <x:c r="AN103"/>
      <x:c r="AO103"/>
      <x:c r="AP103"/>
      <x:c r="AQ103"/>
      <x:c r="AR103"/>
      <x:c r="AS103"/>
      <x:c r="AT103"/>
      <x:c r="AU103"/>
      <x:c r="AV103"/>
      <x:c r="AW103"/>
      <x:c r="AX103"/>
      <x:c r="AY103"/>
      <x:c r="AZ103"/>
    </x:row>
    <x:row r="104">
      <x:c r="A104" s="3" t="inlineStr">
        <x:is>
          <x:t xml:space="preserve">G08</x:t>
        </x:is>
      </x:c>
      <x:c r="B104" s="3" t="inlineStr">
        <x:is>
          <x:t xml:space="preserve">背向守势</x:t>
        </x:is>
      </x:c>
      <x:c r="C104" s="3" t="inlineStr">
        <x:is>
          <x:t xml:space="preserve">gold</x:t>
        </x:is>
      </x:c>
      <x:c r="D104" s="3" t="inlineStr">
        <x:is>
          <x:t xml:space="preserve">directionBonus</x:t>
        </x:is>
      </x:c>
      <x:c r="E104" s="3" t="inlineStr">
        <x:is>
          <x:t xml:space="preserve">none</x:t>
        </x:is>
      </x:c>
      <x:c r="F104" s="3" t="inlineStr">
        <x:is>
          <x:t xml:space="preserve">1|2|3</x:t>
        </x:is>
      </x:c>
      <x:c r="G104" s="3" t="inlineStr">
        <x:is>
          <x:t xml:space="preserve">形状背后的格子若覆盖友方，该友方获得 10 护盾。</x:t>
        </x:is>
      </x:c>
      <x:c r="H104" s="3"/>
      <x:c r="I104" s="3" t="inlineStr">
        <x:is>
          <x:t xml:space="preserve">implemented</x:t>
        </x:is>
      </x:c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  <x:c r="AK104"/>
      <x:c r="AL104"/>
      <x:c r="AM104"/>
      <x:c r="AN104"/>
      <x:c r="AO104"/>
      <x:c r="AP104"/>
      <x:c r="AQ104"/>
      <x:c r="AR104"/>
      <x:c r="AS104"/>
      <x:c r="AT104"/>
      <x:c r="AU104"/>
      <x:c r="AV104"/>
      <x:c r="AW104"/>
      <x:c r="AX104"/>
      <x:c r="AY104"/>
      <x:c r="AZ104"/>
    </x:row>
    <x:row r="105">
      <x:c r="A105" s="3" t="inlineStr">
        <x:is>
          <x:t xml:space="preserve">G09</x:t>
        </x:is>
      </x:c>
      <x:c r="B105" s="3" t="inlineStr">
        <x:is>
          <x:t xml:space="preserve">左右借势</x:t>
        </x:is>
      </x:c>
      <x:c r="C105" s="3" t="inlineStr">
        <x:is>
          <x:t xml:space="preserve">gold</x:t>
        </x:is>
      </x:c>
      <x:c r="D105" s="3" t="inlineStr">
        <x:is>
          <x:t xml:space="preserve">directionBonus</x:t>
        </x:is>
      </x:c>
      <x:c r="E105" s="3" t="inlineStr">
        <x:is>
          <x:t xml:space="preserve">none</x:t>
        </x:is>
      </x:c>
      <x:c r="F105" s="3" t="inlineStr">
        <x:is>
          <x:t xml:space="preserve">2|3</x:t>
        </x:is>
      </x:c>
      <x:c r="G105" s="3" t="inlineStr">
        <x:is>
          <x:t xml:space="preserve">形状左右两侧格命中敌人时，各额外造成 1 点伤害。</x:t>
        </x:is>
      </x:c>
      <x:c r="H105" s="3"/>
      <x:c r="I105" s="3" t="inlineStr">
        <x:is>
          <x:t xml:space="preserve">implemented</x:t>
        </x:is>
      </x:c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  <x:c r="AK105"/>
      <x:c r="AL105"/>
      <x:c r="AM105"/>
      <x:c r="AN105"/>
      <x:c r="AO105"/>
      <x:c r="AP105"/>
      <x:c r="AQ105"/>
      <x:c r="AR105"/>
      <x:c r="AS105"/>
      <x:c r="AT105"/>
      <x:c r="AU105"/>
      <x:c r="AV105"/>
      <x:c r="AW105"/>
      <x:c r="AX105"/>
      <x:c r="AY105"/>
      <x:c r="AZ105"/>
    </x:row>
    <x:row r="106">
      <x:c r="A106" s="3" t="inlineStr">
        <x:is>
          <x:t xml:space="preserve">G10</x:t>
        </x:is>
      </x:c>
      <x:c r="B106" s="3" t="inlineStr">
        <x:is>
          <x:t xml:space="preserve">终点重击</x:t>
        </x:is>
      </x:c>
      <x:c r="C106" s="3" t="inlineStr">
        <x:is>
          <x:t xml:space="preserve">gold</x:t>
        </x:is>
      </x:c>
      <x:c r="D106" s="3" t="inlineStr">
        <x:is>
          <x:t xml:space="preserve">empoweredCell</x:t>
        </x:is>
      </x:c>
      <x:c r="E106" s="3" t="inlineStr">
        <x:is>
          <x:t xml:space="preserve">none</x:t>
        </x:is>
      </x:c>
      <x:c r="F106" s="3" t="inlineStr">
        <x:is>
          <x:t xml:space="preserve">1|2|3</x:t>
        </x:is>
      </x:c>
      <x:c r="G106" s="3" t="inlineStr">
        <x:is>
          <x:t xml:space="preserve">形状最远端格子命中敌人时，伤害 +4。</x:t>
        </x:is>
      </x:c>
      <x:c r="H106" s="3"/>
      <x:c r="I106" s="3" t="inlineStr">
        <x:is>
          <x:t xml:space="preserve">implemented</x:t>
        </x:is>
      </x:c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  <x:c r="AK106"/>
      <x:c r="AL106"/>
      <x:c r="AM106"/>
      <x:c r="AN106"/>
      <x:c r="AO106"/>
      <x:c r="AP106"/>
      <x:c r="AQ106"/>
      <x:c r="AR106"/>
      <x:c r="AS106"/>
      <x:c r="AT106"/>
      <x:c r="AU106"/>
      <x:c r="AV106"/>
      <x:c r="AW106"/>
      <x:c r="AX106"/>
      <x:c r="AY106"/>
      <x:c r="AZ106"/>
    </x:row>
    <x:row r="107">
      <x:c r="A107" s="3" t="inlineStr">
        <x:is>
          <x:t xml:space="preserve">G11</x:t>
        </x:is>
      </x:c>
      <x:c r="B107" s="3" t="inlineStr">
        <x:is>
          <x:t xml:space="preserve">单挑</x:t>
        </x:is>
      </x:c>
      <x:c r="C107" s="3" t="inlineStr">
        <x:is>
          <x:t xml:space="preserve">gold</x:t>
        </x:is>
      </x:c>
      <x:c r="D107" s="3" t="inlineStr">
        <x:is>
          <x:t xml:space="preserve">empoweredCell</x:t>
        </x:is>
      </x:c>
      <x:c r="E107" s="3" t="inlineStr">
        <x:is>
          <x:t xml:space="preserve">none</x:t>
        </x:is>
      </x:c>
      <x:c r="F107" s="3" t="inlineStr">
        <x:is>
          <x:t xml:space="preserve">1</x:t>
        </x:is>
      </x:c>
      <x:c r="G107" s="3" t="inlineStr">
        <x:is>
          <x:t xml:space="preserve">如果本次形状只命中 1 个敌人，伤害 +5。</x:t>
        </x:is>
      </x:c>
      <x:c r="H107" s="3"/>
      <x:c r="I107" s="3" t="inlineStr">
        <x:is>
          <x:t xml:space="preserve">implemented</x:t>
        </x:is>
      </x:c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  <x:c r="AI107"/>
      <x:c r="AJ107"/>
      <x:c r="AK107"/>
      <x:c r="AL107"/>
      <x:c r="AM107"/>
      <x:c r="AN107"/>
      <x:c r="AO107"/>
      <x:c r="AP107"/>
      <x:c r="AQ107"/>
      <x:c r="AR107"/>
      <x:c r="AS107"/>
      <x:c r="AT107"/>
      <x:c r="AU107"/>
      <x:c r="AV107"/>
      <x:c r="AW107"/>
      <x:c r="AX107"/>
      <x:c r="AY107"/>
      <x:c r="AZ107"/>
    </x:row>
    <x:row r="108">
      <x:c r="A108" s="3" t="inlineStr">
        <x:is>
          <x:t xml:space="preserve">G12</x:t>
        </x:is>
      </x:c>
      <x:c r="B108" s="3" t="inlineStr">
        <x:is>
          <x:t xml:space="preserve">点穴</x:t>
        </x:is>
      </x:c>
      <x:c r="C108" s="3" t="inlineStr">
        <x:is>
          <x:t xml:space="preserve">gold</x:t>
        </x:is>
      </x:c>
      <x:c r="D108" s="3" t="inlineStr">
        <x:is>
          <x:t xml:space="preserve">empoweredCell</x:t>
        </x:is>
      </x:c>
      <x:c r="E108" s="3" t="inlineStr">
        <x:is>
          <x:t xml:space="preserve">none</x:t>
        </x:is>
      </x:c>
      <x:c r="F108" s="3" t="inlineStr">
        <x:is>
          <x:t xml:space="preserve">1</x:t>
        </x:is>
      </x:c>
      <x:c r="G108" s="3" t="inlineStr">
        <x:is>
          <x:t xml:space="preserve">命中敌人后，使该敌人下次受到伤害 +3。</x:t>
        </x:is>
      </x:c>
      <x:c r="H108" s="3"/>
      <x:c r="I108" s="3" t="inlineStr">
        <x:is>
          <x:t xml:space="preserve">implemented</x:t>
        </x:is>
      </x:c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  <x:c r="AK108"/>
      <x:c r="AL108"/>
      <x:c r="AM108"/>
      <x:c r="AN108"/>
      <x:c r="AO108"/>
      <x:c r="AP108"/>
      <x:c r="AQ108"/>
      <x:c r="AR108"/>
      <x:c r="AS108"/>
      <x:c r="AT108"/>
      <x:c r="AU108"/>
      <x:c r="AV108"/>
      <x:c r="AW108"/>
      <x:c r="AX108"/>
      <x:c r="AY108"/>
      <x:c r="AZ108"/>
    </x:row>
    <x:row r="109">
      <x:c r="A109" s="3" t="inlineStr">
        <x:is>
          <x:t xml:space="preserve">G13</x:t>
        </x:is>
      </x:c>
      <x:c r="B109" s="3" t="inlineStr">
        <x:is>
          <x:t xml:space="preserve">隔山打牛</x:t>
        </x:is>
      </x:c>
      <x:c r="C109" s="3" t="inlineStr">
        <x:is>
          <x:t xml:space="preserve">gold</x:t>
        </x:is>
      </x:c>
      <x:c r="D109" s="3" t="inlineStr">
        <x:is>
          <x:t xml:space="preserve">directionBonus</x:t>
        </x:is>
      </x:c>
      <x:c r="E109" s="3" t="inlineStr">
        <x:is>
          <x:t xml:space="preserve">none</x:t>
        </x:is>
      </x:c>
      <x:c r="F109" s="3" t="inlineStr">
        <x:is>
          <x:t xml:space="preserve">1</x:t>
        </x:is>
      </x:c>
      <x:c r="G109" s="3" t="inlineStr">
        <x:is>
          <x:t xml:space="preserve">隔点形状命中时，伤害 +4。</x:t>
        </x:is>
      </x:c>
      <x:c r="H109" s="3"/>
      <x:c r="I109" s="3" t="inlineStr">
        <x:is>
          <x:t xml:space="preserve">implemented</x:t>
        </x:is>
      </x:c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  <x:c r="AI109"/>
      <x:c r="AJ109"/>
      <x:c r="AK109"/>
      <x:c r="AL109"/>
      <x:c r="AM109"/>
      <x:c r="AN109"/>
      <x:c r="AO109"/>
      <x:c r="AP109"/>
      <x:c r="AQ109"/>
      <x:c r="AR109"/>
      <x:c r="AS109"/>
      <x:c r="AT109"/>
      <x:c r="AU109"/>
      <x:c r="AV109"/>
      <x:c r="AW109"/>
      <x:c r="AX109"/>
      <x:c r="AY109"/>
      <x:c r="AZ109"/>
    </x:row>
    <x:row r="110">
      <x:c r="A110" s="3" t="inlineStr">
        <x:is>
          <x:t xml:space="preserve">G14</x:t>
        </x:is>
      </x:c>
      <x:c r="B110" s="3" t="inlineStr">
        <x:is>
          <x:t xml:space="preserve">破绽一击</x:t>
        </x:is>
      </x:c>
      <x:c r="C110" s="3" t="inlineStr">
        <x:is>
          <x:t xml:space="preserve">gold</x:t>
        </x:is>
      </x:c>
      <x:c r="D110" s="3" t="inlineStr">
        <x:is>
          <x:t xml:space="preserve">dualMode</x:t>
        </x:is>
      </x:c>
      <x:c r="E110" s="3" t="inlineStr">
        <x:is>
          <x:t xml:space="preserve">low</x:t>
        </x:is>
      </x:c>
      <x:c r="F110" s="3" t="inlineStr">
        <x:is>
          <x:t xml:space="preserve">1</x:t>
        </x:is>
      </x:c>
      <x:c r="G110" s="3" t="inlineStr">
        <x:is>
          <x:t xml:space="preserve">可切换稳击/重击。稳击伤害 +2；重击伤害 +6，但本回合只能结算这一个形状格。</x:t>
        </x:is>
      </x:c>
      <x:c r="H110" s="3"/>
      <x:c r="I110" s="3" t="inlineStr">
        <x:is>
          <x:t xml:space="preserve">implemented</x:t>
        </x:is>
      </x:c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  <x:c r="AI110"/>
      <x:c r="AJ110"/>
      <x:c r="AK110"/>
      <x:c r="AL110"/>
      <x:c r="AM110"/>
      <x:c r="AN110"/>
      <x:c r="AO110"/>
      <x:c r="AP110"/>
      <x:c r="AQ110"/>
      <x:c r="AR110"/>
      <x:c r="AS110"/>
      <x:c r="AT110"/>
      <x:c r="AU110"/>
      <x:c r="AV110"/>
      <x:c r="AW110"/>
      <x:c r="AX110"/>
      <x:c r="AY110"/>
      <x:c r="AZ110"/>
    </x:row>
    <x:row r="111">
      <x:c r="A111" s="3" t="inlineStr">
        <x:is>
          <x:t xml:space="preserve">G15</x:t>
        </x:is>
      </x:c>
      <x:c r="B111" s="3" t="inlineStr">
        <x:is>
          <x:t xml:space="preserve">斩首</x:t>
        </x:is>
      </x:c>
      <x:c r="C111" s="3" t="inlineStr">
        <x:is>
          <x:t xml:space="preserve">gold</x:t>
        </x:is>
      </x:c>
      <x:c r="D111" s="3" t="inlineStr">
        <x:is>
          <x:t xml:space="preserve">empoweredCell</x:t>
        </x:is>
      </x:c>
      <x:c r="E111" s="3" t="inlineStr">
        <x:is>
          <x:t xml:space="preserve">none</x:t>
        </x:is>
      </x:c>
      <x:c r="F111" s="3" t="inlineStr">
        <x:is>
          <x:t xml:space="preserve">1</x:t>
        </x:is>
      </x:c>
      <x:c r="G111" s="3" t="inlineStr">
        <x:is>
          <x:t xml:space="preserve">如果目标生命值不高于 8，额外造成 8 点伤害。</x:t>
        </x:is>
      </x:c>
      <x:c r="H111" s="3"/>
      <x:c r="I111" s="3" t="inlineStr">
        <x:is>
          <x:t xml:space="preserve">implemented</x:t>
        </x:is>
      </x:c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  <x:c r="AK111"/>
      <x:c r="AL111"/>
      <x:c r="AM111"/>
      <x:c r="AN111"/>
      <x:c r="AO111"/>
      <x:c r="AP111"/>
      <x:c r="AQ111"/>
      <x:c r="AR111"/>
      <x:c r="AS111"/>
      <x:c r="AT111"/>
      <x:c r="AU111"/>
      <x:c r="AV111"/>
      <x:c r="AW111"/>
      <x:c r="AX111"/>
      <x:c r="AY111"/>
      <x:c r="AZ111"/>
    </x:row>
    <x:row r="112">
      <x:c r="A112" s="3" t="inlineStr">
        <x:is>
          <x:t xml:space="preserve">G16</x:t>
        </x:is>
      </x:c>
      <x:c r="B112" s="3" t="inlineStr">
        <x:is>
          <x:t xml:space="preserve">追魂点</x:t>
        </x:is>
      </x:c>
      <x:c r="C112" s="3" t="inlineStr">
        <x:is>
          <x:t xml:space="preserve">gold</x:t>
        </x:is>
      </x:c>
      <x:c r="D112" s="3" t="inlineStr">
        <x:is>
          <x:t xml:space="preserve">empoweredCell</x:t>
        </x:is>
      </x:c>
      <x:c r="E112" s="3" t="inlineStr">
        <x:is>
          <x:t xml:space="preserve">none</x:t>
        </x:is>
      </x:c>
      <x:c r="F112" s="3" t="inlineStr">
        <x:is>
          <x:t xml:space="preserve">1</x:t>
        </x:is>
      </x:c>
      <x:c r="G112" s="3" t="inlineStr">
        <x:is>
          <x:t xml:space="preserve">若该格击杀敌人，对最近敌人追加 3 点伤害。</x:t>
        </x:is>
      </x:c>
      <x:c r="H112" s="3"/>
      <x:c r="I112" s="3" t="inlineStr">
        <x:is>
          <x:t xml:space="preserve">implemented</x:t>
        </x:is>
      </x:c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  <x:c r="AI112"/>
      <x:c r="AJ112"/>
      <x:c r="AK112"/>
      <x:c r="AL112"/>
      <x:c r="AM112"/>
      <x:c r="AN112"/>
      <x:c r="AO112"/>
      <x:c r="AP112"/>
      <x:c r="AQ112"/>
      <x:c r="AR112"/>
      <x:c r="AS112"/>
      <x:c r="AT112"/>
      <x:c r="AU112"/>
      <x:c r="AV112"/>
      <x:c r="AW112"/>
      <x:c r="AX112"/>
      <x:c r="AY112"/>
      <x:c r="AZ112"/>
    </x:row>
    <x:row r="113">
      <x:c r="A113" s="3" t="inlineStr">
        <x:is>
          <x:t xml:space="preserve">G17</x:t>
        </x:is>
      </x:c>
      <x:c r="B113" s="3" t="inlineStr">
        <x:is>
          <x:t xml:space="preserve">精准印记</x:t>
        </x:is>
      </x:c>
      <x:c r="C113" s="3" t="inlineStr">
        <x:is>
          <x:t xml:space="preserve">gold</x:t>
        </x:is>
      </x:c>
      <x:c r="D113" s="3" t="inlineStr">
        <x:is>
          <x:t xml:space="preserve">manualMark</x:t>
        </x:is>
      </x:c>
      <x:c r="E113" s="3" t="inlineStr">
        <x:is>
          <x:t xml:space="preserve">medium</x:t>
        </x:is>
      </x:c>
      <x:c r="F113" s="3" t="inlineStr">
        <x:is>
          <x:t xml:space="preserve">1</x:t>
        </x:is>
      </x:c>
      <x:c r="G113" s="3" t="inlineStr">
        <x:is>
          <x:t xml:space="preserve">每回合可选择自己 1 个作用格，使其获得印记。该格本回合伤害 +5。</x:t>
        </x:is>
      </x:c>
      <x:c r="H113" s="3" t="inlineStr">
        <x:is>
          <x:t xml:space="preserve">手动选格，数量要少。只给一格英雄比较安全。</x:t>
        </x:is>
      </x:c>
      <x:c r="I113" s="3" t="inlineStr">
        <x:is>
          <x:t xml:space="preserve">implemented</x:t>
        </x:is>
      </x:c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  <x:c r="AK113"/>
      <x:c r="AL113"/>
      <x:c r="AM113"/>
      <x:c r="AN113"/>
      <x:c r="AO113"/>
      <x:c r="AP113"/>
      <x:c r="AQ113"/>
      <x:c r="AR113"/>
      <x:c r="AS113"/>
      <x:c r="AT113"/>
      <x:c r="AU113"/>
      <x:c r="AV113"/>
      <x:c r="AW113"/>
      <x:c r="AX113"/>
      <x:c r="AY113"/>
      <x:c r="AZ113"/>
    </x:row>
    <x:row r="114">
      <x:c r="A114" s="3" t="inlineStr">
        <x:is>
          <x:t xml:space="preserve">G18</x:t>
        </x:is>
      </x:c>
      <x:c r="B114" s="3" t="inlineStr">
        <x:is>
          <x:t xml:space="preserve">双点连击</x:t>
        </x:is>
      </x:c>
      <x:c r="C114" s="3" t="inlineStr">
        <x:is>
          <x:t xml:space="preserve">gold</x:t>
        </x:is>
      </x:c>
      <x:c r="D114" s="3" t="inlineStr">
        <x:is>
          <x:t xml:space="preserve">empoweredCell</x:t>
        </x:is>
      </x:c>
      <x:c r="E114" s="3" t="inlineStr">
        <x:is>
          <x:t xml:space="preserve">none</x:t>
        </x:is>
      </x:c>
      <x:c r="F114" s="3" t="inlineStr">
        <x:is>
          <x:t xml:space="preserve">2</x:t>
        </x:is>
      </x:c>
      <x:c r="G114" s="3" t="inlineStr">
        <x:is>
          <x:t xml:space="preserve">如果两个作用格都命中敌人，第二个命中的敌人伤害 +4。</x:t>
        </x:is>
      </x:c>
      <x:c r="H114" s="3"/>
      <x:c r="I114" s="3" t="inlineStr">
        <x:is>
          <x:t xml:space="preserve">implemented</x:t>
        </x:is>
      </x:c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  <x:c r="AK114"/>
      <x:c r="AL114"/>
      <x:c r="AM114"/>
      <x:c r="AN114"/>
      <x:c r="AO114"/>
      <x:c r="AP114"/>
      <x:c r="AQ114"/>
      <x:c r="AR114"/>
      <x:c r="AS114"/>
      <x:c r="AT114"/>
      <x:c r="AU114"/>
      <x:c r="AV114"/>
      <x:c r="AW114"/>
      <x:c r="AX114"/>
      <x:c r="AY114"/>
      <x:c r="AZ114"/>
    </x:row>
    <x:row r="115">
      <x:c r="A115" s="3" t="inlineStr">
        <x:is>
          <x:t xml:space="preserve">G19</x:t>
        </x:is>
      </x:c>
      <x:c r="B115" s="3" t="inlineStr">
        <x:is>
          <x:t xml:space="preserve">前后夹击</x:t>
        </x:is>
      </x:c>
      <x:c r="C115" s="3" t="inlineStr">
        <x:is>
          <x:t xml:space="preserve">gold</x:t>
        </x:is>
      </x:c>
      <x:c r="D115" s="3" t="inlineStr">
        <x:is>
          <x:t xml:space="preserve">directionBonus</x:t>
        </x:is>
      </x:c>
      <x:c r="E115" s="3" t="inlineStr">
        <x:is>
          <x:t xml:space="preserve">none</x:t>
        </x:is>
      </x:c>
      <x:c r="F115" s="3" t="inlineStr">
        <x:is>
          <x:t xml:space="preserve">2</x:t>
        </x:is>
      </x:c>
      <x:c r="G115" s="3" t="inlineStr">
        <x:is>
          <x:t xml:space="preserve">前后两个格子都命中敌人时，两个敌人各额外受到 2 点伤害。</x:t>
        </x:is>
      </x:c>
      <x:c r="H115" s="3"/>
      <x:c r="I115" s="3" t="inlineStr">
        <x:is>
          <x:t xml:space="preserve">implemented</x:t>
        </x:is>
      </x:c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  <x:c r="AK115"/>
      <x:c r="AL115"/>
      <x:c r="AM115"/>
      <x:c r="AN115"/>
      <x:c r="AO115"/>
      <x:c r="AP115"/>
      <x:c r="AQ115"/>
      <x:c r="AR115"/>
      <x:c r="AS115"/>
      <x:c r="AT115"/>
      <x:c r="AU115"/>
      <x:c r="AV115"/>
      <x:c r="AW115"/>
      <x:c r="AX115"/>
      <x:c r="AY115"/>
      <x:c r="AZ115"/>
    </x:row>
    <x:row r="116">
      <x:c r="A116" s="3" t="inlineStr">
        <x:is>
          <x:t xml:space="preserve">G20</x:t>
        </x:is>
      </x:c>
      <x:c r="B116" s="3" t="inlineStr">
        <x:is>
          <x:t xml:space="preserve">对角穿心</x:t>
        </x:is>
      </x:c>
      <x:c r="C116" s="3" t="inlineStr">
        <x:is>
          <x:t xml:space="preserve">gold</x:t>
        </x:is>
      </x:c>
      <x:c r="D116" s="3" t="inlineStr">
        <x:is>
          <x:t xml:space="preserve">directionBonus</x:t>
        </x:is>
      </x:c>
      <x:c r="E116" s="3" t="inlineStr">
        <x:is>
          <x:t xml:space="preserve">none</x:t>
        </x:is>
      </x:c>
      <x:c r="F116" s="3" t="inlineStr">
        <x:is>
          <x:t xml:space="preserve">2</x:t>
        </x:is>
      </x:c>
      <x:c r="G116" s="3" t="inlineStr">
        <x:is>
          <x:t xml:space="preserve">对角两格命中时，较远的目标伤害 +4。</x:t>
        </x:is>
      </x:c>
      <x:c r="H116" s="3"/>
      <x:c r="I116" s="3" t="inlineStr">
        <x:is>
          <x:t xml:space="preserve">implemented</x:t>
        </x:is>
      </x:c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  <x:c r="AK116"/>
      <x:c r="AL116"/>
      <x:c r="AM116"/>
      <x:c r="AN116"/>
      <x:c r="AO116"/>
      <x:c r="AP116"/>
      <x:c r="AQ116"/>
      <x:c r="AR116"/>
      <x:c r="AS116"/>
      <x:c r="AT116"/>
      <x:c r="AU116"/>
      <x:c r="AV116"/>
      <x:c r="AW116"/>
      <x:c r="AX116"/>
      <x:c r="AY116"/>
      <x:c r="AZ116"/>
    </x:row>
    <x:row r="117">
      <x:c r="A117" s="3" t="inlineStr">
        <x:is>
          <x:t xml:space="preserve">G21</x:t>
        </x:is>
      </x:c>
      <x:c r="B117" s="3" t="inlineStr">
        <x:is>
          <x:t xml:space="preserve">一攻一守</x:t>
        </x:is>
      </x:c>
      <x:c r="C117" s="3" t="inlineStr">
        <x:is>
          <x:t xml:space="preserve">gold</x:t>
        </x:is>
      </x:c>
      <x:c r="D117" s="3" t="inlineStr">
        <x:is>
          <x:t xml:space="preserve">dualMode</x:t>
        </x:is>
      </x:c>
      <x:c r="E117" s="3" t="inlineStr">
        <x:is>
          <x:t xml:space="preserve">low</x:t>
        </x:is>
      </x:c>
      <x:c r="F117" s="3" t="inlineStr">
        <x:is>
          <x:t xml:space="preserve">2</x:t>
        </x:is>
      </x:c>
      <x:c r="G117" s="3" t="inlineStr">
        <x:is>
          <x:t xml:space="preserve">两格中靠前格伤害 +2；靠后格若覆盖友方，则该友方获得 8 护盾。</x:t>
        </x:is>
      </x:c>
      <x:c r="H117" s="3"/>
      <x:c r="I117" s="3" t="inlineStr">
        <x:is>
          <x:t xml:space="preserve">implemented</x:t>
        </x:is>
      </x:c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  <x:c r="AK117"/>
      <x:c r="AL117"/>
      <x:c r="AM117"/>
      <x:c r="AN117"/>
      <x:c r="AO117"/>
      <x:c r="AP117"/>
      <x:c r="AQ117"/>
      <x:c r="AR117"/>
      <x:c r="AS117"/>
      <x:c r="AT117"/>
      <x:c r="AU117"/>
      <x:c r="AV117"/>
      <x:c r="AW117"/>
      <x:c r="AX117"/>
      <x:c r="AY117"/>
      <x:c r="AZ117"/>
    </x:row>
    <x:row r="118">
      <x:c r="A118" s="3" t="inlineStr">
        <x:is>
          <x:t xml:space="preserve">G22</x:t>
        </x:is>
      </x:c>
      <x:c r="B118" s="3" t="inlineStr">
        <x:is>
          <x:t xml:space="preserve">双印择一</x:t>
        </x:is>
      </x:c>
      <x:c r="C118" s="3" t="inlineStr">
        <x:is>
          <x:t xml:space="preserve">gold</x:t>
        </x:is>
      </x:c>
      <x:c r="D118" s="3" t="inlineStr">
        <x:is>
          <x:t xml:space="preserve">manualMark</x:t>
        </x:is>
      </x:c>
      <x:c r="E118" s="3" t="inlineStr">
        <x:is>
          <x:t xml:space="preserve">medium</x:t>
        </x:is>
      </x:c>
      <x:c r="F118" s="3" t="inlineStr">
        <x:is>
          <x:t xml:space="preserve">2</x:t>
        </x:is>
      </x:c>
      <x:c r="G118" s="3" t="inlineStr">
        <x:is>
          <x:t xml:space="preserve">每回合可在两个作用格中选择 1 格加金印。命中敌人伤害 +4；覆盖友方护盾 +8。</x:t>
        </x:is>
      </x:c>
      <x:c r="H118" s="3" t="inlineStr">
        <x:is>
          <x:t xml:space="preserve">二格英雄可少量使用，不能泛滥。</x:t>
        </x:is>
      </x:c>
      <x:c r="I118" s="3" t="inlineStr">
        <x:is>
          <x:t xml:space="preserve">implemented</x:t>
        </x:is>
      </x:c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  <x:c r="AK118"/>
      <x:c r="AL118"/>
      <x:c r="AM118"/>
      <x:c r="AN118"/>
      <x:c r="AO118"/>
      <x:c r="AP118"/>
      <x:c r="AQ118"/>
      <x:c r="AR118"/>
      <x:c r="AS118"/>
      <x:c r="AT118"/>
      <x:c r="AU118"/>
      <x:c r="AV118"/>
      <x:c r="AW118"/>
      <x:c r="AX118"/>
      <x:c r="AY118"/>
      <x:c r="AZ118"/>
    </x:row>
    <x:row r="119">
      <x:c r="A119" s="3" t="inlineStr">
        <x:is>
          <x:t xml:space="preserve">G23</x:t>
        </x:is>
      </x:c>
      <x:c r="B119" s="3" t="inlineStr">
        <x:is>
          <x:t xml:space="preserve">连环标记</x:t>
        </x:is>
      </x:c>
      <x:c r="C119" s="3" t="inlineStr">
        <x:is>
          <x:t xml:space="preserve">gold</x:t>
        </x:is>
      </x:c>
      <x:c r="D119" s="3" t="inlineStr">
        <x:is>
          <x:t xml:space="preserve">empoweredCell</x:t>
        </x:is>
      </x:c>
      <x:c r="E119" s="3" t="inlineStr">
        <x:is>
          <x:t xml:space="preserve">none</x:t>
        </x:is>
      </x:c>
      <x:c r="F119" s="3" t="inlineStr">
        <x:is>
          <x:t xml:space="preserve">2</x:t>
        </x:is>
      </x:c>
      <x:c r="G119" s="3" t="inlineStr">
        <x:is>
          <x:t xml:space="preserve">第一个命中的敌人被标记，第二个命中的敌人伤害 +3。</x:t>
        </x:is>
      </x:c>
      <x:c r="H119" s="3"/>
      <x:c r="I119" s="3" t="inlineStr">
        <x:is>
          <x:t xml:space="preserve">implemented</x:t>
        </x:is>
      </x:c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  <x:c r="AI119"/>
      <x:c r="AJ119"/>
      <x:c r="AK119"/>
      <x:c r="AL119"/>
      <x:c r="AM119"/>
      <x:c r="AN119"/>
      <x:c r="AO119"/>
      <x:c r="AP119"/>
      <x:c r="AQ119"/>
      <x:c r="AR119"/>
      <x:c r="AS119"/>
      <x:c r="AT119"/>
      <x:c r="AU119"/>
      <x:c r="AV119"/>
      <x:c r="AW119"/>
      <x:c r="AX119"/>
      <x:c r="AY119"/>
      <x:c r="AZ119"/>
    </x:row>
    <x:row r="120">
      <x:c r="A120" s="3" t="inlineStr">
        <x:is>
          <x:t xml:space="preserve">G24</x:t>
        </x:is>
      </x:c>
      <x:c r="B120" s="3" t="inlineStr">
        <x:is>
          <x:t xml:space="preserve">双锋</x:t>
        </x:is>
      </x:c>
      <x:c r="C120" s="3" t="inlineStr">
        <x:is>
          <x:t xml:space="preserve">gold</x:t>
        </x:is>
      </x:c>
      <x:c r="D120" s="3" t="inlineStr">
        <x:is>
          <x:t xml:space="preserve">dualMode</x:t>
        </x:is>
      </x:c>
      <x:c r="E120" s="3" t="inlineStr">
        <x:is>
          <x:t xml:space="preserve">low</x:t>
        </x:is>
      </x:c>
      <x:c r="F120" s="3" t="inlineStr">
        <x:is>
          <x:t xml:space="preserve">2</x:t>
        </x:is>
      </x:c>
      <x:c r="G120" s="3" t="inlineStr">
        <x:is>
          <x:t xml:space="preserve">可切换同伤/主副。同伤为两个格子各 +1 伤害；主副为第一个格子 +4，第二个格子不加成。</x:t>
        </x:is>
      </x:c>
      <x:c r="H120" s="3"/>
      <x:c r="I120" s="3" t="inlineStr">
        <x:is>
          <x:t xml:space="preserve">implemented</x:t>
        </x:is>
      </x:c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  <x:c r="AK120"/>
      <x:c r="AL120"/>
      <x:c r="AM120"/>
      <x:c r="AN120"/>
      <x:c r="AO120"/>
      <x:c r="AP120"/>
      <x:c r="AQ120"/>
      <x:c r="AR120"/>
      <x:c r="AS120"/>
      <x:c r="AT120"/>
      <x:c r="AU120"/>
      <x:c r="AV120"/>
      <x:c r="AW120"/>
      <x:c r="AX120"/>
      <x:c r="AY120"/>
      <x:c r="AZ120"/>
    </x:row>
    <x:row r="121">
      <x:c r="A121" s="3" t="inlineStr">
        <x:is>
          <x:t xml:space="preserve">G25</x:t>
        </x:is>
      </x:c>
      <x:c r="B121" s="3" t="inlineStr">
        <x:is>
          <x:t xml:space="preserve">三格核心</x:t>
        </x:is>
      </x:c>
      <x:c r="C121" s="3" t="inlineStr">
        <x:is>
          <x:t xml:space="preserve">gold</x:t>
        </x:is>
      </x:c>
      <x:c r="D121" s="3" t="inlineStr">
        <x:is>
          <x:t xml:space="preserve">empoweredCell</x:t>
        </x:is>
      </x:c>
      <x:c r="E121" s="3" t="inlineStr">
        <x:is>
          <x:t xml:space="preserve">none</x:t>
        </x:is>
      </x:c>
      <x:c r="F121" s="3" t="inlineStr">
        <x:is>
          <x:t xml:space="preserve">3</x:t>
        </x:is>
      </x:c>
      <x:c r="G121" s="3" t="inlineStr">
        <x:is>
          <x:t xml:space="preserve">三格形状中固定 1 个核心格，核心格伤害 +3。</x:t>
        </x:is>
      </x:c>
      <x:c r="H121" s="3"/>
      <x:c r="I121" s="3" t="inlineStr">
        <x:is>
          <x:t xml:space="preserve">implemented</x:t>
        </x:is>
      </x:c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  <x:c r="AK121"/>
      <x:c r="AL121"/>
      <x:c r="AM121"/>
      <x:c r="AN121"/>
      <x:c r="AO121"/>
      <x:c r="AP121"/>
      <x:c r="AQ121"/>
      <x:c r="AR121"/>
      <x:c r="AS121"/>
      <x:c r="AT121"/>
      <x:c r="AU121"/>
      <x:c r="AV121"/>
      <x:c r="AW121"/>
      <x:c r="AX121"/>
      <x:c r="AY121"/>
      <x:c r="AZ121"/>
    </x:row>
    <x:row r="122">
      <x:c r="A122" s="3" t="inlineStr">
        <x:is>
          <x:t xml:space="preserve">G26</x:t>
        </x:is>
      </x:c>
      <x:c r="B122" s="3" t="inlineStr">
        <x:is>
          <x:t xml:space="preserve">横扫压制</x:t>
        </x:is>
      </x:c>
      <x:c r="C122" s="3" t="inlineStr">
        <x:is>
          <x:t xml:space="preserve">gold</x:t>
        </x:is>
      </x:c>
      <x:c r="D122" s="3" t="inlineStr">
        <x:is>
          <x:t xml:space="preserve">empoweredCell</x:t>
        </x:is>
      </x:c>
      <x:c r="E122" s="3" t="inlineStr">
        <x:is>
          <x:t xml:space="preserve">none</x:t>
        </x:is>
      </x:c>
      <x:c r="F122" s="3" t="inlineStr">
        <x:is>
          <x:t xml:space="preserve">3</x:t>
        </x:is>
      </x:c>
      <x:c r="G122" s="3" t="inlineStr">
        <x:is>
          <x:t xml:space="preserve">横扫三格命中 2 个以上敌人时，每个敌人额外受到 1 点伤害。</x:t>
        </x:is>
      </x:c>
      <x:c r="H122" s="3"/>
      <x:c r="I122" s="3" t="inlineStr">
        <x:is>
          <x:t xml:space="preserve">implemented</x:t>
        </x:is>
      </x:c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  <x:c r="AK122"/>
      <x:c r="AL122"/>
      <x:c r="AM122"/>
      <x:c r="AN122"/>
      <x:c r="AO122"/>
      <x:c r="AP122"/>
      <x:c r="AQ122"/>
      <x:c r="AR122"/>
      <x:c r="AS122"/>
      <x:c r="AT122"/>
      <x:c r="AU122"/>
      <x:c r="AV122"/>
      <x:c r="AW122"/>
      <x:c r="AX122"/>
      <x:c r="AY122"/>
      <x:c r="AZ122"/>
    </x:row>
    <x:row r="123">
      <x:c r="A123" s="3" t="inlineStr">
        <x:is>
          <x:t xml:space="preserve">G27</x:t>
        </x:is>
      </x:c>
      <x:c r="B123" s="3" t="inlineStr">
        <x:is>
          <x:t xml:space="preserve">竖线贯通</x:t>
        </x:is>
      </x:c>
      <x:c r="C123" s="3" t="inlineStr">
        <x:is>
          <x:t xml:space="preserve">gold</x:t>
        </x:is>
      </x:c>
      <x:c r="D123" s="3" t="inlineStr">
        <x:is>
          <x:t xml:space="preserve">directionBonus</x:t>
        </x:is>
      </x:c>
      <x:c r="E123" s="3" t="inlineStr">
        <x:is>
          <x:t xml:space="preserve">none</x:t>
        </x:is>
      </x:c>
      <x:c r="F123" s="3" t="inlineStr">
        <x:is>
          <x:t xml:space="preserve">3</x:t>
        </x:is>
      </x:c>
      <x:c r="G123" s="3" t="inlineStr">
        <x:is>
          <x:t xml:space="preserve">直线三格从近到远结算，第三格伤害 +3。</x:t>
        </x:is>
      </x:c>
      <x:c r="H123" s="3"/>
      <x:c r="I123" s="3" t="inlineStr">
        <x:is>
          <x:t xml:space="preserve">implemented</x:t>
        </x:is>
      </x:c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  <x:c r="AK123"/>
      <x:c r="AL123"/>
      <x:c r="AM123"/>
      <x:c r="AN123"/>
      <x:c r="AO123"/>
      <x:c r="AP123"/>
      <x:c r="AQ123"/>
      <x:c r="AR123"/>
      <x:c r="AS123"/>
      <x:c r="AT123"/>
      <x:c r="AU123"/>
      <x:c r="AV123"/>
      <x:c r="AW123"/>
      <x:c r="AX123"/>
      <x:c r="AY123"/>
      <x:c r="AZ123"/>
    </x:row>
    <x:row r="124">
      <x:c r="A124" s="3" t="inlineStr">
        <x:is>
          <x:t xml:space="preserve">G28</x:t>
        </x:is>
      </x:c>
      <x:c r="B124" s="3" t="inlineStr">
        <x:is>
          <x:t xml:space="preserve">三点成阵</x:t>
        </x:is>
      </x:c>
      <x:c r="C124" s="3" t="inlineStr">
        <x:is>
          <x:t xml:space="preserve">gold</x:t>
        </x:is>
      </x:c>
      <x:c r="D124" s="3" t="inlineStr">
        <x:is>
          <x:t xml:space="preserve">empoweredCell</x:t>
        </x:is>
      </x:c>
      <x:c r="E124" s="3" t="inlineStr">
        <x:is>
          <x:t xml:space="preserve">none</x:t>
        </x:is>
      </x:c>
      <x:c r="F124" s="3" t="inlineStr">
        <x:is>
          <x:t xml:space="preserve">3</x:t>
        </x:is>
      </x:c>
      <x:c r="G124" s="3" t="inlineStr">
        <x:is>
          <x:t xml:space="preserve">三个作用格都覆盖到单位时，敌人受伤 +2，友方获得 5 护盾。</x:t>
        </x:is>
      </x:c>
      <x:c r="H124" s="3"/>
      <x:c r="I124" s="3" t="inlineStr">
        <x:is>
          <x:t xml:space="preserve">implemented</x:t>
        </x:is>
      </x:c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  <x:c r="AK124"/>
      <x:c r="AL124"/>
      <x:c r="AM124"/>
      <x:c r="AN124"/>
      <x:c r="AO124"/>
      <x:c r="AP124"/>
      <x:c r="AQ124"/>
      <x:c r="AR124"/>
      <x:c r="AS124"/>
      <x:c r="AT124"/>
      <x:c r="AU124"/>
      <x:c r="AV124"/>
      <x:c r="AW124"/>
      <x:c r="AX124"/>
      <x:c r="AY124"/>
      <x:c r="AZ124"/>
    </x:row>
    <x:row r="125">
      <x:c r="A125" s="3" t="inlineStr">
        <x:is>
          <x:t xml:space="preserve">G29</x:t>
        </x:is>
      </x:c>
      <x:c r="B125" s="3" t="inlineStr">
        <x:is>
          <x:t xml:space="preserve">首尾呼应</x:t>
        </x:is>
      </x:c>
      <x:c r="C125" s="3" t="inlineStr">
        <x:is>
          <x:t xml:space="preserve">gold</x:t>
        </x:is>
      </x:c>
      <x:c r="D125" s="3" t="inlineStr">
        <x:is>
          <x:t xml:space="preserve">directionBonus</x:t>
        </x:is>
      </x:c>
      <x:c r="E125" s="3" t="inlineStr">
        <x:is>
          <x:t xml:space="preserve">none</x:t>
        </x:is>
      </x:c>
      <x:c r="F125" s="3" t="inlineStr">
        <x:is>
          <x:t xml:space="preserve">3</x:t>
        </x:is>
      </x:c>
      <x:c r="G125" s="3" t="inlineStr">
        <x:is>
          <x:t xml:space="preserve">形状第一格和最远格同时命中时，最远格伤害 +4。</x:t>
        </x:is>
      </x:c>
      <x:c r="H125" s="3"/>
      <x:c r="I125" s="3" t="inlineStr">
        <x:is>
          <x:t xml:space="preserve">implemented</x:t>
        </x:is>
      </x:c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  <x:c r="AK125"/>
      <x:c r="AL125"/>
      <x:c r="AM125"/>
      <x:c r="AN125"/>
      <x:c r="AO125"/>
      <x:c r="AP125"/>
      <x:c r="AQ125"/>
      <x:c r="AR125"/>
      <x:c r="AS125"/>
      <x:c r="AT125"/>
      <x:c r="AU125"/>
      <x:c r="AV125"/>
      <x:c r="AW125"/>
      <x:c r="AX125"/>
      <x:c r="AY125"/>
      <x:c r="AZ125"/>
    </x:row>
    <x:row r="126">
      <x:c r="A126" s="3" t="inlineStr">
        <x:is>
          <x:t xml:space="preserve">G30</x:t>
        </x:is>
      </x:c>
      <x:c r="B126" s="3" t="inlineStr">
        <x:is>
          <x:t xml:space="preserve">三选一金印</x:t>
        </x:is>
      </x:c>
      <x:c r="C126" s="3" t="inlineStr">
        <x:is>
          <x:t xml:space="preserve">gold</x:t>
        </x:is>
      </x:c>
      <x:c r="D126" s="3" t="inlineStr">
        <x:is>
          <x:t xml:space="preserve">manualMark</x:t>
        </x:is>
      </x:c>
      <x:c r="E126" s="3" t="inlineStr">
        <x:is>
          <x:t xml:space="preserve">medium</x:t>
        </x:is>
      </x:c>
      <x:c r="F126" s="3" t="inlineStr">
        <x:is>
          <x:t xml:space="preserve">3</x:t>
        </x:is>
      </x:c>
      <x:c r="G126" s="3" t="inlineStr">
        <x:is>
          <x:t xml:space="preserve">每回合可从三个作用格中选 1 个加金印。该格伤害 +3。</x:t>
        </x:is>
      </x:c>
      <x:c r="H126" s="3" t="inlineStr">
        <x:is>
          <x:t xml:space="preserve">三格本身覆盖大，所以手动强化数值要比一格、二格低。</x:t>
        </x:is>
      </x:c>
      <x:c r="I126" s="3" t="inlineStr">
        <x:is>
          <x:t xml:space="preserve">implemented</x:t>
        </x:is>
      </x:c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  <x:c r="AK126"/>
      <x:c r="AL126"/>
      <x:c r="AM126"/>
      <x:c r="AN126"/>
      <x:c r="AO126"/>
      <x:c r="AP126"/>
      <x:c r="AQ126"/>
      <x:c r="AR126"/>
      <x:c r="AS126"/>
      <x:c r="AT126"/>
      <x:c r="AU126"/>
      <x:c r="AV126"/>
      <x:c r="AW126"/>
      <x:c r="AX126"/>
      <x:c r="AY126"/>
      <x:c r="AZ126"/>
    </x:row>
    <x:row r="127">
      <x:c r="A127" s="3" t="inlineStr">
        <x:is>
          <x:t xml:space="preserve">D01</x:t>
        </x:is>
      </x:c>
      <x:c r="B127" s="3" t="inlineStr">
        <x:is>
          <x:t xml:space="preserve">末端延伸</x:t>
        </x:is>
      </x:c>
      <x:c r="C127" s="3" t="inlineStr">
        <x:is>
          <x:t xml:space="preserve">diamond</x:t>
        </x:is>
      </x:c>
      <x:c r="D127" s="3" t="inlineStr">
        <x:is>
          <x:t xml:space="preserve">shapeMutation</x:t>
        </x:is>
      </x:c>
      <x:c r="E127" s="3" t="inlineStr">
        <x:is>
          <x:t xml:space="preserve">none</x:t>
        </x:is>
      </x:c>
      <x:c r="F127" s="3" t="inlineStr">
        <x:is>
          <x:t xml:space="preserve">1|2|3</x:t>
        </x:is>
      </x:c>
      <x:c r="G127" s="3" t="inlineStr">
        <x:is>
          <x:t xml:space="preserve">形状最远端额外延伸 1 格。</x:t>
        </x:is>
      </x:c>
      <x:c r="H127" s="3"/>
      <x:c r="I127" s="3" t="inlineStr">
        <x:is>
          <x:t xml:space="preserve">implemented</x:t>
        </x:is>
      </x:c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  <x:c r="AK127"/>
      <x:c r="AL127"/>
      <x:c r="AM127"/>
      <x:c r="AN127"/>
      <x:c r="AO127"/>
      <x:c r="AP127"/>
      <x:c r="AQ127"/>
      <x:c r="AR127"/>
      <x:c r="AS127"/>
      <x:c r="AT127"/>
      <x:c r="AU127"/>
      <x:c r="AV127"/>
      <x:c r="AW127"/>
      <x:c r="AX127"/>
      <x:c r="AY127"/>
      <x:c r="AZ127"/>
    </x:row>
    <x:row r="128">
      <x:c r="A128" s="3" t="inlineStr">
        <x:is>
          <x:t xml:space="preserve">D02</x:t>
        </x:is>
      </x:c>
      <x:c r="B128" s="3" t="inlineStr">
        <x:is>
          <x:t xml:space="preserve">起点回扫</x:t>
        </x:is>
      </x:c>
      <x:c r="C128" s="3" t="inlineStr">
        <x:is>
          <x:t xml:space="preserve">diamond</x:t>
        </x:is>
      </x:c>
      <x:c r="D128" s="3" t="inlineStr">
        <x:is>
          <x:t xml:space="preserve">shapeMutation</x:t>
        </x:is>
      </x:c>
      <x:c r="E128" s="3" t="inlineStr">
        <x:is>
          <x:t xml:space="preserve">none</x:t>
        </x:is>
      </x:c>
      <x:c r="F128" s="3" t="inlineStr">
        <x:is>
          <x:t xml:space="preserve">2|3</x:t>
        </x:is>
      </x:c>
      <x:c r="G128" s="3" t="inlineStr">
        <x:is>
          <x:t xml:space="preserve">形状结算后，反方向再结算 1 次，反向伤害 -2。</x:t>
        </x:is>
      </x:c>
      <x:c r="H128" s="3"/>
      <x:c r="I128" s="3" t="inlineStr">
        <x:is>
          <x:t xml:space="preserve">implemented</x:t>
        </x:is>
      </x:c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  <x:c r="AK128"/>
      <x:c r="AL128"/>
      <x:c r="AM128"/>
      <x:c r="AN128"/>
      <x:c r="AO128"/>
      <x:c r="AP128"/>
      <x:c r="AQ128"/>
      <x:c r="AR128"/>
      <x:c r="AS128"/>
      <x:c r="AT128"/>
      <x:c r="AU128"/>
      <x:c r="AV128"/>
      <x:c r="AW128"/>
      <x:c r="AX128"/>
      <x:c r="AY128"/>
      <x:c r="AZ128"/>
    </x:row>
    <x:row r="129">
      <x:c r="A129" s="3" t="inlineStr">
        <x:is>
          <x:t xml:space="preserve">D03</x:t>
        </x:is>
      </x:c>
      <x:c r="B129" s="3" t="inlineStr">
        <x:is>
          <x:t xml:space="preserve">镜像形状</x:t>
        </x:is>
      </x:c>
      <x:c r="C129" s="3" t="inlineStr">
        <x:is>
          <x:t xml:space="preserve">diamond</x:t>
        </x:is>
      </x:c>
      <x:c r="D129" s="3" t="inlineStr">
        <x:is>
          <x:t xml:space="preserve">shapeMutation</x:t>
        </x:is>
      </x:c>
      <x:c r="E129" s="3" t="inlineStr">
        <x:is>
          <x:t xml:space="preserve">none</x:t>
        </x:is>
      </x:c>
      <x:c r="F129" s="3" t="inlineStr">
        <x:is>
          <x:t xml:space="preserve">1|2</x:t>
        </x:is>
      </x:c>
      <x:c r="G129" s="3" t="inlineStr">
        <x:is>
          <x:t xml:space="preserve">当前形状会向相反方向复制 1 次。</x:t>
        </x:is>
      </x:c>
      <x:c r="H129" s="3" t="inlineStr">
        <x:is>
          <x:t xml:space="preserve">不建议给三格，容易爆表。</x:t>
        </x:is>
      </x:c>
      <x:c r="I129" s="3" t="inlineStr">
        <x:is>
          <x:t xml:space="preserve">implemented</x:t>
        </x:is>
      </x:c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  <x:c r="AK129"/>
      <x:c r="AL129"/>
      <x:c r="AM129"/>
      <x:c r="AN129"/>
      <x:c r="AO129"/>
      <x:c r="AP129"/>
      <x:c r="AQ129"/>
      <x:c r="AR129"/>
      <x:c r="AS129"/>
      <x:c r="AT129"/>
      <x:c r="AU129"/>
      <x:c r="AV129"/>
      <x:c r="AW129"/>
      <x:c r="AX129"/>
      <x:c r="AY129"/>
      <x:c r="AZ129"/>
    </x:row>
    <x:row r="130">
      <x:c r="A130" s="3" t="inlineStr">
        <x:is>
          <x:t xml:space="preserve">D04</x:t>
        </x:is>
      </x:c>
      <x:c r="B130" s="3" t="inlineStr">
        <x:is>
          <x:t xml:space="preserve">斜向复制</x:t>
        </x:is>
      </x:c>
      <x:c r="C130" s="3" t="inlineStr">
        <x:is>
          <x:t xml:space="preserve">diamond</x:t>
        </x:is>
      </x:c>
      <x:c r="D130" s="3" t="inlineStr">
        <x:is>
          <x:t xml:space="preserve">shapeMutation</x:t>
        </x:is>
      </x:c>
      <x:c r="E130" s="3" t="inlineStr">
        <x:is>
          <x:t xml:space="preserve">none</x:t>
        </x:is>
      </x:c>
      <x:c r="F130" s="3" t="inlineStr">
        <x:is>
          <x:t xml:space="preserve">1|2</x:t>
        </x:is>
      </x:c>
      <x:c r="G130" s="3" t="inlineStr">
        <x:is>
          <x:t xml:space="preserve">当前形状命中后，在斜向相邻位置额外生成 1 个作用格。</x:t>
        </x:is>
      </x:c>
      <x:c r="H130" s="3"/>
      <x:c r="I130" s="3" t="inlineStr">
        <x:is>
          <x:t xml:space="preserve">implemented</x:t>
        </x:is>
      </x:c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  <x:c r="AK130"/>
      <x:c r="AL130"/>
      <x:c r="AM130"/>
      <x:c r="AN130"/>
      <x:c r="AO130"/>
      <x:c r="AP130"/>
      <x:c r="AQ130"/>
      <x:c r="AR130"/>
      <x:c r="AS130"/>
      <x:c r="AT130"/>
      <x:c r="AU130"/>
      <x:c r="AV130"/>
      <x:c r="AW130"/>
      <x:c r="AX130"/>
      <x:c r="AY130"/>
      <x:c r="AZ130"/>
    </x:row>
    <x:row r="131">
      <x:c r="A131" s="3" t="inlineStr">
        <x:is>
          <x:t xml:space="preserve">D05</x:t>
        </x:is>
      </x:c>
      <x:c r="B131" s="3" t="inlineStr">
        <x:is>
          <x:t xml:space="preserve">核心扩散</x:t>
        </x:is>
      </x:c>
      <x:c r="C131" s="3" t="inlineStr">
        <x:is>
          <x:t xml:space="preserve">diamond</x:t>
        </x:is>
      </x:c>
      <x:c r="D131" s="3" t="inlineStr">
        <x:is>
          <x:t xml:space="preserve">shapeMutation</x:t>
        </x:is>
      </x:c>
      <x:c r="E131" s="3" t="inlineStr">
        <x:is>
          <x:t xml:space="preserve">none</x:t>
        </x:is>
      </x:c>
      <x:c r="F131" s="3" t="inlineStr">
        <x:is>
          <x:t xml:space="preserve">1</x:t>
        </x:is>
      </x:c>
      <x:c r="G131" s="3" t="inlineStr">
        <x:is>
          <x:t xml:space="preserve">命中目标后，对目标上下左右各造成 1 点溅射伤害。</x:t>
        </x:is>
      </x:c>
      <x:c r="H131" s="3"/>
      <x:c r="I131" s="3" t="inlineStr">
        <x:is>
          <x:t xml:space="preserve">implemented</x:t>
        </x:is>
      </x:c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  <x:c r="AK131"/>
      <x:c r="AL131"/>
      <x:c r="AM131"/>
      <x:c r="AN131"/>
      <x:c r="AO131"/>
      <x:c r="AP131"/>
      <x:c r="AQ131"/>
      <x:c r="AR131"/>
      <x:c r="AS131"/>
      <x:c r="AT131"/>
      <x:c r="AU131"/>
      <x:c r="AV131"/>
      <x:c r="AW131"/>
      <x:c r="AX131"/>
      <x:c r="AY131"/>
      <x:c r="AZ131"/>
    </x:row>
    <x:row r="132">
      <x:c r="A132" s="3" t="inlineStr">
        <x:is>
          <x:t xml:space="preserve">D06</x:t>
        </x:is>
      </x:c>
      <x:c r="B132" s="3" t="inlineStr">
        <x:is>
          <x:t xml:space="preserve">双端开花</x:t>
        </x:is>
      </x:c>
      <x:c r="C132" s="3" t="inlineStr">
        <x:is>
          <x:t xml:space="preserve">diamond</x:t>
        </x:is>
      </x:c>
      <x:c r="D132" s="3" t="inlineStr">
        <x:is>
          <x:t xml:space="preserve">shapeMutation</x:t>
        </x:is>
      </x:c>
      <x:c r="E132" s="3" t="inlineStr">
        <x:is>
          <x:t xml:space="preserve">none</x:t>
        </x:is>
      </x:c>
      <x:c r="F132" s="3" t="inlineStr">
        <x:is>
          <x:t xml:space="preserve">2</x:t>
        </x:is>
      </x:c>
      <x:c r="G132" s="3" t="inlineStr">
        <x:is>
          <x:t xml:space="preserve">两个作用格的外侧各额外延伸 1 格，但额外格伤害 -2。</x:t>
        </x:is>
      </x:c>
      <x:c r="H132" s="3"/>
      <x:c r="I132" s="3" t="inlineStr">
        <x:is>
          <x:t xml:space="preserve">implemented</x:t>
        </x:is>
      </x:c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  <x:c r="AK132"/>
      <x:c r="AL132"/>
      <x:c r="AM132"/>
      <x:c r="AN132"/>
      <x:c r="AO132"/>
      <x:c r="AP132"/>
      <x:c r="AQ132"/>
      <x:c r="AR132"/>
      <x:c r="AS132"/>
      <x:c r="AT132"/>
      <x:c r="AU132"/>
      <x:c r="AV132"/>
      <x:c r="AW132"/>
      <x:c r="AX132"/>
      <x:c r="AY132"/>
      <x:c r="AZ132"/>
    </x:row>
    <x:row r="133">
      <x:c r="A133" s="3" t="inlineStr">
        <x:is>
          <x:t xml:space="preserve">D07</x:t>
        </x:is>
      </x:c>
      <x:c r="B133" s="3" t="inlineStr">
        <x:is>
          <x:t xml:space="preserve">三格收束</x:t>
        </x:is>
      </x:c>
      <x:c r="C133" s="3" t="inlineStr">
        <x:is>
          <x:t xml:space="preserve">diamond</x:t>
        </x:is>
      </x:c>
      <x:c r="D133" s="3" t="inlineStr">
        <x:is>
          <x:t xml:space="preserve">shapeMutation</x:t>
        </x:is>
      </x:c>
      <x:c r="E133" s="3" t="inlineStr">
        <x:is>
          <x:t xml:space="preserve">none</x:t>
        </x:is>
      </x:c>
      <x:c r="F133" s="3" t="inlineStr">
        <x:is>
          <x:t xml:space="preserve">3</x:t>
        </x:is>
      </x:c>
      <x:c r="G133" s="3" t="inlineStr">
        <x:is>
          <x:t xml:space="preserve">三格形状如果只命中 1 个敌人，该敌人额外受到 6 点伤害。</x:t>
        </x:is>
      </x:c>
      <x:c r="H133" s="3"/>
      <x:c r="I133" s="3" t="inlineStr">
        <x:is>
          <x:t xml:space="preserve">implemented</x:t>
        </x:is>
      </x:c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  <x:c r="AK133"/>
      <x:c r="AL133"/>
      <x:c r="AM133"/>
      <x:c r="AN133"/>
      <x:c r="AO133"/>
      <x:c r="AP133"/>
      <x:c r="AQ133"/>
      <x:c r="AR133"/>
      <x:c r="AS133"/>
      <x:c r="AT133"/>
      <x:c r="AU133"/>
      <x:c r="AV133"/>
      <x:c r="AW133"/>
      <x:c r="AX133"/>
      <x:c r="AY133"/>
      <x:c r="AZ133"/>
    </x:row>
    <x:row r="134">
      <x:c r="A134" s="3" t="inlineStr">
        <x:is>
          <x:t xml:space="preserve">D08</x:t>
        </x:is>
      </x:c>
      <x:c r="B134" s="3" t="inlineStr">
        <x:is>
          <x:t xml:space="preserve">三格外放</x:t>
        </x:is>
      </x:c>
      <x:c r="C134" s="3" t="inlineStr">
        <x:is>
          <x:t xml:space="preserve">diamond</x:t>
        </x:is>
      </x:c>
      <x:c r="D134" s="3" t="inlineStr">
        <x:is>
          <x:t xml:space="preserve">shapeMutation</x:t>
        </x:is>
      </x:c>
      <x:c r="E134" s="3" t="inlineStr">
        <x:is>
          <x:t xml:space="preserve">none</x:t>
        </x:is>
      </x:c>
      <x:c r="F134" s="3" t="inlineStr">
        <x:is>
          <x:t xml:space="preserve">3</x:t>
        </x:is>
      </x:c>
      <x:c r="G134" s="3" t="inlineStr">
        <x:is>
          <x:t xml:space="preserve">三格形状命中 2 个以上敌人时，额外对每个目标造成 2 点伤害。</x:t>
        </x:is>
      </x:c>
      <x:c r="H134" s="3"/>
      <x:c r="I134" s="3" t="inlineStr">
        <x:is>
          <x:t xml:space="preserve">implemented</x:t>
        </x:is>
      </x:c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  <x:c r="AK134"/>
      <x:c r="AL134"/>
      <x:c r="AM134"/>
      <x:c r="AN134"/>
      <x:c r="AO134"/>
      <x:c r="AP134"/>
      <x:c r="AQ134"/>
      <x:c r="AR134"/>
      <x:c r="AS134"/>
      <x:c r="AT134"/>
      <x:c r="AU134"/>
      <x:c r="AV134"/>
      <x:c r="AW134"/>
      <x:c r="AX134"/>
      <x:c r="AY134"/>
      <x:c r="AZ134"/>
    </x:row>
    <x:row r="135">
      <x:c r="A135" s="3" t="inlineStr">
        <x:is>
          <x:t xml:space="preserve">D09</x:t>
        </x:is>
      </x:c>
      <x:c r="B135" s="3" t="inlineStr">
        <x:is>
          <x:t xml:space="preserve">角形补点</x:t>
        </x:is>
      </x:c>
      <x:c r="C135" s="3" t="inlineStr">
        <x:is>
          <x:t xml:space="preserve">diamond</x:t>
        </x:is>
      </x:c>
      <x:c r="D135" s="3" t="inlineStr">
        <x:is>
          <x:t xml:space="preserve">shapeMutation</x:t>
        </x:is>
      </x:c>
      <x:c r="E135" s="3" t="inlineStr">
        <x:is>
          <x:t xml:space="preserve">none</x:t>
        </x:is>
      </x:c>
      <x:c r="F135" s="3" t="inlineStr">
        <x:is>
          <x:t xml:space="preserve">3</x:t>
        </x:is>
      </x:c>
      <x:c r="G135" s="3" t="inlineStr">
        <x:is>
          <x:t xml:space="preserve">L 型三格的缺角位置额外生成 1 个作用格，伤害 -2。</x:t>
        </x:is>
      </x:c>
      <x:c r="H135" s="3"/>
      <x:c r="I135" s="3" t="inlineStr">
        <x:is>
          <x:t xml:space="preserve">implemented</x:t>
        </x:is>
      </x:c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  <x:c r="AK135"/>
      <x:c r="AL135"/>
      <x:c r="AM135"/>
      <x:c r="AN135"/>
      <x:c r="AO135"/>
      <x:c r="AP135"/>
      <x:c r="AQ135"/>
      <x:c r="AR135"/>
      <x:c r="AS135"/>
      <x:c r="AT135"/>
      <x:c r="AU135"/>
      <x:c r="AV135"/>
      <x:c r="AW135"/>
      <x:c r="AX135"/>
      <x:c r="AY135"/>
      <x:c r="AZ135"/>
    </x:row>
    <x:row r="136">
      <x:c r="A136" s="3" t="inlineStr">
        <x:is>
          <x:t xml:space="preserve">D10</x:t>
        </x:is>
      </x:c>
      <x:c r="B136" s="3" t="inlineStr">
        <x:is>
          <x:t xml:space="preserve">直线贯穿</x:t>
        </x:is>
      </x:c>
      <x:c r="C136" s="3" t="inlineStr">
        <x:is>
          <x:t xml:space="preserve">diamond</x:t>
        </x:is>
      </x:c>
      <x:c r="D136" s="3" t="inlineStr">
        <x:is>
          <x:t xml:space="preserve">shapeMutation</x:t>
        </x:is>
      </x:c>
      <x:c r="E136" s="3" t="inlineStr">
        <x:is>
          <x:t xml:space="preserve">none</x:t>
        </x:is>
      </x:c>
      <x:c r="F136" s="3" t="inlineStr">
        <x:is>
          <x:t xml:space="preserve">3</x:t>
        </x:is>
      </x:c>
      <x:c r="G136" s="3" t="inlineStr">
        <x:is>
          <x:t xml:space="preserve">直线形状末端再贯穿 1 格，额外格伤害 -1。</x:t>
        </x:is>
      </x:c>
      <x:c r="H136" s="3"/>
      <x:c r="I136" s="3" t="inlineStr">
        <x:is>
          <x:t xml:space="preserve">implemented</x:t>
        </x:is>
      </x:c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  <x:c r="AK136"/>
      <x:c r="AL136"/>
      <x:c r="AM136"/>
      <x:c r="AN136"/>
      <x:c r="AO136"/>
      <x:c r="AP136"/>
      <x:c r="AQ136"/>
      <x:c r="AR136"/>
      <x:c r="AS136"/>
      <x:c r="AT136"/>
      <x:c r="AU136"/>
      <x:c r="AV136"/>
      <x:c r="AW136"/>
      <x:c r="AX136"/>
      <x:c r="AY136"/>
      <x:c r="AZ136"/>
    </x:row>
    <x:row r="137">
      <x:c r="A137" s="3" t="inlineStr">
        <x:is>
          <x:t xml:space="preserve">D11</x:t>
        </x:is>
      </x:c>
      <x:c r="B137" s="3" t="inlineStr">
        <x:is>
          <x:t xml:space="preserve">抢先结算</x:t>
        </x:is>
      </x:c>
      <x:c r="C137" s="3" t="inlineStr">
        <x:is>
          <x:t xml:space="preserve">diamond</x:t>
        </x:is>
      </x:c>
      <x:c r="D137" s="3" t="inlineStr">
        <x:is>
          <x:t xml:space="preserve">settlementMutation</x:t>
        </x:is>
      </x:c>
      <x:c r="E137" s="3" t="inlineStr">
        <x:is>
          <x:t xml:space="preserve">none</x:t>
        </x:is>
      </x:c>
      <x:c r="F137" s="3" t="inlineStr">
        <x:is>
          <x:t xml:space="preserve">1|2|3</x:t>
        </x:is>
      </x:c>
      <x:c r="G137" s="3" t="inlineStr">
        <x:is>
          <x:t xml:space="preserve">该角色总是最先结算。</x:t>
        </x:is>
      </x:c>
      <x:c r="H137" s="3"/>
      <x:c r="I137" s="3" t="inlineStr">
        <x:is>
          <x:t xml:space="preserve">implemented</x:t>
        </x:is>
      </x:c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  <x:c r="AI137"/>
      <x:c r="AJ137"/>
      <x:c r="AK137"/>
      <x:c r="AL137"/>
      <x:c r="AM137"/>
      <x:c r="AN137"/>
      <x:c r="AO137"/>
      <x:c r="AP137"/>
      <x:c r="AQ137"/>
      <x:c r="AR137"/>
      <x:c r="AS137"/>
      <x:c r="AT137"/>
      <x:c r="AU137"/>
      <x:c r="AV137"/>
      <x:c r="AW137"/>
      <x:c r="AX137"/>
      <x:c r="AY137"/>
      <x:c r="AZ137"/>
    </x:row>
    <x:row r="138">
      <x:c r="A138" s="3" t="inlineStr">
        <x:is>
          <x:t xml:space="preserve">D12</x:t>
        </x:is>
      </x:c>
      <x:c r="B138" s="3" t="inlineStr">
        <x:is>
          <x:t xml:space="preserve">压轴结算</x:t>
        </x:is>
      </x:c>
      <x:c r="C138" s="3" t="inlineStr">
        <x:is>
          <x:t xml:space="preserve">diamond</x:t>
        </x:is>
      </x:c>
      <x:c r="D138" s="3" t="inlineStr">
        <x:is>
          <x:t xml:space="preserve">settlementMutation</x:t>
        </x:is>
      </x:c>
      <x:c r="E138" s="3" t="inlineStr">
        <x:is>
          <x:t xml:space="preserve">none</x:t>
        </x:is>
      </x:c>
      <x:c r="F138" s="3" t="inlineStr">
        <x:is>
          <x:t xml:space="preserve">1|2|3</x:t>
        </x:is>
      </x:c>
      <x:c r="G138" s="3" t="inlineStr">
        <x:is>
          <x:t xml:space="preserve">该角色总是最后结算，最后一击伤害 +5。</x:t>
        </x:is>
      </x:c>
      <x:c r="H138" s="3"/>
      <x:c r="I138" s="3" t="inlineStr">
        <x:is>
          <x:t xml:space="preserve">implemented</x:t>
        </x:is>
      </x:c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  <x:c r="AK138"/>
      <x:c r="AL138"/>
      <x:c r="AM138"/>
      <x:c r="AN138"/>
      <x:c r="AO138"/>
      <x:c r="AP138"/>
      <x:c r="AQ138"/>
      <x:c r="AR138"/>
      <x:c r="AS138"/>
      <x:c r="AT138"/>
      <x:c r="AU138"/>
      <x:c r="AV138"/>
      <x:c r="AW138"/>
      <x:c r="AX138"/>
      <x:c r="AY138"/>
      <x:c r="AZ138"/>
    </x:row>
    <x:row r="139">
      <x:c r="A139" s="3" t="inlineStr">
        <x:is>
          <x:t xml:space="preserve">D13</x:t>
        </x:is>
      </x:c>
      <x:c r="B139" s="3" t="inlineStr">
        <x:is>
          <x:t xml:space="preserve">残血追击</x:t>
        </x:is>
      </x:c>
      <x:c r="C139" s="3" t="inlineStr">
        <x:is>
          <x:t xml:space="preserve">diamond</x:t>
        </x:is>
      </x:c>
      <x:c r="D139" s="3" t="inlineStr">
        <x:is>
          <x:t xml:space="preserve">settlementMutation</x:t>
        </x:is>
      </x:c>
      <x:c r="E139" s="3" t="inlineStr">
        <x:is>
          <x:t xml:space="preserve">none</x:t>
        </x:is>
      </x:c>
      <x:c r="F139" s="3" t="inlineStr">
        <x:is>
          <x:t xml:space="preserve">1|2|3</x:t>
        </x:is>
      </x:c>
      <x:c r="G139" s="3" t="inlineStr">
        <x:is>
          <x:t xml:space="preserve">若本次结算后有敌人生命不高于 5，对其追加 5 点伤害。</x:t>
        </x:is>
      </x:c>
      <x:c r="H139" s="3"/>
      <x:c r="I139" s="3" t="inlineStr">
        <x:is>
          <x:t xml:space="preserve">implemented</x:t>
        </x:is>
      </x:c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  <x:c r="AK139"/>
      <x:c r="AL139"/>
      <x:c r="AM139"/>
      <x:c r="AN139"/>
      <x:c r="AO139"/>
      <x:c r="AP139"/>
      <x:c r="AQ139"/>
      <x:c r="AR139"/>
      <x:c r="AS139"/>
      <x:c r="AT139"/>
      <x:c r="AU139"/>
      <x:c r="AV139"/>
      <x:c r="AW139"/>
      <x:c r="AX139"/>
      <x:c r="AY139"/>
      <x:c r="AZ139"/>
    </x:row>
    <x:row r="140">
      <x:c r="A140" s="3" t="inlineStr">
        <x:is>
          <x:t xml:space="preserve">D14</x:t>
        </x:is>
      </x:c>
      <x:c r="B140" s="3" t="inlineStr">
        <x:is>
          <x:t xml:space="preserve">击杀连锁</x:t>
        </x:is>
      </x:c>
      <x:c r="C140" s="3" t="inlineStr">
        <x:is>
          <x:t xml:space="preserve">diamond</x:t>
        </x:is>
      </x:c>
      <x:c r="D140" s="3" t="inlineStr">
        <x:is>
          <x:t xml:space="preserve">settlementMutation</x:t>
        </x:is>
      </x:c>
      <x:c r="E140" s="3" t="inlineStr">
        <x:is>
          <x:t xml:space="preserve">none</x:t>
        </x:is>
      </x:c>
      <x:c r="F140" s="3" t="inlineStr">
        <x:is>
          <x:t xml:space="preserve">1|2</x:t>
        </x:is>
      </x:c>
      <x:c r="G140" s="3" t="inlineStr">
        <x:is>
          <x:t xml:space="preserve">击杀敌人后，对最近敌人追加 4 点伤害。</x:t>
        </x:is>
      </x:c>
      <x:c r="H140" s="3"/>
      <x:c r="I140" s="3" t="inlineStr">
        <x:is>
          <x:t xml:space="preserve">implemented</x:t>
        </x:is>
      </x:c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/>
      <x:c r="AI140"/>
      <x:c r="AJ140"/>
      <x:c r="AK140"/>
      <x:c r="AL140"/>
      <x:c r="AM140"/>
      <x:c r="AN140"/>
      <x:c r="AO140"/>
      <x:c r="AP140"/>
      <x:c r="AQ140"/>
      <x:c r="AR140"/>
      <x:c r="AS140"/>
      <x:c r="AT140"/>
      <x:c r="AU140"/>
      <x:c r="AV140"/>
      <x:c r="AW140"/>
      <x:c r="AX140"/>
      <x:c r="AY140"/>
      <x:c r="AZ140"/>
    </x:row>
    <x:row r="141">
      <x:c r="A141" s="3" t="inlineStr">
        <x:is>
          <x:t xml:space="preserve">D15</x:t>
        </x:is>
      </x:c>
      <x:c r="B141" s="3" t="inlineStr">
        <x:is>
          <x:t xml:space="preserve">破阵启动</x:t>
        </x:is>
      </x:c>
      <x:c r="C141" s="3" t="inlineStr">
        <x:is>
          <x:t xml:space="preserve">diamond</x:t>
        </x:is>
      </x:c>
      <x:c r="D141" s="3" t="inlineStr">
        <x:is>
          <x:t xml:space="preserve">settlementMutation</x:t>
        </x:is>
      </x:c>
      <x:c r="E141" s="3" t="inlineStr">
        <x:is>
          <x:t xml:space="preserve">none</x:t>
        </x:is>
      </x:c>
      <x:c r="F141" s="3" t="inlineStr">
        <x:is>
          <x:t xml:space="preserve">3</x:t>
        </x:is>
      </x:c>
      <x:c r="G141" s="3" t="inlineStr">
        <x:is>
          <x:t xml:space="preserve">若本次命中 3 个单位，立即额外结算一次核心格。</x:t>
        </x:is>
      </x:c>
      <x:c r="H141" s="3"/>
      <x:c r="I141" s="3" t="inlineStr">
        <x:is>
          <x:t xml:space="preserve">implemented</x:t>
        </x:is>
      </x:c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  <x:c r="AK141"/>
      <x:c r="AL141"/>
      <x:c r="AM141"/>
      <x:c r="AN141"/>
      <x:c r="AO141"/>
      <x:c r="AP141"/>
      <x:c r="AQ141"/>
      <x:c r="AR141"/>
      <x:c r="AS141"/>
      <x:c r="AT141"/>
      <x:c r="AU141"/>
      <x:c r="AV141"/>
      <x:c r="AW141"/>
      <x:c r="AX141"/>
      <x:c r="AY141"/>
      <x:c r="AZ141"/>
    </x:row>
    <x:row r="142">
      <x:c r="A142" s="3" t="inlineStr">
        <x:is>
          <x:t xml:space="preserve">D16</x:t>
        </x:is>
      </x:c>
      <x:c r="B142" s="3" t="inlineStr">
        <x:is>
          <x:t xml:space="preserve">反复敲打</x:t>
        </x:is>
      </x:c>
      <x:c r="C142" s="3" t="inlineStr">
        <x:is>
          <x:t xml:space="preserve">diamond</x:t>
        </x:is>
      </x:c>
      <x:c r="D142" s="3" t="inlineStr">
        <x:is>
          <x:t xml:space="preserve">settlementMutation</x:t>
        </x:is>
      </x:c>
      <x:c r="E142" s="3" t="inlineStr">
        <x:is>
          <x:t xml:space="preserve">none</x:t>
        </x:is>
      </x:c>
      <x:c r="F142" s="3" t="inlineStr">
        <x:is>
          <x:t xml:space="preserve">1</x:t>
        </x:is>
      </x:c>
      <x:c r="G142" s="3" t="inlineStr">
        <x:is>
          <x:t xml:space="preserve">如果只命中 1 个敌人，同一格重复结算 1 次。</x:t>
        </x:is>
      </x:c>
      <x:c r="H142" s="3"/>
      <x:c r="I142" s="3" t="inlineStr">
        <x:is>
          <x:t xml:space="preserve">implemented</x:t>
        </x:is>
      </x:c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  <x:c r="AK142"/>
      <x:c r="AL142"/>
      <x:c r="AM142"/>
      <x:c r="AN142"/>
      <x:c r="AO142"/>
      <x:c r="AP142"/>
      <x:c r="AQ142"/>
      <x:c r="AR142"/>
      <x:c r="AS142"/>
      <x:c r="AT142"/>
      <x:c r="AU142"/>
      <x:c r="AV142"/>
      <x:c r="AW142"/>
      <x:c r="AX142"/>
      <x:c r="AY142"/>
      <x:c r="AZ142"/>
    </x:row>
    <x:row r="143">
      <x:c r="A143" s="3" t="inlineStr">
        <x:is>
          <x:t xml:space="preserve">D17</x:t>
        </x:is>
      </x:c>
      <x:c r="B143" s="3" t="inlineStr">
        <x:is>
          <x:t xml:space="preserve">二段行动</x:t>
        </x:is>
      </x:c>
      <x:c r="C143" s="3" t="inlineStr">
        <x:is>
          <x:t xml:space="preserve">diamond</x:t>
        </x:is>
      </x:c>
      <x:c r="D143" s="3" t="inlineStr">
        <x:is>
          <x:t xml:space="preserve">settlementMutation</x:t>
        </x:is>
      </x:c>
      <x:c r="E143" s="3" t="inlineStr">
        <x:is>
          <x:t xml:space="preserve">none</x:t>
        </x:is>
      </x:c>
      <x:c r="F143" s="3" t="inlineStr">
        <x:is>
          <x:t xml:space="preserve">1|2|3</x:t>
        </x:is>
      </x:c>
      <x:c r="G143" s="3" t="inlineStr">
        <x:is>
          <x:t xml:space="preserve">本角色先结算一半伤害，所有友方结算后再结算剩余伤害。</x:t>
        </x:is>
      </x:c>
      <x:c r="H143" s="3" t="inlineStr">
        <x:is>
          <x:t xml:space="preserve">有一定理解成本，建议少量使用。</x:t>
        </x:is>
      </x:c>
      <x:c r="I143" s="3" t="inlineStr">
        <x:is>
          <x:t xml:space="preserve">implemented</x:t>
        </x:is>
      </x:c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  <x:c r="AK143"/>
      <x:c r="AL143"/>
      <x:c r="AM143"/>
      <x:c r="AN143"/>
      <x:c r="AO143"/>
      <x:c r="AP143"/>
      <x:c r="AQ143"/>
      <x:c r="AR143"/>
      <x:c r="AS143"/>
      <x:c r="AT143"/>
      <x:c r="AU143"/>
      <x:c r="AV143"/>
      <x:c r="AW143"/>
      <x:c r="AX143"/>
      <x:c r="AY143"/>
      <x:c r="AZ143"/>
    </x:row>
    <x:row r="144">
      <x:c r="A144" s="3" t="inlineStr">
        <x:is>
          <x:t xml:space="preserve">D18</x:t>
        </x:is>
      </x:c>
      <x:c r="B144" s="3" t="inlineStr">
        <x:is>
          <x:t xml:space="preserve">元素先爆</x:t>
        </x:is>
      </x:c>
      <x:c r="C144" s="3" t="inlineStr">
        <x:is>
          <x:t xml:space="preserve">diamond</x:t>
        </x:is>
      </x:c>
      <x:c r="D144" s="3" t="inlineStr">
        <x:is>
          <x:t xml:space="preserve">settlementMutation</x:t>
        </x:is>
      </x:c>
      <x:c r="E144" s="3" t="inlineStr">
        <x:is>
          <x:t xml:space="preserve">none</x:t>
        </x:is>
      </x:c>
      <x:c r="F144" s="3" t="inlineStr">
        <x:is>
          <x:t xml:space="preserve">1|2|3</x:t>
        </x:is>
      </x:c>
      <x:c r="G144" s="3" t="inlineStr">
        <x:is>
          <x:t xml:space="preserve">如果本次触发元素爆发，该元素爆发提前到本角色普通伤害前结算。</x:t>
        </x:is>
      </x:c>
      <x:c r="H144" s="3"/>
      <x:c r="I144" s="3" t="inlineStr">
        <x:is>
          <x:t xml:space="preserve">implemented</x:t>
        </x:is>
      </x:c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  <x:c r="AI144"/>
      <x:c r="AJ144"/>
      <x:c r="AK144"/>
      <x:c r="AL144"/>
      <x:c r="AM144"/>
      <x:c r="AN144"/>
      <x:c r="AO144"/>
      <x:c r="AP144"/>
      <x:c r="AQ144"/>
      <x:c r="AR144"/>
      <x:c r="AS144"/>
      <x:c r="AT144"/>
      <x:c r="AU144"/>
      <x:c r="AV144"/>
      <x:c r="AW144"/>
      <x:c r="AX144"/>
      <x:c r="AY144"/>
      <x:c r="AZ144"/>
    </x:row>
    <x:row r="145">
      <x:c r="A145" s="3" t="inlineStr">
        <x:is>
          <x:t xml:space="preserve">D19</x:t>
        </x:is>
      </x:c>
      <x:c r="B145" s="3" t="inlineStr">
        <x:is>
          <x:t xml:space="preserve">收割顺序</x:t>
        </x:is>
      </x:c>
      <x:c r="C145" s="3" t="inlineStr">
        <x:is>
          <x:t xml:space="preserve">diamond</x:t>
        </x:is>
      </x:c>
      <x:c r="D145" s="3" t="inlineStr">
        <x:is>
          <x:t xml:space="preserve">settlementMutation</x:t>
        </x:is>
      </x:c>
      <x:c r="E145" s="3" t="inlineStr">
        <x:is>
          <x:t xml:space="preserve">none</x:t>
        </x:is>
      </x:c>
      <x:c r="F145" s="3" t="inlineStr">
        <x:is>
          <x:t xml:space="preserve">1|2|3</x:t>
        </x:is>
      </x:c>
      <x:c r="G145" s="3" t="inlineStr">
        <x:is>
          <x:t xml:space="preserve">结算时优先攻击生命最低的目标。</x:t>
        </x:is>
      </x:c>
      <x:c r="H145" s="3" t="inlineStr">
        <x:is>
          <x:t xml:space="preserve">会改变默认结算逻辑，建议只给少数角色。</x:t>
        </x:is>
      </x:c>
      <x:c r="I145" s="3" t="inlineStr">
        <x:is>
          <x:t xml:space="preserve">implemented</x:t>
        </x:is>
      </x:c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  <x:c r="AK145"/>
      <x:c r="AL145"/>
      <x:c r="AM145"/>
      <x:c r="AN145"/>
      <x:c r="AO145"/>
      <x:c r="AP145"/>
      <x:c r="AQ145"/>
      <x:c r="AR145"/>
      <x:c r="AS145"/>
      <x:c r="AT145"/>
      <x:c r="AU145"/>
      <x:c r="AV145"/>
      <x:c r="AW145"/>
      <x:c r="AX145"/>
      <x:c r="AY145"/>
      <x:c r="AZ145"/>
    </x:row>
    <x:row r="146">
      <x:c r="A146" s="3" t="inlineStr">
        <x:is>
          <x:t xml:space="preserve">D20</x:t>
        </x:is>
      </x:c>
      <x:c r="B146" s="3" t="inlineStr">
        <x:is>
          <x:t xml:space="preserve">反向结算</x:t>
        </x:is>
      </x:c>
      <x:c r="C146" s="3" t="inlineStr">
        <x:is>
          <x:t xml:space="preserve">diamond</x:t>
        </x:is>
      </x:c>
      <x:c r="D146" s="3" t="inlineStr">
        <x:is>
          <x:t xml:space="preserve">settlementMutation</x:t>
        </x:is>
      </x:c>
      <x:c r="E146" s="3" t="inlineStr">
        <x:is>
          <x:t xml:space="preserve">none</x:t>
        </x:is>
      </x:c>
      <x:c r="F146" s="3" t="inlineStr">
        <x:is>
          <x:t xml:space="preserve">2|3</x:t>
        </x:is>
      </x:c>
      <x:c r="G146" s="3" t="inlineStr">
        <x:is>
          <x:t xml:space="preserve">形状从最远格开始结算，而不是从近格开始结算。</x:t>
        </x:is>
      </x:c>
      <x:c r="H146" s="3"/>
      <x:c r="I146" s="3" t="inlineStr">
        <x:is>
          <x:t xml:space="preserve">implemented</x:t>
        </x:is>
      </x:c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  <x:c r="AI146"/>
      <x:c r="AJ146"/>
      <x:c r="AK146"/>
      <x:c r="AL146"/>
      <x:c r="AM146"/>
      <x:c r="AN146"/>
      <x:c r="AO146"/>
      <x:c r="AP146"/>
      <x:c r="AQ146"/>
      <x:c r="AR146"/>
      <x:c r="AS146"/>
      <x:c r="AT146"/>
      <x:c r="AU146"/>
      <x:c r="AV146"/>
      <x:c r="AW146"/>
      <x:c r="AX146"/>
      <x:c r="AY146"/>
      <x:c r="AZ146"/>
    </x:row>
    <x:row r="147">
      <x:c r="A147" s="3" t="inlineStr">
        <x:is>
          <x:t xml:space="preserve">D21</x:t>
        </x:is>
      </x:c>
      <x:c r="B147" s="3" t="inlineStr">
        <x:is>
          <x:t xml:space="preserve">火痕</x:t>
        </x:is>
      </x:c>
      <x:c r="C147" s="3" t="inlineStr">
        <x:is>
          <x:t xml:space="preserve">diamond</x:t>
        </x:is>
      </x:c>
      <x:c r="D147" s="3" t="inlineStr">
        <x:is>
          <x:t xml:space="preserve">boardTrace</x:t>
        </x:is>
      </x:c>
      <x:c r="E147" s="3" t="inlineStr">
        <x:is>
          <x:t xml:space="preserve">none</x:t>
        </x:is>
      </x:c>
      <x:c r="F147" s="3" t="inlineStr">
        <x:is>
          <x:t xml:space="preserve">1|2|3</x:t>
        </x:is>
      </x:c>
      <x:c r="G147" s="3" t="inlineStr">
        <x:is>
          <x:t xml:space="preserve">形状覆盖过的空格留下火痕 1 回合，敌人站上受到 3 点火伤害。</x:t>
        </x:is>
      </x:c>
      <x:c r="H147" s="3"/>
      <x:c r="I147" s="3" t="inlineStr">
        <x:is>
          <x:t xml:space="preserve">implemented</x:t>
        </x:is>
      </x:c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  <x:c r="AI147"/>
      <x:c r="AJ147"/>
      <x:c r="AK147"/>
      <x:c r="AL147"/>
      <x:c r="AM147"/>
      <x:c r="AN147"/>
      <x:c r="AO147"/>
      <x:c r="AP147"/>
      <x:c r="AQ147"/>
      <x:c r="AR147"/>
      <x:c r="AS147"/>
      <x:c r="AT147"/>
      <x:c r="AU147"/>
      <x:c r="AV147"/>
      <x:c r="AW147"/>
      <x:c r="AX147"/>
      <x:c r="AY147"/>
      <x:c r="AZ147"/>
    </x:row>
    <x:row r="148">
      <x:c r="A148" s="3" t="inlineStr">
        <x:is>
          <x:t xml:space="preserve">D22</x:t>
        </x:is>
      </x:c>
      <x:c r="B148" s="3" t="inlineStr">
        <x:is>
          <x:t xml:space="preserve">水痕</x:t>
        </x:is>
      </x:c>
      <x:c r="C148" s="3" t="inlineStr">
        <x:is>
          <x:t xml:space="preserve">diamond</x:t>
        </x:is>
      </x:c>
      <x:c r="D148" s="3" t="inlineStr">
        <x:is>
          <x:t xml:space="preserve">boardTrace</x:t>
        </x:is>
      </x:c>
      <x:c r="E148" s="3" t="inlineStr">
        <x:is>
          <x:t xml:space="preserve">none</x:t>
        </x:is>
      </x:c>
      <x:c r="F148" s="3" t="inlineStr">
        <x:is>
          <x:t xml:space="preserve">1|2|3</x:t>
        </x:is>
      </x:c>
      <x:c r="G148" s="3" t="inlineStr">
        <x:is>
          <x:t xml:space="preserve">覆盖格留下水痕 1 回合，友方站上恢复 5 生命。</x:t>
        </x:is>
      </x:c>
      <x:c r="H148" s="3"/>
      <x:c r="I148" s="3" t="inlineStr">
        <x:is>
          <x:t xml:space="preserve">implemented</x:t>
        </x:is>
      </x:c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  <x:c r="AK148"/>
      <x:c r="AL148"/>
      <x:c r="AM148"/>
      <x:c r="AN148"/>
      <x:c r="AO148"/>
      <x:c r="AP148"/>
      <x:c r="AQ148"/>
      <x:c r="AR148"/>
      <x:c r="AS148"/>
      <x:c r="AT148"/>
      <x:c r="AU148"/>
      <x:c r="AV148"/>
      <x:c r="AW148"/>
      <x:c r="AX148"/>
      <x:c r="AY148"/>
      <x:c r="AZ148"/>
    </x:row>
    <x:row r="149">
      <x:c r="A149" s="3" t="inlineStr">
        <x:is>
          <x:t xml:space="preserve">D23</x:t>
        </x:is>
      </x:c>
      <x:c r="B149" s="3" t="inlineStr">
        <x:is>
          <x:t xml:space="preserve">风痕</x:t>
        </x:is>
      </x:c>
      <x:c r="C149" s="3" t="inlineStr">
        <x:is>
          <x:t xml:space="preserve">diamond</x:t>
        </x:is>
      </x:c>
      <x:c r="D149" s="3" t="inlineStr">
        <x:is>
          <x:t xml:space="preserve">boardTrace</x:t>
        </x:is>
      </x:c>
      <x:c r="E149" s="3" t="inlineStr">
        <x:is>
          <x:t xml:space="preserve">none</x:t>
        </x:is>
      </x:c>
      <x:c r="F149" s="3" t="inlineStr">
        <x:is>
          <x:t xml:space="preserve">1|2|3</x:t>
        </x:is>
      </x:c>
      <x:c r="G149" s="3" t="inlineStr">
        <x:is>
          <x:t xml:space="preserve">覆盖格留下风痕 1 回合，友方站上时下次伤害 +2。</x:t>
        </x:is>
      </x:c>
      <x:c r="H149" s="3"/>
      <x:c r="I149" s="3" t="inlineStr">
        <x:is>
          <x:t xml:space="preserve">implemented</x:t>
        </x:is>
      </x:c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  <x:c r="AI149"/>
      <x:c r="AJ149"/>
      <x:c r="AK149"/>
      <x:c r="AL149"/>
      <x:c r="AM149"/>
      <x:c r="AN149"/>
      <x:c r="AO149"/>
      <x:c r="AP149"/>
      <x:c r="AQ149"/>
      <x:c r="AR149"/>
      <x:c r="AS149"/>
      <x:c r="AT149"/>
      <x:c r="AU149"/>
      <x:c r="AV149"/>
      <x:c r="AW149"/>
      <x:c r="AX149"/>
      <x:c r="AY149"/>
      <x:c r="AZ149"/>
    </x:row>
    <x:row r="150">
      <x:c r="A150" s="3" t="inlineStr">
        <x:is>
          <x:t xml:space="preserve">D24</x:t>
        </x:is>
      </x:c>
      <x:c r="B150" s="3" t="inlineStr">
        <x:is>
          <x:t xml:space="preserve">土痕</x:t>
        </x:is>
      </x:c>
      <x:c r="C150" s="3" t="inlineStr">
        <x:is>
          <x:t xml:space="preserve">diamond</x:t>
        </x:is>
      </x:c>
      <x:c r="D150" s="3" t="inlineStr">
        <x:is>
          <x:t xml:space="preserve">boardTrace</x:t>
        </x:is>
      </x:c>
      <x:c r="E150" s="3" t="inlineStr">
        <x:is>
          <x:t xml:space="preserve">none</x:t>
        </x:is>
      </x:c>
      <x:c r="F150" s="3" t="inlineStr">
        <x:is>
          <x:t xml:space="preserve">1|2|3</x:t>
        </x:is>
      </x:c>
      <x:c r="G150" s="3" t="inlineStr">
        <x:is>
          <x:t xml:space="preserve">覆盖格留下土痕 1 回合，友方站上获得 8 护盾。</x:t>
        </x:is>
      </x:c>
      <x:c r="H150" s="3"/>
      <x:c r="I150" s="3" t="inlineStr">
        <x:is>
          <x:t xml:space="preserve">implemented</x:t>
        </x:is>
      </x:c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  <x:c r="AI150"/>
      <x:c r="AJ150"/>
      <x:c r="AK150"/>
      <x:c r="AL150"/>
      <x:c r="AM150"/>
      <x:c r="AN150"/>
      <x:c r="AO150"/>
      <x:c r="AP150"/>
      <x:c r="AQ150"/>
      <x:c r="AR150"/>
      <x:c r="AS150"/>
      <x:c r="AT150"/>
      <x:c r="AU150"/>
      <x:c r="AV150"/>
      <x:c r="AW150"/>
      <x:c r="AX150"/>
      <x:c r="AY150"/>
      <x:c r="AZ150"/>
    </x:row>
    <x:row r="151">
      <x:c r="A151" s="3" t="inlineStr">
        <x:is>
          <x:t xml:space="preserve">D25</x:t>
        </x:is>
      </x:c>
      <x:c r="B151" s="3" t="inlineStr">
        <x:is>
          <x:t xml:space="preserve">金痕</x:t>
        </x:is>
      </x:c>
      <x:c r="C151" s="3" t="inlineStr">
        <x:is>
          <x:t xml:space="preserve">diamond</x:t>
        </x:is>
      </x:c>
      <x:c r="D151" s="3" t="inlineStr">
        <x:is>
          <x:t xml:space="preserve">boardTrace</x:t>
        </x:is>
      </x:c>
      <x:c r="E151" s="3" t="inlineStr">
        <x:is>
          <x:t xml:space="preserve">none</x:t>
        </x:is>
      </x:c>
      <x:c r="F151" s="3" t="inlineStr">
        <x:is>
          <x:t xml:space="preserve">1|2|3</x:t>
        </x:is>
      </x:c>
      <x:c r="G151" s="3" t="inlineStr">
        <x:is>
          <x:t xml:space="preserve">覆盖格留下金痕 1 回合，下一次命中该格敌人的攻击伤害 +2。</x:t>
        </x:is>
      </x:c>
      <x:c r="H151" s="3"/>
      <x:c r="I151" s="3" t="inlineStr">
        <x:is>
          <x:t xml:space="preserve">implemented</x:t>
        </x:is>
      </x:c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  <x:c r="AK151"/>
      <x:c r="AL151"/>
      <x:c r="AM151"/>
      <x:c r="AN151"/>
      <x:c r="AO151"/>
      <x:c r="AP151"/>
      <x:c r="AQ151"/>
      <x:c r="AR151"/>
      <x:c r="AS151"/>
      <x:c r="AT151"/>
      <x:c r="AU151"/>
      <x:c r="AV151"/>
      <x:c r="AW151"/>
      <x:c r="AX151"/>
      <x:c r="AY151"/>
      <x:c r="AZ151"/>
    </x:row>
    <x:row r="152">
      <x:c r="A152" s="3" t="inlineStr">
        <x:is>
          <x:t xml:space="preserve">D26</x:t>
        </x:is>
      </x:c>
      <x:c r="B152" s="3" t="inlineStr">
        <x:is>
          <x:t xml:space="preserve">木痕</x:t>
        </x:is>
      </x:c>
      <x:c r="C152" s="3" t="inlineStr">
        <x:is>
          <x:t xml:space="preserve">diamond</x:t>
        </x:is>
      </x:c>
      <x:c r="D152" s="3" t="inlineStr">
        <x:is>
          <x:t xml:space="preserve">boardTrace</x:t>
        </x:is>
      </x:c>
      <x:c r="E152" s="3" t="inlineStr">
        <x:is>
          <x:t xml:space="preserve">none</x:t>
        </x:is>
      </x:c>
      <x:c r="F152" s="3" t="inlineStr">
        <x:is>
          <x:t xml:space="preserve">1|2|3</x:t>
        </x:is>
      </x:c>
      <x:c r="G152" s="3" t="inlineStr">
        <x:is>
          <x:t xml:space="preserve">覆盖格留下木痕 1 回合，回合开始时恢复站在上面的友方 4 生命。</x:t>
        </x:is>
      </x:c>
      <x:c r="H152" s="3"/>
      <x:c r="I152" s="3" t="inlineStr">
        <x:is>
          <x:t xml:space="preserve">implemented</x:t>
        </x:is>
      </x:c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  <x:c r="AK152"/>
      <x:c r="AL152"/>
      <x:c r="AM152"/>
      <x:c r="AN152"/>
      <x:c r="AO152"/>
      <x:c r="AP152"/>
      <x:c r="AQ152"/>
      <x:c r="AR152"/>
      <x:c r="AS152"/>
      <x:c r="AT152"/>
      <x:c r="AU152"/>
      <x:c r="AV152"/>
      <x:c r="AW152"/>
      <x:c r="AX152"/>
      <x:c r="AY152"/>
      <x:c r="AZ152"/>
    </x:row>
    <x:row r="153">
      <x:c r="A153" s="3" t="inlineStr">
        <x:is>
          <x:t xml:space="preserve">D27</x:t>
        </x:is>
      </x:c>
      <x:c r="B153" s="3" t="inlineStr">
        <x:is>
          <x:t xml:space="preserve">佛光</x:t>
        </x:is>
      </x:c>
      <x:c r="C153" s="3" t="inlineStr">
        <x:is>
          <x:t xml:space="preserve">diamond</x:t>
        </x:is>
      </x:c>
      <x:c r="D153" s="3" t="inlineStr">
        <x:is>
          <x:t xml:space="preserve">boardTrace</x:t>
        </x:is>
      </x:c>
      <x:c r="E153" s="3" t="inlineStr">
        <x:is>
          <x:t xml:space="preserve">none</x:t>
        </x:is>
      </x:c>
      <x:c r="F153" s="3" t="inlineStr">
        <x:is>
          <x:t xml:space="preserve">1|2|3</x:t>
        </x:is>
      </x:c>
      <x:c r="G153" s="3" t="inlineStr">
        <x:is>
          <x:t xml:space="preserve">覆盖格留下佛光 1 回合，友方站上恢复 6 生命，敌人站上无效果。</x:t>
        </x:is>
      </x:c>
      <x:c r="H153" s="3"/>
      <x:c r="I153" s="3" t="inlineStr">
        <x:is>
          <x:t xml:space="preserve">implemented</x:t>
        </x:is>
      </x:c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  <x:c r="AK153"/>
      <x:c r="AL153"/>
      <x:c r="AM153"/>
      <x:c r="AN153"/>
      <x:c r="AO153"/>
      <x:c r="AP153"/>
      <x:c r="AQ153"/>
      <x:c r="AR153"/>
      <x:c r="AS153"/>
      <x:c r="AT153"/>
      <x:c r="AU153"/>
      <x:c r="AV153"/>
      <x:c r="AW153"/>
      <x:c r="AX153"/>
      <x:c r="AY153"/>
      <x:c r="AZ153"/>
    </x:row>
    <x:row r="154">
      <x:c r="A154" s="3" t="inlineStr">
        <x:is>
          <x:t xml:space="preserve">D28</x:t>
        </x:is>
      </x:c>
      <x:c r="B154" s="3" t="inlineStr">
        <x:is>
          <x:t xml:space="preserve">流沙</x:t>
        </x:is>
      </x:c>
      <x:c r="C154" s="3" t="inlineStr">
        <x:is>
          <x:t xml:space="preserve">diamond</x:t>
        </x:is>
      </x:c>
      <x:c r="D154" s="3" t="inlineStr">
        <x:is>
          <x:t xml:space="preserve">boardTrace</x:t>
        </x:is>
      </x:c>
      <x:c r="E154" s="3" t="inlineStr">
        <x:is>
          <x:t xml:space="preserve">none</x:t>
        </x:is>
      </x:c>
      <x:c r="F154" s="3" t="inlineStr">
        <x:is>
          <x:t xml:space="preserve">1|2|3</x:t>
        </x:is>
      </x:c>
      <x:c r="G154" s="3" t="inlineStr">
        <x:is>
          <x:t xml:space="preserve">覆盖格留下流沙 1 回合，敌人站上受到 2 点伤害，并使其下次受伤 +2。</x:t>
        </x:is>
      </x:c>
      <x:c r="H154" s="3"/>
      <x:c r="I154" s="3" t="inlineStr">
        <x:is>
          <x:t xml:space="preserve">implemented</x:t>
        </x:is>
      </x:c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  <x:c r="AK154"/>
      <x:c r="AL154"/>
      <x:c r="AM154"/>
      <x:c r="AN154"/>
      <x:c r="AO154"/>
      <x:c r="AP154"/>
      <x:c r="AQ154"/>
      <x:c r="AR154"/>
      <x:c r="AS154"/>
      <x:c r="AT154"/>
      <x:c r="AU154"/>
      <x:c r="AV154"/>
      <x:c r="AW154"/>
      <x:c r="AX154"/>
      <x:c r="AY154"/>
      <x:c r="AZ154"/>
    </x:row>
    <x:row r="155">
      <x:c r="A155" s="3" t="inlineStr">
        <x:is>
          <x:t xml:space="preserve">D29</x:t>
        </x:is>
      </x:c>
      <x:c r="B155" s="3" t="inlineStr">
        <x:is>
          <x:t xml:space="preserve">妖印</x:t>
        </x:is>
      </x:c>
      <x:c r="C155" s="3" t="inlineStr">
        <x:is>
          <x:t xml:space="preserve">diamond</x:t>
        </x:is>
      </x:c>
      <x:c r="D155" s="3" t="inlineStr">
        <x:is>
          <x:t xml:space="preserve">boardTrace</x:t>
        </x:is>
      </x:c>
      <x:c r="E155" s="3" t="inlineStr">
        <x:is>
          <x:t xml:space="preserve">none</x:t>
        </x:is>
      </x:c>
      <x:c r="F155" s="3" t="inlineStr">
        <x:is>
          <x:t xml:space="preserve">1|2|3</x:t>
        </x:is>
      </x:c>
      <x:c r="G155" s="3" t="inlineStr">
        <x:is>
          <x:t xml:space="preserve">覆盖格留下妖印 1 回合，敌人站上后被标记，下次受到伤害 +4。</x:t>
        </x:is>
      </x:c>
      <x:c r="H155" s="3"/>
      <x:c r="I155" s="3" t="inlineStr">
        <x:is>
          <x:t xml:space="preserve">implemented</x:t>
        </x:is>
      </x:c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  <x:c r="AK155"/>
      <x:c r="AL155"/>
      <x:c r="AM155"/>
      <x:c r="AN155"/>
      <x:c r="AO155"/>
      <x:c r="AP155"/>
      <x:c r="AQ155"/>
      <x:c r="AR155"/>
      <x:c r="AS155"/>
      <x:c r="AT155"/>
      <x:c r="AU155"/>
      <x:c r="AV155"/>
      <x:c r="AW155"/>
      <x:c r="AX155"/>
      <x:c r="AY155"/>
      <x:c r="AZ155"/>
    </x:row>
    <x:row r="156">
      <x:c r="A156" s="3" t="inlineStr">
        <x:is>
          <x:t xml:space="preserve">D30</x:t>
        </x:is>
      </x:c>
      <x:c r="B156" s="3" t="inlineStr">
        <x:is>
          <x:t xml:space="preserve">纸符</x:t>
        </x:is>
      </x:c>
      <x:c r="C156" s="3" t="inlineStr">
        <x:is>
          <x:t xml:space="preserve">diamond</x:t>
        </x:is>
      </x:c>
      <x:c r="D156" s="3" t="inlineStr">
        <x:is>
          <x:t xml:space="preserve">boardTrace</x:t>
        </x:is>
      </x:c>
      <x:c r="E156" s="3" t="inlineStr">
        <x:is>
          <x:t xml:space="preserve">none</x:t>
        </x:is>
      </x:c>
      <x:c r="F156" s="3" t="inlineStr">
        <x:is>
          <x:t xml:space="preserve">1|2|3</x:t>
        </x:is>
      </x:c>
      <x:c r="G156" s="3" t="inlineStr">
        <x:is>
          <x:t xml:space="preserve">核心格留下纸符 1 回合，下一次经过该格的作用形状额外结算 1 次。</x:t>
        </x:is>
      </x:c>
      <x:c r="H156" s="3" t="inlineStr">
        <x:is>
          <x:t xml:space="preserve">最有纸上西游特色，但强度较高，建议稀有。</x:t>
        </x:is>
      </x:c>
      <x:c r="I156" s="3" t="inlineStr">
        <x:is>
          <x:t xml:space="preserve">implemented</x:t>
        </x:is>
      </x:c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/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  <x:c r="AI156"/>
      <x:c r="AJ156"/>
      <x:c r="AK156"/>
      <x:c r="AL156"/>
      <x:c r="AM156"/>
      <x:c r="AN156"/>
      <x:c r="AO156"/>
      <x:c r="AP156"/>
      <x:c r="AQ156"/>
      <x:c r="AR156"/>
      <x:c r="AS156"/>
      <x:c r="AT156"/>
      <x:c r="AU156"/>
      <x:c r="AV156"/>
      <x:c r="AW156"/>
      <x:c r="AX156"/>
      <x:c r="AY156"/>
      <x:c r="AZ156"/>
    </x:row>
    <x:row r="157">
      <x:c r="A157" s="9" t="str">
        <x:v>#csv</x:v>
      </x:c>
      <x:c r="B157" s="9" t="str">
        <x:v>31_battle_rules.csv</x:v>
      </x:c>
      <x:c r="C157" s="9" t="str">
        <x:v>正式双人战斗可调规则：宠物重置次数补充间隔和开局次数。</x:v>
      </x:c>
      <x:c r="D157" s="9"/>
      <x:c r="E157" s="9"/>
      <x:c r="F157" s="9"/>
      <x:c r="G157" s="9"/>
      <x:c r="H157" s="9"/>
      <x:c r="I157" s="9"/>
      <x:c r="J157" s="9"/>
      <x:c r="K157" s="9"/>
      <x:c r="L157" s="9"/>
      <x:c r="M157" s="9"/>
      <x:c r="N157" s="9"/>
      <x:c r="O157" s="9"/>
      <x:c r="P157" s="9"/>
      <x:c r="Q157" s="9"/>
      <x:c r="R157" s="9"/>
      <x:c r="S157" s="9"/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  <x:c r="AK157"/>
      <x:c r="AL157"/>
      <x:c r="AM157"/>
      <x:c r="AN157"/>
      <x:c r="AO157"/>
      <x:c r="AP157"/>
      <x:c r="AQ157"/>
      <x:c r="AR157"/>
      <x:c r="AS157"/>
      <x:c r="AT157"/>
      <x:c r="AU157"/>
      <x:c r="AV157"/>
      <x:c r="AW157"/>
      <x:c r="AX157"/>
      <x:c r="AY157"/>
      <x:c r="AZ157"/>
    </x:row>
    <x:row r="158">
      <x:c r="A158" s="14" t="str">
        <x:v>rule_id</x:v>
      </x:c>
      <x:c r="B158" s="14" t="str">
        <x:v>value</x:v>
      </x:c>
      <x:c r="C158" s="14" t="str">
        <x:v>unit</x:v>
      </x:c>
      <x:c r="D158" s="14" t="str">
        <x:v>description</x:v>
      </x:c>
      <x:c r="E158" s="14" t="str">
        <x:v>status</x:v>
      </x:c>
      <x:c r="F158" s="14"/>
      <x:c r="G158" s="14"/>
      <x:c r="H158" s="14"/>
      <x:c r="I158" s="14"/>
      <x:c r="J158" s="14"/>
      <x:c r="K158" s="14"/>
      <x:c r="L158" s="14"/>
      <x:c r="M158" s="14"/>
      <x:c r="N158" s="14"/>
      <x:c r="O158" s="14"/>
      <x:c r="P158" s="14"/>
      <x:c r="Q158" s="14"/>
      <x:c r="R158" s="14"/>
      <x:c r="S158" s="14"/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  <x:c r="AI158"/>
      <x:c r="AJ158"/>
      <x:c r="AK158"/>
      <x:c r="AL158"/>
      <x:c r="AM158"/>
      <x:c r="AN158"/>
      <x:c r="AO158"/>
      <x:c r="AP158"/>
      <x:c r="AQ158"/>
      <x:c r="AR158"/>
      <x:c r="AS158"/>
      <x:c r="AT158"/>
      <x:c r="AU158"/>
      <x:c r="AV158"/>
      <x:c r="AW158"/>
      <x:c r="AX158"/>
      <x:c r="AY158"/>
      <x:c r="AZ158"/>
    </x:row>
    <x:row r="159">
      <x:c r="A159" s="16" t="str">
        <x:v>pet_reset_charge_interval</x:v>
      </x:c>
      <x:c r="B159" s="16" t="n">
        <x:v>5</x:v>
      </x:c>
      <x:c r="C159" s="16" t="str">
        <x:v>rounds</x:v>
      </x:c>
      <x:c r="D159" s="16" t="str">
        <x:v>正式双人战斗每5回合为双方各增加1次宠物重置次数；进入第5和第10回合时补充。</x:v>
      </x:c>
      <x:c r="E159" s="16" t="str">
        <x:v>正式</x:v>
      </x:c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  <x:c r="AK159"/>
      <x:c r="AL159"/>
      <x:c r="AM159"/>
      <x:c r="AN159"/>
      <x:c r="AO159"/>
      <x:c r="AP159"/>
      <x:c r="AQ159"/>
      <x:c r="AR159"/>
      <x:c r="AS159"/>
      <x:c r="AT159"/>
      <x:c r="AU159"/>
      <x:c r="AV159"/>
      <x:c r="AW159"/>
      <x:c r="AX159"/>
      <x:c r="AY159"/>
      <x:c r="AZ159"/>
    </x:row>
    <x:row r="160">
      <x:c r="A160" s="16" t="str">
        <x:v>pet_reset_initial_charges</x:v>
      </x:c>
      <x:c r="B160" s="16" t="n">
        <x:v>0</x:v>
      </x:c>
      <x:c r="C160" s="16" t="str">
        <x:v>count</x:v>
      </x:c>
      <x:c r="D160" s="16" t="str">
        <x:v>正式双人战斗开局不赠送宠物重置次数。</x:v>
      </x:c>
      <x:c r="E160" s="16" t="str">
        <x:v>正式</x:v>
      </x:c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  <x:c r="AI160"/>
      <x:c r="AJ160"/>
      <x:c r="AK160"/>
      <x:c r="AL160"/>
      <x:c r="AM160"/>
      <x:c r="AN160"/>
      <x:c r="AO160"/>
      <x:c r="AP160"/>
      <x:c r="AQ160"/>
      <x:c r="AR160"/>
      <x:c r="AS160"/>
      <x:c r="AT160"/>
      <x:c r="AU160"/>
      <x:c r="AV160"/>
      <x:c r="AW160"/>
      <x:c r="AX160"/>
      <x:c r="AY160"/>
      <x:c r="AZ16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4" hidden="0" customWidth="1"/>
    <x:col min="2" max="2" width="20" hidden="0" customWidth="1"/>
    <x:col min="3" max="3" width="62" hidden="0" customWidth="1"/>
    <x:col min="4" max="4" width="24" hidden="0" customWidth="1"/>
    <x:col min="5" max="5" width="48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0" customWidth="1"/>
    <x:col min="11" max="11" width="21" customWidth="1"/>
    <x:col min="12" max="12" width="10" customWidth="1"/>
    <x:col min="13" max="13" width="10" customWidth="1"/>
    <x:col min="14" max="14" width="16" customWidth="1"/>
    <x:col min="15" max="15" width="13" customWidth="1"/>
    <x:col min="16" max="16" width="10" customWidth="1"/>
    <x:col min="17" max="17" width="10" customWidth="1"/>
    <x:col min="18" max="18" width="10" customWidth="1"/>
    <x:col min="19" max="19" width="10" customWidth="1"/>
    <x:col min="20" max="20" width="10" customWidth="1"/>
    <x:col min="21" max="21" width="10" customWidth="1"/>
    <x:col min="22" max="22" width="10" customWidth="1"/>
    <x:col min="23" max="23" width="10" customWidth="1"/>
    <x:col min="24" max="24" width="10" customWidth="1"/>
    <x:col min="25" max="25" width="10" customWidth="1"/>
    <x:col min="26" max="26" width="10" customWidth="1"/>
    <x:col min="27" max="27" width="30" customWidth="1"/>
  </x:cols>
  <x:sheetData>
    <x:row r="1">
      <x:c r="A1" s="4" t="inlineStr">
        <x:is>
          <x:t xml:space="preserve">#csv</x:t>
        </x:is>
      </x:c>
      <x:c r="B1" s="4" t="inlineStr">
        <x:is>
          <x:t xml:space="preserve">27_shape_catalog.csv</x:t>
        </x:is>
      </x:c>
      <x:c r="C1" s="4" t="inlineStr">
        <x:is>
          <x:t xml:space="preserve">19 个战斗形状目录；offsets/grid 会影响运行时攻击范围和 UI 展示。</x:t>
        </x:is>
      </x:c>
    </x:row>
    <x:row r="2">
      <x:c r="A2" s="5" t="inlineStr">
        <x:is>
          <x:t xml:space="preserve">shape_id</x:t>
        </x:is>
      </x:c>
      <x:c r="B2" s="5" t="inlineStr">
        <x:is>
          <x:t xml:space="preserve">group</x:t>
        </x:is>
      </x:c>
      <x:c r="C2" s="5" t="inlineStr">
        <x:is>
          <x:t xml:space="preserve">label</x:t>
        </x:is>
      </x:c>
      <x:c r="D2" s="5" t="inlineStr">
        <x:is>
          <x:t xml:space="preserve">cell_count</x:t>
        </x:is>
      </x:c>
      <x:c r="E2" s="5" t="inlineStr">
        <x:is>
          <x:t xml:space="preserve">settle_count</x:t>
        </x:is>
      </x:c>
      <x:c r="F2" s="5" t="inlineStr">
        <x:is>
          <x:t xml:space="preserve">offsets</x:t>
        </x:is>
      </x:c>
      <x:c r="G2" s="5" t="inlineStr">
        <x:is>
          <x:t xml:space="preserve">grid</x:t>
        </x:is>
      </x:c>
      <x:c r="H2" s="5" t="inlineStr">
        <x:is>
          <x:t xml:space="preserve">note</x:t>
        </x:is>
      </x:c>
      <x:c r="I2" s="3" t="n"/>
      <x:c r="J2" s="3" t="n"/>
      <x:c r="K2" s="3" t="n"/>
      <x:c r="L2" s="3" t="n"/>
      <x:c r="M2" s="3" t="n"/>
      <x:c r="N2" s="3" t="n"/>
      <x:c r="O2" s="3" t="n"/>
      <x:c r="P2" s="3" t="n"/>
      <x:c r="Q2" s="3" t="n"/>
      <x:c r="R2" s="3" t="n"/>
      <x:c r="S2" s="3" t="n"/>
      <x:c r="T2" s="3" t="n"/>
      <x:c r="U2" s="3" t="n"/>
      <x:c r="V2" s="3" t="n"/>
      <x:c r="W2" s="3" t="n"/>
      <x:c r="X2" s="3" t="n"/>
      <x:c r="Y2" s="3" t="n"/>
      <x:c r="Z2" s="3" t="n"/>
      <x:c r="AA2" s="3" t="n"/>
    </x:row>
    <x:row r="3">
      <x:c r="A3" s="3" t="inlineStr">
        <x:is>
          <x:t xml:space="preserve">01</x:t>
        </x:is>
      </x:c>
      <x:c r="B3" s="3" t="inlineStr">
        <x:is>
          <x:t xml:space="preserve">one</x:t>
        </x:is>
      </x:c>
      <x:c r="C3" s="3" t="inlineStr">
        <x:is>
          <x:t xml:space="preserve">形状01</x:t>
        </x:is>
      </x:c>
      <x:c r="D3" s="3" t="inlineStr">
        <x:is>
          <x:t xml:space="preserve">1</x:t>
        </x:is>
      </x:c>
      <x:c r="E3" s="3" t="inlineStr">
        <x:is>
          <x:t xml:space="preserve">3</x:t>
        </x:is>
      </x:c>
      <x:c r="F3" s="3" t="inlineStr">
        <x:is>
          <x:t xml:space="preserve">[{"dr":0,"dc":1}]</x:t>
        </x:is>
      </x:c>
      <x:c r="G3" s="3" t="inlineStr">
        <x:is>
          <x:t xml:space="preserve">....... / ...●■.. / .......</x:t>
        </x:is>
      </x:c>
      <x:c r="H3" s="3" t="inlineStr">
        <x:is>
          <x:t xml:space="preserve">一格，右侧相邻。</x:t>
        </x:is>
      </x:c>
      <x:c r="I3" s="3" t="n"/>
      <x:c r="J3" s="3" t="n"/>
      <x:c r="K3" s="3" t="n"/>
      <x:c r="L3" s="3" t="n"/>
      <x:c r="M3" s="3" t="n"/>
      <x:c r="N3" s="3" t="n"/>
      <x:c r="O3" s="3" t="n"/>
      <x:c r="P3" s="3" t="n"/>
      <x:c r="Q3" s="3" t="n"/>
      <x:c r="R3" s="3" t="n"/>
      <x:c r="S3" s="3" t="n"/>
      <x:c r="T3" s="3" t="n"/>
      <x:c r="U3" s="3" t="n"/>
      <x:c r="V3" s="3" t="n"/>
      <x:c r="W3" s="3" t="n"/>
      <x:c r="X3" s="3" t="n"/>
      <x:c r="Y3" s="3" t="n"/>
      <x:c r="Z3" s="3" t="n"/>
      <x:c r="AA3" s="3" t="n"/>
    </x:row>
    <x:row r="4">
      <x:c r="A4" s="3" t="inlineStr">
        <x:is>
          <x:t xml:space="preserve">02</x:t>
        </x:is>
      </x:c>
      <x:c r="B4" s="3" t="inlineStr">
        <x:is>
          <x:t xml:space="preserve">one</x:t>
        </x:is>
      </x:c>
      <x:c r="C4" s="3" t="inlineStr">
        <x:is>
          <x:t xml:space="preserve">形状02</x:t>
        </x:is>
      </x:c>
      <x:c r="D4" s="3" t="inlineStr">
        <x:is>
          <x:t xml:space="preserve">1</x:t>
        </x:is>
      </x:c>
      <x:c r="E4" s="3" t="inlineStr">
        <x:is>
          <x:t xml:space="preserve">3</x:t>
        </x:is>
      </x:c>
      <x:c r="F4" s="3" t="inlineStr">
        <x:is>
          <x:t xml:space="preserve">[{"dr":0,"dc":2}]</x:t>
        </x:is>
      </x:c>
      <x:c r="G4" s="3" t="inlineStr">
        <x:is>
          <x:t xml:space="preserve">....... / ...●.■. / .......</x:t>
        </x:is>
      </x:c>
      <x:c r="H4" s="3" t="inlineStr">
        <x:is>
          <x:t xml:space="preserve">一格，右侧隔一格。</x:t>
        </x:is>
      </x:c>
      <x:c r="I4" s="3" t="n"/>
      <x:c r="J4" s="3" t="n"/>
      <x:c r="K4" s="3" t="n"/>
      <x:c r="L4" s="3" t="n"/>
      <x:c r="M4" s="3" t="n"/>
      <x:c r="N4" s="3" t="n"/>
      <x:c r="O4" s="3" t="n"/>
      <x:c r="P4" s="3" t="n"/>
      <x:c r="Q4" s="3" t="n"/>
      <x:c r="R4" s="3" t="n"/>
      <x:c r="S4" s="3" t="n"/>
      <x:c r="T4" s="3" t="n"/>
      <x:c r="U4" s="3" t="n"/>
      <x:c r="V4" s="3" t="n"/>
      <x:c r="W4" s="3" t="n"/>
      <x:c r="X4" s="3" t="n"/>
      <x:c r="Y4" s="3" t="n"/>
      <x:c r="Z4" s="3" t="n"/>
      <x:c r="AA4" s="3" t="n"/>
    </x:row>
    <x:row r="5">
      <x:c r="A5" s="3" t="inlineStr">
        <x:is>
          <x:t xml:space="preserve">03</x:t>
        </x:is>
      </x:c>
      <x:c r="B5" s="3" t="inlineStr">
        <x:is>
          <x:t xml:space="preserve">one</x:t>
        </x:is>
      </x:c>
      <x:c r="C5" s="3" t="inlineStr">
        <x:is>
          <x:t xml:space="preserve">形状03</x:t>
        </x:is>
      </x:c>
      <x:c r="D5" s="3" t="inlineStr">
        <x:is>
          <x:t xml:space="preserve">1</x:t>
        </x:is>
      </x:c>
      <x:c r="E5" s="3" t="inlineStr">
        <x:is>
          <x:t xml:space="preserve">3</x:t>
        </x:is>
      </x:c>
      <x:c r="F5" s="3" t="inlineStr">
        <x:is>
          <x:t xml:space="preserve">[{"dr":0,"dc":3}]</x:t>
        </x:is>
      </x:c>
      <x:c r="G5" s="3" t="inlineStr">
        <x:is>
          <x:t xml:space="preserve">....... / ...●..■ / .......</x:t>
        </x:is>
      </x:c>
      <x:c r="H5" s="3" t="inlineStr">
        <x:is>
          <x:t xml:space="preserve">一格，右侧隔两格。</x:t>
        </x:is>
      </x:c>
      <x:c r="I5" s="3" t="n"/>
      <x:c r="J5" s="3" t="n"/>
      <x:c r="K5" s="3" t="n"/>
      <x:c r="L5" s="3" t="n"/>
      <x:c r="M5" s="3" t="n"/>
      <x:c r="N5" s="3" t="n"/>
      <x:c r="O5" s="3" t="n"/>
      <x:c r="P5" s="3" t="n"/>
      <x:c r="Q5" s="3" t="n"/>
      <x:c r="R5" s="3" t="n"/>
      <x:c r="S5" s="3" t="n"/>
      <x:c r="T5" s="3" t="n"/>
      <x:c r="U5" s="3" t="n"/>
      <x:c r="V5" s="3" t="n"/>
      <x:c r="W5" s="3" t="n"/>
      <x:c r="X5" s="3" t="n"/>
      <x:c r="Y5" s="3" t="n"/>
      <x:c r="Z5" s="3" t="n"/>
      <x:c r="AA5" s="3" t="n"/>
    </x:row>
    <x:row r="6">
      <x:c r="A6" s="3" t="inlineStr">
        <x:is>
          <x:t xml:space="preserve">04</x:t>
        </x:is>
      </x:c>
      <x:c r="B6" s="3" t="inlineStr">
        <x:is>
          <x:t xml:space="preserve">one</x:t>
        </x:is>
      </x:c>
      <x:c r="C6" s="3" t="inlineStr">
        <x:is>
          <x:t xml:space="preserve">形状04</x:t>
        </x:is>
      </x:c>
      <x:c r="D6" s="3" t="inlineStr">
        <x:is>
          <x:t xml:space="preserve">1</x:t>
        </x:is>
      </x:c>
      <x:c r="E6" s="3" t="inlineStr">
        <x:is>
          <x:t xml:space="preserve">3</x:t>
        </x:is>
      </x:c>
      <x:c r="F6" s="3" t="inlineStr">
        <x:is>
          <x:t xml:space="preserve">[{"dr":0,"dc":4}]</x:t>
        </x:is>
      </x:c>
      <x:c r="G6" s="3" t="inlineStr">
        <x:is>
          <x:t xml:space="preserve">........ / ...●...■ / ........</x:t>
        </x:is>
      </x:c>
      <x:c r="H6" s="3" t="inlineStr">
        <x:is>
          <x:t xml:space="preserve">一格，右侧更远点。</x:t>
        </x:is>
      </x:c>
      <x:c r="I6" s="3" t="n"/>
      <x:c r="J6" s="3" t="n"/>
      <x:c r="K6" s="3" t="n"/>
      <x:c r="L6" s="3" t="n"/>
      <x:c r="M6" s="3" t="n"/>
      <x:c r="N6" s="3" t="n"/>
      <x:c r="O6" s="3" t="n"/>
      <x:c r="P6" s="3" t="n"/>
      <x:c r="Q6" s="3" t="n"/>
      <x:c r="R6" s="3" t="n"/>
      <x:c r="S6" s="3" t="n"/>
      <x:c r="T6" s="3" t="n"/>
      <x:c r="U6" s="3" t="n"/>
      <x:c r="V6" s="3" t="n"/>
      <x:c r="W6" s="3" t="n"/>
      <x:c r="X6" s="3" t="n"/>
      <x:c r="Y6" s="3" t="n"/>
      <x:c r="Z6" s="3" t="n"/>
      <x:c r="AA6" s="3" t="n"/>
    </x:row>
    <x:row r="7">
      <x:c r="A7" s="3" t="inlineStr">
        <x:is>
          <x:t xml:space="preserve">05</x:t>
        </x:is>
      </x:c>
      <x:c r="B7" s="3" t="inlineStr">
        <x:is>
          <x:t xml:space="preserve">two</x:t>
        </x:is>
      </x:c>
      <x:c r="C7" s="3" t="inlineStr">
        <x:is>
          <x:t xml:space="preserve">形状05</x:t>
        </x:is>
      </x:c>
      <x:c r="D7" s="3" t="inlineStr">
        <x:is>
          <x:t xml:space="preserve">2</x:t>
        </x:is>
      </x:c>
      <x:c r="E7" s="3" t="inlineStr">
        <x:is>
          <x:t xml:space="preserve">3</x:t>
        </x:is>
      </x:c>
      <x:c r="F7" s="3" t="inlineStr">
        <x:is>
          <x:t xml:space="preserve">[{"dr":0,"dc":1},{"dr":0,"dc":2}]</x:t>
        </x:is>
      </x:c>
      <x:c r="G7" s="3" t="inlineStr">
        <x:is>
          <x:t xml:space="preserve">....... / ...●■■. / .......</x:t>
        </x:is>
      </x:c>
      <x:c r="H7" s="3" t="inlineStr">
        <x:is>
          <x:t xml:space="preserve">二格，右侧连续两格。</x:t>
        </x:is>
      </x:c>
      <x:c r="I7" s="3" t="n"/>
      <x:c r="J7" s="3" t="n"/>
      <x:c r="K7" s="3" t="n"/>
      <x:c r="L7" s="3" t="n"/>
      <x:c r="M7" s="3" t="n"/>
      <x:c r="N7" s="3" t="n"/>
      <x:c r="O7" s="3" t="n"/>
      <x:c r="P7" s="3" t="n"/>
      <x:c r="Q7" s="3" t="n"/>
      <x:c r="R7" s="3" t="n"/>
      <x:c r="S7" s="3" t="n"/>
      <x:c r="T7" s="3" t="n"/>
      <x:c r="U7" s="3" t="n"/>
      <x:c r="V7" s="3" t="n"/>
      <x:c r="W7" s="3" t="n"/>
      <x:c r="X7" s="3" t="n"/>
      <x:c r="Y7" s="3" t="n"/>
      <x:c r="Z7" s="3" t="n"/>
      <x:c r="AA7" s="3" t="n"/>
    </x:row>
    <x:row r="8">
      <x:c r="A8" s="3" t="inlineStr">
        <x:is>
          <x:t xml:space="preserve">06</x:t>
        </x:is>
      </x:c>
      <x:c r="B8" s="3" t="inlineStr">
        <x:is>
          <x:t xml:space="preserve">two</x:t>
        </x:is>
      </x:c>
      <x:c r="C8" s="3" t="inlineStr">
        <x:is>
          <x:t xml:space="preserve">形状06</x:t>
        </x:is>
      </x:c>
      <x:c r="D8" s="3" t="inlineStr">
        <x:is>
          <x:t xml:space="preserve">2</x:t>
        </x:is>
      </x:c>
      <x:c r="E8" s="3" t="inlineStr">
        <x:is>
          <x:t xml:space="preserve">3</x:t>
        </x:is>
      </x:c>
      <x:c r="F8" s="3" t="inlineStr">
        <x:is>
          <x:t xml:space="preserve">[{"dr":0,"dc":-1},{"dr":0,"dc":1}]</x:t>
        </x:is>
      </x:c>
      <x:c r="G8" s="3" t="inlineStr">
        <x:is>
          <x:t xml:space="preserve">....... / ..■●■.. / .......</x:t>
        </x:is>
      </x:c>
      <x:c r="H8" s="3" t="inlineStr">
        <x:is>
          <x:t xml:space="preserve">二格，角色左右各一格。</x:t>
        </x:is>
      </x:c>
      <x:c r="I8" s="3" t="n"/>
      <x:c r="J8" s="3" t="n"/>
      <x:c r="K8" s="3" t="n"/>
      <x:c r="L8" s="3" t="n"/>
      <x:c r="M8" s="3" t="n"/>
      <x:c r="N8" s="3" t="n"/>
      <x:c r="O8" s="3" t="n"/>
      <x:c r="P8" s="3" t="n"/>
      <x:c r="Q8" s="3" t="n"/>
      <x:c r="R8" s="3" t="n"/>
      <x:c r="S8" s="3" t="n"/>
      <x:c r="T8" s="3" t="n"/>
      <x:c r="U8" s="3" t="n"/>
      <x:c r="V8" s="3" t="n"/>
      <x:c r="W8" s="3" t="n"/>
      <x:c r="X8" s="3" t="n"/>
      <x:c r="Y8" s="3" t="n"/>
      <x:c r="Z8" s="3" t="n"/>
      <x:c r="AA8" s="3" t="n"/>
    </x:row>
    <x:row r="9">
      <x:c r="A9" s="3" t="inlineStr">
        <x:is>
          <x:t xml:space="preserve">07</x:t>
        </x:is>
      </x:c>
      <x:c r="B9" s="3" t="inlineStr">
        <x:is>
          <x:t xml:space="preserve">two</x:t>
        </x:is>
      </x:c>
      <x:c r="C9" s="3" t="inlineStr">
        <x:is>
          <x:t xml:space="preserve">形状07</x:t>
        </x:is>
      </x:c>
      <x:c r="D9" s="3" t="inlineStr">
        <x:is>
          <x:t xml:space="preserve">2</x:t>
        </x:is>
      </x:c>
      <x:c r="E9" s="3" t="inlineStr">
        <x:is>
          <x:t xml:space="preserve">3</x:t>
        </x:is>
      </x:c>
      <x:c r="F9" s="3" t="inlineStr">
        <x:is>
          <x:t xml:space="preserve">[{"dr":0,"dc":-2},{"dr":0,"dc":2}]</x:t>
        </x:is>
      </x:c>
      <x:c r="G9" s="3" t="inlineStr">
        <x:is>
          <x:t xml:space="preserve">....... / .■.●.■. / .......</x:t>
        </x:is>
      </x:c>
      <x:c r="H9" s="3" t="inlineStr">
        <x:is>
          <x:t xml:space="preserve">二格，角色左右隔点。</x:t>
        </x:is>
      </x:c>
      <x:c r="I9" s="3" t="n"/>
      <x:c r="J9" s="3" t="n"/>
      <x:c r="K9" s="3" t="n"/>
      <x:c r="L9" s="3" t="n"/>
      <x:c r="M9" s="3" t="n"/>
      <x:c r="N9" s="3" t="n"/>
      <x:c r="O9" s="3" t="n"/>
      <x:c r="P9" s="3" t="n"/>
      <x:c r="Q9" s="3" t="n"/>
      <x:c r="R9" s="3" t="n"/>
      <x:c r="S9" s="3" t="n"/>
      <x:c r="T9" s="3" t="n"/>
      <x:c r="U9" s="3" t="n"/>
      <x:c r="V9" s="3" t="n"/>
      <x:c r="W9" s="3" t="n"/>
      <x:c r="X9" s="3" t="n"/>
      <x:c r="Y9" s="3" t="n"/>
      <x:c r="Z9" s="3" t="n"/>
      <x:c r="AA9" s="3" t="n"/>
    </x:row>
    <x:row r="10">
      <x:c r="A10" s="3" t="inlineStr">
        <x:is>
          <x:t xml:space="preserve">08</x:t>
        </x:is>
      </x:c>
      <x:c r="B10" s="3" t="inlineStr">
        <x:is>
          <x:t xml:space="preserve">two</x:t>
        </x:is>
      </x:c>
      <x:c r="C10" s="3" t="inlineStr">
        <x:is>
          <x:t xml:space="preserve">形状08</x:t>
        </x:is>
      </x:c>
      <x:c r="D10" s="3" t="inlineStr">
        <x:is>
          <x:t xml:space="preserve">2</x:t>
        </x:is>
      </x:c>
      <x:c r="E10" s="3" t="inlineStr">
        <x:is>
          <x:t xml:space="preserve">3</x:t>
        </x:is>
      </x:c>
      <x:c r="F10" s="3" t="inlineStr">
        <x:is>
          <x:t xml:space="preserve">[{"dr":0,"dc":2},{"dr":0,"dc":3}]</x:t>
        </x:is>
      </x:c>
      <x:c r="G10" s="3" t="inlineStr">
        <x:is>
          <x:t xml:space="preserve">....... / ...●.■■ / .......</x:t>
        </x:is>
      </x:c>
      <x:c r="H10" s="3" t="inlineStr">
        <x:is>
          <x:t xml:space="preserve">二格，右侧远端连续两格。</x:t>
        </x:is>
      </x:c>
      <x:c r="I10" s="3" t="n"/>
      <x:c r="J10" s="3" t="n"/>
      <x:c r="K10" s="3" t="n"/>
      <x:c r="L10" s="3" t="n"/>
      <x:c r="M10" s="3" t="n"/>
      <x:c r="N10" s="3" t="n"/>
      <x:c r="O10" s="3" t="n"/>
      <x:c r="P10" s="3" t="n"/>
      <x:c r="Q10" s="3" t="n"/>
      <x:c r="R10" s="3" t="n"/>
      <x:c r="S10" s="3" t="n"/>
      <x:c r="T10" s="3" t="n"/>
      <x:c r="U10" s="3" t="n"/>
      <x:c r="V10" s="3" t="n"/>
      <x:c r="W10" s="3" t="n"/>
      <x:c r="X10" s="3" t="n"/>
      <x:c r="Y10" s="3" t="n"/>
      <x:c r="Z10" s="3" t="n"/>
      <x:c r="AA10" s="3" t="n"/>
    </x:row>
    <x:row r="11">
      <x:c r="A11" s="3" t="inlineStr">
        <x:is>
          <x:t xml:space="preserve">09</x:t>
        </x:is>
      </x:c>
      <x:c r="B11" s="3" t="inlineStr">
        <x:is>
          <x:t xml:space="preserve">two</x:t>
        </x:is>
      </x:c>
      <x:c r="C11" s="3" t="inlineStr">
        <x:is>
          <x:t xml:space="preserve">形状09</x:t>
        </x:is>
      </x:c>
      <x:c r="D11" s="3" t="inlineStr">
        <x:is>
          <x:t xml:space="preserve">2</x:t>
        </x:is>
      </x:c>
      <x:c r="E11" s="3" t="inlineStr">
        <x:is>
          <x:t xml:space="preserve">3</x:t>
        </x:is>
      </x:c>
      <x:c r="F11" s="3" t="inlineStr">
        <x:is>
          <x:t xml:space="preserve">[{"dr":-1,"dc":1},{"dr":1,"dc":1}]</x:t>
        </x:is>
      </x:c>
      <x:c r="G11" s="3" t="inlineStr">
        <x:is>
          <x:t xml:space="preserve">....■.. / ...●... / ....■..</x:t>
        </x:is>
      </x:c>
      <x:c r="H11" s="3" t="inlineStr">
        <x:is>
          <x:t xml:space="preserve">二格，右上与右下。</x:t>
        </x:is>
      </x:c>
      <x:c r="I11" s="3" t="n"/>
      <x:c r="J11" s="3" t="n"/>
      <x:c r="K11" s="3" t="n"/>
      <x:c r="L11" s="3" t="n"/>
      <x:c r="M11" s="3" t="n"/>
      <x:c r="N11" s="3" t="n"/>
      <x:c r="O11" s="3" t="n"/>
      <x:c r="P11" s="3" t="n"/>
      <x:c r="Q11" s="3" t="n"/>
      <x:c r="R11" s="3" t="n"/>
      <x:c r="S11" s="3" t="n"/>
      <x:c r="T11" s="3" t="n"/>
      <x:c r="U11" s="3" t="n"/>
      <x:c r="V11" s="3" t="n"/>
      <x:c r="W11" s="3" t="n"/>
      <x:c r="X11" s="3" t="n"/>
      <x:c r="Y11" s="3" t="n"/>
      <x:c r="Z11" s="3" t="n"/>
      <x:c r="AA11" s="3" t="n"/>
    </x:row>
    <x:row r="12">
      <x:c r="A12" s="3" t="inlineStr">
        <x:is>
          <x:t xml:space="preserve">10</x:t>
        </x:is>
      </x:c>
      <x:c r="B12" s="3" t="inlineStr">
        <x:is>
          <x:t xml:space="preserve">two</x:t>
        </x:is>
      </x:c>
      <x:c r="C12" s="3" t="inlineStr">
        <x:is>
          <x:t xml:space="preserve">形状10</x:t>
        </x:is>
      </x:c>
      <x:c r="D12" s="3" t="inlineStr">
        <x:is>
          <x:t xml:space="preserve">2</x:t>
        </x:is>
      </x:c>
      <x:c r="E12" s="3" t="inlineStr">
        <x:is>
          <x:t xml:space="preserve">3</x:t>
        </x:is>
      </x:c>
      <x:c r="F12" s="3" t="inlineStr">
        <x:is>
          <x:t xml:space="preserve">[{"dr":-1,"dc":2},{"dr":1,"dc":2}]</x:t>
        </x:is>
      </x:c>
      <x:c r="G12" s="3" t="inlineStr">
        <x:is>
          <x:t xml:space="preserve">.....■. / ...●... / .....■.</x:t>
        </x:is>
      </x:c>
      <x:c r="H12" s="3" t="inlineStr">
        <x:is>
          <x:t xml:space="preserve">二格，隔点右上与右下。</x:t>
        </x:is>
      </x:c>
      <x:c r="I12" s="3" t="n"/>
      <x:c r="J12" s="3" t="n"/>
      <x:c r="K12" s="3" t="n"/>
      <x:c r="L12" s="3" t="n"/>
      <x:c r="M12" s="3" t="n"/>
      <x:c r="N12" s="3" t="n"/>
      <x:c r="O12" s="3" t="n"/>
      <x:c r="P12" s="3" t="n"/>
      <x:c r="Q12" s="3" t="n"/>
      <x:c r="R12" s="3" t="n"/>
      <x:c r="S12" s="3" t="n"/>
      <x:c r="T12" s="3" t="n"/>
      <x:c r="U12" s="3" t="n"/>
      <x:c r="V12" s="3" t="n"/>
      <x:c r="W12" s="3" t="n"/>
      <x:c r="X12" s="3" t="n"/>
      <x:c r="Y12" s="3" t="n"/>
      <x:c r="Z12" s="3" t="n"/>
      <x:c r="AA12" s="3" t="n"/>
    </x:row>
    <x:row r="13">
      <x:c r="A13" s="3" t="inlineStr">
        <x:is>
          <x:t xml:space="preserve">11</x:t>
        </x:is>
      </x:c>
      <x:c r="B13" s="3" t="inlineStr">
        <x:is>
          <x:t xml:space="preserve">two</x:t>
        </x:is>
      </x:c>
      <x:c r="C13" s="3" t="inlineStr">
        <x:is>
          <x:t xml:space="preserve">形状11</x:t>
        </x:is>
      </x:c>
      <x:c r="D13" s="3" t="inlineStr">
        <x:is>
          <x:t xml:space="preserve">2</x:t>
        </x:is>
      </x:c>
      <x:c r="E13" s="3" t="inlineStr">
        <x:is>
          <x:t xml:space="preserve">3</x:t>
        </x:is>
      </x:c>
      <x:c r="F13" s="3" t="inlineStr">
        <x:is>
          <x:t xml:space="preserve">[{"dr":-1,"dc":-1},{"dr":1,"dc":1}]</x:t>
        </x:is>
      </x:c>
      <x:c r="G13" s="3" t="inlineStr">
        <x:is>
          <x:t xml:space="preserve">..■.... / ...●... / ....■..</x:t>
        </x:is>
      </x:c>
      <x:c r="H13" s="3" t="inlineStr">
        <x:is>
          <x:t xml:space="preserve">二格，左上与右下对角。</x:t>
        </x:is>
      </x:c>
      <x:c r="I13" s="3" t="n"/>
      <x:c r="J13" s="3" t="n"/>
      <x:c r="K13" s="3" t="n"/>
      <x:c r="L13" s="3" t="n"/>
      <x:c r="M13" s="3" t="n"/>
      <x:c r="N13" s="3" t="n"/>
      <x:c r="O13" s="3" t="n"/>
      <x:c r="P13" s="3" t="n"/>
      <x:c r="Q13" s="3" t="n"/>
      <x:c r="R13" s="3" t="n"/>
      <x:c r="S13" s="3" t="n"/>
      <x:c r="T13" s="3" t="n"/>
      <x:c r="U13" s="3" t="n"/>
      <x:c r="V13" s="3" t="n"/>
      <x:c r="W13" s="3" t="n"/>
      <x:c r="X13" s="3" t="n"/>
      <x:c r="Y13" s="3" t="n"/>
      <x:c r="Z13" s="3" t="n"/>
      <x:c r="AA13" s="3" t="n"/>
    </x:row>
    <x:row r="14">
      <x:c r="A14" s="3" t="inlineStr">
        <x:is>
          <x:t xml:space="preserve">12</x:t>
        </x:is>
      </x:c>
      <x:c r="B14" s="3" t="inlineStr">
        <x:is>
          <x:t xml:space="preserve">two</x:t>
        </x:is>
      </x:c>
      <x:c r="C14" s="3" t="inlineStr">
        <x:is>
          <x:t xml:space="preserve">形状12</x:t>
        </x:is>
      </x:c>
      <x:c r="D14" s="3" t="inlineStr">
        <x:is>
          <x:t xml:space="preserve">2</x:t>
        </x:is>
      </x:c>
      <x:c r="E14" s="3" t="inlineStr">
        <x:is>
          <x:t xml:space="preserve">3</x:t>
        </x:is>
      </x:c>
      <x:c r="F14" s="3" t="inlineStr">
        <x:is>
          <x:t xml:space="preserve">[{"dr":0,"dc":-1},{"dr":0,"dc":3}]</x:t>
        </x:is>
      </x:c>
      <x:c r="G14" s="3" t="inlineStr">
        <x:is>
          <x:t xml:space="preserve">....... / ..■●...■ / .......</x:t>
        </x:is>
      </x:c>
      <x:c r="H14" s="3" t="inlineStr">
        <x:is>
          <x:t xml:space="preserve">二格，左邻一格与右侧远点。</x:t>
        </x:is>
      </x:c>
      <x:c r="I14" s="3" t="n"/>
      <x:c r="J14" s="3" t="n"/>
      <x:c r="K14" s="3" t="n"/>
      <x:c r="L14" s="3" t="n"/>
      <x:c r="M14" s="3" t="n"/>
      <x:c r="N14" s="3" t="n"/>
      <x:c r="O14" s="3" t="n"/>
      <x:c r="P14" s="3" t="n"/>
      <x:c r="Q14" s="3" t="n"/>
      <x:c r="R14" s="3" t="n"/>
      <x:c r="S14" s="3" t="n"/>
      <x:c r="T14" s="3" t="n"/>
      <x:c r="U14" s="3" t="n"/>
      <x:c r="V14" s="3" t="n"/>
      <x:c r="W14" s="3" t="n"/>
      <x:c r="X14" s="3" t="n"/>
      <x:c r="Y14" s="3" t="n"/>
      <x:c r="Z14" s="3" t="n"/>
      <x:c r="AA14" s="3" t="n"/>
    </x:row>
    <x:row r="15">
      <x:c r="A15" s="3" t="inlineStr">
        <x:is>
          <x:t xml:space="preserve">13</x:t>
        </x:is>
      </x:c>
      <x:c r="B15" s="3" t="inlineStr">
        <x:is>
          <x:t xml:space="preserve">three</x:t>
        </x:is>
      </x:c>
      <x:c r="C15" s="3" t="inlineStr">
        <x:is>
          <x:t xml:space="preserve">形状13</x:t>
        </x:is>
      </x:c>
      <x:c r="D15" s="3" t="inlineStr">
        <x:is>
          <x:t xml:space="preserve">3</x:t>
        </x:is>
      </x:c>
      <x:c r="E15" s="3" t="inlineStr">
        <x:is>
          <x:t xml:space="preserve">3</x:t>
        </x:is>
      </x:c>
      <x:c r="F15" s="3" t="inlineStr">
        <x:is>
          <x:t xml:space="preserve">[{"dr":-1,"dc":1},{"dr":0,"dc":1},{"dr":1,"dc":1}]</x:t>
        </x:is>
      </x:c>
      <x:c r="G15" s="3" t="inlineStr">
        <x:is>
          <x:t xml:space="preserve">....■.. / ...●■.. / ....■..</x:t>
        </x:is>
      </x:c>
      <x:c r="H15" s="3" t="inlineStr">
        <x:is>
          <x:t xml:space="preserve">三格，右侧相邻竖三格。</x:t>
        </x:is>
      </x:c>
      <x:c r="I15" s="3" t="n"/>
      <x:c r="J15" s="3" t="n"/>
      <x:c r="K15" s="3" t="n"/>
      <x:c r="L15" s="3" t="n"/>
      <x:c r="M15" s="3" t="n"/>
      <x:c r="N15" s="3" t="n"/>
      <x:c r="O15" s="3" t="n"/>
      <x:c r="P15" s="3" t="n"/>
      <x:c r="Q15" s="3" t="n"/>
      <x:c r="R15" s="3" t="n"/>
      <x:c r="S15" s="3" t="n"/>
      <x:c r="T15" s="3" t="n"/>
      <x:c r="U15" s="3" t="n"/>
      <x:c r="V15" s="3" t="n"/>
      <x:c r="W15" s="3" t="n"/>
      <x:c r="X15" s="3" t="n"/>
      <x:c r="Y15" s="3" t="n"/>
      <x:c r="Z15" s="3" t="n"/>
      <x:c r="AA15" s="3" t="n"/>
    </x:row>
    <x:row r="16">
      <x:c r="A16" s="3" t="inlineStr">
        <x:is>
          <x:t xml:space="preserve">14</x:t>
        </x:is>
      </x:c>
      <x:c r="B16" s="3" t="inlineStr">
        <x:is>
          <x:t xml:space="preserve">three</x:t>
        </x:is>
      </x:c>
      <x:c r="C16" s="3" t="inlineStr">
        <x:is>
          <x:t xml:space="preserve">形状14</x:t>
        </x:is>
      </x:c>
      <x:c r="D16" s="3" t="inlineStr">
        <x:is>
          <x:t xml:space="preserve">3</x:t>
        </x:is>
      </x:c>
      <x:c r="E16" s="3" t="inlineStr">
        <x:is>
          <x:t xml:space="preserve">3</x:t>
        </x:is>
      </x:c>
      <x:c r="F16" s="3" t="inlineStr">
        <x:is>
          <x:t xml:space="preserve">[{"dr":-1,"dc":2},{"dr":0,"dc":1},{"dr":1,"dc":2}]</x:t>
        </x:is>
      </x:c>
      <x:c r="G16" s="3" t="inlineStr">
        <x:is>
          <x:t xml:space="preserve">.....■. / ...●■.. / .....■.</x:t>
        </x:is>
      </x:c>
      <x:c r="H16" s="3" t="inlineStr">
        <x:is>
          <x:t xml:space="preserve">三格，右侧近点加远端上下。</x:t>
        </x:is>
      </x:c>
      <x:c r="I16" s="3" t="n"/>
      <x:c r="J16" s="3" t="n"/>
      <x:c r="K16" s="3" t="n"/>
      <x:c r="L16" s="3" t="n"/>
      <x:c r="M16" s="3" t="n"/>
      <x:c r="N16" s="3" t="n"/>
      <x:c r="O16" s="3" t="n"/>
      <x:c r="P16" s="3" t="n"/>
      <x:c r="Q16" s="3" t="n"/>
      <x:c r="R16" s="3" t="n"/>
      <x:c r="S16" s="3" t="n"/>
      <x:c r="T16" s="3" t="n"/>
      <x:c r="U16" s="3" t="n"/>
      <x:c r="V16" s="3" t="n"/>
      <x:c r="W16" s="3" t="n"/>
      <x:c r="X16" s="3" t="n"/>
      <x:c r="Y16" s="3" t="n"/>
      <x:c r="Z16" s="3" t="n"/>
      <x:c r="AA16" s="3" t="n"/>
    </x:row>
    <x:row r="17">
      <x:c r="A17" s="3" t="inlineStr">
        <x:is>
          <x:t xml:space="preserve">15</x:t>
        </x:is>
      </x:c>
      <x:c r="B17" s="3" t="inlineStr">
        <x:is>
          <x:t xml:space="preserve">three</x:t>
        </x:is>
      </x:c>
      <x:c r="C17" s="3" t="inlineStr">
        <x:is>
          <x:t xml:space="preserve">形状15</x:t>
        </x:is>
      </x:c>
      <x:c r="D17" s="3" t="inlineStr">
        <x:is>
          <x:t xml:space="preserve">3</x:t>
        </x:is>
      </x:c>
      <x:c r="E17" s="3" t="inlineStr">
        <x:is>
          <x:t xml:space="preserve">3</x:t>
        </x:is>
      </x:c>
      <x:c r="F17" s="3" t="inlineStr">
        <x:is>
          <x:t xml:space="preserve">[{"dr":0,"dc":1},{"dr":0,"dc":2},{"dr":0,"dc":3}]</x:t>
        </x:is>
      </x:c>
      <x:c r="G17" s="3" t="inlineStr">
        <x:is>
          <x:t xml:space="preserve">....... / ...●■■■ / .......</x:t>
        </x:is>
      </x:c>
      <x:c r="H17" s="3" t="inlineStr">
        <x:is>
          <x:t xml:space="preserve">三格，右侧连续三格。</x:t>
        </x:is>
      </x:c>
      <x:c r="I17" s="3" t="n"/>
      <x:c r="J17" s="3" t="n"/>
      <x:c r="K17" s="3" t="n"/>
      <x:c r="L17" s="3" t="n"/>
      <x:c r="M17" s="3" t="n"/>
      <x:c r="N17" s="3" t="n"/>
      <x:c r="O17" s="3" t="n"/>
      <x:c r="P17" s="3" t="n"/>
      <x:c r="Q17" s="3" t="n"/>
      <x:c r="R17" s="3" t="n"/>
      <x:c r="S17" s="3" t="n"/>
      <x:c r="T17" s="3" t="n"/>
      <x:c r="U17" s="3" t="n"/>
      <x:c r="V17" s="3" t="n"/>
      <x:c r="W17" s="3" t="n"/>
      <x:c r="X17" s="3" t="n"/>
      <x:c r="Y17" s="3" t="n"/>
      <x:c r="Z17" s="3" t="n"/>
      <x:c r="AA17" s="3" t="n"/>
    </x:row>
    <x:row r="18">
      <x:c r="A18" s="3" t="inlineStr">
        <x:is>
          <x:t xml:space="preserve">16</x:t>
        </x:is>
      </x:c>
      <x:c r="B18" s="3" t="inlineStr">
        <x:is>
          <x:t xml:space="preserve">three</x:t>
        </x:is>
      </x:c>
      <x:c r="C18" s="3" t="inlineStr">
        <x:is>
          <x:t xml:space="preserve">形状16</x:t>
        </x:is>
      </x:c>
      <x:c r="D18" s="3" t="inlineStr">
        <x:is>
          <x:t xml:space="preserve">3</x:t>
        </x:is>
      </x:c>
      <x:c r="E18" s="3" t="inlineStr">
        <x:is>
          <x:t xml:space="preserve">3</x:t>
        </x:is>
      </x:c>
      <x:c r="F18" s="3" t="inlineStr">
        <x:is>
          <x:t xml:space="preserve">[{"dr":-1,"dc":2},{"dr":0,"dc":2},{"dr":1,"dc":2}]</x:t>
        </x:is>
      </x:c>
      <x:c r="G18" s="3" t="inlineStr">
        <x:is>
          <x:t xml:space="preserve">.....■. / ...●.■. / .....■.</x:t>
        </x:is>
      </x:c>
      <x:c r="H18" s="3" t="inlineStr">
        <x:is>
          <x:t xml:space="preserve">三格，隔点竖三格。</x:t>
        </x:is>
      </x:c>
      <x:c r="I18" s="3" t="n"/>
      <x:c r="J18" s="3" t="n"/>
      <x:c r="K18" s="3" t="n"/>
      <x:c r="L18" s="3" t="n"/>
      <x:c r="M18" s="3" t="n"/>
      <x:c r="N18" s="3" t="n"/>
      <x:c r="O18" s="3" t="n"/>
      <x:c r="P18" s="3" t="n"/>
      <x:c r="Q18" s="3" t="n"/>
      <x:c r="R18" s="3" t="n"/>
      <x:c r="S18" s="3" t="n"/>
      <x:c r="T18" s="3" t="n"/>
      <x:c r="U18" s="3" t="n"/>
      <x:c r="V18" s="3" t="n"/>
      <x:c r="W18" s="3" t="n"/>
      <x:c r="X18" s="3" t="n"/>
      <x:c r="Y18" s="3" t="n"/>
      <x:c r="Z18" s="3" t="n"/>
      <x:c r="AA18" s="3" t="n"/>
    </x:row>
    <x:row r="19">
      <x:c r="A19" s="3" t="inlineStr">
        <x:is>
          <x:t xml:space="preserve">17</x:t>
        </x:is>
      </x:c>
      <x:c r="B19" s="3" t="inlineStr">
        <x:is>
          <x:t xml:space="preserve">three</x:t>
        </x:is>
      </x:c>
      <x:c r="C19" s="3" t="inlineStr">
        <x:is>
          <x:t xml:space="preserve">形状17</x:t>
        </x:is>
      </x:c>
      <x:c r="D19" s="3" t="inlineStr">
        <x:is>
          <x:t xml:space="preserve">3</x:t>
        </x:is>
      </x:c>
      <x:c r="E19" s="3" t="inlineStr">
        <x:is>
          <x:t xml:space="preserve">3</x:t>
        </x:is>
      </x:c>
      <x:c r="F19" s="3" t="inlineStr">
        <x:is>
          <x:t xml:space="preserve">[{"dr":-1,"dc":0},{"dr":0,"dc":1},{"dr":1,"dc":0}]</x:t>
        </x:is>
      </x:c>
      <x:c r="G19" s="3" t="inlineStr">
        <x:is>
          <x:t xml:space="preserve">...■... / ...●■.. / ...■...</x:t>
        </x:is>
      </x:c>
      <x:c r="H19" s="3" t="inlineStr">
        <x:is>
          <x:t xml:space="preserve">三格，上下夹身加右侧相邻。</x:t>
        </x:is>
      </x:c>
      <x:c r="I19" s="3" t="n"/>
      <x:c r="J19" s="3" t="n"/>
      <x:c r="K19" s="3" t="n"/>
      <x:c r="L19" s="3" t="n"/>
      <x:c r="M19" s="3" t="n"/>
      <x:c r="N19" s="3" t="n"/>
      <x:c r="O19" s="3" t="n"/>
      <x:c r="P19" s="3" t="n"/>
      <x:c r="Q19" s="3" t="n"/>
      <x:c r="R19" s="3" t="n"/>
      <x:c r="S19" s="3" t="n"/>
      <x:c r="T19" s="3" t="n"/>
      <x:c r="U19" s="3" t="n"/>
      <x:c r="V19" s="3" t="n"/>
      <x:c r="W19" s="3" t="n"/>
      <x:c r="X19" s="3" t="n"/>
      <x:c r="Y19" s="3" t="n"/>
      <x:c r="Z19" s="3" t="n"/>
      <x:c r="AA19" s="3" t="n"/>
    </x:row>
    <x:row r="20">
      <x:c r="A20" s="3" t="inlineStr">
        <x:is>
          <x:t xml:space="preserve">18</x:t>
        </x:is>
      </x:c>
      <x:c r="B20" s="3" t="inlineStr">
        <x:is>
          <x:t xml:space="preserve">three</x:t>
        </x:is>
      </x:c>
      <x:c r="C20" s="3" t="inlineStr">
        <x:is>
          <x:t xml:space="preserve">形状18</x:t>
        </x:is>
      </x:c>
      <x:c r="D20" s="3" t="inlineStr">
        <x:is>
          <x:t xml:space="preserve">3</x:t>
        </x:is>
      </x:c>
      <x:c r="E20" s="3" t="inlineStr">
        <x:is>
          <x:t xml:space="preserve">3</x:t>
        </x:is>
      </x:c>
      <x:c r="F20" s="3" t="inlineStr">
        <x:is>
          <x:t xml:space="preserve">[{"dr":-1,"dc":0},{"dr":-1,"dc":1},{"dr":0,"dc":1}]</x:t>
        </x:is>
      </x:c>
      <x:c r="G20" s="3" t="inlineStr">
        <x:is>
          <x:t xml:space="preserve">...■■.. / ...●■.. / .......</x:t>
        </x:is>
      </x:c>
      <x:c r="H20" s="3" t="inlineStr">
        <x:is>
          <x:t xml:space="preserve">三格，右上小角。</x:t>
        </x:is>
      </x:c>
      <x:c r="I20" s="3" t="n"/>
      <x:c r="J20" s="3" t="n"/>
      <x:c r="K20" s="3" t="n"/>
      <x:c r="L20" s="3" t="n"/>
      <x:c r="M20" s="3" t="n"/>
      <x:c r="N20" s="3" t="n"/>
      <x:c r="O20" s="3" t="n"/>
      <x:c r="P20" s="3" t="n"/>
      <x:c r="Q20" s="3" t="n"/>
      <x:c r="R20" s="3" t="n"/>
      <x:c r="S20" s="3" t="n"/>
      <x:c r="T20" s="3" t="n"/>
      <x:c r="U20" s="3" t="n"/>
      <x:c r="V20" s="3" t="n"/>
      <x:c r="W20" s="3" t="n"/>
      <x:c r="X20" s="3" t="n"/>
      <x:c r="Y20" s="3" t="n"/>
      <x:c r="Z20" s="3" t="n"/>
      <x:c r="AA20" s="3" t="n"/>
    </x:row>
    <x:row r="21">
      <x:c r="A21" s="3" t="inlineStr">
        <x:is>
          <x:t xml:space="preserve">19</x:t>
        </x:is>
      </x:c>
      <x:c r="B21" s="3" t="inlineStr">
        <x:is>
          <x:t xml:space="preserve">three</x:t>
        </x:is>
      </x:c>
      <x:c r="C21" s="3" t="inlineStr">
        <x:is>
          <x:t xml:space="preserve">形状19</x:t>
        </x:is>
      </x:c>
      <x:c r="D21" s="3" t="inlineStr">
        <x:is>
          <x:t xml:space="preserve">3</x:t>
        </x:is>
      </x:c>
      <x:c r="E21" s="3" t="inlineStr">
        <x:is>
          <x:t xml:space="preserve">3</x:t>
        </x:is>
      </x:c>
      <x:c r="F21" s="3" t="inlineStr">
        <x:is>
          <x:t xml:space="preserve">[{"dr":-1,"dc":1},{"dr":-1,"dc":2},{"dr":0,"dc":2}]</x:t>
        </x:is>
      </x:c>
      <x:c r="G21" s="3" t="inlineStr">
        <x:is>
          <x:t xml:space="preserve">....■■. / ...●.■. / .......</x:t>
        </x:is>
      </x:c>
      <x:c r="H21" s="3" t="inlineStr">
        <x:is>
          <x:t xml:space="preserve">三格，隔点右上小角。</x:t>
        </x:is>
      </x:c>
      <x:c r="I21" s="3" t="n"/>
      <x:c r="J21" s="3" t="n"/>
      <x:c r="K21" s="3" t="n"/>
      <x:c r="L21" s="3" t="n"/>
      <x:c r="M21" s="3" t="n"/>
      <x:c r="N21" s="3" t="n"/>
      <x:c r="O21" s="3" t="n"/>
      <x:c r="P21" s="3" t="n"/>
      <x:c r="Q21" s="3" t="n"/>
      <x:c r="R21" s="3" t="n"/>
      <x:c r="S21" s="3" t="n"/>
      <x:c r="T21" s="3" t="n"/>
      <x:c r="U21" s="3" t="n"/>
      <x:c r="V21" s="3" t="n"/>
      <x:c r="W21" s="3" t="n"/>
      <x:c r="X21" s="3" t="n"/>
      <x:c r="Y21" s="3" t="n"/>
      <x:c r="Z21" s="3" t="n"/>
      <x:c r="AA21" s="3" t="n"/>
    </x:row>
    <x:row r="22">
      <x:c r="A22" s="3" t="n"/>
      <x:c r="B22" s="3" t="n"/>
      <x:c r="C22" s="3" t="n"/>
      <x:c r="D22" s="3" t="n"/>
      <x:c r="E22" s="3" t="n"/>
      <x:c r="F22" s="3" t="n"/>
      <x:c r="G22" s="3" t="n"/>
      <x:c r="H22" s="3" t="n"/>
      <x:c r="I22" s="3" t="n"/>
      <x:c r="J22" s="3" t="n"/>
      <x:c r="K22" s="3" t="n"/>
      <x:c r="L22" s="3" t="n"/>
      <x:c r="M22" s="3" t="n"/>
      <x:c r="N22" s="3" t="n"/>
      <x:c r="O22" s="3" t="n"/>
      <x:c r="P22" s="3" t="n"/>
      <x:c r="Q22" s="3" t="n"/>
      <x:c r="R22" s="3" t="n"/>
      <x:c r="S22" s="3" t="n"/>
      <x:c r="T22" s="3" t="n"/>
      <x:c r="U22" s="3" t="n"/>
      <x:c r="V22" s="3" t="n"/>
      <x:c r="W22" s="3" t="n"/>
      <x:c r="X22" s="3" t="n"/>
      <x:c r="Y22" s="3" t="n"/>
      <x:c r="Z22" s="3" t="n"/>
      <x:c r="AA22" s="3" t="n"/>
    </x:row>
    <x:row r="23">
      <x:c r="A23" s="6" t="inlineStr">
        <x:is>
          <x:t xml:space="preserve">#csv</x:t>
        </x:is>
      </x:c>
      <x:c r="B23" s="6" t="inlineStr">
        <x:is>
          <x:t xml:space="preserve">15_summon_trial_questions.csv</x:t>
        </x:is>
      </x:c>
      <x:c r="C23" s="6" t="inlineStr">
        <x:is>
          <x:t xml:space="preserve">召唤试炼题库。</x:t>
        </x:is>
      </x:c>
      <x:c r="D23" s="6" t="n"/>
      <x:c r="E23" s="6" t="n"/>
      <x:c r="F23" s="6" t="n"/>
      <x:c r="G23" s="6" t="n"/>
      <x:c r="H23" s="6" t="n"/>
      <x:c r="I23" s="3" t="n"/>
      <x:c r="J23" s="3" t="n"/>
      <x:c r="K23" s="3" t="n"/>
      <x:c r="L23" s="3" t="n"/>
      <x:c r="M23" s="3" t="n"/>
      <x:c r="N23" s="3" t="n"/>
      <x:c r="O23" s="3" t="n"/>
      <x:c r="P23" s="3" t="n"/>
      <x:c r="Q23" s="3" t="n"/>
      <x:c r="R23" s="3" t="n"/>
      <x:c r="S23" s="3" t="n"/>
      <x:c r="T23" s="3" t="n"/>
      <x:c r="U23" s="3" t="n"/>
      <x:c r="V23" s="3" t="n"/>
      <x:c r="W23" s="3" t="n"/>
      <x:c r="X23" s="3" t="n"/>
      <x:c r="Y23" s="3" t="n"/>
      <x:c r="Z23" s="3" t="n"/>
      <x:c r="AA23" s="3" t="n"/>
    </x:row>
    <x:row r="24">
      <x:c r="A24" s="5" t="inlineStr">
        <x:is>
          <x:t xml:space="preserve">题库ID</x:t>
        </x:is>
      </x:c>
      <x:c r="B24" s="5" t="inlineStr">
        <x:is>
          <x:t xml:space="preserve">钻石原型宠物ID</x:t>
        </x:is>
      </x:c>
      <x:c r="C24" s="5" t="inlineStr">
        <x:is>
          <x:t xml:space="preserve">原型名称</x:t>
        </x:is>
      </x:c>
      <x:c r="D24" s="5" t="inlineStr">
        <x:is>
          <x:t xml:space="preserve">题型</x:t>
        </x:is>
      </x:c>
      <x:c r="E24" s="5" t="inlineStr">
        <x:is>
          <x:t xml:space="preserve">复制体品质</x:t>
        </x:is>
      </x:c>
      <x:c r="F24" s="5" t="inlineStr">
        <x:is>
          <x:t xml:space="preserve">复制体HP</x:t>
        </x:is>
      </x:c>
      <x:c r="G24" s="5" t="inlineStr">
        <x:is>
          <x:t xml:space="preserve">复制体攻</x:t>
        </x:is>
      </x:c>
      <x:c r="H24" s="5" t="inlineStr">
        <x:is>
          <x:t xml:space="preserve">复制体防</x:t>
        </x:is>
      </x:c>
      <x:c r="I24" s="5" t="inlineStr">
        <x:is>
          <x:t xml:space="preserve">复制体盾</x:t>
        </x:is>
      </x:c>
      <x:c r="J24" s="5" t="inlineStr">
        <x:is>
          <x:t xml:space="preserve">复制体行动</x:t>
        </x:is>
      </x:c>
      <x:c r="K24" s="5" t="inlineStr">
        <x:is>
          <x:t xml:space="preserve">机制ID</x:t>
        </x:is>
      </x:c>
      <x:c r="L24" s="5" t="inlineStr">
        <x:is>
          <x:t xml:space="preserve">是否有元素</x:t>
        </x:is>
      </x:c>
      <x:c r="M24" s="5" t="inlineStr">
        <x:is>
          <x:t xml:space="preserve">是否铺场</x:t>
        </x:is>
      </x:c>
      <x:c r="N24" s="5" t="inlineStr">
        <x:is>
          <x:t xml:space="preserve">解题方式</x:t>
        </x:is>
      </x:c>
      <x:c r="O24" s="5" t="inlineStr">
        <x:is>
          <x:t xml:space="preserve">备注</x:t>
        </x:is>
      </x:c>
      <x:c r="P24" s="3" t="n"/>
      <x:c r="Q24" s="3" t="n"/>
      <x:c r="R24" s="3" t="n"/>
      <x:c r="S24" s="3" t="n"/>
      <x:c r="T24" s="3" t="n"/>
      <x:c r="U24" s="3" t="n"/>
      <x:c r="V24" s="3" t="n"/>
      <x:c r="W24" s="3" t="n"/>
      <x:c r="X24" s="3" t="n"/>
      <x:c r="Y24" s="3" t="n"/>
      <x:c r="Z24" s="3" t="n"/>
      <x:c r="AA24" s="3" t="n"/>
    </x:row>
    <x:row r="25">
      <x:c r="A25" s="3" t="inlineStr">
        <x:is>
          <x:t xml:space="preserve">trial_q_quantity</x:t>
        </x:is>
      </x:c>
      <x:c r="B25" s="3" t="inlineStr">
        <x:is>
          <x:t xml:space="preserve">pal_001</x:t>
        </x:is>
      </x:c>
      <x:c r="C25" s="3" t="inlineStr">
        <x:is>
          <x:t xml:space="preserve">棉悠悠</x:t>
        </x:is>
      </x:c>
      <x:c r="D25" s="3" t="inlineStr">
        <x:is>
          <x:t xml:space="preserve">数量/站场</x:t>
        </x:is>
      </x:c>
      <x:c r="E25" s="3" t="inlineStr">
        <x:is>
          <x:t xml:space="preserve">黄金</x:t>
        </x:is>
      </x:c>
      <x:c r="F25" s="3" t="inlineStr">
        <x:is>
          <x:t xml:space="preserve">60</x:t>
        </x:is>
      </x:c>
      <x:c r="G25" s="3" t="inlineStr">
        <x:is>
          <x:t xml:space="preserve">16</x:t>
        </x:is>
      </x:c>
      <x:c r="H25" s="3" t="inlineStr">
        <x:is>
          <x:t xml:space="preserve">0</x:t>
        </x:is>
      </x:c>
      <x:c r="I25" s="3" t="inlineStr">
        <x:is>
          <x:t xml:space="preserve">0</x:t>
        </x:is>
      </x:c>
      <x:c r="J25" s="3" t="inlineStr">
        <x:is>
          <x:t xml:space="preserve">3</x:t>
        </x:is>
      </x:c>
      <x:c r="K25" s="3" t="inlineStr">
        <x:is>
          <x:t xml:space="preserve">mech_hp_regen_5</x:t>
        </x:is>
      </x:c>
      <x:c r="L25" s="3" t="inlineStr">
        <x:is>
          <x:t xml:space="preserve">否</x:t>
        </x:is>
      </x:c>
      <x:c r="M25" s="3" t="inlineStr">
        <x:is>
          <x:t xml:space="preserve">否</x:t>
        </x:is>
      </x:c>
      <x:c r="N25" s="3" t="inlineStr">
        <x:is>
          <x:t xml:space="preserve">用火爆/高层火/多段攻击清场</x:t>
        </x:is>
      </x:c>
      <x:c r="O25" s="3" t="inlineStr">
        <x:is>
          <x:t xml:space="preserve">钻石原型降级复制体</x:t>
        </x:is>
      </x:c>
      <x:c r="P25" s="3" t="n"/>
      <x:c r="Q25" s="3" t="n"/>
      <x:c r="R25" s="3" t="n"/>
      <x:c r="S25" s="3" t="n"/>
      <x:c r="T25" s="3" t="n"/>
      <x:c r="U25" s="3" t="n"/>
      <x:c r="V25" s="3" t="n"/>
      <x:c r="W25" s="3" t="n"/>
      <x:c r="X25" s="3" t="n"/>
      <x:c r="Y25" s="3" t="n"/>
      <x:c r="Z25" s="3" t="n"/>
      <x:c r="AA25" s="3" t="n"/>
    </x:row>
    <x:row r="26">
      <x:c r="A26" s="3" t="inlineStr">
        <x:is>
          <x:t xml:space="preserve">trial_q_shield</x:t>
        </x:is>
      </x:c>
      <x:c r="B26" s="3" t="inlineStr">
        <x:is>
          <x:t xml:space="preserve">pal_003</x:t>
        </x:is>
      </x:c>
      <x:c r="C26" s="3" t="inlineStr">
        <x:is>
          <x:t xml:space="preserve">皮皮鸡</x:t>
        </x:is>
      </x:c>
      <x:c r="D26" s="3" t="inlineStr">
        <x:is>
          <x:t xml:space="preserve">护盾/挡路</x:t>
        </x:is>
      </x:c>
      <x:c r="E26" s="3" t="inlineStr">
        <x:is>
          <x:t xml:space="preserve">黄金</x:t>
        </x:is>
      </x:c>
      <x:c r="F26" s="3" t="inlineStr">
        <x:is>
          <x:t xml:space="preserve">40</x:t>
        </x:is>
      </x:c>
      <x:c r="G26" s="3" t="inlineStr">
        <x:is>
          <x:t xml:space="preserve">18</x:t>
        </x:is>
      </x:c>
      <x:c r="H26" s="3" t="inlineStr">
        <x:is>
          <x:t xml:space="preserve">0</x:t>
        </x:is>
      </x:c>
      <x:c r="I26" s="3" t="inlineStr">
        <x:is>
          <x:t xml:space="preserve">20</x:t>
        </x:is>
      </x:c>
      <x:c r="J26" s="3" t="inlineStr">
        <x:is>
          <x:t xml:space="preserve">3</x:t>
        </x:is>
      </x:c>
      <x:c r="K26" s="3" t="inlineStr">
        <x:is>
          <x:t xml:space="preserve">mech_shield_max</x:t>
        </x:is>
      </x:c>
      <x:c r="L26" s="3" t="inlineStr">
        <x:is>
          <x:t xml:space="preserve">否</x:t>
        </x:is>
      </x:c>
      <x:c r="M26" s="3" t="inlineStr">
        <x:is>
          <x:t xml:space="preserve">否</x:t>
        </x:is>
      </x:c>
      <x:c r="N26" s="3" t="inlineStr">
        <x:is>
          <x:t xml:space="preserve">高火层爆穿或绕开，不要慢刮</x:t>
        </x:is>
      </x:c>
      <x:c r="O26" s="3" t="inlineStr">
        <x:is>
          <x:t xml:space="preserve">盾每回合重生</x:t>
        </x:is>
      </x:c>
      <x:c r="P26" s="3" t="n"/>
      <x:c r="Q26" s="3" t="n"/>
      <x:c r="R26" s="3" t="n"/>
      <x:c r="S26" s="3" t="n"/>
      <x:c r="T26" s="3" t="n"/>
      <x:c r="U26" s="3" t="n"/>
      <x:c r="V26" s="3" t="n"/>
      <x:c r="W26" s="3" t="n"/>
      <x:c r="X26" s="3" t="n"/>
      <x:c r="Y26" s="3" t="n"/>
      <x:c r="Z26" s="3" t="n"/>
      <x:c r="AA26" s="3" t="n"/>
    </x:row>
    <x:row r="27">
      <x:c r="A27" s="3" t="inlineStr">
        <x:is>
          <x:t xml:space="preserve">trial_q_charge</x:t>
        </x:is>
      </x:c>
      <x:c r="B27" s="3" t="inlineStr">
        <x:is>
          <x:t xml:space="preserve">pal_050</x:t>
        </x:is>
      </x:c>
      <x:c r="C27" s="3" t="inlineStr">
        <x:is>
          <x:t xml:space="preserve">骑士蜂</x:t>
        </x:is>
      </x:c>
      <x:c r="D27" s="3" t="inlineStr">
        <x:is>
          <x:t xml:space="preserve">突击/高攻</x:t>
        </x:is>
      </x:c>
      <x:c r="E27" s="3" t="inlineStr">
        <x:is>
          <x:t xml:space="preserve">黄金</x:t>
        </x:is>
      </x:c>
      <x:c r="F27" s="3" t="inlineStr">
        <x:is>
          <x:t xml:space="preserve">36</x:t>
        </x:is>
      </x:c>
      <x:c r="G27" s="3" t="inlineStr">
        <x:is>
          <x:t xml:space="preserve">18</x:t>
        </x:is>
      </x:c>
      <x:c r="H27" s="3" t="inlineStr">
        <x:is>
          <x:t xml:space="preserve">0</x:t>
        </x:is>
      </x:c>
      <x:c r="I27" s="3" t="inlineStr">
        <x:is>
          <x:t xml:space="preserve">0</x:t>
        </x:is>
      </x:c>
      <x:c r="J27" s="3" t="inlineStr">
        <x:is>
          <x:t xml:space="preserve">4</x:t>
        </x:is>
      </x:c>
      <x:c r="K27" s="3" t="inlineStr">
        <x:is>
          <x:t xml:space="preserve">mech_charge_attack</x:t>
        </x:is>
      </x:c>
      <x:c r="L27" s="3" t="inlineStr">
        <x:is>
          <x:t xml:space="preserve">否</x:t>
        </x:is>
      </x:c>
      <x:c r="M27" s="3" t="inlineStr">
        <x:is>
          <x:t xml:space="preserve">否</x:t>
        </x:is>
      </x:c>
      <x:c r="N27" s="3" t="inlineStr">
        <x:is>
          <x:t xml:space="preserve">首回合优先击杀/控住</x:t>
        </x:is>
      </x:c>
      <x:c r="O27" s="3" t="inlineStr">
        <x:is>
          <x:t xml:space="preserve">第7天第一回合必须解决</x:t>
        </x:is>
      </x:c>
      <x:c r="P27" s="3" t="n"/>
      <x:c r="Q27" s="3" t="n"/>
      <x:c r="R27" s="3" t="n"/>
      <x:c r="S27" s="3" t="n"/>
      <x:c r="T27" s="3" t="n"/>
      <x:c r="U27" s="3" t="n"/>
      <x:c r="V27" s="3" t="n"/>
      <x:c r="W27" s="3" t="n"/>
      <x:c r="X27" s="3" t="n"/>
      <x:c r="Y27" s="3" t="n"/>
      <x:c r="Z27" s="3" t="n"/>
      <x:c r="AA27" s="3" t="n"/>
    </x:row>
    <x:row r="28">
      <x:c r="A28" s="3" t="inlineStr">
        <x:is>
          <x:t xml:space="preserve">trial_q_support</x:t>
        </x:is>
      </x:c>
      <x:c r="B28" s="3" t="inlineStr">
        <x:is>
          <x:t xml:space="preserve">pal_083</x:t>
        </x:is>
      </x:c>
      <x:c r="C28" s="3" t="inlineStr">
        <x:is>
          <x:t xml:space="preserve">精灵龙</x:t>
        </x:is>
      </x:c>
      <x:c r="D28" s="3" t="inlineStr">
        <x:is>
          <x:t xml:space="preserve">支援/加盾</x:t>
        </x:is>
      </x:c>
      <x:c r="E28" s="3" t="inlineStr">
        <x:is>
          <x:t xml:space="preserve">黄金</x:t>
        </x:is>
      </x:c>
      <x:c r="F28" s="3" t="inlineStr">
        <x:is>
          <x:t xml:space="preserve">42</x:t>
        </x:is>
      </x:c>
      <x:c r="G28" s="3" t="inlineStr">
        <x:is>
          <x:t xml:space="preserve">8</x:t>
        </x:is>
      </x:c>
      <x:c r="H28" s="3" t="inlineStr">
        <x:is>
          <x:t xml:space="preserve">0</x:t>
        </x:is>
      </x:c>
      <x:c r="I28" s="3" t="inlineStr">
        <x:is>
          <x:t xml:space="preserve">6</x:t>
        </x:is>
      </x:c>
      <x:c r="J28" s="3" t="inlineStr">
        <x:is>
          <x:t xml:space="preserve">3</x:t>
        </x:is>
      </x:c>
      <x:c r="K28" s="3" t="inlineStr">
        <x:is>
          <x:t xml:space="preserve">mech_support_shield</x:t>
        </x:is>
      </x:c>
      <x:c r="L28" s="3" t="inlineStr">
        <x:is>
          <x:t xml:space="preserve">否</x:t>
        </x:is>
      </x:c>
      <x:c r="M28" s="3" t="inlineStr">
        <x:is>
          <x:t xml:space="preserve">否</x:t>
        </x:is>
      </x:c>
      <x:c r="N28" s="3" t="inlineStr">
        <x:is>
          <x:t xml:space="preserve">首回合优先击杀，防止支援滚盾</x:t>
        </x:is>
      </x:c>
      <x:c r="O28" s="3" t="inlineStr">
        <x:is>
          <x:t xml:space="preserve">第7天第一回合必须解决</x:t>
        </x:is>
      </x:c>
      <x:c r="P28" s="3" t="n"/>
      <x:c r="Q28" s="3" t="n"/>
      <x:c r="R28" s="3" t="n"/>
      <x:c r="S28" s="3" t="n"/>
      <x:c r="T28" s="3" t="n"/>
      <x:c r="U28" s="3" t="n"/>
      <x:c r="V28" s="3" t="n"/>
      <x:c r="W28" s="3" t="n"/>
      <x:c r="X28" s="3" t="n"/>
      <x:c r="Y28" s="3" t="n"/>
      <x:c r="Z28" s="3" t="n"/>
      <x:c r="AA28" s="3" t="n"/>
    </x:row>
    <x:row r="29">
      <x:c r="A29" s="3" t="n"/>
      <x:c r="B29" s="3" t="n"/>
      <x:c r="C29" s="3" t="n"/>
      <x:c r="D29" s="3" t="n"/>
      <x:c r="E29" s="3" t="n"/>
      <x:c r="F29" s="3" t="n"/>
      <x:c r="G29" s="3" t="n"/>
      <x:c r="H29" s="3" t="n"/>
      <x:c r="I29" s="3" t="n"/>
      <x:c r="J29" s="3" t="n"/>
      <x:c r="K29" s="3" t="n"/>
      <x:c r="L29" s="3" t="n"/>
      <x:c r="M29" s="3" t="n"/>
      <x:c r="N29" s="3" t="n"/>
      <x:c r="O29" s="3" t="n"/>
      <x:c r="P29" s="3" t="n"/>
      <x:c r="Q29" s="3" t="n"/>
      <x:c r="R29" s="3" t="n"/>
      <x:c r="S29" s="3" t="n"/>
      <x:c r="T29" s="3" t="n"/>
      <x:c r="U29" s="3" t="n"/>
      <x:c r="V29" s="3" t="n"/>
      <x:c r="W29" s="3" t="n"/>
      <x:c r="X29" s="3" t="n"/>
      <x:c r="Y29" s="3" t="n"/>
      <x:c r="Z29" s="3" t="n"/>
      <x:c r="AA29" s="3" t="n"/>
    </x:row>
    <x:row r="30">
      <x:c r="A30" s="6" t="inlineStr">
        <x:is>
          <x:t xml:space="preserve">#csv</x:t>
        </x:is>
      </x:c>
      <x:c r="B30" s="6" t="inlineStr">
        <x:is>
          <x:t xml:space="preserve">16_trial_action_plan.csv</x:t>
        </x:is>
      </x:c>
      <x:c r="C30" s="6" t="inlineStr">
        <x:is>
          <x:t xml:space="preserve">试炼行动脚本。</x:t>
        </x:is>
      </x:c>
      <x:c r="D30" s="6" t="n"/>
      <x:c r="E30" s="6" t="n"/>
      <x:c r="F30" s="6" t="n"/>
      <x:c r="G30" s="6" t="n"/>
      <x:c r="H30" s="6" t="n"/>
      <x:c r="I30" s="6" t="n"/>
      <x:c r="J30" s="6" t="n"/>
      <x:c r="K30" s="6" t="n"/>
      <x:c r="L30" s="6" t="n"/>
      <x:c r="M30" s="6" t="n"/>
      <x:c r="N30" s="6" t="n"/>
      <x:c r="O30" s="6" t="n"/>
      <x:c r="P30" s="3" t="n"/>
      <x:c r="Q30" s="3" t="n"/>
      <x:c r="R30" s="3" t="n"/>
      <x:c r="S30" s="3" t="n"/>
      <x:c r="T30" s="3" t="n"/>
      <x:c r="U30" s="3" t="n"/>
      <x:c r="V30" s="3" t="n"/>
      <x:c r="W30" s="3" t="n"/>
      <x:c r="X30" s="3" t="n"/>
      <x:c r="Y30" s="3" t="n"/>
      <x:c r="Z30" s="3" t="n"/>
      <x:c r="AA30" s="3" t="n"/>
    </x:row>
    <x:row r="31">
      <x:c r="A31" s="5" t="inlineStr">
        <x:is>
          <x:t xml:space="preserve">行动ID</x:t>
        </x:is>
      </x:c>
      <x:c r="B31" s="5" t="inlineStr">
        <x:is>
          <x:t xml:space="preserve">配置ID</x:t>
        </x:is>
      </x:c>
      <x:c r="C31" s="5" t="inlineStr">
        <x:is>
          <x:t xml:space="preserve">回合</x:t>
        </x:is>
      </x:c>
      <x:c r="D31" s="5" t="inlineStr">
        <x:is>
          <x:t xml:space="preserve">顺序</x:t>
        </x:is>
      </x:c>
      <x:c r="E31" s="5" t="inlineStr">
        <x:is>
          <x:t xml:space="preserve">动作类型</x:t>
        </x:is>
      </x:c>
      <x:c r="F31" s="5" t="inlineStr">
        <x:is>
          <x:t xml:space="preserve">单位ID</x:t>
        </x:is>
      </x:c>
      <x:c r="G31" s="5" t="inlineStr">
        <x:is>
          <x:t xml:space="preserve">目标单位ID</x:t>
        </x:is>
      </x:c>
      <x:c r="H31" s="5" t="inlineStr">
        <x:is>
          <x:t xml:space="preserve">目标行</x:t>
        </x:is>
      </x:c>
      <x:c r="I31" s="5" t="inlineStr">
        <x:is>
          <x:t xml:space="preserve">目标列</x:t>
        </x:is>
      </x:c>
      <x:c r="J31" s="5" t="inlineStr">
        <x:is>
          <x:t xml:space="preserve">移动行</x:t>
        </x:is>
      </x:c>
      <x:c r="K31" s="5" t="inlineStr">
        <x:is>
          <x:t xml:space="preserve">移动列</x:t>
        </x:is>
      </x:c>
      <x:c r="L31" s="5" t="inlineStr">
        <x:is>
          <x:t xml:space="preserve">元素</x:t>
        </x:is>
      </x:c>
      <x:c r="M31" s="5" t="inlineStr">
        <x:is>
          <x:t xml:space="preserve">层数</x:t>
        </x:is>
      </x:c>
      <x:c r="N31" s="5" t="inlineStr">
        <x:is>
          <x:t xml:space="preserve">副目标行</x:t>
        </x:is>
      </x:c>
      <x:c r="O31" s="5" t="inlineStr">
        <x:is>
          <x:t xml:space="preserve">副目标列</x:t>
        </x:is>
      </x:c>
      <x:c r="P31" s="5" t="inlineStr">
        <x:is>
          <x:t xml:space="preserve">副元素</x:t>
        </x:is>
      </x:c>
      <x:c r="Q31" s="5" t="inlineStr">
        <x:is>
          <x:t xml:space="preserve">副层数</x:t>
        </x:is>
      </x:c>
      <x:c r="R31" s="5" t="inlineStr">
        <x:is>
          <x:t xml:space="preserve">使用攻击力</x:t>
        </x:is>
      </x:c>
      <x:c r="S31" s="5" t="inlineStr">
        <x:is>
          <x:t xml:space="preserve">应用水催化</x:t>
        </x:is>
      </x:c>
      <x:c r="T31" s="5" t="inlineStr">
        <x:is>
          <x:t xml:space="preserve">检查火爆行列</x:t>
        </x:is>
      </x:c>
      <x:c r="U31" s="5" t="inlineStr">
        <x:is>
          <x:t xml:space="preserve">来源行1</x:t>
        </x:is>
      </x:c>
      <x:c r="V31" s="5" t="inlineStr">
        <x:is>
          <x:t xml:space="preserve">来源列1</x:t>
        </x:is>
      </x:c>
      <x:c r="W31" s="5" t="inlineStr">
        <x:is>
          <x:t xml:space="preserve">搬运层数1</x:t>
        </x:is>
      </x:c>
      <x:c r="X31" s="5" t="inlineStr">
        <x:is>
          <x:t xml:space="preserve">来源行2</x:t>
        </x:is>
      </x:c>
      <x:c r="Y31" s="5" t="inlineStr">
        <x:is>
          <x:t xml:space="preserve">来源列2</x:t>
        </x:is>
      </x:c>
      <x:c r="Z31" s="5" t="inlineStr">
        <x:is>
          <x:t xml:space="preserve">搬运层数2</x:t>
        </x:is>
      </x:c>
      <x:c r="AA31" s="5" t="inlineStr">
        <x:is>
          <x:t xml:space="preserve">说明</x:t>
        </x:is>
      </x:c>
    </x:row>
    <x:row r="32">
      <x:c r="A32" s="3" t="inlineStr">
        <x:is>
          <x:t xml:space="preserve">act001_move_fox</x:t>
        </x:is>
      </x:c>
      <x:c r="B32" s="3" t="inlineStr">
        <x:is>
          <x:t xml:space="preserve">day7_fire_trial_v1</x:t>
        </x:is>
      </x:c>
      <x:c r="C32" s="3" t="inlineStr">
        <x:is>
          <x:t xml:space="preserve">1</x:t>
        </x:is>
      </x:c>
      <x:c r="D32" s="3" t="inlineStr">
        <x:is>
          <x:t xml:space="preserve">10</x:t>
        </x:is>
      </x:c>
      <x:c r="E32" s="3" t="inlineStr">
        <x:is>
          <x:t xml:space="preserve">move</x:t>
        </x:is>
      </x:c>
      <x:c r="F32" s="3" t="inlineStr">
        <x:is>
          <x:t xml:space="preserve">day7_huoronghu</x:t>
        </x:is>
      </x:c>
      <x:c r="G32" s="3" t="inlineStr">
        <x:is>
          <x:t xml:space="preserve"/>
        </x:is>
      </x:c>
      <x:c r="H32" s="3" t="inlineStr">
        <x:is>
          <x:t xml:space="preserve"/>
        </x:is>
      </x:c>
      <x:c r="I32" s="3" t="inlineStr">
        <x:is>
          <x:t xml:space="preserve"/>
        </x:is>
      </x:c>
      <x:c r="J32" s="3" t="inlineStr">
        <x:is>
          <x:t xml:space="preserve">3</x:t>
        </x:is>
      </x:c>
      <x:c r="K32" s="3" t="inlineStr">
        <x:is>
          <x:t xml:space="preserve">5</x:t>
        </x:is>
      </x:c>
      <x:c r="L32" s="3" t="inlineStr">
        <x:is>
          <x:t xml:space="preserve"/>
        </x:is>
      </x:c>
      <x:c r="M32" s="3" t="inlineStr">
        <x:is>
          <x:t xml:space="preserve"/>
        </x:is>
      </x:c>
      <x:c r="N32" s="3" t="inlineStr">
        <x:is>
          <x:t xml:space="preserve"/>
        </x:is>
      </x:c>
      <x:c r="O32" s="3" t="inlineStr">
        <x:is>
          <x:t xml:space="preserve"/>
        </x:is>
      </x:c>
      <x:c r="P32" s="3" t="inlineStr">
        <x:is>
          <x:t xml:space="preserve"/>
        </x:is>
      </x:c>
      <x:c r="Q32" s="3" t="inlineStr">
        <x:is>
          <x:t xml:space="preserve"/>
        </x:is>
      </x:c>
      <x:c r="R32" s="3" t="inlineStr">
        <x:is>
          <x:t xml:space="preserve"/>
        </x:is>
      </x:c>
      <x:c r="S32" s="3" t="inlineStr">
        <x:is>
          <x:t xml:space="preserve"/>
        </x:is>
      </x:c>
      <x:c r="T32" s="3" t="inlineStr">
        <x:is>
          <x:t xml:space="preserve"/>
        </x:is>
      </x:c>
      <x:c r="U32" s="3" t="inlineStr">
        <x:is>
          <x:t xml:space="preserve"/>
        </x:is>
      </x:c>
      <x:c r="V32" s="3" t="inlineStr">
        <x:is>
          <x:t xml:space="preserve"/>
        </x:is>
      </x:c>
      <x:c r="W32" s="3" t="inlineStr">
        <x:is>
          <x:t xml:space="preserve"/>
        </x:is>
      </x:c>
      <x:c r="X32" s="3" t="inlineStr">
        <x:is>
          <x:t xml:space="preserve"/>
        </x:is>
      </x:c>
      <x:c r="Y32" s="3" t="inlineStr">
        <x:is>
          <x:t xml:space="preserve"/>
        </x:is>
      </x:c>
      <x:c r="Z32" s="3" t="inlineStr">
        <x:is>
          <x:t xml:space="preserve"/>
        </x:is>
      </x:c>
      <x:c r="AA32" s="3" t="inlineStr">
        <x:is>
          <x:t xml:space="preserve">火绒狐进入第3行第5列点火位</x:t>
        </x:is>
      </x:c>
    </x:row>
    <x:row r="33">
      <x:c r="A33" s="3" t="inlineStr">
        <x:is>
          <x:t xml:space="preserve">act002_fox_hit_bee_1</x:t>
        </x:is>
      </x:c>
      <x:c r="B33" s="3" t="inlineStr">
        <x:is>
          <x:t xml:space="preserve">day7_fire_trial_v1</x:t>
        </x:is>
      </x:c>
      <x:c r="C33" s="3" t="inlineStr">
        <x:is>
          <x:t xml:space="preserve">1</x:t>
        </x:is>
      </x:c>
      <x:c r="D33" s="3" t="inlineStr">
        <x:is>
          <x:t xml:space="preserve">11</x:t>
        </x:is>
      </x:c>
      <x:c r="E33" s="3" t="inlineStr">
        <x:is>
          <x:t xml:space="preserve">attack</x:t>
        </x:is>
      </x:c>
      <x:c r="F33" s="3" t="inlineStr">
        <x:is>
          <x:t xml:space="preserve">day7_huoronghu</x:t>
        </x:is>
      </x:c>
      <x:c r="G33" s="3" t="inlineStr">
        <x:is>
          <x:t xml:space="preserve">day7_enemy_bee</x:t>
        </x:is>
      </x:c>
      <x:c r="H33" s="3" t="inlineStr">
        <x:is>
          <x:t xml:space="preserve">3</x:t>
        </x:is>
      </x:c>
      <x:c r="I33" s="3" t="inlineStr">
        <x:is>
          <x:t xml:space="preserve">6</x:t>
        </x:is>
      </x:c>
      <x:c r="J33" s="3" t="inlineStr">
        <x:is>
          <x:t xml:space="preserve"/>
        </x:is>
      </x:c>
      <x:c r="K33" s="3" t="inlineStr">
        <x:is>
          <x:t xml:space="preserve"/>
        </x:is>
      </x:c>
      <x:c r="L33" s="3" t="inlineStr">
        <x:is>
          <x:t xml:space="preserve">火</x:t>
        </x:is>
      </x:c>
      <x:c r="M33" s="3" t="inlineStr">
        <x:is>
          <x:t xml:space="preserve">1</x:t>
        </x:is>
      </x:c>
      <x:c r="N33" s="3" t="inlineStr">
        <x:is>
          <x:t xml:space="preserve">3</x:t>
        </x:is>
      </x:c>
      <x:c r="O33" s="3" t="inlineStr">
        <x:is>
          <x:t xml:space="preserve">7</x:t>
        </x:is>
      </x:c>
      <x:c r="P33" s="3" t="inlineStr">
        <x:is>
          <x:t xml:space="preserve">火</x:t>
        </x:is>
      </x:c>
      <x:c r="Q33" s="3" t="inlineStr">
        <x:is>
          <x:t xml:space="preserve">2</x:t>
        </x:is>
      </x:c>
      <x:c r="R33" s="3" t="inlineStr">
        <x:is>
          <x:t xml:space="preserve">是</x:t>
        </x:is>
      </x:c>
      <x:c r="S33" s="3" t="inlineStr">
        <x:is>
          <x:t xml:space="preserve">否</x:t>
        </x:is>
      </x:c>
      <x:c r="T33" s="3" t="inlineStr">
        <x:is>
          <x:t xml:space="preserve">主格,副格</x:t>
        </x:is>
      </x:c>
      <x:c r="U33" s="3" t="inlineStr">
        <x:is>
          <x:t xml:space="preserve"/>
        </x:is>
      </x:c>
      <x:c r="V33" s="3" t="inlineStr">
        <x:is>
          <x:t xml:space="preserve"/>
        </x:is>
      </x:c>
      <x:c r="W33" s="3" t="inlineStr">
        <x:is>
          <x:t xml:space="preserve"/>
        </x:is>
      </x:c>
      <x:c r="X33" s="3" t="inlineStr">
        <x:is>
          <x:t xml:space="preserve"/>
        </x:is>
      </x:c>
      <x:c r="Y33" s="3" t="inlineStr">
        <x:is>
          <x:t xml:space="preserve"/>
        </x:is>
      </x:c>
      <x:c r="Z33" s="3" t="inlineStr">
        <x:is>
          <x:t xml:space="preserve"/>
        </x:is>
      </x:c>
      <x:c r="AA33" s="3" t="inlineStr">
        <x:is>
          <x:t xml:space="preserve">火绒狐第1击骑士蜂，主格+1火，副格+2火</x:t>
        </x:is>
      </x:c>
    </x:row>
    <x:row r="34">
      <x:c r="A34" s="3" t="inlineStr">
        <x:is>
          <x:t xml:space="preserve">act003_fox_hit_bee_2</x:t>
        </x:is>
      </x:c>
      <x:c r="B34" s="3" t="inlineStr">
        <x:is>
          <x:t xml:space="preserve">day7_fire_trial_v1</x:t>
        </x:is>
      </x:c>
      <x:c r="C34" s="3" t="inlineStr">
        <x:is>
          <x:t xml:space="preserve">1</x:t>
        </x:is>
      </x:c>
      <x:c r="D34" s="3" t="inlineStr">
        <x:is>
          <x:t xml:space="preserve">12</x:t>
        </x:is>
      </x:c>
      <x:c r="E34" s="3" t="inlineStr">
        <x:is>
          <x:t xml:space="preserve">attack</x:t>
        </x:is>
      </x:c>
      <x:c r="F34" s="3" t="inlineStr">
        <x:is>
          <x:t xml:space="preserve">day7_huoronghu</x:t>
        </x:is>
      </x:c>
      <x:c r="G34" s="3" t="inlineStr">
        <x:is>
          <x:t xml:space="preserve">day7_enemy_bee</x:t>
        </x:is>
      </x:c>
      <x:c r="H34" s="3" t="inlineStr">
        <x:is>
          <x:t xml:space="preserve">3</x:t>
        </x:is>
      </x:c>
      <x:c r="I34" s="3" t="inlineStr">
        <x:is>
          <x:t xml:space="preserve">6</x:t>
        </x:is>
      </x:c>
      <x:c r="J34" s="3" t="inlineStr">
        <x:is>
          <x:t xml:space="preserve"/>
        </x:is>
      </x:c>
      <x:c r="K34" s="3" t="inlineStr">
        <x:is>
          <x:t xml:space="preserve"/>
        </x:is>
      </x:c>
      <x:c r="L34" s="3" t="inlineStr">
        <x:is>
          <x:t xml:space="preserve">火</x:t>
        </x:is>
      </x:c>
      <x:c r="M34" s="3" t="inlineStr">
        <x:is>
          <x:t xml:space="preserve">1</x:t>
        </x:is>
      </x:c>
      <x:c r="N34" s="3" t="inlineStr">
        <x:is>
          <x:t xml:space="preserve">3</x:t>
        </x:is>
      </x:c>
      <x:c r="O34" s="3" t="inlineStr">
        <x:is>
          <x:t xml:space="preserve">7</x:t>
        </x:is>
      </x:c>
      <x:c r="P34" s="3" t="inlineStr">
        <x:is>
          <x:t xml:space="preserve">火</x:t>
        </x:is>
      </x:c>
      <x:c r="Q34" s="3" t="inlineStr">
        <x:is>
          <x:t xml:space="preserve">1</x:t>
        </x:is>
      </x:c>
      <x:c r="R34" s="3" t="inlineStr">
        <x:is>
          <x:t xml:space="preserve">是</x:t>
        </x:is>
      </x:c>
      <x:c r="S34" s="3" t="inlineStr">
        <x:is>
          <x:t xml:space="preserve">否</x:t>
        </x:is>
      </x:c>
      <x:c r="T34" s="3" t="inlineStr">
        <x:is>
          <x:t xml:space="preserve">主格,副格</x:t>
        </x:is>
      </x:c>
      <x:c r="U34" s="3" t="inlineStr">
        <x:is>
          <x:t xml:space="preserve"/>
        </x:is>
      </x:c>
      <x:c r="V34" s="3" t="inlineStr">
        <x:is>
          <x:t xml:space="preserve"/>
        </x:is>
      </x:c>
      <x:c r="W34" s="3" t="inlineStr">
        <x:is>
          <x:t xml:space="preserve"/>
        </x:is>
      </x:c>
      <x:c r="X34" s="3" t="inlineStr">
        <x:is>
          <x:t xml:space="preserve"/>
        </x:is>
      </x:c>
      <x:c r="Y34" s="3" t="inlineStr">
        <x:is>
          <x:t xml:space="preserve"/>
        </x:is>
      </x:c>
      <x:c r="Z34" s="3" t="inlineStr">
        <x:is>
          <x:t xml:space="preserve"/>
        </x:is>
      </x:c>
      <x:c r="AA34" s="3" t="inlineStr">
        <x:is>
          <x:t xml:space="preserve">火绒狐第2击骑士蜂，主格+1火，副格+1火</x:t>
        </x:is>
      </x:c>
    </x:row>
    <x:row r="35">
      <x:c r="A35" s="3" t="inlineStr">
        <x:is>
          <x:t xml:space="preserve">act004_fox_hit_bee_3</x:t>
        </x:is>
      </x:c>
      <x:c r="B35" s="3" t="inlineStr">
        <x:is>
          <x:t xml:space="preserve">day7_fire_trial_v1</x:t>
        </x:is>
      </x:c>
      <x:c r="C35" s="3" t="inlineStr">
        <x:is>
          <x:t xml:space="preserve">1</x:t>
        </x:is>
      </x:c>
      <x:c r="D35" s="3" t="inlineStr">
        <x:is>
          <x:t xml:space="preserve">13</x:t>
        </x:is>
      </x:c>
      <x:c r="E35" s="3" t="inlineStr">
        <x:is>
          <x:t xml:space="preserve">attack</x:t>
        </x:is>
      </x:c>
      <x:c r="F35" s="3" t="inlineStr">
        <x:is>
          <x:t xml:space="preserve">day7_huoronghu</x:t>
        </x:is>
      </x:c>
      <x:c r="G35" s="3" t="inlineStr">
        <x:is>
          <x:t xml:space="preserve">day7_enemy_bee</x:t>
        </x:is>
      </x:c>
      <x:c r="H35" s="3" t="inlineStr">
        <x:is>
          <x:t xml:space="preserve">3</x:t>
        </x:is>
      </x:c>
      <x:c r="I35" s="3" t="inlineStr">
        <x:is>
          <x:t xml:space="preserve">6</x:t>
        </x:is>
      </x:c>
      <x:c r="J35" s="3" t="inlineStr">
        <x:is>
          <x:t xml:space="preserve"/>
        </x:is>
      </x:c>
      <x:c r="K35" s="3" t="inlineStr">
        <x:is>
          <x:t xml:space="preserve"/>
        </x:is>
      </x:c>
      <x:c r="L35" s="3" t="inlineStr">
        <x:is>
          <x:t xml:space="preserve">火</x:t>
        </x:is>
      </x:c>
      <x:c r="M35" s="3" t="inlineStr">
        <x:is>
          <x:t xml:space="preserve">1</x:t>
        </x:is>
      </x:c>
      <x:c r="N35" s="3" t="inlineStr">
        <x:is>
          <x:t xml:space="preserve">3</x:t>
        </x:is>
      </x:c>
      <x:c r="O35" s="3" t="inlineStr">
        <x:is>
          <x:t xml:space="preserve">7</x:t>
        </x:is>
      </x:c>
      <x:c r="P35" s="3" t="inlineStr">
        <x:is>
          <x:t xml:space="preserve">火</x:t>
        </x:is>
      </x:c>
      <x:c r="Q35" s="3" t="inlineStr">
        <x:is>
          <x:t xml:space="preserve">1</x:t>
        </x:is>
      </x:c>
      <x:c r="R35" s="3" t="inlineStr">
        <x:is>
          <x:t xml:space="preserve">是</x:t>
        </x:is>
      </x:c>
      <x:c r="S35" s="3" t="inlineStr">
        <x:is>
          <x:t xml:space="preserve">否</x:t>
        </x:is>
      </x:c>
      <x:c r="T35" s="3" t="inlineStr">
        <x:is>
          <x:t xml:space="preserve">主格,副格</x:t>
        </x:is>
      </x:c>
      <x:c r="U35" s="3" t="inlineStr">
        <x:is>
          <x:t xml:space="preserve"/>
        </x:is>
      </x:c>
      <x:c r="V35" s="3" t="inlineStr">
        <x:is>
          <x:t xml:space="preserve"/>
        </x:is>
      </x:c>
      <x:c r="W35" s="3" t="inlineStr">
        <x:is>
          <x:t xml:space="preserve"/>
        </x:is>
      </x:c>
      <x:c r="X35" s="3" t="inlineStr">
        <x:is>
          <x:t xml:space="preserve"/>
        </x:is>
      </x:c>
      <x:c r="Y35" s="3" t="inlineStr">
        <x:is>
          <x:t xml:space="preserve"/>
        </x:is>
      </x:c>
      <x:c r="Z35" s="3" t="inlineStr">
        <x:is>
          <x:t xml:space="preserve"/>
        </x:is>
      </x:c>
      <x:c r="AA35" s="3" t="inlineStr">
        <x:is>
          <x:t xml:space="preserve">火绒狐第3击骑士蜂，主格+1火，副格+1火</x:t>
        </x:is>
      </x:c>
    </x:row>
    <x:row r="36">
      <x:c r="A36" s="3" t="inlineStr">
        <x:is>
          <x:t xml:space="preserve">act010_move_duck</x:t>
        </x:is>
      </x:c>
      <x:c r="B36" s="3" t="inlineStr">
        <x:is>
          <x:t xml:space="preserve">day7_fire_trial_v1</x:t>
        </x:is>
      </x:c>
      <x:c r="C36" s="3" t="inlineStr">
        <x:is>
          <x:t xml:space="preserve">1</x:t>
        </x:is>
      </x:c>
      <x:c r="D36" s="3" t="inlineStr">
        <x:is>
          <x:t xml:space="preserve">20</x:t>
        </x:is>
      </x:c>
      <x:c r="E36" s="3" t="inlineStr">
        <x:is>
          <x:t xml:space="preserve">move</x:t>
        </x:is>
      </x:c>
      <x:c r="F36" s="3" t="inlineStr">
        <x:is>
          <x:t xml:space="preserve">day7_chonglangya</x:t>
        </x:is>
      </x:c>
      <x:c r="G36" s="3" t="inlineStr">
        <x:is>
          <x:t xml:space="preserve"/>
        </x:is>
      </x:c>
      <x:c r="H36" s="3" t="inlineStr">
        <x:is>
          <x:t xml:space="preserve"/>
        </x:is>
      </x:c>
      <x:c r="I36" s="3" t="inlineStr">
        <x:is>
          <x:t xml:space="preserve"/>
        </x:is>
      </x:c>
      <x:c r="J36" s="3" t="inlineStr">
        <x:is>
          <x:t xml:space="preserve">1</x:t>
        </x:is>
      </x:c>
      <x:c r="K36" s="3" t="inlineStr">
        <x:is>
          <x:t xml:space="preserve">5</x:t>
        </x:is>
      </x:c>
      <x:c r="L36" s="3" t="inlineStr">
        <x:is>
          <x:t xml:space="preserve"/>
        </x:is>
      </x:c>
      <x:c r="M36" s="3" t="inlineStr">
        <x:is>
          <x:t xml:space="preserve"/>
        </x:is>
      </x:c>
      <x:c r="N36" s="3" t="inlineStr">
        <x:is>
          <x:t xml:space="preserve"/>
        </x:is>
      </x:c>
      <x:c r="O36" s="3" t="inlineStr">
        <x:is>
          <x:t xml:space="preserve"/>
        </x:is>
      </x:c>
      <x:c r="P36" s="3" t="inlineStr">
        <x:is>
          <x:t xml:space="preserve"/>
        </x:is>
      </x:c>
      <x:c r="Q36" s="3" t="inlineStr">
        <x:is>
          <x:t xml:space="preserve"/>
        </x:is>
      </x:c>
      <x:c r="R36" s="3" t="inlineStr">
        <x:is>
          <x:t xml:space="preserve"/>
        </x:is>
      </x:c>
      <x:c r="S36" s="3" t="inlineStr">
        <x:is>
          <x:t xml:space="preserve"/>
        </x:is>
      </x:c>
      <x:c r="T36" s="3" t="inlineStr">
        <x:is>
          <x:t xml:space="preserve"/>
        </x:is>
      </x:c>
      <x:c r="U36" s="3" t="inlineStr">
        <x:is>
          <x:t xml:space="preserve"/>
        </x:is>
      </x:c>
      <x:c r="V36" s="3" t="inlineStr">
        <x:is>
          <x:t xml:space="preserve"/>
        </x:is>
      </x:c>
      <x:c r="W36" s="3" t="inlineStr">
        <x:is>
          <x:t xml:space="preserve"/>
        </x:is>
      </x:c>
      <x:c r="X36" s="3" t="inlineStr">
        <x:is>
          <x:t xml:space="preserve"/>
        </x:is>
      </x:c>
      <x:c r="Y36" s="3" t="inlineStr">
        <x:is>
          <x:t xml:space="preserve"/>
        </x:is>
      </x:c>
      <x:c r="Z36" s="3" t="inlineStr">
        <x:is>
          <x:t xml:space="preserve"/>
        </x:is>
      </x:c>
      <x:c r="AA36" s="3" t="inlineStr">
        <x:is>
          <x:t xml:space="preserve">冲浪鸭进入第1行第5列水汽位</x:t>
        </x:is>
      </x:c>
    </x:row>
    <x:row r="37">
      <x:c r="A37" s="3" t="inlineStr">
        <x:is>
          <x:t xml:space="preserve">act011_duck_hit_dragon_1</x:t>
        </x:is>
      </x:c>
      <x:c r="B37" s="3" t="inlineStr">
        <x:is>
          <x:t xml:space="preserve">day7_fire_trial_v1</x:t>
        </x:is>
      </x:c>
      <x:c r="C37" s="3" t="inlineStr">
        <x:is>
          <x:t xml:space="preserve">1</x:t>
        </x:is>
      </x:c>
      <x:c r="D37" s="3" t="inlineStr">
        <x:is>
          <x:t xml:space="preserve">21</x:t>
        </x:is>
      </x:c>
      <x:c r="E37" s="3" t="inlineStr">
        <x:is>
          <x:t xml:space="preserve">attack</x:t>
        </x:is>
      </x:c>
      <x:c r="F37" s="3" t="inlineStr">
        <x:is>
          <x:t xml:space="preserve">day7_chonglangya</x:t>
        </x:is>
      </x:c>
      <x:c r="G37" s="3" t="inlineStr">
        <x:is>
          <x:t xml:space="preserve">day7_enemy_dragon</x:t>
        </x:is>
      </x:c>
      <x:c r="H37" s="3" t="inlineStr">
        <x:is>
          <x:t xml:space="preserve">1</x:t>
        </x:is>
      </x:c>
      <x:c r="I37" s="3" t="inlineStr">
        <x:is>
          <x:t xml:space="preserve">6</x:t>
        </x:is>
      </x:c>
      <x:c r="J37" s="3" t="inlineStr">
        <x:is>
          <x:t xml:space="preserve"/>
        </x:is>
      </x:c>
      <x:c r="K37" s="3" t="inlineStr">
        <x:is>
          <x:t xml:space="preserve"/>
        </x:is>
      </x:c>
      <x:c r="L37" s="3" t="inlineStr">
        <x:is>
          <x:t xml:space="preserve">水</x:t>
        </x:is>
      </x:c>
      <x:c r="M37" s="3" t="inlineStr">
        <x:is>
          <x:t xml:space="preserve">1</x:t>
        </x:is>
      </x:c>
      <x:c r="N37" s="3" t="inlineStr">
        <x:is>
          <x:t xml:space="preserve"/>
        </x:is>
      </x:c>
      <x:c r="O37" s="3" t="inlineStr">
        <x:is>
          <x:t xml:space="preserve"/>
        </x:is>
      </x:c>
      <x:c r="P37" s="3" t="inlineStr">
        <x:is>
          <x:t xml:space="preserve"/>
        </x:is>
      </x:c>
      <x:c r="Q37" s="3" t="inlineStr">
        <x:is>
          <x:t xml:space="preserve"/>
        </x:is>
      </x:c>
      <x:c r="R37" s="3" t="inlineStr">
        <x:is>
          <x:t xml:space="preserve">是</x:t>
        </x:is>
      </x:c>
      <x:c r="S37" s="3" t="inlineStr">
        <x:is>
          <x:t xml:space="preserve">否</x:t>
        </x:is>
      </x:c>
      <x:c r="T37" s="3" t="inlineStr">
        <x:is>
          <x:t xml:space="preserve"/>
        </x:is>
      </x:c>
      <x:c r="U37" s="3" t="inlineStr">
        <x:is>
          <x:t xml:space="preserve"/>
        </x:is>
      </x:c>
      <x:c r="V37" s="3" t="inlineStr">
        <x:is>
          <x:t xml:space="preserve"/>
        </x:is>
      </x:c>
      <x:c r="W37" s="3" t="inlineStr">
        <x:is>
          <x:t xml:space="preserve"/>
        </x:is>
      </x:c>
      <x:c r="X37" s="3" t="inlineStr">
        <x:is>
          <x:t xml:space="preserve"/>
        </x:is>
      </x:c>
      <x:c r="Y37" s="3" t="inlineStr">
        <x:is>
          <x:t xml:space="preserve"/>
        </x:is>
      </x:c>
      <x:c r="Z37" s="3" t="inlineStr">
        <x:is>
          <x:t xml:space="preserve"/>
        </x:is>
      </x:c>
      <x:c r="AA37" s="3" t="inlineStr">
        <x:is>
          <x:t xml:space="preserve">冲浪鸭第1击精灵龙，铺水汽催化</x:t>
        </x:is>
      </x:c>
    </x:row>
    <x:row r="38">
      <x:c r="A38" s="3" t="inlineStr">
        <x:is>
          <x:t xml:space="preserve">act012_duck_hit_dragon_2</x:t>
        </x:is>
      </x:c>
      <x:c r="B38" s="3" t="inlineStr">
        <x:is>
          <x:t xml:space="preserve">day7_fire_trial_v1</x:t>
        </x:is>
      </x:c>
      <x:c r="C38" s="3" t="inlineStr">
        <x:is>
          <x:t xml:space="preserve">1</x:t>
        </x:is>
      </x:c>
      <x:c r="D38" s="3" t="inlineStr">
        <x:is>
          <x:t xml:space="preserve">22</x:t>
        </x:is>
      </x:c>
      <x:c r="E38" s="3" t="inlineStr">
        <x:is>
          <x:t xml:space="preserve">attack</x:t>
        </x:is>
      </x:c>
      <x:c r="F38" s="3" t="inlineStr">
        <x:is>
          <x:t xml:space="preserve">day7_chonglangya</x:t>
        </x:is>
      </x:c>
      <x:c r="G38" s="3" t="inlineStr">
        <x:is>
          <x:t xml:space="preserve">day7_enemy_dragon</x:t>
        </x:is>
      </x:c>
      <x:c r="H38" s="3" t="inlineStr">
        <x:is>
          <x:t xml:space="preserve">1</x:t>
        </x:is>
      </x:c>
      <x:c r="I38" s="3" t="inlineStr">
        <x:is>
          <x:t xml:space="preserve">6</x:t>
        </x:is>
      </x:c>
      <x:c r="J38" s="3" t="inlineStr">
        <x:is>
          <x:t xml:space="preserve"/>
        </x:is>
      </x:c>
      <x:c r="K38" s="3" t="inlineStr">
        <x:is>
          <x:t xml:space="preserve"/>
        </x:is>
      </x:c>
      <x:c r="L38" s="3" t="inlineStr">
        <x:is>
          <x:t xml:space="preserve">水</x:t>
        </x:is>
      </x:c>
      <x:c r="M38" s="3" t="inlineStr">
        <x:is>
          <x:t xml:space="preserve">1</x:t>
        </x:is>
      </x:c>
      <x:c r="N38" s="3" t="inlineStr">
        <x:is>
          <x:t xml:space="preserve"/>
        </x:is>
      </x:c>
      <x:c r="O38" s="3" t="inlineStr">
        <x:is>
          <x:t xml:space="preserve"/>
        </x:is>
      </x:c>
      <x:c r="P38" s="3" t="inlineStr">
        <x:is>
          <x:t xml:space="preserve"/>
        </x:is>
      </x:c>
      <x:c r="Q38" s="3" t="inlineStr">
        <x:is>
          <x:t xml:space="preserve"/>
        </x:is>
      </x:c>
      <x:c r="R38" s="3" t="inlineStr">
        <x:is>
          <x:t xml:space="preserve">是</x:t>
        </x:is>
      </x:c>
      <x:c r="S38" s="3" t="inlineStr">
        <x:is>
          <x:t xml:space="preserve">否</x:t>
        </x:is>
      </x:c>
      <x:c r="T38" s="3" t="inlineStr">
        <x:is>
          <x:t xml:space="preserve"/>
        </x:is>
      </x:c>
      <x:c r="U38" s="3" t="inlineStr">
        <x:is>
          <x:t xml:space="preserve"/>
        </x:is>
      </x:c>
      <x:c r="V38" s="3" t="inlineStr">
        <x:is>
          <x:t xml:space="preserve"/>
        </x:is>
      </x:c>
      <x:c r="W38" s="3" t="inlineStr">
        <x:is>
          <x:t xml:space="preserve"/>
        </x:is>
      </x:c>
      <x:c r="X38" s="3" t="inlineStr">
        <x:is>
          <x:t xml:space="preserve"/>
        </x:is>
      </x:c>
      <x:c r="Y38" s="3" t="inlineStr">
        <x:is>
          <x:t xml:space="preserve"/>
        </x:is>
      </x:c>
      <x:c r="Z38" s="3" t="inlineStr">
        <x:is>
          <x:t xml:space="preserve"/>
        </x:is>
      </x:c>
      <x:c r="AA38" s="3" t="inlineStr">
        <x:is>
          <x:t xml:space="preserve">冲浪鸭第2击精灵龙，铺水汽催化</x:t>
        </x:is>
      </x:c>
    </x:row>
    <x:row r="39">
      <x:c r="A39" s="3" t="inlineStr">
        <x:is>
          <x:t xml:space="preserve">act020_move_core</x:t>
        </x:is>
      </x:c>
      <x:c r="B39" s="3" t="inlineStr">
        <x:is>
          <x:t xml:space="preserve">day7_fire_trial_v1</x:t>
        </x:is>
      </x:c>
      <x:c r="C39" s="3" t="inlineStr">
        <x:is>
          <x:t xml:space="preserve">1</x:t>
        </x:is>
      </x:c>
      <x:c r="D39" s="3" t="inlineStr">
        <x:is>
          <x:t xml:space="preserve">30</x:t>
        </x:is>
      </x:c>
      <x:c r="E39" s="3" t="inlineStr">
        <x:is>
          <x:t xml:space="preserve">move</x:t>
        </x:is>
      </x:c>
      <x:c r="F39" s="3" t="inlineStr">
        <x:is>
          <x:t xml:space="preserve">day7_rongyan</x:t>
        </x:is>
      </x:c>
      <x:c r="G39" s="3" t="inlineStr">
        <x:is>
          <x:t xml:space="preserve"/>
        </x:is>
      </x:c>
      <x:c r="H39" s="3" t="inlineStr">
        <x:is>
          <x:t xml:space="preserve"/>
        </x:is>
      </x:c>
      <x:c r="I39" s="3" t="inlineStr">
        <x:is>
          <x:t xml:space="preserve"/>
        </x:is>
      </x:c>
      <x:c r="J39" s="3" t="inlineStr">
        <x:is>
          <x:t xml:space="preserve">2</x:t>
        </x:is>
      </x:c>
      <x:c r="K39" s="3" t="inlineStr">
        <x:is>
          <x:t xml:space="preserve">6</x:t>
        </x:is>
      </x:c>
      <x:c r="L39" s="3" t="inlineStr">
        <x:is>
          <x:t xml:space="preserve"/>
        </x:is>
      </x:c>
      <x:c r="M39" s="3" t="inlineStr">
        <x:is>
          <x:t xml:space="preserve"/>
        </x:is>
      </x:c>
      <x:c r="N39" s="3" t="inlineStr">
        <x:is>
          <x:t xml:space="preserve"/>
        </x:is>
      </x:c>
      <x:c r="O39" s="3" t="inlineStr">
        <x:is>
          <x:t xml:space="preserve"/>
        </x:is>
      </x:c>
      <x:c r="P39" s="3" t="inlineStr">
        <x:is>
          <x:t xml:space="preserve"/>
        </x:is>
      </x:c>
      <x:c r="Q39" s="3" t="inlineStr">
        <x:is>
          <x:t xml:space="preserve"/>
        </x:is>
      </x:c>
      <x:c r="R39" s="3" t="inlineStr">
        <x:is>
          <x:t xml:space="preserve"/>
        </x:is>
      </x:c>
      <x:c r="S39" s="3" t="inlineStr">
        <x:is>
          <x:t xml:space="preserve"/>
        </x:is>
      </x:c>
      <x:c r="T39" s="3" t="inlineStr">
        <x:is>
          <x:t xml:space="preserve"/>
        </x:is>
      </x:c>
      <x:c r="U39" s="3" t="inlineStr">
        <x:is>
          <x:t xml:space="preserve"/>
        </x:is>
      </x:c>
      <x:c r="V39" s="3" t="inlineStr">
        <x:is>
          <x:t xml:space="preserve"/>
        </x:is>
      </x:c>
      <x:c r="W39" s="3" t="inlineStr">
        <x:is>
          <x:t xml:space="preserve"/>
        </x:is>
      </x:c>
      <x:c r="X39" s="3" t="inlineStr">
        <x:is>
          <x:t xml:space="preserve"/>
        </x:is>
      </x:c>
      <x:c r="Y39" s="3" t="inlineStr">
        <x:is>
          <x:t xml:space="preserve"/>
        </x:is>
      </x:c>
      <x:c r="Z39" s="3" t="inlineStr">
        <x:is>
          <x:t xml:space="preserve"/>
        </x:is>
      </x:c>
      <x:c r="AA39" s="3" t="inlineStr">
        <x:is>
          <x:t xml:space="preserve">融焰娘进入第2行第6列爆心位</x:t>
        </x:is>
      </x:c>
    </x:row>
    <x:row r="40">
      <x:c r="A40" s="3" t="inlineStr">
        <x:is>
          <x:t xml:space="preserve">act021_core_hit_dragon_1</x:t>
        </x:is>
      </x:c>
      <x:c r="B40" s="3" t="inlineStr">
        <x:is>
          <x:t xml:space="preserve">day7_fire_trial_v1</x:t>
        </x:is>
      </x:c>
      <x:c r="C40" s="3" t="inlineStr">
        <x:is>
          <x:t xml:space="preserve">1</x:t>
        </x:is>
      </x:c>
      <x:c r="D40" s="3" t="inlineStr">
        <x:is>
          <x:t xml:space="preserve">31</x:t>
        </x:is>
      </x:c>
      <x:c r="E40" s="3" t="inlineStr">
        <x:is>
          <x:t xml:space="preserve">attack</x:t>
        </x:is>
      </x:c>
      <x:c r="F40" s="3" t="inlineStr">
        <x:is>
          <x:t xml:space="preserve">day7_rongyan</x:t>
        </x:is>
      </x:c>
      <x:c r="G40" s="3" t="inlineStr">
        <x:is>
          <x:t xml:space="preserve">day7_enemy_dragon</x:t>
        </x:is>
      </x:c>
      <x:c r="H40" s="3" t="inlineStr">
        <x:is>
          <x:t xml:space="preserve">1</x:t>
        </x:is>
      </x:c>
      <x:c r="I40" s="3" t="inlineStr">
        <x:is>
          <x:t xml:space="preserve">6</x:t>
        </x:is>
      </x:c>
      <x:c r="J40" s="3" t="inlineStr">
        <x:is>
          <x:t xml:space="preserve"/>
        </x:is>
      </x:c>
      <x:c r="K40" s="3" t="inlineStr">
        <x:is>
          <x:t xml:space="preserve"/>
        </x:is>
      </x:c>
      <x:c r="L40" s="3" t="inlineStr">
        <x:is>
          <x:t xml:space="preserve">火</x:t>
        </x:is>
      </x:c>
      <x:c r="M40" s="3" t="inlineStr">
        <x:is>
          <x:t xml:space="preserve">2</x:t>
        </x:is>
      </x:c>
      <x:c r="N40" s="3" t="inlineStr">
        <x:is>
          <x:t xml:space="preserve">1</x:t>
        </x:is>
      </x:c>
      <x:c r="O40" s="3" t="inlineStr">
        <x:is>
          <x:t xml:space="preserve">7</x:t>
        </x:is>
      </x:c>
      <x:c r="P40" s="3" t="inlineStr">
        <x:is>
          <x:t xml:space="preserve">火</x:t>
        </x:is>
      </x:c>
      <x:c r="Q40" s="3" t="inlineStr">
        <x:is>
          <x:t xml:space="preserve">1</x:t>
        </x:is>
      </x:c>
      <x:c r="R40" s="3" t="inlineStr">
        <x:is>
          <x:t xml:space="preserve">是</x:t>
        </x:is>
      </x:c>
      <x:c r="S40" s="3" t="inlineStr">
        <x:is>
          <x:t xml:space="preserve">是</x:t>
        </x:is>
      </x:c>
      <x:c r="T40" s="3" t="inlineStr">
        <x:is>
          <x:t xml:space="preserve">主格</x:t>
        </x:is>
      </x:c>
      <x:c r="U40" s="3" t="inlineStr">
        <x:is>
          <x:t xml:space="preserve"/>
        </x:is>
      </x:c>
      <x:c r="V40" s="3" t="inlineStr">
        <x:is>
          <x:t xml:space="preserve"/>
        </x:is>
      </x:c>
      <x:c r="W40" s="3" t="inlineStr">
        <x:is>
          <x:t xml:space="preserve"/>
        </x:is>
      </x:c>
      <x:c r="X40" s="3" t="inlineStr">
        <x:is>
          <x:t xml:space="preserve"/>
        </x:is>
      </x:c>
      <x:c r="Y40" s="3" t="inlineStr">
        <x:is>
          <x:t xml:space="preserve"/>
        </x:is>
      </x:c>
      <x:c r="Z40" s="3" t="inlineStr">
        <x:is>
          <x:t xml:space="preserve"/>
        </x:is>
      </x:c>
      <x:c r="AA40" s="3" t="inlineStr">
        <x:is>
          <x:t xml:space="preserve">融焰娘第1击精灵龙，水汽把火层翻倍</x:t>
        </x:is>
      </x:c>
    </x:row>
    <x:row r="41">
      <x:c r="A41" s="3" t="inlineStr">
        <x:is>
          <x:t xml:space="preserve">act022_core_hit_dragon_2</x:t>
        </x:is>
      </x:c>
      <x:c r="B41" s="3" t="inlineStr">
        <x:is>
          <x:t xml:space="preserve">day7_fire_trial_v1</x:t>
        </x:is>
      </x:c>
      <x:c r="C41" s="3" t="inlineStr">
        <x:is>
          <x:t xml:space="preserve">1</x:t>
        </x:is>
      </x:c>
      <x:c r="D41" s="3" t="inlineStr">
        <x:is>
          <x:t xml:space="preserve">32</x:t>
        </x:is>
      </x:c>
      <x:c r="E41" s="3" t="inlineStr">
        <x:is>
          <x:t xml:space="preserve">attack</x:t>
        </x:is>
      </x:c>
      <x:c r="F41" s="3" t="inlineStr">
        <x:is>
          <x:t xml:space="preserve">day7_rongyan</x:t>
        </x:is>
      </x:c>
      <x:c r="G41" s="3" t="inlineStr">
        <x:is>
          <x:t xml:space="preserve">day7_enemy_dragon</x:t>
        </x:is>
      </x:c>
      <x:c r="H41" s="3" t="inlineStr">
        <x:is>
          <x:t xml:space="preserve">1</x:t>
        </x:is>
      </x:c>
      <x:c r="I41" s="3" t="inlineStr">
        <x:is>
          <x:t xml:space="preserve">6</x:t>
        </x:is>
      </x:c>
      <x:c r="J41" s="3" t="inlineStr">
        <x:is>
          <x:t xml:space="preserve"/>
        </x:is>
      </x:c>
      <x:c r="K41" s="3" t="inlineStr">
        <x:is>
          <x:t xml:space="preserve"/>
        </x:is>
      </x:c>
      <x:c r="L41" s="3" t="inlineStr">
        <x:is>
          <x:t xml:space="preserve">火</x:t>
        </x:is>
      </x:c>
      <x:c r="M41" s="3" t="inlineStr">
        <x:is>
          <x:t xml:space="preserve">2</x:t>
        </x:is>
      </x:c>
      <x:c r="N41" s="3" t="inlineStr">
        <x:is>
          <x:t xml:space="preserve">1</x:t>
        </x:is>
      </x:c>
      <x:c r="O41" s="3" t="inlineStr">
        <x:is>
          <x:t xml:space="preserve">7</x:t>
        </x:is>
      </x:c>
      <x:c r="P41" s="3" t="inlineStr">
        <x:is>
          <x:t xml:space="preserve">火</x:t>
        </x:is>
      </x:c>
      <x:c r="Q41" s="3" t="inlineStr">
        <x:is>
          <x:t xml:space="preserve">1</x:t>
        </x:is>
      </x:c>
      <x:c r="R41" s="3" t="inlineStr">
        <x:is>
          <x:t xml:space="preserve">是</x:t>
        </x:is>
      </x:c>
      <x:c r="S41" s="3" t="inlineStr">
        <x:is>
          <x:t xml:space="preserve">是</x:t>
        </x:is>
      </x:c>
      <x:c r="T41" s="3" t="inlineStr">
        <x:is>
          <x:t xml:space="preserve">主格</x:t>
        </x:is>
      </x:c>
      <x:c r="U41" s="3" t="inlineStr">
        <x:is>
          <x:t xml:space="preserve"/>
        </x:is>
      </x:c>
      <x:c r="V41" s="3" t="inlineStr">
        <x:is>
          <x:t xml:space="preserve"/>
        </x:is>
      </x:c>
      <x:c r="W41" s="3" t="inlineStr">
        <x:is>
          <x:t xml:space="preserve"/>
        </x:is>
      </x:c>
      <x:c r="X41" s="3" t="inlineStr">
        <x:is>
          <x:t xml:space="preserve"/>
        </x:is>
      </x:c>
      <x:c r="Y41" s="3" t="inlineStr">
        <x:is>
          <x:t xml:space="preserve"/>
        </x:is>
      </x:c>
      <x:c r="Z41" s="3" t="inlineStr">
        <x:is>
          <x:t xml:space="preserve"/>
        </x:is>
      </x:c>
      <x:c r="AA41" s="3" t="inlineStr">
        <x:is>
          <x:t xml:space="preserve">融焰娘第2击精灵龙，水汽把火层翻倍</x:t>
        </x:is>
      </x:c>
    </x:row>
    <x:row r="42">
      <x:c r="A42" s="3" t="inlineStr">
        <x:is>
          <x:t xml:space="preserve">act030_move_wind</x:t>
        </x:is>
      </x:c>
      <x:c r="B42" s="3" t="inlineStr">
        <x:is>
          <x:t xml:space="preserve">day7_fire_trial_v1</x:t>
        </x:is>
      </x:c>
      <x:c r="C42" s="3" t="inlineStr">
        <x:is>
          <x:t xml:space="preserve">1</x:t>
        </x:is>
      </x:c>
      <x:c r="D42" s="3" t="inlineStr">
        <x:is>
          <x:t xml:space="preserve">40</x:t>
        </x:is>
      </x:c>
      <x:c r="E42" s="3" t="inlineStr">
        <x:is>
          <x:t xml:space="preserve">move</x:t>
        </x:is>
      </x:c>
      <x:c r="F42" s="3" t="inlineStr">
        <x:is>
          <x:t xml:space="preserve">day7_wind_gather</x:t>
        </x:is>
      </x:c>
      <x:c r="G42" s="3" t="inlineStr">
        <x:is>
          <x:t xml:space="preserve"/>
        </x:is>
      </x:c>
      <x:c r="H42" s="3" t="inlineStr">
        <x:is>
          <x:t xml:space="preserve"/>
        </x:is>
      </x:c>
      <x:c r="I42" s="3" t="inlineStr">
        <x:is>
          <x:t xml:space="preserve"/>
        </x:is>
      </x:c>
      <x:c r="J42" s="3" t="inlineStr">
        <x:is>
          <x:t xml:space="preserve">3</x:t>
        </x:is>
      </x:c>
      <x:c r="K42" s="3" t="inlineStr">
        <x:is>
          <x:t xml:space="preserve">7</x:t>
        </x:is>
      </x:c>
      <x:c r="L42" s="3" t="inlineStr">
        <x:is>
          <x:t xml:space="preserve"/>
        </x:is>
      </x:c>
      <x:c r="M42" s="3" t="inlineStr">
        <x:is>
          <x:t xml:space="preserve"/>
        </x:is>
      </x:c>
      <x:c r="N42" s="3" t="inlineStr">
        <x:is>
          <x:t xml:space="preserve"/>
        </x:is>
      </x:c>
      <x:c r="O42" s="3" t="inlineStr">
        <x:is>
          <x:t xml:space="preserve"/>
        </x:is>
      </x:c>
      <x:c r="P42" s="3" t="inlineStr">
        <x:is>
          <x:t xml:space="preserve"/>
        </x:is>
      </x:c>
      <x:c r="Q42" s="3" t="inlineStr">
        <x:is>
          <x:t xml:space="preserve"/>
        </x:is>
      </x:c>
      <x:c r="R42" s="3" t="inlineStr">
        <x:is>
          <x:t xml:space="preserve"/>
        </x:is>
      </x:c>
      <x:c r="S42" s="3" t="inlineStr">
        <x:is>
          <x:t xml:space="preserve"/>
        </x:is>
      </x:c>
      <x:c r="T42" s="3" t="inlineStr">
        <x:is>
          <x:t xml:space="preserve"/>
        </x:is>
      </x:c>
      <x:c r="U42" s="3" t="inlineStr">
        <x:is>
          <x:t xml:space="preserve"/>
        </x:is>
      </x:c>
      <x:c r="V42" s="3" t="inlineStr">
        <x:is>
          <x:t xml:space="preserve"/>
        </x:is>
      </x:c>
      <x:c r="W42" s="3" t="inlineStr">
        <x:is>
          <x:t xml:space="preserve"/>
        </x:is>
      </x:c>
      <x:c r="X42" s="3" t="inlineStr">
        <x:is>
          <x:t xml:space="preserve"/>
        </x:is>
      </x:c>
      <x:c r="Y42" s="3" t="inlineStr">
        <x:is>
          <x:t xml:space="preserve"/>
        </x:is>
      </x:c>
      <x:c r="Z42" s="3" t="inlineStr">
        <x:is>
          <x:t xml:space="preserve"/>
        </x:is>
      </x:c>
      <x:c r="AA42" s="3" t="inlineStr">
        <x:is>
          <x:t xml:space="preserve">疾风隼站上第3行第7列火陷阱，准备风聚火</x:t>
        </x:is>
      </x:c>
    </x:row>
    <x:row r="43">
      <x:c r="A43" s="3" t="inlineStr">
        <x:is>
          <x:t xml:space="preserve">act031_wind_kill_bee</x:t>
        </x:is>
      </x:c>
      <x:c r="B43" s="3" t="inlineStr">
        <x:is>
          <x:t xml:space="preserve">day7_fire_trial_v1</x:t>
        </x:is>
      </x:c>
      <x:c r="C43" s="3" t="inlineStr">
        <x:is>
          <x:t xml:space="preserve">1</x:t>
        </x:is>
      </x:c>
      <x:c r="D43" s="3" t="inlineStr">
        <x:is>
          <x:t xml:space="preserve">41</x:t>
        </x:is>
      </x:c>
      <x:c r="E43" s="3" t="inlineStr">
        <x:is>
          <x:t xml:space="preserve">attack</x:t>
        </x:is>
      </x:c>
      <x:c r="F43" s="3" t="inlineStr">
        <x:is>
          <x:t xml:space="preserve">day7_wind_gather</x:t>
        </x:is>
      </x:c>
      <x:c r="G43" s="3" t="inlineStr">
        <x:is>
          <x:t xml:space="preserve">day7_enemy_bee</x:t>
        </x:is>
      </x:c>
      <x:c r="H43" s="3" t="inlineStr">
        <x:is>
          <x:t xml:space="preserve">3</x:t>
        </x:is>
      </x:c>
      <x:c r="I43" s="3" t="inlineStr">
        <x:is>
          <x:t xml:space="preserve">6</x:t>
        </x:is>
      </x:c>
      <x:c r="J43" s="3" t="inlineStr">
        <x:is>
          <x:t xml:space="preserve"/>
        </x:is>
      </x:c>
      <x:c r="K43" s="3" t="inlineStr">
        <x:is>
          <x:t xml:space="preserve"/>
        </x:is>
      </x:c>
      <x:c r="L43" s="3" t="inlineStr">
        <x:is>
          <x:t xml:space="preserve">风</x:t>
        </x:is>
      </x:c>
      <x:c r="M43" s="3" t="inlineStr">
        <x:is>
          <x:t xml:space="preserve">1</x:t>
        </x:is>
      </x:c>
      <x:c r="N43" s="3" t="inlineStr">
        <x:is>
          <x:t xml:space="preserve"/>
        </x:is>
      </x:c>
      <x:c r="O43" s="3" t="inlineStr">
        <x:is>
          <x:t xml:space="preserve"/>
        </x:is>
      </x:c>
      <x:c r="P43" s="3" t="inlineStr">
        <x:is>
          <x:t xml:space="preserve"/>
        </x:is>
      </x:c>
      <x:c r="Q43" s="3" t="inlineStr">
        <x:is>
          <x:t xml:space="preserve"/>
        </x:is>
      </x:c>
      <x:c r="R43" s="3" t="inlineStr">
        <x:is>
          <x:t xml:space="preserve">是</x:t>
        </x:is>
      </x:c>
      <x:c r="S43" s="3" t="inlineStr">
        <x:is>
          <x:t xml:space="preserve"/>
        </x:is>
      </x:c>
      <x:c r="T43" s="3" t="inlineStr">
        <x:is>
          <x:t xml:space="preserve"/>
        </x:is>
      </x:c>
      <x:c r="U43" s="3" t="inlineStr">
        <x:is>
          <x:t xml:space="preserve"/>
        </x:is>
      </x:c>
      <x:c r="V43" s="3" t="inlineStr">
        <x:is>
          <x:t xml:space="preserve"/>
        </x:is>
      </x:c>
      <x:c r="W43" s="3" t="inlineStr">
        <x:is>
          <x:t xml:space="preserve"/>
        </x:is>
      </x:c>
      <x:c r="X43" s="3" t="inlineStr">
        <x:is>
          <x:t xml:space="preserve"/>
        </x:is>
      </x:c>
      <x:c r="Y43" s="3" t="inlineStr">
        <x:is>
          <x:t xml:space="preserve"/>
        </x:is>
      </x:c>
      <x:c r="Z43" s="3" t="inlineStr">
        <x:is>
          <x:t xml:space="preserve"/>
        </x:is>
      </x:c>
      <x:c r="AA43" s="3" t="inlineStr">
        <x:is>
          <x:t xml:space="preserve">疾风隼第1击补杀骑士蜂</x:t>
        </x:is>
      </x:c>
    </x:row>
    <x:row r="44">
      <x:c r="A44" s="3" t="inlineStr">
        <x:is>
          <x:t xml:space="preserve">act032_wind_gather_chicken_1</x:t>
        </x:is>
      </x:c>
      <x:c r="B44" s="3" t="inlineStr">
        <x:is>
          <x:t xml:space="preserve">day7_fire_trial_v1</x:t>
        </x:is>
      </x:c>
      <x:c r="C44" s="3" t="inlineStr">
        <x:is>
          <x:t xml:space="preserve">1</x:t>
        </x:is>
      </x:c>
      <x:c r="D44" s="3" t="inlineStr">
        <x:is>
          <x:t xml:space="preserve">42</x:t>
        </x:is>
      </x:c>
      <x:c r="E44" s="3" t="inlineStr">
        <x:is>
          <x:t xml:space="preserve">attack</x:t>
        </x:is>
      </x:c>
      <x:c r="F44" s="3" t="inlineStr">
        <x:is>
          <x:t xml:space="preserve">day7_wind_gather</x:t>
        </x:is>
      </x:c>
      <x:c r="G44" s="3" t="inlineStr">
        <x:is>
          <x:t xml:space="preserve">day7_enemy_chicken</x:t>
        </x:is>
      </x:c>
      <x:c r="H44" s="3" t="inlineStr">
        <x:is>
          <x:t xml:space="preserve">2</x:t>
        </x:is>
      </x:c>
      <x:c r="I44" s="3" t="inlineStr">
        <x:is>
          <x:t xml:space="preserve">7</x:t>
        </x:is>
      </x:c>
      <x:c r="J44" s="3" t="inlineStr">
        <x:is>
          <x:t xml:space="preserve"/>
        </x:is>
      </x:c>
      <x:c r="K44" s="3" t="inlineStr">
        <x:is>
          <x:t xml:space="preserve"/>
        </x:is>
      </x:c>
      <x:c r="L44" s="3" t="inlineStr">
        <x:is>
          <x:t xml:space="preserve">风</x:t>
        </x:is>
      </x:c>
      <x:c r="M44" s="3" t="inlineStr">
        <x:is>
          <x:t xml:space="preserve">1</x:t>
        </x:is>
      </x:c>
      <x:c r="N44" s="3" t="inlineStr">
        <x:is>
          <x:t xml:space="preserve"/>
        </x:is>
      </x:c>
      <x:c r="O44" s="3" t="inlineStr">
        <x:is>
          <x:t xml:space="preserve"/>
        </x:is>
      </x:c>
      <x:c r="P44" s="3" t="inlineStr">
        <x:is>
          <x:t xml:space="preserve"/>
        </x:is>
      </x:c>
      <x:c r="Q44" s="3" t="inlineStr">
        <x:is>
          <x:t xml:space="preserve"/>
        </x:is>
      </x:c>
      <x:c r="R44" s="3" t="inlineStr">
        <x:is>
          <x:t xml:space="preserve">是</x:t>
        </x:is>
      </x:c>
      <x:c r="S44" s="3" t="inlineStr">
        <x:is>
          <x:t xml:space="preserve"/>
        </x:is>
      </x:c>
      <x:c r="T44" s="3" t="inlineStr">
        <x:is>
          <x:t xml:space="preserve">主格</x:t>
        </x:is>
      </x:c>
      <x:c r="U44" s="3" t="inlineStr">
        <x:is>
          <x:t xml:space="preserve">1</x:t>
        </x:is>
      </x:c>
      <x:c r="V44" s="3" t="inlineStr">
        <x:is>
          <x:t xml:space="preserve">7</x:t>
        </x:is>
      </x:c>
      <x:c r="W44" s="3" t="inlineStr">
        <x:is>
          <x:t xml:space="preserve">2</x:t>
        </x:is>
      </x:c>
      <x:c r="X44" s="3" t="inlineStr">
        <x:is>
          <x:t xml:space="preserve">3</x:t>
        </x:is>
      </x:c>
      <x:c r="Y44" s="3" t="inlineStr">
        <x:is>
          <x:t xml:space="preserve">7</x:t>
        </x:is>
      </x:c>
      <x:c r="Z44" s="3" t="inlineStr">
        <x:is>
          <x:t xml:space="preserve">2</x:t>
        </x:is>
      </x:c>
      <x:c r="AA44" s="3" t="inlineStr">
        <x:is>
          <x:t xml:space="preserve">疾风隼第2击皮皮鸡，并收束第1行第7列、第3行第7列火层</x:t>
        </x:is>
      </x:c>
    </x:row>
    <x:row r="45">
      <x:c r="A45" s="3" t="inlineStr">
        <x:is>
          <x:t xml:space="preserve">act033_wind_gather_chicken_2</x:t>
        </x:is>
      </x:c>
      <x:c r="B45" s="3" t="inlineStr">
        <x:is>
          <x:t xml:space="preserve">day7_fire_trial_v1</x:t>
        </x:is>
      </x:c>
      <x:c r="C45" s="3" t="inlineStr">
        <x:is>
          <x:t xml:space="preserve">1</x:t>
        </x:is>
      </x:c>
      <x:c r="D45" s="3" t="inlineStr">
        <x:is>
          <x:t xml:space="preserve">43</x:t>
        </x:is>
      </x:c>
      <x:c r="E45" s="3" t="inlineStr">
        <x:is>
          <x:t xml:space="preserve">attack</x:t>
        </x:is>
      </x:c>
      <x:c r="F45" s="3" t="inlineStr">
        <x:is>
          <x:t xml:space="preserve">day7_wind_gather</x:t>
        </x:is>
      </x:c>
      <x:c r="G45" s="3" t="inlineStr">
        <x:is>
          <x:t xml:space="preserve">day7_enemy_chicken</x:t>
        </x:is>
      </x:c>
      <x:c r="H45" s="3" t="inlineStr">
        <x:is>
          <x:t xml:space="preserve">2</x:t>
        </x:is>
      </x:c>
      <x:c r="I45" s="3" t="inlineStr">
        <x:is>
          <x:t xml:space="preserve">7</x:t>
        </x:is>
      </x:c>
      <x:c r="J45" s="3" t="inlineStr">
        <x:is>
          <x:t xml:space="preserve"/>
        </x:is>
      </x:c>
      <x:c r="K45" s="3" t="inlineStr">
        <x:is>
          <x:t xml:space="preserve"/>
        </x:is>
      </x:c>
      <x:c r="L45" s="3" t="inlineStr">
        <x:is>
          <x:t xml:space="preserve">风</x:t>
        </x:is>
      </x:c>
      <x:c r="M45" s="3" t="inlineStr">
        <x:is>
          <x:t xml:space="preserve">1</x:t>
        </x:is>
      </x:c>
      <x:c r="N45" s="3" t="inlineStr">
        <x:is>
          <x:t xml:space="preserve"/>
        </x:is>
      </x:c>
      <x:c r="O45" s="3" t="inlineStr">
        <x:is>
          <x:t xml:space="preserve"/>
        </x:is>
      </x:c>
      <x:c r="P45" s="3" t="inlineStr">
        <x:is>
          <x:t xml:space="preserve"/>
        </x:is>
      </x:c>
      <x:c r="Q45" s="3" t="inlineStr">
        <x:is>
          <x:t xml:space="preserve"/>
        </x:is>
      </x:c>
      <x:c r="R45" s="3" t="inlineStr">
        <x:is>
          <x:t xml:space="preserve">是</x:t>
        </x:is>
      </x:c>
      <x:c r="S45" s="3" t="inlineStr">
        <x:is>
          <x:t xml:space="preserve"/>
        </x:is>
      </x:c>
      <x:c r="T45" s="3" t="inlineStr">
        <x:is>
          <x:t xml:space="preserve">主格</x:t>
        </x:is>
      </x:c>
      <x:c r="U45" s="3" t="inlineStr">
        <x:is>
          <x:t xml:space="preserve">3</x:t>
        </x:is>
      </x:c>
      <x:c r="V45" s="3" t="inlineStr">
        <x:is>
          <x:t xml:space="preserve">7</x:t>
        </x:is>
      </x:c>
      <x:c r="W45" s="3" t="inlineStr">
        <x:is>
          <x:t xml:space="preserve">1</x:t>
        </x:is>
      </x:c>
      <x:c r="X45" s="3" t="inlineStr">
        <x:is>
          <x:t xml:space="preserve"/>
        </x:is>
      </x:c>
      <x:c r="Y45" s="3" t="inlineStr">
        <x:is>
          <x:t xml:space="preserve"/>
        </x:is>
      </x:c>
      <x:c r="Z45" s="3" t="inlineStr">
        <x:is>
          <x:t xml:space="preserve"/>
        </x:is>
      </x:c>
      <x:c r="AA45" s="3" t="inlineStr">
        <x:is>
          <x:t xml:space="preserve">疾风隼第3击继续压皮皮鸡护盾</x:t>
        </x:is>
      </x:c>
    </x:row>
    <x:row r="46">
      <x:c r="A46" s="3" t="inlineStr">
        <x:is>
          <x:t xml:space="preserve">act040_duck_seed_next</x:t>
        </x:is>
      </x:c>
      <x:c r="B46" s="3" t="inlineStr">
        <x:is>
          <x:t xml:space="preserve">day7_fire_trial_v1</x:t>
        </x:is>
      </x:c>
      <x:c r="C46" s="3" t="inlineStr">
        <x:is>
          <x:t xml:space="preserve">1</x:t>
        </x:is>
      </x:c>
      <x:c r="D46" s="3" t="inlineStr">
        <x:is>
          <x:t xml:space="preserve">50</x:t>
        </x:is>
      </x:c>
      <x:c r="E46" s="3" t="inlineStr">
        <x:is>
          <x:t xml:space="preserve">add_element</x:t>
        </x:is>
      </x:c>
      <x:c r="F46" s="3" t="inlineStr">
        <x:is>
          <x:t xml:space="preserve">day7_chonglangya</x:t>
        </x:is>
      </x:c>
      <x:c r="G46" s="3" t="inlineStr">
        <x:is>
          <x:t xml:space="preserve"/>
        </x:is>
      </x:c>
      <x:c r="H46" s="3" t="inlineStr">
        <x:is>
          <x:t xml:space="preserve">4</x:t>
        </x:is>
      </x:c>
      <x:c r="I46" s="3" t="inlineStr">
        <x:is>
          <x:t xml:space="preserve">6</x:t>
        </x:is>
      </x:c>
      <x:c r="J46" s="3" t="inlineStr">
        <x:is>
          <x:t xml:space="preserve"/>
        </x:is>
      </x:c>
      <x:c r="K46" s="3" t="inlineStr">
        <x:is>
          <x:t xml:space="preserve"/>
        </x:is>
      </x:c>
      <x:c r="L46" s="3" t="inlineStr">
        <x:is>
          <x:t xml:space="preserve">水</x:t>
        </x:is>
      </x:c>
      <x:c r="M46" s="3" t="inlineStr">
        <x:is>
          <x:t xml:space="preserve">1</x:t>
        </x:is>
      </x:c>
      <x:c r="N46" s="3" t="inlineStr">
        <x:is>
          <x:t xml:space="preserve"/>
        </x:is>
      </x:c>
      <x:c r="O46" s="3" t="inlineStr">
        <x:is>
          <x:t xml:space="preserve"/>
        </x:is>
      </x:c>
      <x:c r="P46" s="3" t="inlineStr">
        <x:is>
          <x:t xml:space="preserve"/>
        </x:is>
      </x:c>
      <x:c r="Q46" s="3" t="inlineStr">
        <x:is>
          <x:t xml:space="preserve"/>
        </x:is>
      </x:c>
      <x:c r="R46" s="3" t="inlineStr">
        <x:is>
          <x:t xml:space="preserve"/>
        </x:is>
      </x:c>
      <x:c r="S46" s="3" t="inlineStr">
        <x:is>
          <x:t xml:space="preserve"/>
        </x:is>
      </x:c>
      <x:c r="T46" s="3" t="inlineStr">
        <x:is>
          <x:t xml:space="preserve"/>
        </x:is>
      </x:c>
      <x:c r="U46" s="3" t="inlineStr">
        <x:is>
          <x:t xml:space="preserve"/>
        </x:is>
      </x:c>
      <x:c r="V46" s="3" t="inlineStr">
        <x:is>
          <x:t xml:space="preserve"/>
        </x:is>
      </x:c>
      <x:c r="W46" s="3" t="inlineStr">
        <x:is>
          <x:t xml:space="preserve"/>
        </x:is>
      </x:c>
      <x:c r="X46" s="3" t="inlineStr">
        <x:is>
          <x:t xml:space="preserve"/>
        </x:is>
      </x:c>
      <x:c r="Y46" s="3" t="inlineStr">
        <x:is>
          <x:t xml:space="preserve"/>
        </x:is>
      </x:c>
      <x:c r="Z46" s="3" t="inlineStr">
        <x:is>
          <x:t xml:space="preserve"/>
        </x:is>
      </x:c>
      <x:c r="AA46" s="3" t="inlineStr">
        <x:is>
          <x:t xml:space="preserve">冲浪鸭第3击向第4行第6列铺水汽催化</x:t>
        </x:is>
      </x:c>
    </x:row>
    <x:row r="47">
      <x:c r="A47" s="3" t="inlineStr">
        <x:is>
          <x:t xml:space="preserve">act050_chicken_shield_regen</x:t>
        </x:is>
      </x:c>
      <x:c r="B47" s="3" t="inlineStr">
        <x:is>
          <x:t xml:space="preserve">day7_fire_trial_v1</x:t>
        </x:is>
      </x:c>
      <x:c r="C47" s="3" t="inlineStr">
        <x:is>
          <x:t xml:space="preserve">1</x:t>
        </x:is>
      </x:c>
      <x:c r="D47" s="3" t="inlineStr">
        <x:is>
          <x:t xml:space="preserve">60</x:t>
        </x:is>
      </x:c>
      <x:c r="E47" s="3" t="inlineStr">
        <x:is>
          <x:t xml:space="preserve">restore_shield</x:t>
        </x:is>
      </x:c>
      <x:c r="F47" s="3" t="inlineStr">
        <x:is>
          <x:t xml:space="preserve">day7_enemy_chicken</x:t>
        </x:is>
      </x:c>
      <x:c r="G47" s="3" t="inlineStr">
        <x:is>
          <x:t xml:space="preserve"/>
        </x:is>
      </x:c>
      <x:c r="H47" s="3" t="inlineStr">
        <x:is>
          <x:t xml:space="preserve"/>
        </x:is>
      </x:c>
      <x:c r="I47" s="3" t="inlineStr">
        <x:is>
          <x:t xml:space="preserve"/>
        </x:is>
      </x:c>
      <x:c r="J47" s="3" t="inlineStr">
        <x:is>
          <x:t xml:space="preserve"/>
        </x:is>
      </x:c>
      <x:c r="K47" s="3" t="inlineStr">
        <x:is>
          <x:t xml:space="preserve"/>
        </x:is>
      </x:c>
      <x:c r="L47" s="3" t="inlineStr">
        <x:is>
          <x:t xml:space="preserve"/>
        </x:is>
      </x:c>
      <x:c r="M47" s="3" t="inlineStr">
        <x:is>
          <x:t xml:space="preserve"/>
        </x:is>
      </x:c>
      <x:c r="N47" s="3" t="inlineStr">
        <x:is>
          <x:t xml:space="preserve"/>
        </x:is>
      </x:c>
      <x:c r="O47" s="3" t="inlineStr">
        <x:is>
          <x:t xml:space="preserve"/>
        </x:is>
      </x:c>
      <x:c r="P47" s="3" t="inlineStr">
        <x:is>
          <x:t xml:space="preserve"/>
        </x:is>
      </x:c>
      <x:c r="Q47" s="3" t="inlineStr">
        <x:is>
          <x:t xml:space="preserve"/>
        </x:is>
      </x:c>
      <x:c r="R47" s="3" t="inlineStr">
        <x:is>
          <x:t xml:space="preserve"/>
        </x:is>
      </x:c>
      <x:c r="S47" s="3" t="inlineStr">
        <x:is>
          <x:t xml:space="preserve"/>
        </x:is>
      </x:c>
      <x:c r="T47" s="3" t="inlineStr">
        <x:is>
          <x:t xml:space="preserve"/>
        </x:is>
      </x:c>
      <x:c r="U47" s="3" t="inlineStr">
        <x:is>
          <x:t xml:space="preserve"/>
        </x:is>
      </x:c>
      <x:c r="V47" s="3" t="inlineStr">
        <x:is>
          <x:t xml:space="preserve"/>
        </x:is>
      </x:c>
      <x:c r="W47" s="3" t="inlineStr">
        <x:is>
          <x:t xml:space="preserve"/>
        </x:is>
      </x:c>
      <x:c r="X47" s="3" t="inlineStr">
        <x:is>
          <x:t xml:space="preserve"/>
        </x:is>
      </x:c>
      <x:c r="Y47" s="3" t="inlineStr">
        <x:is>
          <x:t xml:space="preserve"/>
        </x:is>
      </x:c>
      <x:c r="Z47" s="3" t="inlineStr">
        <x:is>
          <x:t xml:space="preserve"/>
        </x:is>
      </x:c>
      <x:c r="AA47" s="3" t="inlineStr">
        <x:is>
          <x:t xml:space="preserve">皮皮鸡回合末护盾重生</x:t>
        </x:is>
      </x:c>
    </x:row>
    <x:row r="48">
      <x:c r="A48" s="3" t="inlineStr">
        <x:is>
          <x:t xml:space="preserve">act060_sheep_move</x:t>
        </x:is>
      </x:c>
      <x:c r="B48" s="3" t="inlineStr">
        <x:is>
          <x:t xml:space="preserve">day7_fire_trial_v1</x:t>
        </x:is>
      </x:c>
      <x:c r="C48" s="3" t="inlineStr">
        <x:is>
          <x:t xml:space="preserve">1</x:t>
        </x:is>
      </x:c>
      <x:c r="D48" s="3" t="inlineStr">
        <x:is>
          <x:t xml:space="preserve">70</x:t>
        </x:is>
      </x:c>
      <x:c r="E48" s="3" t="inlineStr">
        <x:is>
          <x:t xml:space="preserve">move</x:t>
        </x:is>
      </x:c>
      <x:c r="F48" s="3" t="inlineStr">
        <x:is>
          <x:t xml:space="preserve">day7_enemy_sheep</x:t>
        </x:is>
      </x:c>
      <x:c r="G48" s="3" t="inlineStr">
        <x:is>
          <x:t xml:space="preserve"/>
        </x:is>
      </x:c>
      <x:c r="H48" s="3" t="inlineStr">
        <x:is>
          <x:t xml:space="preserve"/>
        </x:is>
      </x:c>
      <x:c r="I48" s="3" t="inlineStr">
        <x:is>
          <x:t xml:space="preserve"/>
        </x:is>
      </x:c>
      <x:c r="J48" s="3" t="inlineStr">
        <x:is>
          <x:t xml:space="preserve">4</x:t>
        </x:is>
      </x:c>
      <x:c r="K48" s="3" t="inlineStr">
        <x:is>
          <x:t xml:space="preserve">4</x:t>
        </x:is>
      </x:c>
      <x:c r="L48" s="3" t="inlineStr">
        <x:is>
          <x:t xml:space="preserve"/>
        </x:is>
      </x:c>
      <x:c r="M48" s="3" t="inlineStr">
        <x:is>
          <x:t xml:space="preserve"/>
        </x:is>
      </x:c>
      <x:c r="N48" s="3" t="inlineStr">
        <x:is>
          <x:t xml:space="preserve"/>
        </x:is>
      </x:c>
      <x:c r="O48" s="3" t="inlineStr">
        <x:is>
          <x:t xml:space="preserve"/>
        </x:is>
      </x:c>
      <x:c r="P48" s="3" t="inlineStr">
        <x:is>
          <x:t xml:space="preserve"/>
        </x:is>
      </x:c>
      <x:c r="Q48" s="3" t="inlineStr">
        <x:is>
          <x:t xml:space="preserve"/>
        </x:is>
      </x:c>
      <x:c r="R48" s="3" t="inlineStr">
        <x:is>
          <x:t xml:space="preserve"/>
        </x:is>
      </x:c>
      <x:c r="S48" s="3" t="inlineStr">
        <x:is>
          <x:t xml:space="preserve"/>
        </x:is>
      </x:c>
      <x:c r="T48" s="3" t="inlineStr">
        <x:is>
          <x:t xml:space="preserve"/>
        </x:is>
      </x:c>
      <x:c r="U48" s="3" t="inlineStr">
        <x:is>
          <x:t xml:space="preserve"/>
        </x:is>
      </x:c>
      <x:c r="V48" s="3" t="inlineStr">
        <x:is>
          <x:t xml:space="preserve"/>
        </x:is>
      </x:c>
      <x:c r="W48" s="3" t="inlineStr">
        <x:is>
          <x:t xml:space="preserve"/>
        </x:is>
      </x:c>
      <x:c r="X48" s="3" t="inlineStr">
        <x:is>
          <x:t xml:space="preserve"/>
        </x:is>
      </x:c>
      <x:c r="Y48" s="3" t="inlineStr">
        <x:is>
          <x:t xml:space="preserve"/>
        </x:is>
      </x:c>
      <x:c r="Z48" s="3" t="inlineStr">
        <x:is>
          <x:t xml:space="preserve"/>
        </x:is>
      </x:c>
      <x:c r="AA48" s="3" t="inlineStr">
        <x:is>
          <x:t xml:space="preserve">棉悠悠黄金复制体移动到第4行第4列</x:t>
        </x:is>
      </x:c>
    </x:row>
    <x:row r="49">
      <x:c r="A49" s="3" t="inlineStr">
        <x:is>
          <x:t xml:space="preserve">act201_move_core_chicken</x:t>
        </x:is>
      </x:c>
      <x:c r="B49" s="3" t="inlineStr">
        <x:is>
          <x:t xml:space="preserve">day7_fire_trial_v1</x:t>
        </x:is>
      </x:c>
      <x:c r="C49" s="3" t="inlineStr">
        <x:is>
          <x:t xml:space="preserve">2</x:t>
        </x:is>
      </x:c>
      <x:c r="D49" s="3" t="inlineStr">
        <x:is>
          <x:t xml:space="preserve">10</x:t>
        </x:is>
      </x:c>
      <x:c r="E49" s="3" t="inlineStr">
        <x:is>
          <x:t xml:space="preserve">move</x:t>
        </x:is>
      </x:c>
      <x:c r="F49" s="3" t="inlineStr">
        <x:is>
          <x:t xml:space="preserve">day7_rongyan</x:t>
        </x:is>
      </x:c>
      <x:c r="G49" s="3" t="inlineStr">
        <x:is>
          <x:t xml:space="preserve"/>
        </x:is>
      </x:c>
      <x:c r="H49" s="3" t="inlineStr">
        <x:is>
          <x:t xml:space="preserve"/>
        </x:is>
      </x:c>
      <x:c r="I49" s="3" t="inlineStr">
        <x:is>
          <x:t xml:space="preserve"/>
        </x:is>
      </x:c>
      <x:c r="J49" s="3" t="inlineStr">
        <x:is>
          <x:t xml:space="preserve">2</x:t>
        </x:is>
      </x:c>
      <x:c r="K49" s="3" t="inlineStr">
        <x:is>
          <x:t xml:space="preserve">6</x:t>
        </x:is>
      </x:c>
      <x:c r="L49" s="3" t="inlineStr">
        <x:is>
          <x:t xml:space="preserve"/>
        </x:is>
      </x:c>
      <x:c r="M49" s="3" t="inlineStr">
        <x:is>
          <x:t xml:space="preserve"/>
        </x:is>
      </x:c>
      <x:c r="N49" s="3" t="inlineStr">
        <x:is>
          <x:t xml:space="preserve"/>
        </x:is>
      </x:c>
      <x:c r="O49" s="3" t="inlineStr">
        <x:is>
          <x:t xml:space="preserve"/>
        </x:is>
      </x:c>
      <x:c r="P49" s="3" t="inlineStr">
        <x:is>
          <x:t xml:space="preserve"/>
        </x:is>
      </x:c>
      <x:c r="Q49" s="3" t="inlineStr">
        <x:is>
          <x:t xml:space="preserve"/>
        </x:is>
      </x:c>
      <x:c r="R49" s="3" t="inlineStr">
        <x:is>
          <x:t xml:space="preserve"/>
        </x:is>
      </x:c>
      <x:c r="S49" s="3" t="inlineStr">
        <x:is>
          <x:t xml:space="preserve"/>
        </x:is>
      </x:c>
      <x:c r="T49" s="3" t="inlineStr">
        <x:is>
          <x:t xml:space="preserve"/>
        </x:is>
      </x:c>
      <x:c r="U49" s="3" t="inlineStr">
        <x:is>
          <x:t xml:space="preserve"/>
        </x:is>
      </x:c>
      <x:c r="V49" s="3" t="inlineStr">
        <x:is>
          <x:t xml:space="preserve"/>
        </x:is>
      </x:c>
      <x:c r="W49" s="3" t="inlineStr">
        <x:is>
          <x:t xml:space="preserve"/>
        </x:is>
      </x:c>
      <x:c r="X49" s="3" t="inlineStr">
        <x:is>
          <x:t xml:space="preserve"/>
        </x:is>
      </x:c>
      <x:c r="Y49" s="3" t="inlineStr">
        <x:is>
          <x:t xml:space="preserve"/>
        </x:is>
      </x:c>
      <x:c r="Z49" s="3" t="inlineStr">
        <x:is>
          <x:t xml:space="preserve"/>
        </x:is>
      </x:c>
      <x:c r="AA49" s="3" t="inlineStr">
        <x:is>
          <x:t xml:space="preserve">融焰娘移动到第2行第6列，处理皮皮鸡护盾题</x:t>
        </x:is>
      </x:c>
    </x:row>
    <x:row r="50">
      <x:c r="A50" s="3" t="inlineStr">
        <x:is>
          <x:t xml:space="preserve">act202_core_chicken_fire1</x:t>
        </x:is>
      </x:c>
      <x:c r="B50" s="3" t="inlineStr">
        <x:is>
          <x:t xml:space="preserve">day7_fire_trial_v1</x:t>
        </x:is>
      </x:c>
      <x:c r="C50" s="3" t="inlineStr">
        <x:is>
          <x:t xml:space="preserve">2</x:t>
        </x:is>
      </x:c>
      <x:c r="D50" s="3" t="inlineStr">
        <x:is>
          <x:t xml:space="preserve">11</x:t>
        </x:is>
      </x:c>
      <x:c r="E50" s="3" t="inlineStr">
        <x:is>
          <x:t xml:space="preserve">attack</x:t>
        </x:is>
      </x:c>
      <x:c r="F50" s="3" t="inlineStr">
        <x:is>
          <x:t xml:space="preserve">day7_rongyan</x:t>
        </x:is>
      </x:c>
      <x:c r="G50" s="3" t="inlineStr">
        <x:is>
          <x:t xml:space="preserve">day7_enemy_chicken</x:t>
        </x:is>
      </x:c>
      <x:c r="H50" s="3" t="inlineStr">
        <x:is>
          <x:t xml:space="preserve">2</x:t>
        </x:is>
      </x:c>
      <x:c r="I50" s="3" t="inlineStr">
        <x:is>
          <x:t xml:space="preserve">7</x:t>
        </x:is>
      </x:c>
      <x:c r="J50" s="3" t="inlineStr">
        <x:is>
          <x:t xml:space="preserve"/>
        </x:is>
      </x:c>
      <x:c r="K50" s="3" t="inlineStr">
        <x:is>
          <x:t xml:space="preserve"/>
        </x:is>
      </x:c>
      <x:c r="L50" s="3" t="inlineStr">
        <x:is>
          <x:t xml:space="preserve">火</x:t>
        </x:is>
      </x:c>
      <x:c r="M50" s="3" t="inlineStr">
        <x:is>
          <x:t xml:space="preserve">5</x:t>
        </x:is>
      </x:c>
      <x:c r="N50" s="3" t="inlineStr">
        <x:is>
          <x:t xml:space="preserve"/>
        </x:is>
      </x:c>
      <x:c r="O50" s="3" t="inlineStr">
        <x:is>
          <x:t xml:space="preserve"/>
        </x:is>
      </x:c>
      <x:c r="P50" s="3" t="inlineStr">
        <x:is>
          <x:t xml:space="preserve"/>
        </x:is>
      </x:c>
      <x:c r="Q50" s="3" t="inlineStr">
        <x:is>
          <x:t xml:space="preserve"/>
        </x:is>
      </x:c>
      <x:c r="R50" s="3" t="inlineStr">
        <x:is>
          <x:t xml:space="preserve">是</x:t>
        </x:is>
      </x:c>
      <x:c r="S50" s="3" t="inlineStr">
        <x:is>
          <x:t xml:space="preserve"/>
        </x:is>
      </x:c>
      <x:c r="T50" s="3" t="inlineStr">
        <x:is>
          <x:t xml:space="preserve">主格</x:t>
        </x:is>
      </x:c>
      <x:c r="U50" s="3" t="inlineStr">
        <x:is>
          <x:t xml:space="preserve"/>
        </x:is>
      </x:c>
      <x:c r="V50" s="3" t="inlineStr">
        <x:is>
          <x:t xml:space="preserve"/>
        </x:is>
      </x:c>
      <x:c r="W50" s="3" t="inlineStr">
        <x:is>
          <x:t xml:space="preserve"/>
        </x:is>
      </x:c>
      <x:c r="X50" s="3" t="inlineStr">
        <x:is>
          <x:t xml:space="preserve"/>
        </x:is>
      </x:c>
      <x:c r="Y50" s="3" t="inlineStr">
        <x:is>
          <x:t xml:space="preserve"/>
        </x:is>
      </x:c>
      <x:c r="Z50" s="3" t="inlineStr">
        <x:is>
          <x:t xml:space="preserve"/>
        </x:is>
      </x:c>
      <x:c r="AA50" s="3" t="inlineStr">
        <x:is>
          <x:t xml:space="preserve">融焰娘第1击皮皮鸡，火5爆破盾</x:t>
        </x:is>
      </x:c>
    </x:row>
    <x:row r="51">
      <x:c r="A51" s="3" t="inlineStr">
        <x:is>
          <x:t xml:space="preserve">act203_core_chicken_fire2</x:t>
        </x:is>
      </x:c>
      <x:c r="B51" s="3" t="inlineStr">
        <x:is>
          <x:t xml:space="preserve">day7_fire_trial_v1</x:t>
        </x:is>
      </x:c>
      <x:c r="C51" s="3" t="inlineStr">
        <x:is>
          <x:t xml:space="preserve">2</x:t>
        </x:is>
      </x:c>
      <x:c r="D51" s="3" t="inlineStr">
        <x:is>
          <x:t xml:space="preserve">12</x:t>
        </x:is>
      </x:c>
      <x:c r="E51" s="3" t="inlineStr">
        <x:is>
          <x:t xml:space="preserve">attack</x:t>
        </x:is>
      </x:c>
      <x:c r="F51" s="3" t="inlineStr">
        <x:is>
          <x:t xml:space="preserve">day7_rongyan</x:t>
        </x:is>
      </x:c>
      <x:c r="G51" s="3" t="inlineStr">
        <x:is>
          <x:t xml:space="preserve">day7_enemy_chicken</x:t>
        </x:is>
      </x:c>
      <x:c r="H51" s="3" t="inlineStr">
        <x:is>
          <x:t xml:space="preserve">2</x:t>
        </x:is>
      </x:c>
      <x:c r="I51" s="3" t="inlineStr">
        <x:is>
          <x:t xml:space="preserve">7</x:t>
        </x:is>
      </x:c>
      <x:c r="J51" s="3" t="inlineStr">
        <x:is>
          <x:t xml:space="preserve"/>
        </x:is>
      </x:c>
      <x:c r="K51" s="3" t="inlineStr">
        <x:is>
          <x:t xml:space="preserve"/>
        </x:is>
      </x:c>
      <x:c r="L51" s="3" t="inlineStr">
        <x:is>
          <x:t xml:space="preserve">火</x:t>
        </x:is>
      </x:c>
      <x:c r="M51" s="3" t="inlineStr">
        <x:is>
          <x:t xml:space="preserve">5</x:t>
        </x:is>
      </x:c>
      <x:c r="N51" s="3" t="inlineStr">
        <x:is>
          <x:t xml:space="preserve"/>
        </x:is>
      </x:c>
      <x:c r="O51" s="3" t="inlineStr">
        <x:is>
          <x:t xml:space="preserve"/>
        </x:is>
      </x:c>
      <x:c r="P51" s="3" t="inlineStr">
        <x:is>
          <x:t xml:space="preserve"/>
        </x:is>
      </x:c>
      <x:c r="Q51" s="3" t="inlineStr">
        <x:is>
          <x:t xml:space="preserve"/>
        </x:is>
      </x:c>
      <x:c r="R51" s="3" t="inlineStr">
        <x:is>
          <x:t xml:space="preserve">是</x:t>
        </x:is>
      </x:c>
      <x:c r="S51" s="3" t="inlineStr">
        <x:is>
          <x:t xml:space="preserve"/>
        </x:is>
      </x:c>
      <x:c r="T51" s="3" t="inlineStr">
        <x:is>
          <x:t xml:space="preserve">主格</x:t>
        </x:is>
      </x:c>
      <x:c r="U51" s="3" t="inlineStr">
        <x:is>
          <x:t xml:space="preserve"/>
        </x:is>
      </x:c>
      <x:c r="V51" s="3" t="inlineStr">
        <x:is>
          <x:t xml:space="preserve"/>
        </x:is>
      </x:c>
      <x:c r="W51" s="3" t="inlineStr">
        <x:is>
          <x:t xml:space="preserve"/>
        </x:is>
      </x:c>
      <x:c r="X51" s="3" t="inlineStr">
        <x:is>
          <x:t xml:space="preserve"/>
        </x:is>
      </x:c>
      <x:c r="Y51" s="3" t="inlineStr">
        <x:is>
          <x:t xml:space="preserve"/>
        </x:is>
      </x:c>
      <x:c r="Z51" s="3" t="inlineStr">
        <x:is>
          <x:t xml:space="preserve"/>
        </x:is>
      </x:c>
      <x:c r="AA51" s="3" t="inlineStr">
        <x:is>
          <x:t xml:space="preserve">融焰娘第2击皮皮鸡，继续火5爆</x:t>
        </x:is>
      </x:c>
    </x:row>
    <x:row r="52">
      <x:c r="A52" s="3" t="inlineStr">
        <x:is>
          <x:t xml:space="preserve">act204_fox_chicken_finish</x:t>
        </x:is>
      </x:c>
      <x:c r="B52" s="3" t="inlineStr">
        <x:is>
          <x:t xml:space="preserve">day7_fire_trial_v1</x:t>
        </x:is>
      </x:c>
      <x:c r="C52" s="3" t="inlineStr">
        <x:is>
          <x:t xml:space="preserve">2</x:t>
        </x:is>
      </x:c>
      <x:c r="D52" s="3" t="inlineStr">
        <x:is>
          <x:t xml:space="preserve">13</x:t>
        </x:is>
      </x:c>
      <x:c r="E52" s="3" t="inlineStr">
        <x:is>
          <x:t xml:space="preserve">attack</x:t>
        </x:is>
      </x:c>
      <x:c r="F52" s="3" t="inlineStr">
        <x:is>
          <x:t xml:space="preserve">day7_huoronghu</x:t>
        </x:is>
      </x:c>
      <x:c r="G52" s="3" t="inlineStr">
        <x:is>
          <x:t xml:space="preserve">day7_enemy_chicken</x:t>
        </x:is>
      </x:c>
      <x:c r="H52" s="3" t="inlineStr">
        <x:is>
          <x:t xml:space="preserve">2</x:t>
        </x:is>
      </x:c>
      <x:c r="I52" s="3" t="inlineStr">
        <x:is>
          <x:t xml:space="preserve">7</x:t>
        </x:is>
      </x:c>
      <x:c r="J52" s="3" t="inlineStr">
        <x:is>
          <x:t xml:space="preserve"/>
        </x:is>
      </x:c>
      <x:c r="K52" s="3" t="inlineStr">
        <x:is>
          <x:t xml:space="preserve"/>
        </x:is>
      </x:c>
      <x:c r="L52" s="3" t="inlineStr">
        <x:is>
          <x:t xml:space="preserve">火</x:t>
        </x:is>
      </x:c>
      <x:c r="M52" s="3" t="inlineStr">
        <x:is>
          <x:t xml:space="preserve">3</x:t>
        </x:is>
      </x:c>
      <x:c r="N52" s="3" t="inlineStr">
        <x:is>
          <x:t xml:space="preserve"/>
        </x:is>
      </x:c>
      <x:c r="O52" s="3" t="inlineStr">
        <x:is>
          <x:t xml:space="preserve"/>
        </x:is>
      </x:c>
      <x:c r="P52" s="3" t="inlineStr">
        <x:is>
          <x:t xml:space="preserve"/>
        </x:is>
      </x:c>
      <x:c r="Q52" s="3" t="inlineStr">
        <x:is>
          <x:t xml:space="preserve"/>
        </x:is>
      </x:c>
      <x:c r="R52" s="3" t="inlineStr">
        <x:is>
          <x:t xml:space="preserve">是</x:t>
        </x:is>
      </x:c>
      <x:c r="S52" s="3" t="inlineStr">
        <x:is>
          <x:t xml:space="preserve"/>
        </x:is>
      </x:c>
      <x:c r="T52" s="3" t="inlineStr">
        <x:is>
          <x:t xml:space="preserve">主格</x:t>
        </x:is>
      </x:c>
      <x:c r="U52" s="3" t="inlineStr">
        <x:is>
          <x:t xml:space="preserve"/>
        </x:is>
      </x:c>
      <x:c r="V52" s="3" t="inlineStr">
        <x:is>
          <x:t xml:space="preserve"/>
        </x:is>
      </x:c>
      <x:c r="W52" s="3" t="inlineStr">
        <x:is>
          <x:t xml:space="preserve"/>
        </x:is>
      </x:c>
      <x:c r="X52" s="3" t="inlineStr">
        <x:is>
          <x:t xml:space="preserve"/>
        </x:is>
      </x:c>
      <x:c r="Y52" s="3" t="inlineStr">
        <x:is>
          <x:t xml:space="preserve"/>
        </x:is>
      </x:c>
      <x:c r="Z52" s="3" t="inlineStr">
        <x:is>
          <x:t xml:space="preserve"/>
        </x:is>
      </x:c>
      <x:c r="AA52" s="3" t="inlineStr">
        <x:is>
          <x:t xml:space="preserve">火绒狐补火3，击杀皮皮鸡</x:t>
        </x:is>
      </x:c>
    </x:row>
    <x:row r="53">
      <x:c r="A53" s="3" t="inlineStr">
        <x:is>
          <x:t xml:space="preserve">act210_move_core_sheep</x:t>
        </x:is>
      </x:c>
      <x:c r="B53" s="3" t="inlineStr">
        <x:is>
          <x:t xml:space="preserve">day7_fire_trial_v1</x:t>
        </x:is>
      </x:c>
      <x:c r="C53" s="3" t="inlineStr">
        <x:is>
          <x:t xml:space="preserve">2</x:t>
        </x:is>
      </x:c>
      <x:c r="D53" s="3" t="inlineStr">
        <x:is>
          <x:t xml:space="preserve">20</x:t>
        </x:is>
      </x:c>
      <x:c r="E53" s="3" t="inlineStr">
        <x:is>
          <x:t xml:space="preserve">move</x:t>
        </x:is>
      </x:c>
      <x:c r="F53" s="3" t="inlineStr">
        <x:is>
          <x:t xml:space="preserve">day7_rongyan</x:t>
        </x:is>
      </x:c>
      <x:c r="G53" s="3" t="inlineStr">
        <x:is>
          <x:t xml:space="preserve"/>
        </x:is>
      </x:c>
      <x:c r="H53" s="3" t="inlineStr">
        <x:is>
          <x:t xml:space="preserve"/>
        </x:is>
      </x:c>
      <x:c r="I53" s="3" t="inlineStr">
        <x:is>
          <x:t xml:space="preserve"/>
        </x:is>
      </x:c>
      <x:c r="J53" s="3" t="inlineStr">
        <x:is>
          <x:t xml:space="preserve">4</x:t>
        </x:is>
      </x:c>
      <x:c r="K53" s="3" t="inlineStr">
        <x:is>
          <x:t xml:space="preserve">3</x:t>
        </x:is>
      </x:c>
      <x:c r="L53" s="3" t="inlineStr">
        <x:is>
          <x:t xml:space="preserve"/>
        </x:is>
      </x:c>
      <x:c r="M53" s="3" t="inlineStr">
        <x:is>
          <x:t xml:space="preserve"/>
        </x:is>
      </x:c>
      <x:c r="N53" s="3" t="inlineStr">
        <x:is>
          <x:t xml:space="preserve"/>
        </x:is>
      </x:c>
      <x:c r="O53" s="3" t="inlineStr">
        <x:is>
          <x:t xml:space="preserve"/>
        </x:is>
      </x:c>
      <x:c r="P53" s="3" t="inlineStr">
        <x:is>
          <x:t xml:space="preserve"/>
        </x:is>
      </x:c>
      <x:c r="Q53" s="3" t="inlineStr">
        <x:is>
          <x:t xml:space="preserve"/>
        </x:is>
      </x:c>
      <x:c r="R53" s="3" t="inlineStr">
        <x:is>
          <x:t xml:space="preserve"/>
        </x:is>
      </x:c>
      <x:c r="S53" s="3" t="inlineStr">
        <x:is>
          <x:t xml:space="preserve"/>
        </x:is>
      </x:c>
      <x:c r="T53" s="3" t="inlineStr">
        <x:is>
          <x:t xml:space="preserve"/>
        </x:is>
      </x:c>
      <x:c r="U53" s="3" t="inlineStr">
        <x:is>
          <x:t xml:space="preserve"/>
        </x:is>
      </x:c>
      <x:c r="V53" s="3" t="inlineStr">
        <x:is>
          <x:t xml:space="preserve"/>
        </x:is>
      </x:c>
      <x:c r="W53" s="3" t="inlineStr">
        <x:is>
          <x:t xml:space="preserve"/>
        </x:is>
      </x:c>
      <x:c r="X53" s="3" t="inlineStr">
        <x:is>
          <x:t xml:space="preserve"/>
        </x:is>
      </x:c>
      <x:c r="Y53" s="3" t="inlineStr">
        <x:is>
          <x:t xml:space="preserve"/>
        </x:is>
      </x:c>
      <x:c r="Z53" s="3" t="inlineStr">
        <x:is>
          <x:t xml:space="preserve"/>
        </x:is>
      </x:c>
      <x:c r="AA53" s="3" t="inlineStr">
        <x:is>
          <x:t xml:space="preserve">融焰娘移动到第4行第3列，处理棉悠悠站场题</x:t>
        </x:is>
      </x:c>
    </x:row>
    <x:row r="54">
      <x:c r="A54" s="3" t="inlineStr">
        <x:is>
          <x:t xml:space="preserve">act211_core_sheep_fire</x:t>
        </x:is>
      </x:c>
      <x:c r="B54" s="3" t="inlineStr">
        <x:is>
          <x:t xml:space="preserve">day7_fire_trial_v1</x:t>
        </x:is>
      </x:c>
      <x:c r="C54" s="3" t="inlineStr">
        <x:is>
          <x:t xml:space="preserve">2</x:t>
        </x:is>
      </x:c>
      <x:c r="D54" s="3" t="inlineStr">
        <x:is>
          <x:t xml:space="preserve">21</x:t>
        </x:is>
      </x:c>
      <x:c r="E54" s="3" t="inlineStr">
        <x:is>
          <x:t xml:space="preserve">attack</x:t>
        </x:is>
      </x:c>
      <x:c r="F54" s="3" t="inlineStr">
        <x:is>
          <x:t xml:space="preserve">day7_rongyan</x:t>
        </x:is>
      </x:c>
      <x:c r="G54" s="3" t="inlineStr">
        <x:is>
          <x:t xml:space="preserve">day7_enemy_sheep</x:t>
        </x:is>
      </x:c>
      <x:c r="H54" s="3" t="inlineStr">
        <x:is>
          <x:t xml:space="preserve">4</x:t>
        </x:is>
      </x:c>
      <x:c r="I54" s="3" t="inlineStr">
        <x:is>
          <x:t xml:space="preserve">4</x:t>
        </x:is>
      </x:c>
      <x:c r="J54" s="3" t="inlineStr">
        <x:is>
          <x:t xml:space="preserve"/>
        </x:is>
      </x:c>
      <x:c r="K54" s="3" t="inlineStr">
        <x:is>
          <x:t xml:space="preserve"/>
        </x:is>
      </x:c>
      <x:c r="L54" s="3" t="inlineStr">
        <x:is>
          <x:t xml:space="preserve">火</x:t>
        </x:is>
      </x:c>
      <x:c r="M54" s="3" t="inlineStr">
        <x:is>
          <x:t xml:space="preserve">8</x:t>
        </x:is>
      </x:c>
      <x:c r="N54" s="3" t="inlineStr">
        <x:is>
          <x:t xml:space="preserve"/>
        </x:is>
      </x:c>
      <x:c r="O54" s="3" t="inlineStr">
        <x:is>
          <x:t xml:space="preserve"/>
        </x:is>
      </x:c>
      <x:c r="P54" s="3" t="inlineStr">
        <x:is>
          <x:t xml:space="preserve"/>
        </x:is>
      </x:c>
      <x:c r="Q54" s="3" t="inlineStr">
        <x:is>
          <x:t xml:space="preserve"/>
        </x:is>
      </x:c>
      <x:c r="R54" s="3" t="inlineStr">
        <x:is>
          <x:t xml:space="preserve">是</x:t>
        </x:is>
      </x:c>
      <x:c r="S54" s="3" t="inlineStr">
        <x:is>
          <x:t xml:space="preserve"/>
        </x:is>
      </x:c>
      <x:c r="T54" s="3" t="inlineStr">
        <x:is>
          <x:t xml:space="preserve">主格</x:t>
        </x:is>
      </x:c>
      <x:c r="U54" s="3" t="inlineStr">
        <x:is>
          <x:t xml:space="preserve"/>
        </x:is>
      </x:c>
      <x:c r="V54" s="3" t="inlineStr">
        <x:is>
          <x:t xml:space="preserve"/>
        </x:is>
      </x:c>
      <x:c r="W54" s="3" t="inlineStr">
        <x:is>
          <x:t xml:space="preserve"/>
        </x:is>
      </x:c>
      <x:c r="X54" s="3" t="inlineStr">
        <x:is>
          <x:t xml:space="preserve"/>
        </x:is>
      </x:c>
      <x:c r="Y54" s="3" t="inlineStr">
        <x:is>
          <x:t xml:space="preserve"/>
        </x:is>
      </x:c>
      <x:c r="Z54" s="3" t="inlineStr">
        <x:is>
          <x:t xml:space="preserve"/>
        </x:is>
      </x:c>
      <x:c r="AA54" s="3" t="inlineStr">
        <x:is>
          <x:t xml:space="preserve">融焰娘给棉悠悠火8爆，造成高层火伤</x:t>
        </x:is>
      </x:c>
    </x:row>
    <x:row r="55">
      <x:c r="A55" s="3" t="inlineStr">
        <x:is>
          <x:t xml:space="preserve">act212_fox_sheep_finish</x:t>
        </x:is>
      </x:c>
      <x:c r="B55" s="3" t="inlineStr">
        <x:is>
          <x:t xml:space="preserve">day7_fire_trial_v1</x:t>
        </x:is>
      </x:c>
      <x:c r="C55" s="3" t="inlineStr">
        <x:is>
          <x:t xml:space="preserve">2</x:t>
        </x:is>
      </x:c>
      <x:c r="D55" s="3" t="inlineStr">
        <x:is>
          <x:t xml:space="preserve">22</x:t>
        </x:is>
      </x:c>
      <x:c r="E55" s="3" t="inlineStr">
        <x:is>
          <x:t xml:space="preserve">attack</x:t>
        </x:is>
      </x:c>
      <x:c r="F55" s="3" t="inlineStr">
        <x:is>
          <x:t xml:space="preserve">day7_huoronghu</x:t>
        </x:is>
      </x:c>
      <x:c r="G55" s="3" t="inlineStr">
        <x:is>
          <x:t xml:space="preserve">day7_enemy_sheep</x:t>
        </x:is>
      </x:c>
      <x:c r="H55" s="3" t="inlineStr">
        <x:is>
          <x:t xml:space="preserve">4</x:t>
        </x:is>
      </x:c>
      <x:c r="I55" s="3" t="inlineStr">
        <x:is>
          <x:t xml:space="preserve">4</x:t>
        </x:is>
      </x:c>
      <x:c r="J55" s="3" t="inlineStr">
        <x:is>
          <x:t xml:space="preserve"/>
        </x:is>
      </x:c>
      <x:c r="K55" s="3" t="inlineStr">
        <x:is>
          <x:t xml:space="preserve"/>
        </x:is>
      </x:c>
      <x:c r="L55" s="3" t="inlineStr">
        <x:is>
          <x:t xml:space="preserve">火</x:t>
        </x:is>
      </x:c>
      <x:c r="M55" s="3" t="inlineStr">
        <x:is>
          <x:t xml:space="preserve">4</x:t>
        </x:is>
      </x:c>
      <x:c r="N55" s="3" t="inlineStr">
        <x:is>
          <x:t xml:space="preserve"/>
        </x:is>
      </x:c>
      <x:c r="O55" s="3" t="inlineStr">
        <x:is>
          <x:t xml:space="preserve"/>
        </x:is>
      </x:c>
      <x:c r="P55" s="3" t="inlineStr">
        <x:is>
          <x:t xml:space="preserve"/>
        </x:is>
      </x:c>
      <x:c r="Q55" s="3" t="inlineStr">
        <x:is>
          <x:t xml:space="preserve"/>
        </x:is>
      </x:c>
      <x:c r="R55" s="3" t="inlineStr">
        <x:is>
          <x:t xml:space="preserve">是</x:t>
        </x:is>
      </x:c>
      <x:c r="S55" s="3" t="inlineStr">
        <x:is>
          <x:t xml:space="preserve"/>
        </x:is>
      </x:c>
      <x:c r="T55" s="3" t="inlineStr">
        <x:is>
          <x:t xml:space="preserve">主格</x:t>
        </x:is>
      </x:c>
      <x:c r="U55" s="3" t="inlineStr">
        <x:is>
          <x:t xml:space="preserve"/>
        </x:is>
      </x:c>
      <x:c r="V55" s="3" t="inlineStr">
        <x:is>
          <x:t xml:space="preserve"/>
        </x:is>
      </x:c>
      <x:c r="W55" s="3" t="inlineStr">
        <x:is>
          <x:t xml:space="preserve"/>
        </x:is>
      </x:c>
      <x:c r="X55" s="3" t="inlineStr">
        <x:is>
          <x:t xml:space="preserve"/>
        </x:is>
      </x:c>
      <x:c r="Y55" s="3" t="inlineStr">
        <x:is>
          <x:t xml:space="preserve"/>
        </x:is>
      </x:c>
      <x:c r="Z55" s="3" t="inlineStr">
        <x:is>
          <x:t xml:space="preserve"/>
        </x:is>
      </x:c>
      <x:c r="AA55" s="3" t="inlineStr">
        <x:is>
          <x:t xml:space="preserve">火绒狐补火4，击杀棉悠悠</x:t>
        </x:is>
      </x:c>
    </x:row>
    <x:row r="56">
      <x:c r="A56" s="3" t="n"/>
      <x:c r="B56" s="3" t="n"/>
      <x:c r="C56" s="3" t="n"/>
      <x:c r="D56" s="3" t="n"/>
      <x:c r="E56" s="3" t="n"/>
      <x:c r="F56" s="3" t="n"/>
      <x:c r="G56" s="3" t="n"/>
      <x:c r="H56" s="3" t="n"/>
      <x:c r="I56" s="3" t="n"/>
      <x:c r="J56" s="3" t="n"/>
      <x:c r="K56" s="3" t="n"/>
      <x:c r="L56" s="3" t="n"/>
      <x:c r="M56" s="3" t="n"/>
      <x:c r="N56" s="3" t="n"/>
      <x:c r="O56" s="3" t="n"/>
      <x:c r="P56" s="3" t="n"/>
      <x:c r="Q56" s="3" t="n"/>
      <x:c r="R56" s="3" t="n"/>
      <x:c r="S56" s="3" t="n"/>
      <x:c r="T56" s="3" t="n"/>
      <x:c r="U56" s="3" t="n"/>
      <x:c r="V56" s="3" t="n"/>
      <x:c r="W56" s="3" t="n"/>
      <x:c r="X56" s="3" t="n"/>
      <x:c r="Y56" s="3" t="n"/>
      <x:c r="Z56" s="3" t="n"/>
      <x:c r="AA56" s="3" t="n"/>
    </x:row>
    <x:row r="57">
      <x:c r="A57" s="6" t="inlineStr">
        <x:is>
          <x:t xml:space="preserve">#csv</x:t>
        </x:is>
      </x:c>
      <x:c r="B57" s="6" t="inlineStr">
        <x:is>
          <x:t xml:space="preserve">17_trial_victory_rules.csv</x:t>
        </x:is>
      </x:c>
      <x:c r="C57" s="6" t="inlineStr">
        <x:is>
          <x:t xml:space="preserve">试炼胜负规则。</x:t>
        </x:is>
      </x:c>
      <x:c r="D57" s="6" t="n"/>
      <x:c r="E57" s="6" t="n"/>
      <x:c r="F57" s="6" t="n"/>
      <x:c r="G57" s="6" t="n"/>
      <x:c r="H57" s="6" t="n"/>
      <x:c r="I57" s="6" t="n"/>
      <x:c r="J57" s="6" t="n"/>
      <x:c r="K57" s="6" t="n"/>
      <x:c r="L57" s="6" t="n"/>
      <x:c r="M57" s="6" t="n"/>
      <x:c r="N57" s="6" t="n"/>
      <x:c r="O57" s="6" t="n"/>
      <x:c r="P57" s="6" t="n"/>
      <x:c r="Q57" s="6" t="n"/>
      <x:c r="R57" s="6" t="n"/>
      <x:c r="S57" s="6" t="n"/>
      <x:c r="T57" s="6" t="n"/>
      <x:c r="U57" s="6" t="n"/>
      <x:c r="V57" s="6" t="n"/>
      <x:c r="W57" s="6" t="n"/>
      <x:c r="X57" s="6" t="n"/>
      <x:c r="Y57" s="6" t="n"/>
      <x:c r="Z57" s="6" t="n"/>
      <x:c r="AA57" s="6" t="n"/>
    </x:row>
    <x:row r="58">
      <x:c r="A58" s="5" t="inlineStr">
        <x:is>
          <x:t xml:space="preserve">规则ID</x:t>
        </x:is>
      </x:c>
      <x:c r="B58" s="5" t="inlineStr">
        <x:is>
          <x:t xml:space="preserve">配置ID</x:t>
        </x:is>
      </x:c>
      <x:c r="C58" s="5" t="inlineStr">
        <x:is>
          <x:t xml:space="preserve">触发</x:t>
        </x:is>
      </x:c>
      <x:c r="D58" s="5" t="inlineStr">
        <x:is>
          <x:t xml:space="preserve">条件</x:t>
        </x:is>
      </x:c>
      <x:c r="E58" s="5" t="inlineStr">
        <x:is>
          <x:t xml:space="preserve">结果</x:t>
        </x:is>
      </x:c>
      <x:c r="F58" s="5" t="inlineStr">
        <x:is>
          <x:t xml:space="preserve">优先级</x:t>
        </x:is>
      </x:c>
      <x:c r="G58" s="5" t="inlineStr">
        <x:is>
          <x:t xml:space="preserve">说明</x:t>
        </x:is>
      </x:c>
      <x:c r="H58" s="5" t="n"/>
      <x:c r="I58" s="5" t="n"/>
      <x:c r="J58" s="5" t="n"/>
      <x:c r="K58" s="5" t="n"/>
      <x:c r="L58" s="5" t="n"/>
      <x:c r="M58" s="5" t="n"/>
      <x:c r="N58" s="5" t="n"/>
      <x:c r="O58" s="5" t="n"/>
      <x:c r="P58" s="5" t="n"/>
      <x:c r="Q58" s="5" t="n"/>
      <x:c r="R58" s="5" t="n"/>
      <x:c r="S58" s="5" t="n"/>
      <x:c r="T58" s="5" t="n"/>
      <x:c r="U58" s="5" t="n"/>
      <x:c r="V58" s="5" t="n"/>
      <x:c r="W58" s="5" t="n"/>
      <x:c r="X58" s="5" t="n"/>
      <x:c r="Y58" s="5" t="n"/>
      <x:c r="Z58" s="5" t="n"/>
      <x:c r="AA58" s="5" t="n"/>
    </x:row>
    <x:row r="59">
      <x:c r="A59" s="3" t="inlineStr">
        <x:is>
          <x:t xml:space="preserve">turn1_pass</x:t>
        </x:is>
      </x:c>
      <x:c r="B59" s="3" t="inlineStr">
        <x:is>
          <x:t xml:space="preserve">day7_fire_trial_v1</x:t>
        </x:is>
      </x:c>
      <x:c r="C59" s="3" t="inlineStr">
        <x:is>
          <x:t xml:space="preserve">round_end</x:t>
        </x:is>
      </x:c>
      <x:c r="D59" s="3" t="inlineStr">
        <x:is>
          <x:t xml:space="preserve">round=1 and killed_count&gt;=2 and killed includes day7_enemy_bee,day7_enemy_dragon</x:t>
        </x:is>
      </x:c>
      <x:c r="E59" s="3" t="inlineStr">
        <x:is>
          <x:t xml:space="preserve">turn1_pass</x:t>
        </x:is>
      </x:c>
      <x:c r="F59" s="3" t="inlineStr">
        <x:is>
          <x:t xml:space="preserve">100</x:t>
        </x:is>
      </x:c>
      <x:c r="G59" s="3" t="inlineStr">
        <x:is>
          <x:t xml:space="preserve">第1回合击杀骑士蜂+精灵龙达标</x:t>
        </x:is>
      </x:c>
      <x:c r="H59" s="3" t="n"/>
      <x:c r="I59" s="3" t="n"/>
      <x:c r="J59" s="3" t="n"/>
      <x:c r="K59" s="3" t="n"/>
      <x:c r="L59" s="3" t="n"/>
      <x:c r="M59" s="3" t="n"/>
      <x:c r="N59" s="3" t="n"/>
      <x:c r="O59" s="3" t="n"/>
      <x:c r="P59" s="3" t="n"/>
      <x:c r="Q59" s="3" t="n"/>
      <x:c r="R59" s="3" t="n"/>
      <x:c r="S59" s="3" t="n"/>
      <x:c r="T59" s="3" t="n"/>
      <x:c r="U59" s="3" t="n"/>
      <x:c r="V59" s="3" t="n"/>
      <x:c r="W59" s="3" t="n"/>
      <x:c r="X59" s="3" t="n"/>
      <x:c r="Y59" s="3" t="n"/>
      <x:c r="Z59" s="3" t="n"/>
      <x:c r="AA59" s="3" t="n"/>
    </x:row>
    <x:row r="60">
      <x:c r="A60" s="3" t="inlineStr">
        <x:is>
          <x:t xml:space="preserve">direct_win</x:t>
        </x:is>
      </x:c>
      <x:c r="B60" s="3" t="inlineStr">
        <x:is>
          <x:t xml:space="preserve">day7_fire_trial_v1</x:t>
        </x:is>
      </x:c>
      <x:c r="C60" s="3" t="inlineStr">
        <x:is>
          <x:t xml:space="preserve">unit_dead</x:t>
        </x:is>
      </x:c>
      <x:c r="D60" s="3" t="inlineStr">
        <x:is>
          <x:t xml:space="preserve">unit_id=day7_beast_examiner</x:t>
        </x:is>
      </x:c>
      <x:c r="E60" s="3" t="inlineStr">
        <x:is>
          <x:t xml:space="preserve">direct_win</x:t>
        </x:is>
      </x:c>
      <x:c r="F60" s="3" t="inlineStr">
        <x:is>
          <x:t xml:space="preserve">200</x:t>
        </x:is>
      </x:c>
      <x:c r="G60" s="3" t="inlineStr">
        <x:is>
          <x:t xml:space="preserve">10回合内击杀兽群统领直接胜利</x:t>
        </x:is>
      </x:c>
      <x:c r="H60" s="3" t="n"/>
      <x:c r="I60" s="3" t="n"/>
      <x:c r="J60" s="3" t="n"/>
      <x:c r="K60" s="3" t="n"/>
      <x:c r="L60" s="3" t="n"/>
      <x:c r="M60" s="3" t="n"/>
      <x:c r="N60" s="3" t="n"/>
      <x:c r="O60" s="3" t="n"/>
      <x:c r="P60" s="3" t="n"/>
      <x:c r="Q60" s="3" t="n"/>
      <x:c r="R60" s="3" t="n"/>
      <x:c r="S60" s="3" t="n"/>
      <x:c r="T60" s="3" t="n"/>
      <x:c r="U60" s="3" t="n"/>
      <x:c r="V60" s="3" t="n"/>
      <x:c r="W60" s="3" t="n"/>
      <x:c r="X60" s="3" t="n"/>
      <x:c r="Y60" s="3" t="n"/>
      <x:c r="Z60" s="3" t="n"/>
      <x:c r="AA60" s="3" t="n"/>
    </x:row>
    <x:row r="61">
      <x:c r="A61" s="3" t="inlineStr">
        <x:is>
          <x:t xml:space="preserve">trial_pass</x:t>
        </x:is>
      </x:c>
      <x:c r="B61" s="3" t="inlineStr">
        <x:is>
          <x:t xml:space="preserve">day7_fire_trial_v1</x:t>
        </x:is>
      </x:c>
      <x:c r="C61" s="3" t="inlineStr">
        <x:is>
          <x:t xml:space="preserve">round_end</x:t>
        </x:is>
      </x:c>
      <x:c r="D61" s="3" t="inlineStr">
        <x:is>
          <x:t xml:space="preserve">all_clones_dead and round&lt;=10</x:t>
        </x:is>
      </x:c>
      <x:c r="E61" s="3" t="inlineStr">
        <x:is>
          <x:t xml:space="preserve">trial_pass</x:t>
        </x:is>
      </x:c>
      <x:c r="F61" s="3" t="inlineStr">
        <x:is>
          <x:t xml:space="preserve">150</x:t>
        </x:is>
      </x:c>
      <x:c r="G61" s="3" t="inlineStr">
        <x:is>
          <x:t xml:space="preserve">10回合内清掉复制体，统领撤退</x:t>
        </x:is>
      </x:c>
      <x:c r="H61" s="3" t="n"/>
      <x:c r="I61" s="3" t="n"/>
      <x:c r="J61" s="3" t="n"/>
      <x:c r="K61" s="3" t="n"/>
      <x:c r="L61" s="3" t="n"/>
      <x:c r="M61" s="3" t="n"/>
      <x:c r="N61" s="3" t="n"/>
      <x:c r="O61" s="3" t="n"/>
      <x:c r="P61" s="3" t="n"/>
      <x:c r="Q61" s="3" t="n"/>
      <x:c r="R61" s="3" t="n"/>
      <x:c r="S61" s="3" t="n"/>
      <x:c r="T61" s="3" t="n"/>
      <x:c r="U61" s="3" t="n"/>
      <x:c r="V61" s="3" t="n"/>
      <x:c r="W61" s="3" t="n"/>
      <x:c r="X61" s="3" t="n"/>
      <x:c r="Y61" s="3" t="n"/>
      <x:c r="Z61" s="3" t="n"/>
      <x:c r="AA61" s="3" t="n"/>
    </x:row>
    <x:row r="62">
      <x:c r="A62" s="3" t="inlineStr">
        <x:is>
          <x:t xml:space="preserve">trial_fail</x:t>
        </x:is>
      </x:c>
      <x:c r="B62" s="3" t="inlineStr">
        <x:is>
          <x:t xml:space="preserve">day7_fire_trial_v1</x:t>
        </x:is>
      </x:c>
      <x:c r="C62" s="3" t="inlineStr">
        <x:is>
          <x:t xml:space="preserve">round_end</x:t>
        </x:is>
      </x:c>
      <x:c r="D62" s="3" t="inlineStr">
        <x:is>
          <x:t xml:space="preserve">round&gt;10 and clones_alive</x:t>
        </x:is>
      </x:c>
      <x:c r="E62" s="3" t="inlineStr">
        <x:is>
          <x:t xml:space="preserve">trial_fail</x:t>
        </x:is>
      </x:c>
      <x:c r="F62" s="3" t="inlineStr">
        <x:is>
          <x:t xml:space="preserve">10</x:t>
        </x:is>
      </x:c>
      <x:c r="G62" s="3" t="inlineStr">
        <x:is>
          <x:t xml:space="preserve">10回合后仍有复制体则失败</x:t>
        </x:is>
      </x:c>
      <x:c r="H62" s="3" t="n"/>
      <x:c r="I62" s="3" t="n"/>
      <x:c r="J62" s="3" t="n"/>
      <x:c r="K62" s="3" t="n"/>
      <x:c r="L62" s="3" t="n"/>
      <x:c r="M62" s="3" t="n"/>
      <x:c r="N62" s="3" t="n"/>
      <x:c r="O62" s="3" t="n"/>
      <x:c r="P62" s="3" t="n"/>
      <x:c r="Q62" s="3" t="n"/>
      <x:c r="R62" s="3" t="n"/>
      <x:c r="S62" s="3" t="n"/>
      <x:c r="T62" s="3" t="n"/>
      <x:c r="U62" s="3" t="n"/>
      <x:c r="V62" s="3" t="n"/>
      <x:c r="W62" s="3" t="n"/>
      <x:c r="X62" s="3" t="n"/>
      <x:c r="Y62" s="3" t="n"/>
      <x:c r="Z62" s="3" t="n"/>
      <x:c r="AA62" s="3" t="n"/>
    </x:row>
    <x:row r="64">
      <x:c r="A64" s="277" t="str">
        <x:v>#csv</x:v>
      </x:c>
      <x:c r="B64" s="277" t="str">
        <x:v>36_skill_catalog.csv</x:v>
      </x:c>
      <x:c r="C64" s="277" t="str">
        <x:v>8 技能 Type Object；每个技能按 effects_json 顺序执行物理伤害与 1 层元素。</x:v>
      </x:c>
      <x:c r="D64" s="277"/>
      <x:c r="E64" s="277"/>
      <x:c r="F64" s="277"/>
      <x:c r="G64" s="277"/>
      <x:c r="H64" s="277"/>
    </x:row>
    <x:row r="65">
      <x:c r="A65" s="280" t="str">
        <x:v>skill_id</x:v>
      </x:c>
      <x:c r="B65" s="280" t="str">
        <x:v>name</x:v>
      </x:c>
      <x:c r="C65" s="280" t="str">
        <x:v>effects_json</x:v>
      </x:c>
      <x:c r="D65" s="280" t="str">
        <x:v>shape_slot</x:v>
      </x:c>
      <x:c r="E65" s="280" t="str">
        <x:v>element_source</x:v>
      </x:c>
      <x:c r="F65" s="280" t="str">
        <x:v>enabled</x:v>
      </x:c>
      <x:c r="G65" s="280" t="str">
        <x:v>note</x:v>
      </x:c>
      <x:c r="H65" s="280" t="str">
        <x:v>tags</x:v>
      </x:c>
    </x:row>
    <x:row r="66">
      <x:c r="A66" s="16" t="str">
        <x:v>skill_vanguard</x:v>
      </x:c>
      <x:c r="B66" s="16" t="str">
        <x:v>先锋击</x:v>
      </x:c>
      <x:c r="C66" s="16" t="str">
        <x:v>[{"type":"physical_damage","power_permille":1000},{"type":"apply_element_layer","layers":1,"element_source":"primary"}]</x:v>
      </x:c>
      <x:c r="D66" s="16" t="n">
        <x:v>0</x:v>
      </x:c>
      <x:c r="E66" s="16" t="str">
        <x:v>primary</x:v>
      </x:c>
      <x:c r="F66" s="16" t="str">
        <x:v>true</x:v>
      </x:c>
      <x:c r="G66" s="16" t="str">
        <x:v>优先使用第一行动形状</x:v>
      </x:c>
      <x:c r="H66" t="str">
        <x:v>opening|primary|shape_0</x:v>
      </x:c>
    </x:row>
    <x:row r="67">
      <x:c r="A67" s="16" t="str">
        <x:v>skill_flank</x:v>
      </x:c>
      <x:c r="B67" s="16" t="str">
        <x:v>侧翼击</x:v>
      </x:c>
      <x:c r="C67" s="16" t="str">
        <x:v>[{"type":"physical_damage","power_permille":1000},{"type":"apply_element_layer","layers":1,"element_source":"secondary"}]</x:v>
      </x:c>
      <x:c r="D67" s="16" t="n">
        <x:v>1</x:v>
      </x:c>
      <x:c r="E67" s="16" t="str">
        <x:v>secondary</x:v>
      </x:c>
      <x:c r="F67" s="16" t="str">
        <x:v>true</x:v>
      </x:c>
      <x:c r="G67" s="16" t="str">
        <x:v>使用第二行动形状</x:v>
      </x:c>
      <x:c r="H67" t="str">
        <x:v>flank|secondary|shape_1</x:v>
      </x:c>
    </x:row>
    <x:row r="68">
      <x:c r="A68" s="16" t="str">
        <x:v>skill_pierce</x:v>
      </x:c>
      <x:c r="B68" s="16" t="str">
        <x:v>穿阵击</x:v>
      </x:c>
      <x:c r="C68" s="16" t="str">
        <x:v>[{"type":"physical_damage","power_permille":1000},{"type":"apply_element_layer","layers":1,"element_source":"primary"}]</x:v>
      </x:c>
      <x:c r="D68" s="16" t="n">
        <x:v>2</x:v>
      </x:c>
      <x:c r="E68" s="16" t="str">
        <x:v>primary</x:v>
      </x:c>
      <x:c r="F68" s="16" t="str">
        <x:v>true</x:v>
      </x:c>
      <x:c r="G68" s="16" t="str">
        <x:v>使用第三行动形状</x:v>
      </x:c>
      <x:c r="H68" t="str">
        <x:v>pierce|primary|shape_2</x:v>
      </x:c>
    </x:row>
    <x:row r="69">
      <x:c r="A69" s="16" t="str">
        <x:v>skill_revolve</x:v>
      </x:c>
      <x:c r="B69" s="16" t="str">
        <x:v>回旋击</x:v>
      </x:c>
      <x:c r="C69" s="16" t="str">
        <x:v>[{"type":"physical_damage","power_permille":1000},{"type":"apply_element_layer","layers":1,"element_source":"secondary"}]</x:v>
      </x:c>
      <x:c r="D69" s="16" t="n">
        <x:v>0</x:v>
      </x:c>
      <x:c r="E69" s="16" t="str">
        <x:v>secondary</x:v>
      </x:c>
      <x:c r="F69" s="16" t="str">
        <x:v>true</x:v>
      </x:c>
      <x:c r="G69" s="16" t="str">
        <x:v>回到第一行动形状</x:v>
      </x:c>
      <x:c r="H69" t="str">
        <x:v>revolve|secondary|shape_0</x:v>
      </x:c>
    </x:row>
    <x:row r="70">
      <x:c r="A70" s="16" t="str">
        <x:v>skill_chase</x:v>
      </x:c>
      <x:c r="B70" s="16" t="str">
        <x:v>追风击</x:v>
      </x:c>
      <x:c r="C70" s="16" t="str">
        <x:v>[{"type":"physical_damage","power_permille":1000},{"type":"apply_element_layer","layers":1,"element_source":"primary"}]</x:v>
      </x:c>
      <x:c r="D70" s="16" t="n">
        <x:v>1</x:v>
      </x:c>
      <x:c r="E70" s="16" t="str">
        <x:v>primary</x:v>
      </x:c>
      <x:c r="F70" s="16" t="str">
        <x:v>true</x:v>
      </x:c>
      <x:c r="G70" s="16" t="str">
        <x:v>使用第二行动形状</x:v>
      </x:c>
      <x:c r="H70" t="str">
        <x:v>chase|primary|shape_1</x:v>
      </x:c>
    </x:row>
    <x:row r="71">
      <x:c r="A71" s="16" t="str">
        <x:v>skill_break</x:v>
      </x:c>
      <x:c r="B71" s="16" t="str">
        <x:v>裂阵击</x:v>
      </x:c>
      <x:c r="C71" s="16" t="str">
        <x:v>[{"type":"physical_damage","power_permille":1000},{"type":"apply_element_layer","layers":1,"element_source":"secondary"}]</x:v>
      </x:c>
      <x:c r="D71" s="16" t="n">
        <x:v>2</x:v>
      </x:c>
      <x:c r="E71" s="16" t="str">
        <x:v>secondary</x:v>
      </x:c>
      <x:c r="F71" s="16" t="str">
        <x:v>true</x:v>
      </x:c>
      <x:c r="G71" s="16" t="str">
        <x:v>使用第三行动形状</x:v>
      </x:c>
      <x:c r="H71" t="str">
        <x:v>break|secondary|shape_2</x:v>
      </x:c>
    </x:row>
    <x:row r="72">
      <x:c r="A72" s="16" t="str">
        <x:v>skill_suppress</x:v>
      </x:c>
      <x:c r="B72" s="16" t="str">
        <x:v>压制击</x:v>
      </x:c>
      <x:c r="C72" s="16" t="str">
        <x:v>[{"type":"physical_damage","power_permille":1000},{"type":"apply_element_layer","layers":1,"element_source":"primary"}]</x:v>
      </x:c>
      <x:c r="D72" s="16" t="n">
        <x:v>0</x:v>
      </x:c>
      <x:c r="E72" s="16" t="str">
        <x:v>primary</x:v>
      </x:c>
      <x:c r="F72" s="16" t="str">
        <x:v>true</x:v>
      </x:c>
      <x:c r="G72" s="16" t="str">
        <x:v>使用第一行动形状</x:v>
      </x:c>
      <x:c r="H72" t="str">
        <x:v>suppress|primary|shape_0</x:v>
      </x:c>
    </x:row>
    <x:row r="73">
      <x:c r="A73" s="16" t="str">
        <x:v>skill_finale</x:v>
      </x:c>
      <x:c r="B73" s="16" t="str">
        <x:v>终幕击</x:v>
      </x:c>
      <x:c r="C73" s="16" t="str">
        <x:v>[{"type":"physical_damage","power_permille":1000},{"type":"apply_element_layer","layers":1,"element_source":"secondary"}]</x:v>
      </x:c>
      <x:c r="D73" s="16" t="n">
        <x:v>1</x:v>
      </x:c>
      <x:c r="E73" s="16" t="str">
        <x:v>secondary</x:v>
      </x:c>
      <x:c r="F73" s="16" t="str">
        <x:v>true</x:v>
      </x:c>
      <x:c r="G73" s="16" t="str">
        <x:v>使用第二行动形状</x:v>
      </x:c>
      <x:c r="H73" t="str">
        <x:v>finale|secondary|shape_1</x:v>
      </x:c>
    </x:row>
    <x:row r="75">
      <x:c r="A75" s="287" t="str">
        <x:v>#csv</x:v>
      </x:c>
      <x:c r="B75" s="287" t="str">
        <x:v>37_trait_catalog.csv</x:v>
      </x:c>
      <x:c r="C75" s="287" t="str">
        <x:v>宠物特性 Type Object；effects_json 按 hook 修饰技能或组合效果。</x:v>
      </x:c>
      <x:c r="D75" s="287"/>
      <x:c r="E75" s="287"/>
      <x:c r="F75" s="287"/>
    </x:row>
    <x:row r="76">
      <x:c r="A76" s="291" t="str">
        <x:v>trait_id</x:v>
      </x:c>
      <x:c r="B76" s="291" t="str">
        <x:v>name</x:v>
      </x:c>
      <x:c r="C76" s="291" t="str">
        <x:v>effects_json</x:v>
      </x:c>
      <x:c r="D76" s="291" t="str">
        <x:v>enabled</x:v>
      </x:c>
      <x:c r="E76" s="291" t="str">
        <x:v>description</x:v>
      </x:c>
      <x:c r="F76" s="291" t="str">
        <x:v>note</x:v>
      </x:c>
    </x:row>
    <x:row r="77">
      <x:c r="A77" s="16" t="str">
        <x:v>trait_relentless</x:v>
      </x:c>
      <x:c r="B77" s="16" t="str">
        <x:v>猛攻本能</x:v>
      </x:c>
      <x:c r="C77" s="16" t="str">
        <x:v>[{"hook":"skill","type":"modify_stat","stat":"physical_power_permille","operation":"flat_add","value":100,"phase":"trait","priority":100}]</x:v>
      </x:c>
      <x:c r="D77" s="16" t="str">
        <x:v>true</x:v>
      </x:c>
      <x:c r="E77" s="16" t="str">
        <x:v>每个技能的物理伤害倍率增加 10%。</x:v>
      </x:c>
      <x:c r="F77" s="16" t="str">
        <x:v>输出/机动定位默认特性</x:v>
      </x:c>
    </x:row>
    <x:row r="78">
      <x:c r="A78" s="16" t="str">
        <x:v>trait_element_affinity</x:v>
      </x:c>
      <x:c r="B78" s="16" t="str">
        <x:v>元素亲和</x:v>
      </x:c>
      <x:c r="C78" s="16" t="str">
        <x:v>[{"hook":"skill","type":"modify_stat","stat":"element_layer_bonus","operation":"flat_add","value":1,"phase":"trait","priority":100}]</x:v>
      </x:c>
      <x:c r="D78" s="16" t="str">
        <x:v>true</x:v>
      </x:c>
      <x:c r="E78" s="16" t="str">
        <x:v>每个技能额外铺 1 层对应元素。</x:v>
      </x:c>
      <x:c r="F78" s="16" t="str">
        <x:v>治疗/控制定位默认特性</x:v>
      </x:c>
    </x:row>
    <x:row r="79">
      <x:c r="A79" s="16" t="str">
        <x:v>trait_combo_mastery</x:v>
      </x:c>
      <x:c r="B79" s="16" t="str">
        <x:v>连携精通</x:v>
      </x:c>
      <x:c r="C79" s="16" t="str">
        <x:v>[{"hook":"combo","type":"modify_stat","stat":"physical_power_permille","operation":"flat_add","value":250,"phase":"trait","priority":100}]</x:v>
      </x:c>
      <x:c r="D79" s="16" t="str">
        <x:v>true</x:v>
      </x:c>
      <x:c r="E79" s="16" t="str">
        <x:v>技能组合的物理伤害倍率增加 25%。</x:v>
      </x:c>
      <x:c r="F79" s="16" t="str">
        <x:v>坦克/防御/抗压定位默认特性</x:v>
      </x:c>
    </x:row>
    <x:row r="80">
      <x:c r="A80" s="16" t="str">
        <x:v>trait_combo_resonance</x:v>
      </x:c>
      <x:c r="B80" s="16" t="str">
        <x:v>连携共鸣</x:v>
      </x:c>
      <x:c r="C80" s="16" t="str">
        <x:v>[{"hook":"combo","type":"modify_stat","stat":"element_layer_bonus","operation":"flat_add","value":1,"phase":"trait","priority":100}]</x:v>
      </x:c>
      <x:c r="D80" s="16" t="str">
        <x:v>true</x:v>
      </x:c>
      <x:c r="E80" s="16" t="str">
        <x:v>技能组合额外铺 1 层对应元素。</x:v>
      </x:c>
      <x:c r="F80" s="16" t="str">
        <x:v>其他定位默认特性</x:v>
      </x:c>
    </x:row>
    <x:row r="82">
      <x:c r="A82" s="294" t="str">
        <x:v>#csv</x:v>
      </x:c>
      <x:c r="B82" s="294" t="str">
        <x:v>38_skill_combo_catalog.csv</x:v>
      </x:c>
      <x:c r="C82" s="294" t="str">
        <x:v>有序技能组合 Type Object；默认匹配已执行队列末尾的相邻技能标签。</x:v>
      </x:c>
      <x:c r="D82" s="294"/>
      <x:c r="E82" s="294"/>
      <x:c r="F82" s="294"/>
      <x:c r="G82" s="294"/>
      <x:c r="H82" s="294"/>
      <x:c r="I82" s="294"/>
    </x:row>
    <x:row r="83">
      <x:c r="A83" s="298" t="str">
        <x:v>combo_id</x:v>
      </x:c>
      <x:c r="B83" s="298" t="str">
        <x:v>name</x:v>
      </x:c>
      <x:c r="C83" s="298" t="str">
        <x:v>match_type</x:v>
      </x:c>
      <x:c r="D83" s="298" t="str">
        <x:v>pattern_json</x:v>
      </x:c>
      <x:c r="E83" s="298" t="str">
        <x:v>effects_json</x:v>
      </x:c>
      <x:c r="F83" s="298" t="str">
        <x:v>shape_slot</x:v>
      </x:c>
      <x:c r="G83" s="298" t="str">
        <x:v>element_source</x:v>
      </x:c>
      <x:c r="H83" s="298" t="str">
        <x:v>enabled</x:v>
      </x:c>
      <x:c r="I83" s="298" t="str">
        <x:v>note</x:v>
      </x:c>
    </x:row>
    <x:row r="84">
      <x:c r="A84" s="16" t="str">
        <x:v>combo_pincer</x:v>
      </x:c>
      <x:c r="B84" s="16" t="str">
        <x:v>前后夹击</x:v>
      </x:c>
      <x:c r="C84" s="16" t="str">
        <x:v>tag_sequence</x:v>
      </x:c>
      <x:c r="D84" s="16" t="str">
        <x:v>["opening","flank"]</x:v>
      </x:c>
      <x:c r="E84" s="16" t="str">
        <x:v>[{"type":"physical_damage","power_permille":250}]</x:v>
      </x:c>
      <x:c r="F84" s="16" t="n">
        <x:v>1</x:v>
      </x:c>
      <x:c r="G84" s="16" t="str">
        <x:v>secondary</x:v>
      </x:c>
      <x:c r="H84" s="16" t="str">
        <x:v>true</x:v>
      </x:c>
      <x:c r="I84" s="16" t="str">
        <x:v>先锋击后紧接侧翼击</x:v>
      </x:c>
    </x:row>
    <x:row r="85">
      <x:c r="A85" s="16" t="str">
        <x:v>combo_piercing_arc</x:v>
      </x:c>
      <x:c r="B85" s="16" t="str">
        <x:v>穿回连携</x:v>
      </x:c>
      <x:c r="C85" s="16" t="str">
        <x:v>tag_sequence</x:v>
      </x:c>
      <x:c r="D85" s="16" t="str">
        <x:v>["pierce","revolve"]</x:v>
      </x:c>
      <x:c r="E85" s="16" t="str">
        <x:v>[{"type":"apply_element_layer","layers":1,"element_source":"secondary"}]</x:v>
      </x:c>
      <x:c r="F85" s="16" t="n">
        <x:v>0</x:v>
      </x:c>
      <x:c r="G85" s="16" t="str">
        <x:v>secondary</x:v>
      </x:c>
      <x:c r="H85" s="16" t="str">
        <x:v>true</x:v>
      </x:c>
      <x:c r="I85" s="16" t="str">
        <x:v>穿阵击后紧接回旋击</x:v>
      </x:c>
    </x:row>
    <x:row r="86">
      <x:c r="A86" s="16" t="str">
        <x:v>combo_breakthrough</x:v>
      </x:c>
      <x:c r="B86" s="16" t="str">
        <x:v>追裂连携</x:v>
      </x:c>
      <x:c r="C86" s="16" t="str">
        <x:v>tag_sequence</x:v>
      </x:c>
      <x:c r="D86" s="16" t="str">
        <x:v>["chase","break"]</x:v>
      </x:c>
      <x:c r="E86" s="16" t="str">
        <x:v>[{"type":"physical_damage","power_permille":250},{"type":"apply_element_layer","layers":1,"element_source":"secondary"}]</x:v>
      </x:c>
      <x:c r="F86" s="16" t="n">
        <x:v>2</x:v>
      </x:c>
      <x:c r="G86" s="16" t="str">
        <x:v>secondary</x:v>
      </x:c>
      <x:c r="H86" s="16" t="str">
        <x:v>true</x:v>
      </x:c>
      <x:c r="I86" s="16" t="str">
        <x:v>追风击后紧接裂阵击</x:v>
      </x:c>
    </x:row>
    <x:row r="87">
      <x:c r="A87" s="16" t="str">
        <x:v>combo_finale</x:v>
      </x:c>
      <x:c r="B87" s="16" t="str">
        <x:v>压制终幕</x:v>
      </x:c>
      <x:c r="C87" s="16" t="str">
        <x:v>tag_sequence</x:v>
      </x:c>
      <x:c r="D87" s="16" t="str">
        <x:v>["suppress","finale"]</x:v>
      </x:c>
      <x:c r="E87" s="16" t="str">
        <x:v>[{"type":"physical_damage","power_permille":500},{"type":"apply_element_layer","layers":1,"element_source":"secondary"}]</x:v>
      </x:c>
      <x:c r="F87" s="16" t="n">
        <x:v>1</x:v>
      </x:c>
      <x:c r="G87" s="16" t="str">
        <x:v>secondary</x:v>
      </x:c>
      <x:c r="H87" s="16" t="str">
        <x:v>true</x:v>
      </x:c>
      <x:c r="I87" s="16" t="str">
        <x:v>压制击后紧接终幕击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0" hidden="0" customWidth="1"/>
    <x:col min="3" max="3" width="14" hidden="0" customWidth="1"/>
    <x:col min="4" max="4" width="20" hidden="0" customWidth="1"/>
    <x:col min="5" max="5" width="28" hidden="0" customWidth="1"/>
    <x:col min="6" max="6" width="28" hidden="0" customWidth="1"/>
    <x:col min="7" max="7" width="12" hidden="0" customWidth="1"/>
    <x:col min="8" max="8" width="12" hidden="0" customWidth="1"/>
    <x:col min="9" max="9" width="42" hidden="0" customWidth="1"/>
    <x:col min="10" max="10" width="18" hidden="0" customWidth="1"/>
    <x:col min="11" max="11" width="54" hidden="0" customWidth="1"/>
    <x:col min="12" max="12" width="16" hidden="0" customWidth="1"/>
    <x:col min="13" max="13" width="54" hidden="0" customWidth="1"/>
    <x:col min="14" max="14" width="16" hidden="0" customWidth="1"/>
    <x:col min="15" max="15" width="12" hidden="0" customWidth="1"/>
    <x:col min="16" max="16" width="14" hidden="0" customWidth="1"/>
    <x:col min="17" max="17" width="48" hidden="0" customWidth="1"/>
    <x:col min="18" max="18" width="72" hidden="0" customWidth="1"/>
    <x:col min="19" max="19" width="72" hidden="0" customWidth="1"/>
  </x:cols>
  <x:sheetData>
    <x:row r="1" ht="32" customHeight="1">
      <x:c r="A1" s="240" t="str">
        <x:v>object_id</x:v>
      </x:c>
      <x:c r="B1" s="240" t="str">
        <x:v>object_no</x:v>
      </x:c>
      <x:c r="C1" s="240" t="str">
        <x:v>source_type</x:v>
      </x:c>
      <x:c r="D1" s="240" t="str">
        <x:v>source_status</x:v>
      </x:c>
      <x:c r="E1" s="240" t="str">
        <x:v>source_slug</x:v>
      </x:c>
      <x:c r="F1" s="240" t="str">
        <x:v>source_name</x:v>
      </x:c>
      <x:c r="G1" s="240" t="str">
        <x:v>source_tier</x:v>
      </x:c>
      <x:c r="H1" s="240" t="str">
        <x:v>source_size</x:v>
      </x:c>
      <x:c r="I1" s="240" t="str">
        <x:v>source_tags</x:v>
      </x:c>
      <x:c r="J1" s="240" t="str">
        <x:v>source_relation_count</x:v>
      </x:c>
      <x:c r="K1" s="240" t="str">
        <x:v>source_stall_ids</x:v>
      </x:c>
      <x:c r="L1" s="240" t="str">
        <x:v>local_shop_count</x:v>
      </x:c>
      <x:c r="M1" s="240" t="str">
        <x:v>local_shop_ids</x:v>
      </x:c>
      <x:c r="N1" s="240" t="str">
        <x:v>primary_enchant</x:v>
      </x:c>
      <x:c r="O1" s="240" t="str">
        <x:v>pet_id</x:v>
      </x:c>
      <x:c r="P1" s="240" t="str">
        <x:v>pet_name</x:v>
      </x:c>
      <x:c r="Q1" s="240" t="str">
        <x:v>source_url</x:v>
      </x:c>
      <x:c r="R1" s="240" t="str">
        <x:v>source_effect</x:v>
      </x:c>
      <x:c r="S1" s="240" t="str">
        <x:v>design_note</x:v>
      </x:c>
    </x:row>
    <x:row r="2">
      <x:c r="A2" s="38" t="str">
        <x:v>bz_van_001</x:v>
      </x:c>
      <x:c r="B2" s="38" t="n">
        <x:v>1</x:v>
      </x:c>
      <x:c r="C2" s="38" t="str">
        <x:v>item</x:v>
      </x:c>
      <x:c r="D2" s="38" t="str">
        <x:v>confirmed</x:v>
      </x:c>
      <x:c r="E2" s="38" t="str">
        <x:v>ambergris</x:v>
      </x:c>
      <x:c r="F2" s="38" t="str">
        <x:v>Ambergris</x:v>
      </x:c>
      <x:c r="G2" s="38" t="str">
        <x:v>bronze</x:v>
      </x:c>
      <x:c r="H2" s="38" t="str">
        <x:v>small</x:v>
      </x:c>
      <x:c r="I2" s="38" t="str">
        <x:v>aquatic, relic, economyreference, value, heal</x:v>
      </x:c>
      <x:c r="J2" s="38" t="n">
        <x:v>10</x:v>
      </x:c>
      <x:c r="K2" s="38" t="str">
        <x:v>merchant_nautica, merchant_ande, merchant_goldie, merchant_herma, merchant_jay-jay, merchant_kina, merchant_luxe, merchant_midsworth, merchant_prospero, merchant_quixel</x:v>
      </x:c>
      <x:c r="L2" s="38" t="n">
        <x:v>10</x:v>
      </x:c>
      <x:c r="M2" s="38" t="str">
        <x:v>night_base, elem_火, elem_雷, elem_冰, elem_地, role_召唤, role_坦克, role_控制, role_输出, role_机动</x:v>
      </x:c>
      <x:c r="N2" s="38" t="str">
        <x:v>Restorative</x:v>
      </x:c>
      <x:c r="O2" s="38" t="str">
        <x:v>pal_001</x:v>
      </x:c>
      <x:c r="P2" s="38" t="str">
        <x:v>棉角羊</x:v>
      </x:c>
      <x:c r="Q2" s="38" t="str">
        <x:v>https://bazaar-builds.net/db/items/ambergris.html</x:v>
      </x:c>
      <x:c r="R2" s="38" t="str">
        <x:v>heal equal to 1 / 2 / 3 / 4 times this item's value when you buy another aquatic item, this gains 1 / 2 / 3 / 4 value.</x:v>
      </x:c>
      <x:c r="S2" s="38" t="str">
        <x:v>一对一确认来源对象。</x:v>
      </x:c>
    </x:row>
    <x:row r="3">
      <x:c r="A3" s="38" t="str">
        <x:v>bz_van_002</x:v>
      </x:c>
      <x:c r="B3" s="38" t="n">
        <x:v>2</x:v>
      </x:c>
      <x:c r="C3" s="38" t="str">
        <x:v>item</x:v>
      </x:c>
      <x:c r="D3" s="38" t="str">
        <x:v>confirmed</x:v>
      </x:c>
      <x:c r="E3" s="38" t="str">
        <x:v>anchor</x:v>
      </x:c>
      <x:c r="F3" s="38" t="str">
        <x:v>Anchor</x:v>
      </x:c>
      <x:c r="G3" s="38" t="str">
        <x:v>gold</x:v>
      </x:c>
      <x:c r="H3" s="38" t="str">
        <x:v>medium</x:v>
      </x:c>
      <x:c r="I3" s="38" t="str">
        <x:v>aquatic, weapon, tool, damage, haste</x:v>
      </x:c>
      <x:c r="J3" s="38" t="n">
        <x:v>10</x:v>
      </x:c>
      <x:c r="K3" s="38" t="str">
        <x:v>merchant_nautica, merchant_tok-s-clocks, merchant_aila, merchant_barkun, merchant_chronos, merchant_goldie, merchant_jay-jay, merchant_luxe, merchant_mittel, merchant_orion</x:v>
      </x:c>
      <x:c r="L3" s="38" t="n">
        <x:v>10</x:v>
      </x:c>
      <x:c r="M3" s="38" t="str">
        <x:v>night_base, elem_水, elem_雷, elem_无, role_坦克, role_控制, role_输出, special_merchant, elite_high, role_远点压制</x:v>
      </x:c>
      <x:c r="N3" s="38" t="str">
        <x:v>Turbo</x:v>
      </x:c>
      <x:c r="O3" s="38" t="str">
        <x:v>pal_002</x:v>
      </x:c>
      <x:c r="P3" s="38" t="str">
        <x:v>灰尾狸</x:v>
      </x:c>
      <x:c r="Q3" s="38" t="str">
        <x:v>https://bazaar-builds.net/db/items/anchor.html</x:v>
      </x:c>
      <x:c r="R3" s="38" t="str">
        <x:v>deal damage equal to 20 → 30% of an enemy's max health when you use an adjacent item, this is hasted for 2 seconds.</x:v>
      </x:c>
      <x:c r="S3" s="38" t="str">
        <x:v>一对一确认来源对象。</x:v>
      </x:c>
    </x:row>
    <x:row r="4">
      <x:c r="A4" s="38" t="str">
        <x:v>bz_van_003</x:v>
      </x:c>
      <x:c r="B4" s="38" t="n">
        <x:v>3</x:v>
      </x:c>
      <x:c r="C4" s="38" t="str">
        <x:v>item</x:v>
      </x:c>
      <x:c r="D4" s="38" t="str">
        <x:v>confirmed</x:v>
      </x:c>
      <x:c r="E4" s="38" t="str">
        <x:v>arbalest</x:v>
      </x:c>
      <x:c r="F4" s="38" t="str">
        <x:v>Arbalest</x:v>
      </x:c>
      <x:c r="G4" s="38" t="str">
        <x:v>silver</x:v>
      </x:c>
      <x:c r="H4" s="38" t="str">
        <x:v>medium</x:v>
      </x:c>
      <x:c r="I4" s="38" t="str">
        <x:v>weapon, damage, ammo, hastereference</x:v>
      </x:c>
      <x:c r="J4" s="38" t="n">
        <x:v>10</x:v>
      </x:c>
      <x:c r="K4" s="38" t="str">
        <x:v>merchant_colt, merchant_tok-s-clocks, merchant_aila, merchant_barkun, merchant_chronos, merchant_goldie, merchant_jay-jay, merchant_luxe, merchant_mittel, merchant_quixel</x:v>
      </x:c>
      <x:c r="L4" s="38" t="n">
        <x:v>10</x:v>
      </x:c>
      <x:c r="M4" s="38" t="str">
        <x:v>night_base, elem_水, elem_雷, elem_无, role_召唤, role_坦克, role_控制, role_机动, special_merchant, elite_high</x:v>
      </x:c>
      <x:c r="N4" s="38" t="str">
        <x:v>Turbo</x:v>
      </x:c>
      <x:c r="O4" s="38" t="str">
        <x:v>pal_003</x:v>
      </x:c>
      <x:c r="P4" s="38" t="str">
        <x:v>芦花鸡</x:v>
      </x:c>
      <x:c r="Q4" s="38" t="str">
        <x:v>https://bazaar-builds.net/db/items/arbalest.html</x:v>
      </x:c>
      <x:c r="R4" s="38" t="str">
        <x:v>deal 100 damage when you haste, this gains 50 / 75 / 100 damage for the fight.</x:v>
      </x:c>
      <x:c r="S4" s="38" t="str">
        <x:v>一对一确认来源对象。</x:v>
      </x:c>
    </x:row>
    <x:row r="5">
      <x:c r="A5" s="38" t="str">
        <x:v>bz_van_004</x:v>
      </x:c>
      <x:c r="B5" s="38" t="n">
        <x:v>4</x:v>
      </x:c>
      <x:c r="C5" s="38" t="str">
        <x:v>item</x:v>
      </x:c>
      <x:c r="D5" s="38" t="str">
        <x:v>confirmed</x:v>
      </x:c>
      <x:c r="E5" s="38" t="str">
        <x:v>astrolabe</x:v>
      </x:c>
      <x:c r="F5" s="38" t="str">
        <x:v>Astrolabe</x:v>
      </x:c>
      <x:c r="G5" s="38" t="str">
        <x:v>silver</x:v>
      </x:c>
      <x:c r="H5" s="38" t="str">
        <x:v>medium</x:v>
      </x:c>
      <x:c r="I5" s="38" t="str">
        <x:v>tool, haste</x:v>
      </x:c>
      <x:c r="J5" s="38" t="n">
        <x:v>10</x:v>
      </x:c>
      <x:c r="K5" s="38" t="str">
        <x:v>merchant_tok-s-clocks, merchant_barkun, merchant_chronos, merchant_goldie, merchant_jay-jay, merchant_kina, merchant_luxe, merchant_mittel, merchant_orion, merchant_quixel</x:v>
      </x:c>
      <x:c r="L5" s="38" t="n">
        <x:v>10</x:v>
      </x:c>
      <x:c r="M5" s="38" t="str">
        <x:v>elem_水, elem_雷, elem_冰, elem_无, role_召唤, role_坦克, role_控制, special_merchant, elite_high, role_远点压制</x:v>
      </x:c>
      <x:c r="N5" s="38" t="str">
        <x:v>Turbo</x:v>
      </x:c>
      <x:c r="O5" s="38" t="str">
        <x:v>pal_004</x:v>
      </x:c>
      <x:c r="P5" s="38" t="str">
        <x:v>青藤鼠</x:v>
      </x:c>
      <x:c r="Q5" s="38" t="str">
        <x:v>https://bazaar-builds.net/db/items/astrolabe.html</x:v>
      </x:c>
      <x:c r="R5" s="38" t="str">
        <x:v>haste 2 / 3 / 4 items for 1 second when you use another non-weapon item, charge this 1 second.</x:v>
      </x:c>
      <x:c r="S5" s="38" t="str">
        <x:v>一对一确认来源对象。</x:v>
      </x:c>
    </x:row>
    <x:row r="6">
      <x:c r="A6" s="38" t="str">
        <x:v>bz_van_005</x:v>
      </x:c>
      <x:c r="B6" s="38" t="n">
        <x:v>5</x:v>
      </x:c>
      <x:c r="C6" s="38" t="str">
        <x:v>item</x:v>
      </x:c>
      <x:c r="D6" s="38" t="str">
        <x:v>confirmed</x:v>
      </x:c>
      <x:c r="E6" s="38" t="str">
        <x:v>ballista</x:v>
      </x:c>
      <x:c r="F6" s="38" t="str">
        <x:v>Ballista</x:v>
      </x:c>
      <x:c r="G6" s="38" t="str">
        <x:v>gold</x:v>
      </x:c>
      <x:c r="H6" s="38" t="str">
        <x:v>large</x:v>
      </x:c>
      <x:c r="I6" s="38" t="str">
        <x:v>weapon, damage, ammo</x:v>
      </x:c>
      <x:c r="J6" s="38" t="n">
        <x:v>10</x:v>
      </x:c>
      <x:c r="K6" s="38" t="str">
        <x:v>merchant_colt, merchant_aila, merchant_barkun, merchant_goldie, merchant_jay-jay, merchant_luxe, merchant_midsworth, merchant_pol, merchant_serafina, merchant_valpak</x:v>
      </x:c>
      <x:c r="L6" s="38" t="n">
        <x:v>10</x:v>
      </x:c>
      <x:c r="M6" s="38" t="str">
        <x:v>night_base, elem_水, elem_雷, elem_地, elem_暗, role_坦克, role_控制, role_治疗, role_机动, role_风系铺场</x:v>
      </x:c>
      <x:c r="N6" s="38" t="str">
        <x:v>Deadly</x:v>
      </x:c>
      <x:c r="O6" s="38" t="str">
        <x:v>pal_005</x:v>
      </x:c>
      <x:c r="P6" s="38" t="str">
        <x:v>赤尾狐</x:v>
      </x:c>
      <x:c r="Q6" s="38" t="str">
        <x:v>https://bazaar-builds.net/db/items/ballista.html</x:v>
      </x:c>
      <x:c r="R6" s="38" t="str">
        <x:v>deal 150 → 300 damage when you use another ammo item, this gains 1 multicast for the fight.</x:v>
      </x:c>
      <x:c r="S6" s="38" t="str">
        <x:v>一对一确认来源对象。</x:v>
      </x:c>
    </x:row>
    <x:row r="7">
      <x:c r="A7" s="38" t="str">
        <x:v>bz_van_006</x:v>
      </x:c>
      <x:c r="B7" s="38" t="n">
        <x:v>6</x:v>
      </x:c>
      <x:c r="C7" s="38" t="str">
        <x:v>item</x:v>
      </x:c>
      <x:c r="D7" s="38" t="str">
        <x:v>confirmed</x:v>
      </x:c>
      <x:c r="E7" s="38" t="str">
        <x:v>barrel</x:v>
      </x:c>
      <x:c r="F7" s="38" t="str">
        <x:v>Barrel</x:v>
      </x:c>
      <x:c r="G7" s="38" t="str">
        <x:v>bronze</x:v>
      </x:c>
      <x:c r="H7" s="38" t="str">
        <x:v>medium</x:v>
      </x:c>
      <x:c r="I7" s="38" t="str">
        <x:v>shield</x:v>
      </x:c>
      <x:c r="J7" s="38" t="n">
        <x:v>10</x:v>
      </x:c>
      <x:c r="K7" s="38" t="str">
        <x:v>merchant_kev-s-armory, merchant_barkun, merchant_goldie, merchant_jay-jay, merchant_kina, merchant_luxe, merchant_mittel, merchant_proteus, merchant_quixel, merchant_serafina</x:v>
      </x:c>
      <x:c r="L7" s="38" t="n">
        <x:v>10</x:v>
      </x:c>
      <x:c r="M7" s="38" t="str">
        <x:v>elem_水, elem_雷, elem_冰, elem_龙, elem_无, role_召唤, role_坦克, role_控制, role_治疗, tier_pT3</x:v>
      </x:c>
      <x:c r="N7" s="38" t="str">
        <x:v>Shielded</x:v>
      </x:c>
      <x:c r="O7" s="38" t="str">
        <x:v>pal_006</x:v>
      </x:c>
      <x:c r="P7" s="38" t="str">
        <x:v>碧水鸭</x:v>
      </x:c>
      <x:c r="Q7" s="38" t="str">
        <x:v>https://bazaar-builds.net/db/items/barrel.html</x:v>
      </x:c>
      <x:c r="R7" s="38" t="str">
        <x:v>shield 20 when you use an adjacent item, this gains 10 / 20 / 30 / 40 shield for the fight.</x:v>
      </x:c>
      <x:c r="S7" s="38" t="str">
        <x:v>一对一确认来源对象。</x:v>
      </x:c>
    </x:row>
    <x:row r="8">
      <x:c r="A8" s="38" t="str">
        <x:v>bz_van_007</x:v>
      </x:c>
      <x:c r="B8" s="38" t="n">
        <x:v>7</x:v>
      </x:c>
      <x:c r="C8" s="38" t="str">
        <x:v>item</x:v>
      </x:c>
      <x:c r="D8" s="38" t="str">
        <x:v>confirmed</x:v>
      </x:c>
      <x:c r="E8" s="38" t="str">
        <x:v>bayonet</x:v>
      </x:c>
      <x:c r="F8" s="38" t="str">
        <x:v>Bayonet</x:v>
      </x:c>
      <x:c r="G8" s="38" t="str">
        <x:v>bronze</x:v>
      </x:c>
      <x:c r="H8" s="38" t="str">
        <x:v>small</x:v>
      </x:c>
      <x:c r="I8" s="38" t="str">
        <x:v>weapon, damage</x:v>
      </x:c>
      <x:c r="J8" s="38" t="n">
        <x:v>10</x:v>
      </x:c>
      <x:c r="K8" s="38" t="str">
        <x:v>merchant_aila, merchant_ande, merchant_goldie, merchant_jay-jay, merchant_luxe, merchant_midsworth, merchant_quixel, merchant_serafina, merchant_silvia, merchant_valpak</x:v>
      </x:c>
      <x:c r="L8" s="38" t="n">
        <x:v>10</x:v>
      </x:c>
      <x:c r="M8" s="38" t="str">
        <x:v>night_base, elem_火, elem_雷, elem_地, elem_暗, role_召唤, role_坦克, role_控制, role_治疗, role_经济</x:v>
      </x:c>
      <x:c r="N8" s="38" t="str">
        <x:v>Deadly</x:v>
      </x:c>
      <x:c r="O8" s="38" t="str">
        <x:v>pal_007</x:v>
      </x:c>
      <x:c r="P8" s="38" t="str">
        <x:v>雷须猫</x:v>
      </x:c>
      <x:c r="Q8" s="38" t="str">
        <x:v>https://bazaar-builds.net/db/items/bayonet.html</x:v>
      </x:c>
      <x:c r="R8" s="38" t="str">
        <x:v>when you use the weapon to the left of this, deal 10 / 20 / 40 / 80 damage.</x:v>
      </x:c>
      <x:c r="S8" s="38" t="str">
        <x:v>一对一确认来源对象。</x:v>
      </x:c>
    </x:row>
    <x:row r="9">
      <x:c r="A9" s="38" t="str">
        <x:v>bz_van_008</x:v>
      </x:c>
      <x:c r="B9" s="38" t="n">
        <x:v>8</x:v>
      </x:c>
      <x:c r="C9" s="38" t="str">
        <x:v>item</x:v>
      </x:c>
      <x:c r="D9" s="38" t="str">
        <x:v>confirmed</x:v>
      </x:c>
      <x:c r="E9" s="38" t="str">
        <x:v>beach-ball</x:v>
      </x:c>
      <x:c r="F9" s="38" t="str">
        <x:v>Beach Ball</x:v>
      </x:c>
      <x:c r="G9" s="38" t="str">
        <x:v>bronze</x:v>
      </x:c>
      <x:c r="H9" s="38" t="str">
        <x:v>medium</x:v>
      </x:c>
      <x:c r="I9" s="38" t="str">
        <x:v>aquatic, toy, haste</x:v>
      </x:c>
      <x:c r="J9" s="38" t="n">
        <x:v>10</x:v>
      </x:c>
      <x:c r="K9" s="38" t="str">
        <x:v>merchant_nautica, merchant_tok-s-clocks, merchant_barkun, merchant_chronos, merchant_goldie, merchant_jay-jay, merchant_kina, merchant_luxe, merchant_mittel, merchant_quixel</x:v>
      </x:c>
      <x:c r="L9" s="38" t="n">
        <x:v>10</x:v>
      </x:c>
      <x:c r="M9" s="38" t="str">
        <x:v>elem_水, elem_雷, elem_冰, elem_无, role_召唤, role_坦克, role_控制, role_输出, special_merchant, elite_high</x:v>
      </x:c>
      <x:c r="N9" s="38" t="str">
        <x:v>Turbo</x:v>
      </x:c>
      <x:c r="O9" s="38" t="str">
        <x:v>pal_008</x:v>
      </x:c>
      <x:c r="P9" s="38" t="str">
        <x:v>藤甲猿</x:v>
      </x:c>
      <x:c r="Q9" s="38" t="str">
        <x:v>https://bazaar-builds.net/db/items/beach-ball.html</x:v>
      </x:c>
      <x:c r="R9" s="38" t="str">
        <x:v>haste 2 / 3 / 4 / 5 aquatic or toy item(s) for 2 seconds</x:v>
      </x:c>
      <x:c r="S9" s="38" t="str">
        <x:v>一对一确认来源对象。</x:v>
      </x:c>
    </x:row>
    <x:row r="10">
      <x:c r="A10" s="38" t="str">
        <x:v>bz_van_009</x:v>
      </x:c>
      <x:c r="B10" s="38" t="n">
        <x:v>9</x:v>
      </x:c>
      <x:c r="C10" s="38" t="str">
        <x:v>item</x:v>
      </x:c>
      <x:c r="D10" s="38" t="str">
        <x:v>confirmed</x:v>
      </x:c>
      <x:c r="E10" s="38" t="str">
        <x:v>bilge-worm</x:v>
      </x:c>
      <x:c r="F10" s="38" t="str">
        <x:v>Bilge Worm</x:v>
      </x:c>
      <x:c r="G10" s="38" t="str">
        <x:v>bronze</x:v>
      </x:c>
      <x:c r="H10" s="38" t="str">
        <x:v>small</x:v>
      </x:c>
      <x:c r="I10" s="38" t="str">
        <x:v>weapon, aquatic, damage</x:v>
      </x:c>
      <x:c r="J10" s="38" t="n">
        <x:v>10</x:v>
      </x:c>
      <x:c r="K10" s="38" t="str">
        <x:v>merchant_nautica, merchant_aila, merchant_ande, merchant_goldie, merchant_jay-jay, merchant_luxe, merchant_midsworth, merchant_quixel, merchant_serafina, merchant_silvia</x:v>
      </x:c>
      <x:c r="L10" s="38" t="n">
        <x:v>10</x:v>
      </x:c>
      <x:c r="M10" s="38" t="str">
        <x:v>night_base, elem_火, elem_雷, elem_地, role_召唤, role_坦克, role_控制, role_治疗, role_输出, role_经济</x:v>
      </x:c>
      <x:c r="N10" s="38" t="str">
        <x:v>Deadly</x:v>
      </x:c>
      <x:c r="O10" s="38" t="str">
        <x:v>pal_009</x:v>
      </x:c>
      <x:c r="P10" s="38" t="str">
        <x:v>火角鹿</x:v>
      </x:c>
      <x:c r="Q10" s="38" t="str">
        <x:v>https://bazaar-builds.net/db/items/bilge-worm.html</x:v>
      </x:c>
      <x:c r="R10" s="38" t="str">
        <x:v>when your enemy uses their leftmost item, deal 10 / 20 / 40 / 80 damage.</x:v>
      </x:c>
      <x:c r="S10" s="38" t="str">
        <x:v>一对一确认来源对象。</x:v>
      </x:c>
    </x:row>
    <x:row r="11">
      <x:c r="A11" s="38" t="str">
        <x:v>bz_van_010</x:v>
      </x:c>
      <x:c r="B11" s="38" t="n">
        <x:v>10</x:v>
      </x:c>
      <x:c r="C11" s="38" t="str">
        <x:v>item</x:v>
      </x:c>
      <x:c r="D11" s="38" t="str">
        <x:v>confirmed</x:v>
      </x:c>
      <x:c r="E11" s="38" t="str">
        <x:v>bladed-hoverboard</x:v>
      </x:c>
      <x:c r="F11" s="38" t="str">
        <x:v>Bladed Hoverboard</x:v>
      </x:c>
      <x:c r="G11" s="38" t="str">
        <x:v>silver</x:v>
      </x:c>
      <x:c r="H11" s="38" t="str">
        <x:v>medium</x:v>
      </x:c>
      <x:c r="I11" s="38" t="str">
        <x:v>weapon, tech, aquatic, vehicle, damage, flying</x:v>
      </x:c>
      <x:c r="J11" s="38" t="n">
        <x:v>10</x:v>
      </x:c>
      <x:c r="K11" s="38" t="str">
        <x:v>merchant_nautica, merchant_pinfeather, merchant_the-tester, merchant_aero, merchant_aila, merchant_barkun, merchant_goldie, merchant_jay-jay, merchant_luxe, merchant_mittel</x:v>
      </x:c>
      <x:c r="L11" s="38" t="n">
        <x:v>10</x:v>
      </x:c>
      <x:c r="M11" s="38" t="str">
        <x:v>night_base, elem_火, elem_水, elem_草, elem_雷, elem_无, role_坦克, role_控制, role_输出, role_抗压承伤</x:v>
      </x:c>
      <x:c r="N11" s="38" t="str">
        <x:v>Deadly</x:v>
      </x:c>
      <x:c r="O11" s="38" t="str">
        <x:v>pal_010</x:v>
      </x:c>
      <x:c r="P11" s="38" t="str">
        <x:v>霜羽鹭</x:v>
      </x:c>
      <x:c r="Q11" s="38" t="str">
        <x:v>https://bazaar-builds.net/db/items/bladed-hoverboard.html</x:v>
      </x:c>
      <x:c r="R11" s="38" t="str">
        <x:v>when you use an adjacent item, deal 20 / 40 / 60 damage and it starts flying.</x:v>
      </x:c>
      <x:c r="S11" s="38" t="str">
        <x:v>一对一确认来源对象。</x:v>
      </x:c>
    </x:row>
    <x:row r="12">
      <x:c r="A12" s="38" t="str">
        <x:v>bz_van_011</x:v>
      </x:c>
      <x:c r="B12" s="38" t="n">
        <x:v>11</x:v>
      </x:c>
      <x:c r="C12" s="38" t="str">
        <x:v>item</x:v>
      </x:c>
      <x:c r="D12" s="38" t="str">
        <x:v>confirmed</x:v>
      </x:c>
      <x:c r="E12" s="38" t="str">
        <x:v>blowgun</x:v>
      </x:c>
      <x:c r="F12" s="38" t="str">
        <x:v>Blowgun</x:v>
      </x:c>
      <x:c r="G12" s="38" t="str">
        <x:v>gold</x:v>
      </x:c>
      <x:c r="H12" s="38" t="str">
        <x:v>small</x:v>
      </x:c>
      <x:c r="I12" s="38" t="str">
        <x:v>weapon, relic, damage, poison</x:v>
      </x:c>
      <x:c r="J12" s="38" t="n">
        <x:v>10</x:v>
      </x:c>
      <x:c r="K12" s="38" t="str">
        <x:v>merchant_aila, merchant_ande, merchant_goldie, merchant_jay-jay, merchant_knightshade, merchant_luxe, merchant_midsworth, merchant_quixel, merchant_serafina, merchant_the-antiquarian</x:v>
      </x:c>
      <x:c r="L12" s="38" t="n">
        <x:v>10</x:v>
      </x:c>
      <x:c r="M12" s="38" t="str">
        <x:v>night_base, elem_火, elem_雷, elem_冰, elem_地, role_召唤, role_坦克, role_控制, role_治疗, role_火系压制</x:v>
      </x:c>
      <x:c r="N12" s="38" t="str">
        <x:v>Toxic</x:v>
      </x:c>
      <x:c r="O12" s="38" t="str">
        <x:v>pal_011</x:v>
      </x:c>
      <x:c r="P12" s="38" t="str">
        <x:v>冰背獭</x:v>
      </x:c>
      <x:c r="Q12" s="38" t="str">
        <x:v>https://bazaar-builds.net/db/items/blowgun.html</x:v>
      </x:c>
      <x:c r="R12" s="38" t="str">
        <x:v>deal 2 damage poison equal to this item's damage</x:v>
      </x:c>
      <x:c r="S12" s="38" t="str">
        <x:v>一对一确认来源对象。</x:v>
      </x:c>
    </x:row>
    <x:row r="13">
      <x:c r="A13" s="38" t="str">
        <x:v>bz_van_012</x:v>
      </x:c>
      <x:c r="B13" s="38" t="n">
        <x:v>12</x:v>
      </x:c>
      <x:c r="C13" s="38" t="str">
        <x:v>item</x:v>
      </x:c>
      <x:c r="D13" s="38" t="str">
        <x:v>confirmed</x:v>
      </x:c>
      <x:c r="E13" s="38" t="str">
        <x:v>blunderbuss</x:v>
      </x:c>
      <x:c r="F13" s="38" t="str">
        <x:v>Blunderbuss</x:v>
      </x:c>
      <x:c r="G13" s="38" t="str">
        <x:v>gold</x:v>
      </x:c>
      <x:c r="H13" s="38" t="str">
        <x:v>medium</x:v>
      </x:c>
      <x:c r="I13" s="38" t="str">
        <x:v>weapon, damage, ammo, burnreference</x:v>
      </x:c>
      <x:c r="J13" s="38" t="n">
        <x:v>10</x:v>
      </x:c>
      <x:c r="K13" s="38" t="str">
        <x:v>merchant_colt, merchant_aila, merchant_barkun, merchant_goldie, merchant_hef, merchant_jay-jay, merchant_luxe, merchant_mittel, merchant_quixel, merchant_serafina</x:v>
      </x:c>
      <x:c r="L13" s="38" t="n">
        <x:v>10</x:v>
      </x:c>
      <x:c r="M13" s="38" t="str">
        <x:v>night_base, elem_水, elem_雷, elem_无, role_召唤, role_坦克, role_控制, role_治疗, role_机动, tier_pT2</x:v>
      </x:c>
      <x:c r="N13" s="38" t="str">
        <x:v>Fiery</x:v>
      </x:c>
      <x:c r="O13" s="38" t="str">
        <x:v>pal_012</x:v>
      </x:c>
      <x:c r="P13" s="38" t="str">
        <x:v>电棘鼠</x:v>
      </x:c>
      <x:c r="Q13" s="38" t="str">
        <x:v>https://bazaar-builds.net/db/items/blunderbuss.html</x:v>
      </x:c>
      <x:c r="R13" s="38" t="str">
        <x:v>deal 15 damage when you burn, use this.</x:v>
      </x:c>
      <x:c r="S13" s="38" t="str">
        <x:v>一对一确认来源对象。</x:v>
      </x:c>
    </x:row>
    <x:row r="14">
      <x:c r="A14" s="38" t="str">
        <x:v>bz_van_013</x:v>
      </x:c>
      <x:c r="B14" s="38" t="n">
        <x:v>13</x:v>
      </x:c>
      <x:c r="C14" s="38" t="str">
        <x:v>item</x:v>
      </x:c>
      <x:c r="D14" s="38" t="str">
        <x:v>confirmed</x:v>
      </x:c>
      <x:c r="E14" s="38" t="str">
        <x:v>bolas</x:v>
      </x:c>
      <x:c r="F14" s="38" t="str">
        <x:v>Bolas</x:v>
      </x:c>
      <x:c r="G14" s="38" t="str">
        <x:v>bronze</x:v>
      </x:c>
      <x:c r="H14" s="38" t="str">
        <x:v>small</x:v>
      </x:c>
      <x:c r="I14" s="38" t="str">
        <x:v>weapon, damage, ammo, slow</x:v>
      </x:c>
      <x:c r="J14" s="38" t="n">
        <x:v>10</x:v>
      </x:c>
      <x:c r="K14" s="38" t="str">
        <x:v>merchant_colt, merchant_tok-s-clocks, merchant_aila, merchant_ande, merchant_cobweb, merchant_goldie, merchant_jay-jay, merchant_luxe, merchant_midsworth, merchant_quixel</x:v>
      </x:c>
      <x:c r="L14" s="38" t="n">
        <x:v>10</x:v>
      </x:c>
      <x:c r="M14" s="38" t="str">
        <x:v>night_base, elem_火, elem_雷, elem_地, role_召唤, role_坦克, role_控制, role_机动, special_merchant, role_召唤铺场</x:v>
      </x:c>
      <x:c r="N14" s="38" t="str">
        <x:v>Icy</x:v>
      </x:c>
      <x:c r="O14" s="38" t="str">
        <x:v>pal_013</x:v>
      </x:c>
      <x:c r="P14" s="38" t="str">
        <x:v>苔甲龟</x:v>
      </x:c>
      <x:c r="Q14" s="38" t="str">
        <x:v>https://bazaar-builds.net/db/items/bolas.html</x:v>
      </x:c>
      <x:c r="R14" s="38" t="str">
        <x:v>deal 20 / 40 / 80 / 160 damage slow an item for 2 / 3 / 4 / 5 seconds</x:v>
      </x:c>
      <x:c r="S14" s="38" t="str">
        <x:v>一对一确认来源对象。</x:v>
      </x:c>
    </x:row>
    <x:row r="15">
      <x:c r="A15" s="38" t="str">
        <x:v>bz_van_014</x:v>
      </x:c>
      <x:c r="B15" s="38" t="n">
        <x:v>14</x:v>
      </x:c>
      <x:c r="C15" s="38" t="str">
        <x:v>item</x:v>
      </x:c>
      <x:c r="D15" s="38" t="str">
        <x:v>confirmed</x:v>
      </x:c>
      <x:c r="E15" s="38" t="str">
        <x:v>bonfire</x:v>
      </x:c>
      <x:c r="F15" s="38" t="str">
        <x:v>Bonfire</x:v>
      </x:c>
      <x:c r="G15" s="38" t="str">
        <x:v>silver</x:v>
      </x:c>
      <x:c r="H15" s="38" t="str">
        <x:v>medium</x:v>
      </x:c>
      <x:c r="I15" s="38" t="str">
        <x:v>burn, haste</x:v>
      </x:c>
      <x:c r="J15" s="38" t="n">
        <x:v>10</x:v>
      </x:c>
      <x:c r="K15" s="38" t="str">
        <x:v>merchant_tok-s-clocks, merchant_barkun, merchant_chronos, merchant_goldie, merchant_hef, merchant_jay-jay, merchant_kina, merchant_luxe, merchant_mittel, merchant_quixel</x:v>
      </x:c>
      <x:c r="L15" s="38" t="n">
        <x:v>10</x:v>
      </x:c>
      <x:c r="M15" s="38" t="str">
        <x:v>elem_水, elem_雷, elem_冰, elem_无, role_召唤, role_坦克, role_控制, special_merchant, elite_high, tier_pT2</x:v>
      </x:c>
      <x:c r="N15" s="38" t="str">
        <x:v>Fiery</x:v>
      </x:c>
      <x:c r="O15" s="38" t="str">
        <x:v>pal_014</x:v>
      </x:c>
      <x:c r="P15" s="38" t="str">
        <x:v>金钱狸</x:v>
      </x:c>
      <x:c r="Q15" s="38" t="str">
        <x:v>https://bazaar-builds.net/db/items/bonfire.html</x:v>
      </x:c>
      <x:c r="R15" s="38" t="str">
        <x:v>burn 5 / 10 / 15 when you burn, haste an adjacent item for 1 / 2 / 3 seconds.</x:v>
      </x:c>
      <x:c r="S15" s="38" t="str">
        <x:v>一对一确认来源对象。</x:v>
      </x:c>
    </x:row>
    <x:row r="16">
      <x:c r="A16" s="38" t="str">
        <x:v>bz_van_015</x:v>
      </x:c>
      <x:c r="B16" s="38" t="n">
        <x:v>15</x:v>
      </x:c>
      <x:c r="C16" s="38" t="str">
        <x:v>item</x:v>
      </x:c>
      <x:c r="D16" s="38" t="str">
        <x:v>confirmed</x:v>
      </x:c>
      <x:c r="E16" s="38" t="str">
        <x:v>butterfly-swords</x:v>
      </x:c>
      <x:c r="F16" s="38" t="str">
        <x:v>Butterfly Swords</x:v>
      </x:c>
      <x:c r="G16" s="38" t="str">
        <x:v>silver</x:v>
      </x:c>
      <x:c r="H16" s="38" t="str">
        <x:v>small</x:v>
      </x:c>
      <x:c r="I16" s="38" t="str">
        <x:v>weapon, damage</x:v>
      </x:c>
      <x:c r="J16" s="38" t="n">
        <x:v>10</x:v>
      </x:c>
      <x:c r="K16" s="38" t="str">
        <x:v>merchant_aila, merchant_ande, merchant_goldie, merchant_jay-jay, merchant_luxe, merchant_midsworth, merchant_quixel, merchant_serafina, merchant_silvia, merchant_valpak</x:v>
      </x:c>
      <x:c r="L16" s="38" t="n">
        <x:v>10</x:v>
      </x:c>
      <x:c r="M16" s="38" t="str">
        <x:v>night_base, elem_火, elem_雷, elem_地, elem_暗, role_召唤, role_坦克, role_控制, role_治疗, role_经济</x:v>
      </x:c>
      <x:c r="N16" s="38" t="str">
        <x:v>Deadly</x:v>
      </x:c>
      <x:c r="O16" s="38" t="str">
        <x:v>pal_015</x:v>
      </x:c>
      <x:c r="P16" s="38" t="str">
        <x:v>黑甲猪</x:v>
      </x:c>
      <x:c r="Q16" s="38" t="str">
        <x:v>https://bazaar-builds.net/db/items/butterfly-swords.html</x:v>
      </x:c>
      <x:c r="R16" s="38" t="str">
        <x:v>deal 10 damage</x:v>
      </x:c>
      <x:c r="S16" s="38" t="str">
        <x:v>一对一确认来源对象。</x:v>
      </x:c>
    </x:row>
    <x:row r="17">
      <x:c r="A17" s="38" t="str">
        <x:v>bz_van_016</x:v>
      </x:c>
      <x:c r="B17" s="38" t="n">
        <x:v>16</x:v>
      </x:c>
      <x:c r="C17" s="38" t="str">
        <x:v>item</x:v>
      </x:c>
      <x:c r="D17" s="38" t="str">
        <x:v>confirmed</x:v>
      </x:c>
      <x:c r="E17" s="38" t="str">
        <x:v>calico</x:v>
      </x:c>
      <x:c r="F17" s="38" t="str">
        <x:v>Calico</x:v>
      </x:c>
      <x:c r="G17" s="38" t="str">
        <x:v>bronze</x:v>
      </x:c>
      <x:c r="H17" s="38" t="str">
        <x:v>small</x:v>
      </x:c>
      <x:c r="I17" s="38" t="str">
        <x:v>friend, weapon, damage, critreference</x:v>
      </x:c>
      <x:c r="J17" s="38" t="n">
        <x:v>10</x:v>
      </x:c>
      <x:c r="K17" s="38" t="str">
        <x:v>merchant_aimbot, merchant_dryad, merchant_aila, merchant_ande, merchant_goldie, merchant_jay-jay, merchant_luxe, merchant_midsworth, merchant_quixel, merchant_serafina</x:v>
      </x:c>
      <x:c r="L17" s="38" t="n">
        <x:v>10</x:v>
      </x:c>
      <x:c r="M17" s="38" t="str">
        <x:v>night_base, elem_火, elem_雷, elem_地, role_召唤, role_坦克, role_控制, role_治疗, tier_pT1, role_机动压制</x:v>
      </x:c>
      <x:c r="N17" s="38" t="str">
        <x:v>Deadly</x:v>
      </x:c>
      <x:c r="O17" s="38" t="str">
        <x:v>pal_016</x:v>
      </x:c>
      <x:c r="P17" s="38" t="str">
        <x:v>涧水象</x:v>
      </x:c>
      <x:c r="Q17" s="38" t="str">
        <x:v>https://bazaar-builds.net/db/items/calico.html</x:v>
      </x:c>
      <x:c r="R17" s="38" t="str">
        <x:v>deal 15 / 30 / 60 / 120 damage when you use another weapon, this gains +5 / 10 / 15 / 20% crit chance for the fight.</x:v>
      </x:c>
      <x:c r="S17" s="38" t="str">
        <x:v>一对一确认来源对象。</x:v>
      </x:c>
    </x:row>
    <x:row r="18">
      <x:c r="A18" s="38" t="str">
        <x:v>bz_van_017</x:v>
      </x:c>
      <x:c r="B18" s="38" t="n">
        <x:v>17</x:v>
      </x:c>
      <x:c r="C18" s="38" t="str">
        <x:v>item</x:v>
      </x:c>
      <x:c r="D18" s="38" t="str">
        <x:v>confirmed</x:v>
      </x:c>
      <x:c r="E18" s="38" t="str">
        <x:v>cannon</x:v>
      </x:c>
      <x:c r="F18" s="38" t="str">
        <x:v>Cannon</x:v>
      </x:c>
      <x:c r="G18" s="38" t="str">
        <x:v>bronze</x:v>
      </x:c>
      <x:c r="H18" s="38" t="str">
        <x:v>medium</x:v>
      </x:c>
      <x:c r="I18" s="38" t="str">
        <x:v>weapon, damage, ammo, burn</x:v>
      </x:c>
      <x:c r="J18" s="38" t="n">
        <x:v>10</x:v>
      </x:c>
      <x:c r="K18" s="38" t="str">
        <x:v>merchant_colt, merchant_aila, merchant_barkun, merchant_goldie, merchant_hef, merchant_jay-jay, merchant_luxe, merchant_mittel, merchant_quixel, merchant_serafina</x:v>
      </x:c>
      <x:c r="L18" s="38" t="n">
        <x:v>10</x:v>
      </x:c>
      <x:c r="M18" s="38" t="str">
        <x:v>night_base, elem_水, elem_雷, elem_无, role_召唤, role_坦克, role_控制, role_治疗, role_机动, tier_pT2</x:v>
      </x:c>
      <x:c r="N18" s="38" t="str">
        <x:v>Fiery</x:v>
      </x:c>
      <x:c r="O18" s="38" t="str">
        <x:v>pal_017</x:v>
      </x:c>
      <x:c r="P18" s="38" t="str">
        <x:v>黑角犀</x:v>
      </x:c>
      <x:c r="Q18" s="38" t="str">
        <x:v>https://bazaar-builds.net/db/items/cannon.html</x:v>
      </x:c>
      <x:c r="R18" s="38" t="str">
        <x:v>deal 40 / 80 / 120 / 160 damage burn equal to 10% of this item's damage</x:v>
      </x:c>
      <x:c r="S18" s="38" t="str">
        <x:v>一对一确认来源对象。</x:v>
      </x:c>
    </x:row>
    <x:row r="19">
      <x:c r="A19" s="38" t="str">
        <x:v>bz_van_018</x:v>
      </x:c>
      <x:c r="B19" s="38" t="n">
        <x:v>18</x:v>
      </x:c>
      <x:c r="C19" s="38" t="str">
        <x:v>item</x:v>
      </x:c>
      <x:c r="D19" s="38" t="str">
        <x:v>confirmed</x:v>
      </x:c>
      <x:c r="E19" s="38" t="str">
        <x:v>cannonade</x:v>
      </x:c>
      <x:c r="F19" s="38" t="str">
        <x:v>Cannonade</x:v>
      </x:c>
      <x:c r="G19" s="38" t="str">
        <x:v>gold</x:v>
      </x:c>
      <x:c r="H19" s="38" t="str">
        <x:v>large</x:v>
      </x:c>
      <x:c r="I19" s="38" t="str">
        <x:v>weapon, damage</x:v>
      </x:c>
      <x:c r="J19" s="38" t="n">
        <x:v>10</x:v>
      </x:c>
      <x:c r="K19" s="38" t="str">
        <x:v>merchant_aila, merchant_barkun, merchant_goldie, merchant_jay-jay, merchant_luxe, merchant_midsworth, merchant_pol, merchant_serafina, merchant_valpak, merchant_vanessa</x:v>
      </x:c>
      <x:c r="L19" s="38" t="n">
        <x:v>10</x:v>
      </x:c>
      <x:c r="M19" s="38" t="str">
        <x:v>night_base, elem_水, elem_雷, elem_地, elem_暗, role_坦克, role_控制, role_治疗, elite_high, role_风系铺场</x:v>
      </x:c>
      <x:c r="N19" s="38" t="str">
        <x:v>Turbo</x:v>
      </x:c>
      <x:c r="O19" s="38" t="str">
        <x:v>pal_018</x:v>
      </x:c>
      <x:c r="P19" s="38" t="str">
        <x:v>竹囊鼠</x:v>
      </x:c>
      <x:c r="Q19" s="38" t="str">
        <x:v>https://bazaar-builds.net/db/items/cannonade.html</x:v>
      </x:c>
      <x:c r="R19" s="38" t="str">
        <x:v>deal 200 → 400 damage when you use another weapon, charge this 2 seconds.</x:v>
      </x:c>
      <x:c r="S19" s="38" t="str">
        <x:v>一对一确认来源对象。</x:v>
      </x:c>
    </x:row>
    <x:row r="20">
      <x:c r="A20" s="38" t="str">
        <x:v>bz_van_019</x:v>
      </x:c>
      <x:c r="B20" s="38" t="n">
        <x:v>19</x:v>
      </x:c>
      <x:c r="C20" s="38" t="str">
        <x:v>item</x:v>
      </x:c>
      <x:c r="D20" s="38" t="str">
        <x:v>confirmed</x:v>
      </x:c>
      <x:c r="E20" s="38" t="str">
        <x:v>cannonball</x:v>
      </x:c>
      <x:c r="F20" s="38" t="str">
        <x:v>Cannonball</x:v>
      </x:c>
      <x:c r="G20" s="38" t="str">
        <x:v>silver</x:v>
      </x:c>
      <x:c r="H20" s="38" t="str">
        <x:v>small</x:v>
      </x:c>
      <x:c r="I20" s="38" t="str">
        <x:v>ammoreference</x:v>
      </x:c>
      <x:c r="J20" s="38" t="n">
        <x:v>10</x:v>
      </x:c>
      <x:c r="K20" s="38" t="str">
        <x:v>merchant_colt, merchant_ande, merchant_goldie, merchant_jay-jay, merchant_kina, merchant_luxe, merchant_midsworth, merchant_quixel, merchant_serafina, merchant_silvia</x:v>
      </x:c>
      <x:c r="L20" s="38" t="n">
        <x:v>10</x:v>
      </x:c>
      <x:c r="M20" s="38" t="str">
        <x:v>elem_火, elem_雷, elem_冰, elem_地, role_召唤, role_坦克, role_控制, role_治疗, role_经济, role_机动</x:v>
      </x:c>
      <x:c r="N20" s="38" t="str">
        <x:v>Deadly</x:v>
      </x:c>
      <x:c r="O20" s="38" t="str">
        <x:v>pal_019</x:v>
      </x:c>
      <x:c r="P20" s="38" t="str">
        <x:v>夜穴鼹</x:v>
      </x:c>
      <x:c r="Q20" s="38" t="str">
        <x:v>https://bazaar-builds.net/db/items/cannonball.html</x:v>
      </x:c>
      <x:c r="R20" s="38" t="str">
        <x:v>adjacent items have +2 / 3 / 4 max ammo.</x:v>
      </x:c>
      <x:c r="S20" s="38" t="str">
        <x:v>一对一确认来源对象。</x:v>
      </x:c>
    </x:row>
    <x:row r="21">
      <x:c r="A21" s="38" t="str">
        <x:v>bz_van_020</x:v>
      </x:c>
      <x:c r="B21" s="38" t="n">
        <x:v>20</x:v>
      </x:c>
      <x:c r="C21" s="38" t="str">
        <x:v>item</x:v>
      </x:c>
      <x:c r="D21" s="38" t="str">
        <x:v>confirmed</x:v>
      </x:c>
      <x:c r="E21" s="38" t="str">
        <x:v>captain-s-quarters</x:v>
      </x:c>
      <x:c r="F21" s="38" t="str">
        <x:v>Captain's Quarters</x:v>
      </x:c>
      <x:c r="G21" s="38" t="str">
        <x:v>silver</x:v>
      </x:c>
      <x:c r="H21" s="38" t="str">
        <x:v>large</x:v>
      </x:c>
      <x:c r="I21" s="38" t="str">
        <x:v>aquatic, property, haste, damagereference, ammoreference</x:v>
      </x:c>
      <x:c r="J21" s="38" t="n">
        <x:v>10</x:v>
      </x:c>
      <x:c r="K21" s="38" t="str">
        <x:v>merchant_colt, merchant_nautica, merchant_tok-s-clocks, merchant_barkun, merchant_chronos, merchant_goldie, merchant_jay-jay, merchant_kina, merchant_luxe, merchant_midsworth</x:v>
      </x:c>
      <x:c r="L21" s="38" t="n">
        <x:v>10</x:v>
      </x:c>
      <x:c r="M21" s="38" t="str">
        <x:v>elem_水, elem_雷, elem_冰, elem_地, role_坦克, role_控制, role_输出, role_机动, special_merchant, elite_high</x:v>
      </x:c>
      <x:c r="N21" s="38" t="str">
        <x:v>Turbo</x:v>
      </x:c>
      <x:c r="O21" s="38" t="str">
        <x:v>pal_020</x:v>
      </x:c>
      <x:c r="P21" s="38" t="str">
        <x:v>沙鬃猪</x:v>
      </x:c>
      <x:c r="Q21" s="38" t="str">
        <x:v>https://bazaar-builds.net/db/items/captain-s-quarters.html</x:v>
      </x:c>
      <x:c r="R21" s="38" t="str">
        <x:v>haste your tools and vehicles for 1 / 2 / 3 seconds reload your ammo items 1 / 2 / 3 ammo your weapons gain +20 / 30 / 40 damage for the fight</x:v>
      </x:c>
      <x:c r="S21" s="38" t="str">
        <x:v>一对一确认来源对象。</x:v>
      </x:c>
    </x:row>
    <x:row r="22">
      <x:c r="A22" s="38" t="str">
        <x:v>bz_van_021</x:v>
      </x:c>
      <x:c r="B22" s="38" t="n">
        <x:v>21</x:v>
      </x:c>
      <x:c r="C22" s="38" t="str">
        <x:v>item</x:v>
      </x:c>
      <x:c r="D22" s="38" t="str">
        <x:v>confirmed</x:v>
      </x:c>
      <x:c r="E22" s="38" t="str">
        <x:v>captain-s-wheel</x:v>
      </x:c>
      <x:c r="F22" s="38" t="str">
        <x:v>Captain's Wheel</x:v>
      </x:c>
      <x:c r="G22" s="38" t="str">
        <x:v>silver</x:v>
      </x:c>
      <x:c r="H22" s="38" t="str">
        <x:v>medium</x:v>
      </x:c>
      <x:c r="I22" s="38" t="str">
        <x:v>aquatic, tool, haste</x:v>
      </x:c>
      <x:c r="J22" s="38" t="n">
        <x:v>10</x:v>
      </x:c>
      <x:c r="K22" s="38" t="str">
        <x:v>merchant_nautica, merchant_tok-s-clocks, merchant_barkun, merchant_chronos, merchant_goldie, merchant_jay-jay, merchant_kina, merchant_luxe, merchant_mittel, merchant_orion</x:v>
      </x:c>
      <x:c r="L22" s="38" t="n">
        <x:v>10</x:v>
      </x:c>
      <x:c r="M22" s="38" t="str">
        <x:v>elem_水, elem_雷, elem_冰, elem_无, role_坦克, role_控制, role_输出, special_merchant, elite_high, role_远点压制</x:v>
      </x:c>
      <x:c r="N22" s="38" t="str">
        <x:v>Turbo</x:v>
      </x:c>
      <x:c r="O22" s="38" t="str">
        <x:v>pal_021</x:v>
      </x:c>
      <x:c r="P22" s="38" t="str">
        <x:v>暮羽鸦</x:v>
      </x:c>
      <x:c r="Q22" s="38" t="str">
        <x:v>https://bazaar-builds.net/db/items/captain-s-wheel.html</x:v>
      </x:c>
      <x:c r="R22" s="38" t="str">
        <x:v>haste adjacent items for 1 / 2 / 3 seconds if you have a vehicle or large item, this item's cooldown is halved.</x:v>
      </x:c>
      <x:c r="S22" s="38" t="str">
        <x:v>一对一确认来源对象。</x:v>
      </x:c>
    </x:row>
    <x:row r="23">
      <x:c r="A23" s="38" t="str">
        <x:v>bz_van_022</x:v>
      </x:c>
      <x:c r="B23" s="38" t="n">
        <x:v>22</x:v>
      </x:c>
      <x:c r="C23" s="38" t="str">
        <x:v>item</x:v>
      </x:c>
      <x:c r="D23" s="38" t="str">
        <x:v>confirmed</x:v>
      </x:c>
      <x:c r="E23" s="38" t="str">
        <x:v>card-table</x:v>
      </x:c>
      <x:c r="F23" s="38" t="str">
        <x:v>Card Table</x:v>
      </x:c>
      <x:c r="G23" s="38" t="str">
        <x:v>silver</x:v>
      </x:c>
      <x:c r="H23" s="38" t="str">
        <x:v>medium</x:v>
      </x:c>
      <x:c r="I23" s="38" t="str"/>
      <x:c r="J23" s="38" t="n">
        <x:v>10</x:v>
      </x:c>
      <x:c r="K23" s="38" t="str">
        <x:v>merchant_barkun, merchant_goldie, merchant_jay-jay, merchant_kina, merchant_luxe, merchant_mittel, merchant_quixel, merchant_serafina, merchant_silvia, merchant_valpak</x:v>
      </x:c>
      <x:c r="L23" s="38" t="n">
        <x:v>10</x:v>
      </x:c>
      <x:c r="M23" s="38" t="str">
        <x:v>elem_水, elem_雷, elem_冰, elem_暗, elem_无, role_召唤, role_坦克, role_控制, role_治疗, role_经济</x:v>
      </x:c>
      <x:c r="N23" s="38" t="str">
        <x:v>Turbo</x:v>
      </x:c>
      <x:c r="O23" s="38" t="str">
        <x:v>pal_022</x:v>
      </x:c>
      <x:c r="P23" s="38" t="str">
        <x:v>岩爪鼹</x:v>
      </x:c>
      <x:c r="Q23" s="38" t="str">
        <x:v>https://bazaar-builds.net/db/items/card-table.html</x:v>
      </x:c>
      <x:c r="R23" s="38" t="str">
        <x:v>a friend gains +1 multicast for the fight increase this item's cooldown by 1 second for each non-friend you have for the fight.</x:v>
      </x:c>
      <x:c r="S23" s="38" t="str">
        <x:v>一对一确认来源对象。</x:v>
      </x:c>
    </x:row>
    <x:row r="24">
      <x:c r="A24" s="38" t="str">
        <x:v>bz_van_023</x:v>
      </x:c>
      <x:c r="B24" s="38" t="n">
        <x:v>23</x:v>
      </x:c>
      <x:c r="C24" s="38" t="str">
        <x:v>item</x:v>
      </x:c>
      <x:c r="D24" s="38" t="str">
        <x:v>confirmed</x:v>
      </x:c>
      <x:c r="E24" s="38" t="str">
        <x:v>catfish</x:v>
      </x:c>
      <x:c r="F24" s="38" t="str">
        <x:v>Catfish</x:v>
      </x:c>
      <x:c r="G24" s="38" t="str">
        <x:v>bronze</x:v>
      </x:c>
      <x:c r="H24" s="38" t="str">
        <x:v>small</x:v>
      </x:c>
      <x:c r="I24" s="38" t="str">
        <x:v>aquatic, friend, poison, hastereference</x:v>
      </x:c>
      <x:c r="J24" s="38" t="n">
        <x:v>10</x:v>
      </x:c>
      <x:c r="K24" s="38" t="str">
        <x:v>merchant_dryad, merchant_nautica, merchant_tok-s-clocks, merchant_ande, merchant_chronos, merchant_goldie, merchant_jay-jay, merchant_kina, merchant_knightshade, merchant_luxe</x:v>
      </x:c>
      <x:c r="L24" s="38" t="n">
        <x:v>10</x:v>
      </x:c>
      <x:c r="M24" s="38" t="str">
        <x:v>elem_火, elem_雷, elem_冰, role_坦克, role_控制, role_输出, special_merchant, elite_high, role_机动压制, role_火系压制</x:v>
      </x:c>
      <x:c r="N24" s="38" t="str">
        <x:v>Toxic</x:v>
      </x:c>
      <x:c r="O24" s="38" t="str">
        <x:v>pal_023</x:v>
      </x:c>
      <x:c r="P24" s="38" t="str">
        <x:v>墨潭鲵</x:v>
      </x:c>
      <x:c r="Q24" s="38" t="str">
        <x:v>https://bazaar-builds.net/db/items/catfish.html</x:v>
      </x:c>
      <x:c r="R24" s="38" t="str">
        <x:v>poison 3 when this is hasted, this gains +2 / 4 / 6 / 8 poison for the fight.</x:v>
      </x:c>
      <x:c r="S24" s="38" t="str">
        <x:v>一对一确认来源对象。</x:v>
      </x:c>
    </x:row>
    <x:row r="25">
      <x:c r="A25" s="38" t="str">
        <x:v>bz_van_024</x:v>
      </x:c>
      <x:c r="B25" s="38" t="n">
        <x:v>24</x:v>
      </x:c>
      <x:c r="C25" s="38" t="str">
        <x:v>item</x:v>
      </x:c>
      <x:c r="D25" s="38" t="str">
        <x:v>confirmed</x:v>
      </x:c>
      <x:c r="E25" s="38" t="str">
        <x:v>cauterizing-blade</x:v>
      </x:c>
      <x:c r="F25" s="38" t="str">
        <x:v>Cauterizing Blade</x:v>
      </x:c>
      <x:c r="G25" s="38" t="str">
        <x:v>silver</x:v>
      </x:c>
      <x:c r="H25" s="38" t="str">
        <x:v>medium</x:v>
      </x:c>
      <x:c r="I25" s="38" t="str">
        <x:v>weapon, tech, damage, burn</x:v>
      </x:c>
      <x:c r="J25" s="38" t="n">
        <x:v>10</x:v>
      </x:c>
      <x:c r="K25" s="38" t="str">
        <x:v>merchant_the-tester, merchant_tok-s-clocks, merchant_aila, merchant_barkun, merchant_chronos, merchant_cobweb, merchant_goldie, merchant_hef, merchant_jay-jay, merchant_luxe</x:v>
      </x:c>
      <x:c r="L25" s="38" t="n">
        <x:v>10</x:v>
      </x:c>
      <x:c r="M25" s="38" t="str">
        <x:v>night_base, elem_水, elem_雷, role_坦克, role_控制, special_merchant, elite_high, tier_pT2, role_召唤铺场, role_抗压承伤</x:v>
      </x:c>
      <x:c r="N25" s="38" t="str">
        <x:v>Fiery</x:v>
      </x:c>
      <x:c r="O25" s="38" t="str">
        <x:v>pal_024</x:v>
      </x:c>
      <x:c r="P25" s="38" t="str">
        <x:v>幽纹猫</x:v>
      </x:c>
      <x:c r="Q25" s="38" t="str">
        <x:v>https://bazaar-builds.net/db/items/cauterizing-blade.html</x:v>
      </x:c>
      <x:c r="R25" s="38" t="str">
        <x:v>deal 20 damage burn 2 quest: slow 10 times when you slow, this gains +0 damage and +0 burn for the fight. quest: haste 10 times when you haste, this gains +0 damage and +0 burn for the fight.</x:v>
      </x:c>
      <x:c r="S25" s="38" t="str">
        <x:v>一对一确认来源对象。</x:v>
      </x:c>
    </x:row>
    <x:row r="26">
      <x:c r="A26" s="38" t="str">
        <x:v>bz_van_025</x:v>
      </x:c>
      <x:c r="B26" s="38" t="n">
        <x:v>25</x:v>
      </x:c>
      <x:c r="C26" s="38" t="str">
        <x:v>item</x:v>
      </x:c>
      <x:c r="D26" s="38" t="str">
        <x:v>confirmed</x:v>
      </x:c>
      <x:c r="E26" s="38" t="str">
        <x:v>chum</x:v>
      </x:c>
      <x:c r="F26" s="38" t="str">
        <x:v>Chum</x:v>
      </x:c>
      <x:c r="G26" s="38" t="str">
        <x:v>bronze</x:v>
      </x:c>
      <x:c r="H26" s="38" t="str">
        <x:v>small</x:v>
      </x:c>
      <x:c r="I26" s="38" t="str">
        <x:v>aquatic, food, crit</x:v>
      </x:c>
      <x:c r="J26" s="38" t="n">
        <x:v>10</x:v>
      </x:c>
      <x:c r="K26" s="38" t="str">
        <x:v>merchant_aimbot, merchant_nautica, merchant_ande, merchant_gastro, merchant_goldie, merchant_jay-jay, merchant_kina, merchant_luxe, merchant_midsworth, merchant_quixel</x:v>
      </x:c>
      <x:c r="L26" s="38" t="n">
        <x:v>10</x:v>
      </x:c>
      <x:c r="M26" s="38" t="str">
        <x:v>elem_火, elem_雷, elem_冰, elem_地, role_召唤, role_坦克, role_控制, role_输出, tier_pT1, tier_pT3</x:v>
      </x:c>
      <x:c r="N26" s="38" t="str">
        <x:v>Golden</x:v>
      </x:c>
      <x:c r="O26" s="38" t="str">
        <x:v>pal_025</x:v>
      </x:c>
      <x:c r="P26" s="38" t="str">
        <x:v>泉须鲶</x:v>
      </x:c>
      <x:c r="Q26" s="38" t="str">
        <x:v>https://bazaar-builds.net/db/items/chum.html</x:v>
      </x:c>
      <x:c r="R26" s="38" t="str">
        <x:v>your aquatic items gain +3 / 6 / 9 / 12% crit chance for the fight when you buy this, get a piranha.</x:v>
      </x:c>
      <x:c r="S26" s="38" t="str">
        <x:v>一对一确认来源对象。</x:v>
      </x:c>
    </x:row>
    <x:row r="27">
      <x:c r="A27" s="38" t="str">
        <x:v>bz_van_026</x:v>
      </x:c>
      <x:c r="B27" s="38" t="n">
        <x:v>26</x:v>
      </x:c>
      <x:c r="C27" s="38" t="str">
        <x:v>item</x:v>
      </x:c>
      <x:c r="D27" s="38" t="str">
        <x:v>confirmed</x:v>
      </x:c>
      <x:c r="E27" s="38" t="str">
        <x:v>clamera</x:v>
      </x:c>
      <x:c r="F27" s="38" t="str">
        <x:v>Clamera</x:v>
      </x:c>
      <x:c r="G27" s="38" t="str">
        <x:v>silver</x:v>
      </x:c>
      <x:c r="H27" s="38" t="str">
        <x:v>small</x:v>
      </x:c>
      <x:c r="I27" s="38" t="str">
        <x:v>aquatic, slow</x:v>
      </x:c>
      <x:c r="J27" s="38" t="n">
        <x:v>10</x:v>
      </x:c>
      <x:c r="K27" s="38" t="str">
        <x:v>merchant_nautica, merchant_tok-s-clocks, merchant_ande, merchant_cobweb, merchant_goldie, merchant_jay-jay, merchant_kina, merchant_luxe, merchant_midsworth, merchant_quixel</x:v>
      </x:c>
      <x:c r="L27" s="38" t="n">
        <x:v>10</x:v>
      </x:c>
      <x:c r="M27" s="38" t="str">
        <x:v>elem_火, elem_雷, elem_冰, elem_地, role_召唤, role_坦克, role_控制, role_输出, special_merchant, role_召唤铺场</x:v>
      </x:c>
      <x:c r="N27" s="38" t="str">
        <x:v>Icy</x:v>
      </x:c>
      <x:c r="O27" s="38" t="str">
        <x:v>pal_026</x:v>
      </x:c>
      <x:c r="P27" s="38" t="str">
        <x:v>疾风狼</x:v>
      </x:c>
      <x:c r="Q27" s="38" t="str">
        <x:v>https://bazaar-builds.net/db/items/clamera.html</x:v>
      </x:c>
      <x:c r="R27" s="38" t="str">
        <x:v>slow an item for 2 seconds the first 2 / 3 / 4 times your enemy uses an item each fight, use this.</x:v>
      </x:c>
      <x:c r="S27" s="38" t="str">
        <x:v>一对一确认来源对象。</x:v>
      </x:c>
    </x:row>
    <x:row r="28">
      <x:c r="A28" s="38" t="str">
        <x:v>bz_van_027</x:v>
      </x:c>
      <x:c r="B28" s="38" t="n">
        <x:v>27</x:v>
      </x:c>
      <x:c r="C28" s="38" t="str">
        <x:v>item</x:v>
      </x:c>
      <x:c r="D28" s="38" t="str">
        <x:v>confirmed</x:v>
      </x:c>
      <x:c r="E28" s="38" t="str">
        <x:v>concealed-dagger</x:v>
      </x:c>
      <x:c r="F28" s="38" t="str">
        <x:v>Concealed Dagger</x:v>
      </x:c>
      <x:c r="G28" s="38" t="str">
        <x:v>bronze</x:v>
      </x:c>
      <x:c r="H28" s="38" t="str">
        <x:v>small</x:v>
      </x:c>
      <x:c r="I28" s="38" t="str">
        <x:v>weapon, damage, gold, haste</x:v>
      </x:c>
      <x:c r="J28" s="38" t="n">
        <x:v>10</x:v>
      </x:c>
      <x:c r="K28" s="38" t="str">
        <x:v>merchant_tok-s-clocks, merchant_aila, merchant_ande, merchant_chronos, merchant_goldie, merchant_jay-jay, merchant_luxe, merchant_midsworth, merchant_quixel, merchant_serafina</x:v>
      </x:c>
      <x:c r="L28" s="38" t="n">
        <x:v>10</x:v>
      </x:c>
      <x:c r="M28" s="38" t="str">
        <x:v>night_base, elem_火, elem_雷, elem_地, role_召唤, role_坦克, role_控制, role_治疗, special_merchant, elite_high</x:v>
      </x:c>
      <x:c r="N28" s="38" t="str">
        <x:v>Turbo</x:v>
      </x:c>
      <x:c r="O28" s="38" t="str">
        <x:v>pal_027</x:v>
      </x:c>
      <x:c r="P28" s="38" t="str">
        <x:v>惊羽雀</x:v>
      </x:c>
      <x:c r="Q28" s="38" t="str">
        <x:v>https://bazaar-builds.net/db/items/concealed-dagger.html</x:v>
      </x:c>
      <x:c r="R28" s="38" t="str">
        <x:v>deal 10 / 20 / 40 / 80 damage haste an item 1 / 2 / 3 / 4 seconds. at the start of each fight with this, gain 1 gold.</x:v>
      </x:c>
      <x:c r="S28" s="38" t="str">
        <x:v>一对一确认来源对象。</x:v>
      </x:c>
    </x:row>
    <x:row r="29">
      <x:c r="A29" s="38" t="str">
        <x:v>bz_van_028</x:v>
      </x:c>
      <x:c r="B29" s="38" t="n">
        <x:v>28</x:v>
      </x:c>
      <x:c r="C29" s="38" t="str">
        <x:v>item</x:v>
      </x:c>
      <x:c r="D29" s="38" t="str">
        <x:v>confirmed</x:v>
      </x:c>
      <x:c r="E29" s="38" t="str">
        <x:v>coral</x:v>
      </x:c>
      <x:c r="F29" s="38" t="str">
        <x:v>Coral</x:v>
      </x:c>
      <x:c r="G29" s="38" t="str">
        <x:v>bronze</x:v>
      </x:c>
      <x:c r="H29" s="38" t="str">
        <x:v>small</x:v>
      </x:c>
      <x:c r="I29" s="38" t="str">
        <x:v>aquatic, relic, heal</x:v>
      </x:c>
      <x:c r="J29" s="38" t="n">
        <x:v>10</x:v>
      </x:c>
      <x:c r="K29" s="38" t="str">
        <x:v>merchant_nautica, merchant_ande, merchant_goldie, merchant_herma, merchant_jay-jay, merchant_kina, merchant_luxe, merchant_midsworth, merchant_quixel, merchant_serafina</x:v>
      </x:c>
      <x:c r="L29" s="38" t="n">
        <x:v>10</x:v>
      </x:c>
      <x:c r="M29" s="38" t="str">
        <x:v>night_base, elem_火, elem_雷, elem_冰, elem_地, role_召唤, role_坦克, role_控制, role_治疗, role_输出</x:v>
      </x:c>
      <x:c r="N29" s="38" t="str">
        <x:v>Restorative</x:v>
      </x:c>
      <x:c r="O29" s="38" t="str">
        <x:v>pal_028</x:v>
      </x:c>
      <x:c r="P29" s="38" t="str">
        <x:v>药草兔</x:v>
      </x:c>
      <x:c r="Q29" s="38" t="str">
        <x:v>https://bazaar-builds.net/db/items/coral.html</x:v>
      </x:c>
      <x:c r="R29" s="38" t="str">
        <x:v>heal 20 when you buy an aquatic item, this gains heal 5 / 10 / 15 / 20.</x:v>
      </x:c>
      <x:c r="S29" s="38" t="str">
        <x:v>一对一确认来源对象。</x:v>
      </x:c>
    </x:row>
    <x:row r="30">
      <x:c r="A30" s="38" t="str">
        <x:v>bz_van_029</x:v>
      </x:c>
      <x:c r="B30" s="38" t="n">
        <x:v>29</x:v>
      </x:c>
      <x:c r="C30" s="38" t="str">
        <x:v>item</x:v>
      </x:c>
      <x:c r="D30" s="38" t="str">
        <x:v>confirmed</x:v>
      </x:c>
      <x:c r="E30" s="38" t="str">
        <x:v>coral-armor</x:v>
      </x:c>
      <x:c r="F30" s="38" t="str">
        <x:v>Coral Armor</x:v>
      </x:c>
      <x:c r="G30" s="38" t="str">
        <x:v>bronze</x:v>
      </x:c>
      <x:c r="H30" s="38" t="str">
        <x:v>medium</x:v>
      </x:c>
      <x:c r="I30" s="38" t="str">
        <x:v>aquatic, apparel, relic, shield</x:v>
      </x:c>
      <x:c r="J30" s="38" t="n">
        <x:v>10</x:v>
      </x:c>
      <x:c r="K30" s="38" t="str">
        <x:v>merchant_kev-s-armory, merchant_nautica, merchant_barkun, merchant_gaseo, merchant_goldie, merchant_jay-jay, merchant_kina, merchant_luxe, merchant_mittel, merchant_proteus</x:v>
      </x:c>
      <x:c r="L30" s="38" t="n">
        <x:v>10</x:v>
      </x:c>
      <x:c r="M30" s="38" t="str">
        <x:v>elem_水, elem_雷, elem_冰, elem_龙, elem_无, role_坦克, role_控制, role_输出, tier_pT3, role_重甲抗压</x:v>
      </x:c>
      <x:c r="N30" s="38" t="str">
        <x:v>Shielded</x:v>
      </x:c>
      <x:c r="O30" s="38" t="str">
        <x:v>pal_029</x:v>
      </x:c>
      <x:c r="P30" s="38" t="str">
        <x:v>黄背牛</x:v>
      </x:c>
      <x:c r="Q30" s="38" t="str">
        <x:v>https://bazaar-builds.net/db/items/coral-armor.html</x:v>
      </x:c>
      <x:c r="R30" s="38" t="str">
        <x:v>shield 50 when you buy another aquatic item, this gains 10 / 20 / 30 / 40 shield.</x:v>
      </x:c>
      <x:c r="S30" s="38" t="str">
        <x:v>一对一确认来源对象。</x:v>
      </x:c>
    </x:row>
    <x:row r="31">
      <x:c r="A31" s="38" t="str">
        <x:v>bz_van_030</x:v>
      </x:c>
      <x:c r="B31" s="38" t="n">
        <x:v>30</x:v>
      </x:c>
      <x:c r="C31" s="38" t="str">
        <x:v>item</x:v>
      </x:c>
      <x:c r="D31" s="38" t="str">
        <x:v>confirmed</x:v>
      </x:c>
      <x:c r="E31" s="38" t="str">
        <x:v>cove</x:v>
      </x:c>
      <x:c r="F31" s="38" t="str">
        <x:v>Cove</x:v>
      </x:c>
      <x:c r="G31" s="38" t="str">
        <x:v>bronze</x:v>
      </x:c>
      <x:c r="H31" s="38" t="str">
        <x:v>large</x:v>
      </x:c>
      <x:c r="I31" s="38" t="str">
        <x:v>aquatic, property, shield, value, economyreference</x:v>
      </x:c>
      <x:c r="J31" s="38" t="n">
        <x:v>10</x:v>
      </x:c>
      <x:c r="K31" s="38" t="str">
        <x:v>merchant_kev-s-armory, merchant_nautica, merchant_barkun, merchant_goldie, merchant_jay-jay, merchant_kina, merchant_luxe, merchant_midsworth, merchant_mr-morland, merchant_pol</x:v>
      </x:c>
      <x:c r="L31" s="38" t="n">
        <x:v>10</x:v>
      </x:c>
      <x:c r="M31" s="38" t="str">
        <x:v>elem_水, elem_雷, elem_冰, elem_地, elem_暗, role_坦克, role_控制, role_输出, tier_pT3, role_风系铺场</x:v>
      </x:c>
      <x:c r="N31" s="38" t="str">
        <x:v>Shielded</x:v>
      </x:c>
      <x:c r="O31" s="38" t="str">
        <x:v>pal_030</x:v>
      </x:c>
      <x:c r="P31" s="38" t="str">
        <x:v>花刺蛛</x:v>
      </x:c>
      <x:c r="Q31" s="38" t="str">
        <x:v>https://bazaar-builds.net/db/items/cove.html</x:v>
      </x:c>
      <x:c r="R31" s="38" t="str">
        <x:v>shield equal to this 1 / 2 / 3 / 4 times this item's value when you sell an item, this gains 1 → 2 value.</x:v>
      </x:c>
      <x:c r="S31" s="38" t="str">
        <x:v>一对一确认来源对象。</x:v>
      </x:c>
    </x:row>
    <x:row r="32">
      <x:c r="A32" s="38" t="str">
        <x:v>bz_van_031</x:v>
      </x:c>
      <x:c r="B32" s="38" t="n">
        <x:v>31</x:v>
      </x:c>
      <x:c r="C32" s="38" t="str">
        <x:v>item</x:v>
      </x:c>
      <x:c r="D32" s="38" t="str">
        <x:v>confirmed</x:v>
      </x:c>
      <x:c r="E32" s="38" t="str">
        <x:v>crow-s-nest</x:v>
      </x:c>
      <x:c r="F32" s="38" t="str">
        <x:v>Crow's Nest</x:v>
      </x:c>
      <x:c r="G32" s="38" t="str">
        <x:v>silver</x:v>
      </x:c>
      <x:c r="H32" s="38" t="str">
        <x:v>large</x:v>
      </x:c>
      <x:c r="I32" s="38" t="str">
        <x:v>property, aquatic, crit</x:v>
      </x:c>
      <x:c r="J32" s="38" t="n">
        <x:v>1</x:v>
      </x:c>
      <x:c r="K32" s="38" t="str">
        <x:v>merchant_vanessa</x:v>
      </x:c>
      <x:c r="L32" s="38" t="n">
        <x:v>1</x:v>
      </x:c>
      <x:c r="M32" s="38" t="str">
        <x:v>elite_high</x:v>
      </x:c>
      <x:c r="N32" s="38" t="str">
        <x:v>Icy</x:v>
      </x:c>
      <x:c r="O32" s="38" t="str">
        <x:v>pal_031</x:v>
      </x:c>
      <x:c r="P32" s="38" t="str">
        <x:v>青背鲵</x:v>
      </x:c>
      <x:c r="Q32" s="38" t="str">
        <x:v>https://bazaar-builds.net/db/items/crow-s-nest.html</x:v>
      </x:c>
      <x:c r="R32" s="38" t="str">
        <x:v>your weapons have +40 / 60 / 80% crit chance. if you have only one weapon, it has lifesteal and is affected by slow for half as long.</x:v>
      </x:c>
      <x:c r="S32" s="38" t="str">
        <x:v>一对一确认来源对象。</x:v>
      </x:c>
    </x:row>
    <x:row r="33">
      <x:c r="A33" s="38" t="str">
        <x:v>bz_van_032</x:v>
      </x:c>
      <x:c r="B33" s="38" t="n">
        <x:v>32</x:v>
      </x:c>
      <x:c r="C33" s="38" t="str">
        <x:v>item</x:v>
      </x:c>
      <x:c r="D33" s="38" t="str">
        <x:v>confirmed</x:v>
      </x:c>
      <x:c r="E33" s="38" t="str">
        <x:v>custom-scope</x:v>
      </x:c>
      <x:c r="F33" s="38" t="str">
        <x:v>Custom Scope</x:v>
      </x:c>
      <x:c r="G33" s="38" t="str">
        <x:v>silver</x:v>
      </x:c>
      <x:c r="H33" s="38" t="str">
        <x:v>small</x:v>
      </x:c>
      <x:c r="I33" s="38" t="str">
        <x:v>tech, crit, charge</x:v>
      </x:c>
      <x:c r="J33" s="38" t="n">
        <x:v>10</x:v>
      </x:c>
      <x:c r="K33" s="38" t="str">
        <x:v>merchant_aimbot, merchant_the-tester, merchant_ande, merchant_goldie, merchant_jay-jay, merchant_kina, merchant_luxe, merchant_midsworth, merchant_quixel, merchant_serafina</x:v>
      </x:c>
      <x:c r="L33" s="38" t="n">
        <x:v>10</x:v>
      </x:c>
      <x:c r="M33" s="38" t="str">
        <x:v>elem_火, elem_雷, elem_冰, elem_地, role_召唤, role_坦克, role_控制, role_治疗, tier_pT1, role_抗压承伤</x:v>
      </x:c>
      <x:c r="N33" s="38" t="str">
        <x:v>Turbo</x:v>
      </x:c>
      <x:c r="O33" s="38" t="str">
        <x:v>pal_032</x:v>
      </x:c>
      <x:c r="P33" s="38" t="str">
        <x:v>石甲鲮</x:v>
      </x:c>
      <x:c r="Q33" s="38" t="str">
        <x:v>https://bazaar-builds.net/db/items/custom-scope.html</x:v>
      </x:c>
      <x:c r="R33" s="38" t="str">
        <x:v>the weapon to the right of this has +20 / 30 / 40% crit chance. if you have exactly one weapon, when you crit with it charge a non-weapon item 1 second.</x:v>
      </x:c>
      <x:c r="S33" s="38" t="str">
        <x:v>一对一确认来源对象。</x:v>
      </x:c>
    </x:row>
    <x:row r="34">
      <x:c r="A34" s="38" t="str">
        <x:v>bz_van_033</x:v>
      </x:c>
      <x:c r="B34" s="38" t="n">
        <x:v>33</x:v>
      </x:c>
      <x:c r="C34" s="38" t="str">
        <x:v>item</x:v>
      </x:c>
      <x:c r="D34" s="38" t="str">
        <x:v>confirmed</x:v>
      </x:c>
      <x:c r="E34" s="38" t="str">
        <x:v>cutlass</x:v>
      </x:c>
      <x:c r="F34" s="38" t="str">
        <x:v>Cutlass</x:v>
      </x:c>
      <x:c r="G34" s="38" t="str">
        <x:v>bronze</x:v>
      </x:c>
      <x:c r="H34" s="38" t="str">
        <x:v>medium</x:v>
      </x:c>
      <x:c r="I34" s="38" t="str">
        <x:v>weapon, damage, critreference</x:v>
      </x:c>
      <x:c r="J34" s="38" t="n">
        <x:v>10</x:v>
      </x:c>
      <x:c r="K34" s="38" t="str">
        <x:v>merchant_aimbot, merchant_aila, merchant_barkun, merchant_cobweb, merchant_goldie, merchant_jay-jay, merchant_luxe, merchant_mittel, merchant_quixel, merchant_serafina</x:v>
      </x:c>
      <x:c r="L34" s="38" t="n">
        <x:v>10</x:v>
      </x:c>
      <x:c r="M34" s="38" t="str">
        <x:v>night_base, elem_水, elem_雷, elem_无, role_召唤, role_坦克, role_控制, role_治疗, tier_pT1, role_召唤铺场</x:v>
      </x:c>
      <x:c r="N34" s="38" t="str">
        <x:v>Icy</x:v>
      </x:c>
      <x:c r="O34" s="38" t="str">
        <x:v>pal_033</x:v>
      </x:c>
      <x:c r="P34" s="38" t="str">
        <x:v>芭蕉熊</x:v>
      </x:c>
      <x:c r="Q34" s="38" t="str">
        <x:v>https://bazaar-builds.net/db/items/cutlass.html</x:v>
      </x:c>
      <x:c r="R34" s="38" t="str">
        <x:v>deal 12 / 24 / 48 / 96 damage while an enemy item is slowed, this has +100% crit chance.</x:v>
      </x:c>
      <x:c r="S34" s="38" t="str">
        <x:v>一对一确认来源对象。</x:v>
      </x:c>
    </x:row>
    <x:row r="35">
      <x:c r="A35" s="38" t="str">
        <x:v>bz_van_034</x:v>
      </x:c>
      <x:c r="B35" s="38" t="n">
        <x:v>34</x:v>
      </x:c>
      <x:c r="C35" s="38" t="str">
        <x:v>item</x:v>
      </x:c>
      <x:c r="D35" s="38" t="str">
        <x:v>confirmed</x:v>
      </x:c>
      <x:c r="E35" s="38" t="str">
        <x:v>cyber-sai</x:v>
      </x:c>
      <x:c r="F35" s="38" t="str">
        <x:v>Cyber-Sai</x:v>
      </x:c>
      <x:c r="G35" s="38" t="str">
        <x:v>silver</x:v>
      </x:c>
      <x:c r="H35" s="38" t="str">
        <x:v>medium</x:v>
      </x:c>
      <x:c r="I35" s="38" t="str">
        <x:v>weapon, tech, damage, critreference</x:v>
      </x:c>
      <x:c r="J35" s="38" t="n">
        <x:v>10</x:v>
      </x:c>
      <x:c r="K35" s="38" t="str">
        <x:v>merchant_aimbot, merchant_the-tester, merchant_aila, merchant_barkun, merchant_goldie, merchant_jay-jay, merchant_luxe, merchant_mittel, merchant_quixel, merchant_serafina</x:v>
      </x:c>
      <x:c r="L35" s="38" t="n">
        <x:v>10</x:v>
      </x:c>
      <x:c r="M35" s="38" t="str">
        <x:v>night_base, elem_水, elem_雷, elem_无, role_召唤, role_坦克, role_控制, role_治疗, tier_pT1, role_抗压承伤</x:v>
      </x:c>
      <x:c r="N35" s="38" t="str">
        <x:v>Deadly</x:v>
      </x:c>
      <x:c r="O35" s="38" t="str">
        <x:v>pal_034</x:v>
      </x:c>
      <x:c r="P35" s="38" t="str">
        <x:v>蜜纹獾</x:v>
      </x:c>
      <x:c r="Q35" s="38" t="str">
        <x:v>https://bazaar-builds.net/db/items/cyber-sai.html</x:v>
      </x:c>
      <x:c r="R35" s="38" t="str">
        <x:v>deal 10 / 20 / 40 damage when you crit, your weapons gains +5 / 10 / 15 damage for the fight.</x:v>
      </x:c>
      <x:c r="S35" s="38" t="str">
        <x:v>一对一确认来源对象。</x:v>
      </x:c>
    </x:row>
    <x:row r="36">
      <x:c r="A36" s="38" t="str">
        <x:v>bz_van_035</x:v>
      </x:c>
      <x:c r="B36" s="38" t="n">
        <x:v>35</x:v>
      </x:c>
      <x:c r="C36" s="38" t="str">
        <x:v>item</x:v>
      </x:c>
      <x:c r="D36" s="38" t="str">
        <x:v>confirmed</x:v>
      </x:c>
      <x:c r="E36" s="38" t="str">
        <x:v>dam</x:v>
      </x:c>
      <x:c r="F36" s="38" t="str">
        <x:v>Dam</x:v>
      </x:c>
      <x:c r="G36" s="38" t="str">
        <x:v>gold</x:v>
      </x:c>
      <x:c r="H36" s="38" t="str">
        <x:v>large</x:v>
      </x:c>
      <x:c r="I36" s="38" t="str">
        <x:v>aquatic, property</x:v>
      </x:c>
      <x:c r="J36" s="38" t="n">
        <x:v>10</x:v>
      </x:c>
      <x:c r="K36" s="38" t="str">
        <x:v>merchant_nautica, merchant_barkun, merchant_goldie, merchant_jay-jay, merchant_kina, merchant_luxe, merchant_midsworth, merchant_mr-morland, merchant_pol, merchant_serafina</x:v>
      </x:c>
      <x:c r="L36" s="38" t="n">
        <x:v>10</x:v>
      </x:c>
      <x:c r="M36" s="38" t="str">
        <x:v>elem_水, elem_雷, elem_冰, elem_地, elem_暗, role_坦克, role_控制, role_治疗, role_输出, role_风系铺场</x:v>
      </x:c>
      <x:c r="N36" s="38" t="str">
        <x:v>Turbo</x:v>
      </x:c>
      <x:c r="O36" s="38" t="str">
        <x:v>pal_035</x:v>
      </x:c>
      <x:c r="P36" s="38" t="str">
        <x:v>藤巢蜂</x:v>
      </x:c>
      <x:c r="Q36" s="38" t="str">
        <x:v>https://bazaar-builds.net/db/items/dam.html</x:v>
      </x:c>
      <x:c r="R36" s="38" t="str">
        <x:v>destroy this and all smaller items for the fight when you use another aquatic item, charge this 1 → 2 seconds.</x:v>
      </x:c>
      <x:c r="S36" s="38" t="str">
        <x:v>一对一确认来源对象。</x:v>
      </x:c>
    </x:row>
    <x:row r="37">
      <x:c r="A37" s="38" t="str">
        <x:v>bz_van_036</x:v>
      </x:c>
      <x:c r="B37" s="38" t="n">
        <x:v>36</x:v>
      </x:c>
      <x:c r="C37" s="38" t="str">
        <x:v>item</x:v>
      </x:c>
      <x:c r="D37" s="38" t="str">
        <x:v>confirmed</x:v>
      </x:c>
      <x:c r="E37" s="38" t="str">
        <x:v>darkwater-anglerfish</x:v>
      </x:c>
      <x:c r="F37" s="38" t="str">
        <x:v>Darkwater Anglerfish</x:v>
      </x:c>
      <x:c r="G37" s="38" t="str">
        <x:v>silver</x:v>
      </x:c>
      <x:c r="H37" s="38" t="str">
        <x:v>medium</x:v>
      </x:c>
      <x:c r="I37" s="38" t="str">
        <x:v>friend, aquatic, burn, slowreference</x:v>
      </x:c>
      <x:c r="J37" s="38" t="n">
        <x:v>10</x:v>
      </x:c>
      <x:c r="K37" s="38" t="str">
        <x:v>merchant_dryad, merchant_nautica, merchant_tok-s-clocks, merchant_barkun, merchant_cobweb, merchant_goldie, merchant_hef, merchant_jay-jay, merchant_kina, merchant_luxe</x:v>
      </x:c>
      <x:c r="L37" s="38" t="n">
        <x:v>10</x:v>
      </x:c>
      <x:c r="M37" s="38" t="str">
        <x:v>elem_水, elem_雷, elem_冰, role_坦克, role_控制, role_输出, special_merchant, tier_pT2, role_召唤铺场, role_机动压制</x:v>
      </x:c>
      <x:c r="N37" s="38" t="str">
        <x:v>Fiery</x:v>
      </x:c>
      <x:c r="O37" s="38" t="str">
        <x:v>pal_036</x:v>
      </x:c>
      <x:c r="P37" s="38" t="str">
        <x:v>云纹巨驼</x:v>
      </x:c>
      <x:c r="Q37" s="38" t="str">
        <x:v>https://bazaar-builds.net/db/items/darkwater-anglerfish.html</x:v>
      </x:c>
      <x:c r="R37" s="38" t="str">
        <x:v>burn 10 / 20 / 30 when you slow, charge this 2 seconds.</x:v>
      </x:c>
      <x:c r="S37" s="38" t="str">
        <x:v>一对一确认来源对象。</x:v>
      </x:c>
    </x:row>
    <x:row r="38">
      <x:c r="A38" s="38" t="str">
        <x:v>bz_van_037</x:v>
      </x:c>
      <x:c r="B38" s="38" t="n">
        <x:v>37</x:v>
      </x:c>
      <x:c r="C38" s="38" t="str">
        <x:v>item</x:v>
      </x:c>
      <x:c r="D38" s="38" t="str">
        <x:v>confirmed</x:v>
      </x:c>
      <x:c r="E38" s="38" t="str">
        <x:v>dart-launcher</x:v>
      </x:c>
      <x:c r="F38" s="38" t="str">
        <x:v>Dart Launcher</x:v>
      </x:c>
      <x:c r="G38" s="38" t="str">
        <x:v>silver</x:v>
      </x:c>
      <x:c r="H38" s="38" t="str">
        <x:v>small</x:v>
      </x:c>
      <x:c r="I38" s="38" t="str">
        <x:v>weapon, tech, damage, slow, poison</x:v>
      </x:c>
      <x:c r="J38" s="38" t="n">
        <x:v>10</x:v>
      </x:c>
      <x:c r="K38" s="38" t="str">
        <x:v>merchant_the-tester, merchant_tok-s-clocks, merchant_aila, merchant_ande, merchant_cobweb, merchant_goldie, merchant_jay-jay, merchant_knightshade, merchant_luxe, merchant_midsworth</x:v>
      </x:c>
      <x:c r="L38" s="38" t="n">
        <x:v>10</x:v>
      </x:c>
      <x:c r="M38" s="38" t="str">
        <x:v>night_base, elem_火, elem_雷, elem_地, role_坦克, role_控制, special_merchant, role_召唤铺场, role_抗压承伤, role_火系压制</x:v>
      </x:c>
      <x:c r="N38" s="38" t="str">
        <x:v>Icy</x:v>
      </x:c>
      <x:c r="O38" s="38" t="str">
        <x:v>pal_037</x:v>
      </x:c>
      <x:c r="P38" s="38" t="str">
        <x:v>月角白鹿</x:v>
      </x:c>
      <x:c r="Q38" s="38" t="str">
        <x:v>https://bazaar-builds.net/db/items/dart-launcher.html</x:v>
      </x:c>
      <x:c r="R38" s="38" t="str">
        <x:v>deal 5 / 10 / 15 damage if this is adjacent to a slow item, slow 1 / 2 / 3 item(s) for 1 second if this is adjacent to a poison item, poison 3 / 6 / 9</x:v>
      </x:c>
      <x:c r="S38" s="38" t="str">
        <x:v>一对一确认来源对象。</x:v>
      </x:c>
    </x:row>
    <x:row r="39">
      <x:c r="A39" s="38" t="str">
        <x:v>bz_van_038</x:v>
      </x:c>
      <x:c r="B39" s="38" t="n">
        <x:v>38</x:v>
      </x:c>
      <x:c r="C39" s="38" t="str">
        <x:v>item</x:v>
      </x:c>
      <x:c r="D39" s="38" t="str">
        <x:v>confirmed</x:v>
      </x:c>
      <x:c r="E39" s="38" t="str">
        <x:v>disguise</x:v>
      </x:c>
      <x:c r="F39" s="38" t="str">
        <x:v>Disguise</x:v>
      </x:c>
      <x:c r="G39" s="38" t="str">
        <x:v>silver</x:v>
      </x:c>
      <x:c r="H39" s="38" t="str">
        <x:v>medium</x:v>
      </x:c>
      <x:c r="I39" s="38" t="str">
        <x:v>apparel, charge</x:v>
      </x:c>
      <x:c r="J39" s="38" t="n">
        <x:v>10</x:v>
      </x:c>
      <x:c r="K39" s="38" t="str">
        <x:v>merchant_barkun, merchant_gaseo, merchant_goldie, merchant_jay-jay, merchant_kina, merchant_luxe, merchant_mittel, merchant_quixel, merchant_serafina, merchant_silvia</x:v>
      </x:c>
      <x:c r="L39" s="38" t="n">
        <x:v>10</x:v>
      </x:c>
      <x:c r="M39" s="38" t="str">
        <x:v>elem_水, elem_雷, elem_冰, elem_无, role_召唤, role_坦克, role_控制, role_治疗, role_经济, role_重甲抗压</x:v>
      </x:c>
      <x:c r="N39" s="38" t="str">
        <x:v>Turbo</x:v>
      </x:c>
      <x:c r="O39" s="38" t="str">
        <x:v>pal_038</x:v>
      </x:c>
      <x:c r="P39" s="38" t="str">
        <x:v>疾风苍鹰</x:v>
      </x:c>
      <x:c r="Q39" s="38" t="str">
        <x:v>https://bazaar-builds.net/db/items/disguise.html</x:v>
      </x:c>
      <x:c r="R39" s="38" t="str">
        <x:v>when you use an item from another hero, charge item(s) from your hero 1 second. when you buy this, get a small or medium item from another hero.</x:v>
      </x:c>
      <x:c r="S39" s="38" t="str">
        <x:v>一对一确认来源对象。</x:v>
      </x:c>
    </x:row>
    <x:row r="40">
      <x:c r="A40" s="38" t="str">
        <x:v>bz_van_039</x:v>
      </x:c>
      <x:c r="B40" s="38" t="n">
        <x:v>39</x:v>
      </x:c>
      <x:c r="C40" s="38" t="str">
        <x:v>item</x:v>
      </x:c>
      <x:c r="D40" s="38" t="str">
        <x:v>confirmed</x:v>
      </x:c>
      <x:c r="E40" s="38" t="str">
        <x:v>dive-weights</x:v>
      </x:c>
      <x:c r="F40" s="38" t="str">
        <x:v>Dive Weights</x:v>
      </x:c>
      <x:c r="G40" s="38" t="str">
        <x:v>silver</x:v>
      </x:c>
      <x:c r="H40" s="38" t="str">
        <x:v>small</x:v>
      </x:c>
      <x:c r="I40" s="38" t="str">
        <x:v>aquatic, tool, apparel, haste, ammo</x:v>
      </x:c>
      <x:c r="J40" s="38" t="n">
        <x:v>10</x:v>
      </x:c>
      <x:c r="K40" s="38" t="str">
        <x:v>merchant_colt, merchant_nautica, merchant_tok-s-clocks, merchant_ande, merchant_chronos, merchant_gaseo, merchant_goldie, merchant_jay-jay, merchant_kina, merchant_luxe</x:v>
      </x:c>
      <x:c r="L40" s="38" t="n">
        <x:v>10</x:v>
      </x:c>
      <x:c r="M40" s="38" t="str">
        <x:v>elem_火, elem_雷, elem_冰, role_坦克, role_控制, role_输出, role_机动, special_merchant, elite_high, role_重甲抗压</x:v>
      </x:c>
      <x:c r="N40" s="38" t="str">
        <x:v>Turbo</x:v>
      </x:c>
      <x:c r="O40" s="38" t="str">
        <x:v>pal_039</x:v>
      </x:c>
      <x:c r="P40" s="38" t="str">
        <x:v>银背巨兔</x:v>
      </x:c>
      <x:c r="Q40" s="38" t="str">
        <x:v>https://bazaar-builds.net/db/items/dive-weights.html</x:v>
      </x:c>
      <x:c r="R40" s="38" t="str">
        <x:v>haste an item for 1 / 2 / 3 seconds for each adjacent aquatic item, this item's cooldown is reduced by 1 second. this has +multicast equal to its ammo.</x:v>
      </x:c>
      <x:c r="S40" s="38" t="str">
        <x:v>一对一确认来源对象。</x:v>
      </x:c>
    </x:row>
    <x:row r="41">
      <x:c r="A41" s="38" t="str">
        <x:v>bz_van_040</x:v>
      </x:c>
      <x:c r="B41" s="38" t="n">
        <x:v>40</x:v>
      </x:c>
      <x:c r="C41" s="38" t="str">
        <x:v>item</x:v>
      </x:c>
      <x:c r="D41" s="38" t="str">
        <x:v>confirmed</x:v>
      </x:c>
      <x:c r="E41" s="38" t="str">
        <x:v>diving-helmet</x:v>
      </x:c>
      <x:c r="F41" s="38" t="str">
        <x:v>Diving Helmet</x:v>
      </x:c>
      <x:c r="G41" s="38" t="str">
        <x:v>gold</x:v>
      </x:c>
      <x:c r="H41" s="38" t="str">
        <x:v>medium</x:v>
      </x:c>
      <x:c r="I41" s="38" t="str">
        <x:v>aquatic, tool, apparel, shield, charge</x:v>
      </x:c>
      <x:c r="J41" s="38" t="n">
        <x:v>10</x:v>
      </x:c>
      <x:c r="K41" s="38" t="str">
        <x:v>merchant_kev-s-armory, merchant_nautica, merchant_barkun, merchant_gaseo, merchant_goldie, merchant_jay-jay, merchant_kina, merchant_luxe, merchant_mittel, merchant_orion</x:v>
      </x:c>
      <x:c r="L41" s="38" t="n">
        <x:v>10</x:v>
      </x:c>
      <x:c r="M41" s="38" t="str">
        <x:v>elem_水, elem_雷, elem_冰, elem_无, role_坦克, role_控制, role_输出, tier_pT3, role_重甲抗压, role_远点压制</x:v>
      </x:c>
      <x:c r="N41" s="38" t="str">
        <x:v>Turbo</x:v>
      </x:c>
      <x:c r="O41" s="38" t="str">
        <x:v>pal_040</x:v>
      </x:c>
      <x:c r="P41" s="38" t="str">
        <x:v>炎角黑羊</x:v>
      </x:c>
      <x:c r="Q41" s="38" t="str">
        <x:v>https://bazaar-builds.net/db/items/diving-helmet.html</x:v>
      </x:c>
      <x:c r="R41" s="38" t="str">
        <x:v>when you use an aquatic item, shield 50 → 100 adjacent items are aquatic in combat.</x:v>
      </x:c>
      <x:c r="S41" s="38" t="str">
        <x:v>一对一确认来源对象。</x:v>
      </x:c>
    </x:row>
    <x:row r="42">
      <x:c r="A42" s="38" t="str">
        <x:v>bz_van_041</x:v>
      </x:c>
      <x:c r="B42" s="38" t="n">
        <x:v>41</x:v>
      </x:c>
      <x:c r="C42" s="38" t="str">
        <x:v>item</x:v>
      </x:c>
      <x:c r="D42" s="38" t="str">
        <x:v>confirmed</x:v>
      </x:c>
      <x:c r="E42" s="38" t="str">
        <x:v>dock-lines</x:v>
      </x:c>
      <x:c r="F42" s="38" t="str">
        <x:v>Dock Lines</x:v>
      </x:c>
      <x:c r="G42" s="38" t="str">
        <x:v>silver</x:v>
      </x:c>
      <x:c r="H42" s="38" t="str">
        <x:v>medium</x:v>
      </x:c>
      <x:c r="I42" s="38" t="str">
        <x:v>tool, aquatic, slow</x:v>
      </x:c>
      <x:c r="J42" s="38" t="n">
        <x:v>10</x:v>
      </x:c>
      <x:c r="K42" s="38" t="str">
        <x:v>merchant_nautica, merchant_tok-s-clocks, merchant_barkun, merchant_cobweb, merchant_goldie, merchant_jay-jay, merchant_kina, merchant_luxe, merchant_mittel, merchant_orion</x:v>
      </x:c>
      <x:c r="L42" s="38" t="n">
        <x:v>10</x:v>
      </x:c>
      <x:c r="M42" s="38" t="str">
        <x:v>elem_水, elem_雷, elem_冰, elem_无, role_坦克, role_控制, role_输出, special_merchant, role_召唤铺场, role_远点压制</x:v>
      </x:c>
      <x:c r="N42" s="38" t="str">
        <x:v>Icy</x:v>
      </x:c>
      <x:c r="O42" s="38" t="str">
        <x:v>pal_041</x:v>
      </x:c>
      <x:c r="P42" s="38" t="str">
        <x:v>回春彩蝶</x:v>
      </x:c>
      <x:c r="Q42" s="38" t="str">
        <x:v>https://bazaar-builds.net/db/items/dock-lines.html</x:v>
      </x:c>
      <x:c r="R42" s="38" t="str">
        <x:v>slow 2 / 3 / 4 item(s) for 3 seconds</x:v>
      </x:c>
      <x:c r="S42" s="38" t="str">
        <x:v>一对一确认来源对象。</x:v>
      </x:c>
    </x:row>
    <x:row r="43">
      <x:c r="A43" s="38" t="str">
        <x:v>bz_van_042</x:v>
      </x:c>
      <x:c r="B43" s="38" t="n">
        <x:v>42</x:v>
      </x:c>
      <x:c r="C43" s="38" t="str">
        <x:v>item</x:v>
      </x:c>
      <x:c r="D43" s="38" t="str">
        <x:v>confirmed</x:v>
      </x:c>
      <x:c r="E43" s="38" t="str">
        <x:v>double-barrel</x:v>
      </x:c>
      <x:c r="F43" s="38" t="str">
        <x:v>Double Barrel</x:v>
      </x:c>
      <x:c r="G43" s="38" t="str">
        <x:v>bronze</x:v>
      </x:c>
      <x:c r="H43" s="38" t="str">
        <x:v>medium</x:v>
      </x:c>
      <x:c r="I43" s="38" t="str">
        <x:v>weapon, damage, ammo</x:v>
      </x:c>
      <x:c r="J43" s="38" t="n">
        <x:v>10</x:v>
      </x:c>
      <x:c r="K43" s="38" t="str">
        <x:v>merchant_colt, merchant_aila, merchant_barkun, merchant_goldie, merchant_jay-jay, merchant_luxe, merchant_mittel, merchant_quixel, merchant_serafina, merchant_silvia</x:v>
      </x:c>
      <x:c r="L43" s="38" t="n">
        <x:v>10</x:v>
      </x:c>
      <x:c r="M43" s="38" t="str">
        <x:v>night_base, elem_水, elem_雷, elem_无, role_召唤, role_坦克, role_控制, role_治疗, role_经济, role_机动</x:v>
      </x:c>
      <x:c r="N43" s="38" t="str">
        <x:v>Deadly</x:v>
      </x:c>
      <x:c r="O43" s="38" t="str">
        <x:v>pal_042</x:v>
      </x:c>
      <x:c r="P43" s="38" t="str">
        <x:v>赤焰蛮牛</x:v>
      </x:c>
      <x:c r="Q43" s="38" t="str">
        <x:v>https://bazaar-builds.net/db/items/double-barrel.html</x:v>
      </x:c>
      <x:c r="R43" s="38" t="str">
        <x:v>deal 20 / 40 / 80 / 160 damage</x:v>
      </x:c>
      <x:c r="S43" s="38" t="str">
        <x:v>一对一确认来源对象。</x:v>
      </x:c>
    </x:row>
    <x:row r="44">
      <x:c r="A44" s="38" t="str">
        <x:v>bz_van_043</x:v>
      </x:c>
      <x:c r="B44" s="38" t="n">
        <x:v>43</x:v>
      </x:c>
      <x:c r="C44" s="38" t="str">
        <x:v>item</x:v>
      </x:c>
      <x:c r="D44" s="38" t="str">
        <x:v>confirmed</x:v>
      </x:c>
      <x:c r="E44" s="38" t="str">
        <x:v>electric-eels</x:v>
      </x:c>
      <x:c r="F44" s="38" t="str">
        <x:v>Electric Eels</x:v>
      </x:c>
      <x:c r="G44" s="38" t="str">
        <x:v>gold</x:v>
      </x:c>
      <x:c r="H44" s="38" t="str">
        <x:v>large</x:v>
      </x:c>
      <x:c r="I44" s="38" t="str">
        <x:v>aquatic, weapon, friend, damage, slow</x:v>
      </x:c>
      <x:c r="J44" s="38" t="n">
        <x:v>10</x:v>
      </x:c>
      <x:c r="K44" s="38" t="str">
        <x:v>merchant_dryad, merchant_nautica, merchant_tok-s-clocks, merchant_aila, merchant_barkun, merchant_cobweb, merchant_goldie, merchant_jay-jay, merchant_luxe, merchant_midsworth</x:v>
      </x:c>
      <x:c r="L44" s="38" t="n">
        <x:v>10</x:v>
      </x:c>
      <x:c r="M44" s="38" t="str">
        <x:v>night_base, elem_水, elem_雷, elem_地, role_坦克, role_控制, role_输出, special_merchant, role_召唤铺场, role_机动压制</x:v>
      </x:c>
      <x:c r="N44" s="38" t="str">
        <x:v>Icy</x:v>
      </x:c>
      <x:c r="O44" s="38" t="str">
        <x:v>pal_043</x:v>
      </x:c>
      <x:c r="P44" s="38" t="str">
        <x:v>泥甲巨鲶</x:v>
      </x:c>
      <x:c r="Q44" s="38" t="str">
        <x:v>https://bazaar-builds.net/db/items/electric-eels.html</x:v>
      </x:c>
      <x:c r="R44" s="38" t="str">
        <x:v>deal 100 damage slow an item for 1 second when an enemy uses an item, charge this 2 seconds.</x:v>
      </x:c>
      <x:c r="S44" s="38" t="str">
        <x:v>一对一确认来源对象。</x:v>
      </x:c>
    </x:row>
    <x:row r="45">
      <x:c r="A45" s="38" t="str">
        <x:v>bz_van_044</x:v>
      </x:c>
      <x:c r="B45" s="38" t="n">
        <x:v>44</x:v>
      </x:c>
      <x:c r="C45" s="38" t="str">
        <x:v>item</x:v>
      </x:c>
      <x:c r="D45" s="38" t="str">
        <x:v>confirmed</x:v>
      </x:c>
      <x:c r="E45" s="38" t="str">
        <x:v>elemental-depth-charge</x:v>
      </x:c>
      <x:c r="F45" s="38" t="str">
        <x:v>Elemental Depth Charge</x:v>
      </x:c>
      <x:c r="G45" s="38" t="str">
        <x:v>silver</x:v>
      </x:c>
      <x:c r="H45" s="38" t="str">
        <x:v>medium</x:v>
      </x:c>
      <x:c r="I45" s="38" t="str">
        <x:v>aquatic, tech, trap, burn, poison, freeze, ammo</x:v>
      </x:c>
      <x:c r="J45" s="38" t="n">
        <x:v>10</x:v>
      </x:c>
      <x:c r="K45" s="38" t="str">
        <x:v>merchant_colt, merchant_nautica, merchant_the-tester, merchant_barkun, merchant_freiya, merchant_goldie, merchant_hef, merchant_jay-jay, merchant_kina, merchant_knightshade</x:v>
      </x:c>
      <x:c r="L45" s="38" t="n">
        <x:v>10</x:v>
      </x:c>
      <x:c r="M45" s="38" t="str">
        <x:v>elem_水, elem_雷, elem_冰, role_坦克, role_输出, role_机动, tier_pT2, role_抗压承伤, role_风系牵制, role_火系压制</x:v>
      </x:c>
      <x:c r="N45" s="38" t="str">
        <x:v>Fiery</x:v>
      </x:c>
      <x:c r="O45" s="38" t="str">
        <x:v>pal_044</x:v>
      </x:c>
      <x:c r="P45" s="38" t="str">
        <x:v>夜羽巨鸦</x:v>
      </x:c>
      <x:c r="Q45" s="38" t="str">
        <x:v>https://bazaar-builds.net/db/items/elemental-depth-charge.html</x:v>
      </x:c>
      <x:c r="R45" s="38" t="str">
        <x:v>poison 4, burn 4, and freeze an item for 1 second this has +1 multicast for each other aquatic item you have.</x:v>
      </x:c>
      <x:c r="S45" s="38" t="str">
        <x:v>一对一确认来源对象。</x:v>
      </x:c>
    </x:row>
    <x:row r="46">
      <x:c r="A46" s="38" t="str">
        <x:v>bz_van_045</x:v>
      </x:c>
      <x:c r="B46" s="38" t="n">
        <x:v>45</x:v>
      </x:c>
      <x:c r="C46" s="38" t="str">
        <x:v>item</x:v>
      </x:c>
      <x:c r="D46" s="38" t="str">
        <x:v>confirmed</x:v>
      </x:c>
      <x:c r="E46" s="38" t="str">
        <x:v>figurehead</x:v>
      </x:c>
      <x:c r="F46" s="38" t="str">
        <x:v>Figurehead</x:v>
      </x:c>
      <x:c r="G46" s="38" t="str">
        <x:v>silver</x:v>
      </x:c>
      <x:c r="H46" s="38" t="str">
        <x:v>medium</x:v>
      </x:c>
      <x:c r="I46" s="38" t="str">
        <x:v>aquatic, relic, damagereference, cooldown</x:v>
      </x:c>
      <x:c r="J46" s="38" t="n">
        <x:v>10</x:v>
      </x:c>
      <x:c r="K46" s="38" t="str">
        <x:v>merchant_nautica, merchant_tok-s-clocks, merchant_barkun, merchant_goldie, merchant_jay-jay, merchant_kina, merchant_luxe, merchant_mittel, merchant_quixel, merchant_serafina</x:v>
      </x:c>
      <x:c r="L46" s="38" t="n">
        <x:v>10</x:v>
      </x:c>
      <x:c r="M46" s="38" t="str">
        <x:v>elem_水, elem_雷, elem_冰, elem_无, role_召唤, role_坦克, role_控制, role_治疗, role_输出, special_merchant</x:v>
      </x:c>
      <x:c r="N46" s="38" t="str">
        <x:v>Turbo</x:v>
      </x:c>
      <x:c r="O46" s="38" t="str">
        <x:v>pal_045</x:v>
      </x:c>
      <x:c r="P46" s="38" t="str">
        <x:v>墨鳞巨蜥</x:v>
      </x:c>
      <x:c r="Q46" s="38" t="str">
        <x:v>https://bazaar-builds.net/db/items/figurehead.html</x:v>
      </x:c>
      <x:c r="R46" s="38" t="str">
        <x:v>the cooldowns of aquatic items to the left of this are reduced by 10 / 15 / 20%. weapons to the right of this have +25 / 50 / 100 damage.</x:v>
      </x:c>
      <x:c r="S46" s="38" t="str">
        <x:v>一对一确认来源对象。</x:v>
      </x:c>
    </x:row>
    <x:row r="47">
      <x:c r="A47" s="38" t="str">
        <x:v>bz_van_046</x:v>
      </x:c>
      <x:c r="B47" s="38" t="n">
        <x:v>46</x:v>
      </x:c>
      <x:c r="C47" s="38" t="str">
        <x:v>item</x:v>
      </x:c>
      <x:c r="D47" s="38" t="str">
        <x:v>confirmed</x:v>
      </x:c>
      <x:c r="E47" s="38" t="str">
        <x:v>fishing-net</x:v>
      </x:c>
      <x:c r="F47" s="38" t="str">
        <x:v>Fishing Net</x:v>
      </x:c>
      <x:c r="G47" s="38" t="str">
        <x:v>bronze</x:v>
      </x:c>
      <x:c r="H47" s="38" t="str">
        <x:v>medium</x:v>
      </x:c>
      <x:c r="I47" s="38" t="str">
        <x:v>aquatic, tool, slow, economyreference</x:v>
      </x:c>
      <x:c r="J47" s="38" t="n">
        <x:v>10</x:v>
      </x:c>
      <x:c r="K47" s="38" t="str">
        <x:v>merchant_nautica, merchant_tok-s-clocks, merchant_barkun, merchant_cobweb, merchant_goldie, merchant_jay-jay, merchant_kina, merchant_luxe, merchant_mittel, merchant_orion</x:v>
      </x:c>
      <x:c r="L47" s="38" t="n">
        <x:v>10</x:v>
      </x:c>
      <x:c r="M47" s="38" t="str">
        <x:v>elem_水, elem_雷, elem_冰, elem_无, role_坦克, role_控制, role_输出, special_merchant, role_召唤铺场, role_远点压制</x:v>
      </x:c>
      <x:c r="N47" s="38" t="str">
        <x:v>Icy</x:v>
      </x:c>
      <x:c r="O47" s="38" t="str">
        <x:v>pal_046</x:v>
      </x:c>
      <x:c r="P47" s="38" t="str">
        <x:v>月镰螳螂</x:v>
      </x:c>
      <x:c r="Q47" s="38" t="str">
        <x:v>https://bazaar-builds.net/db/items/fishing-net.html</x:v>
      </x:c>
      <x:c r="R47" s="38" t="str">
        <x:v>slow 1 / 2 / 3 / 4 item(s) for 2 seconds at the start of each day, get a small aquatic or loot item from any hero.</x:v>
      </x:c>
      <x:c r="S47" s="38" t="str">
        <x:v>一对一确认来源对象。</x:v>
      </x:c>
    </x:row>
    <x:row r="48">
      <x:c r="A48" s="38" t="str">
        <x:v>bz_van_047</x:v>
      </x:c>
      <x:c r="B48" s="38" t="n">
        <x:v>47</x:v>
      </x:c>
      <x:c r="C48" s="38" t="str">
        <x:v>item</x:v>
      </x:c>
      <x:c r="D48" s="38" t="str">
        <x:v>confirmed</x:v>
      </x:c>
      <x:c r="E48" s="38" t="str">
        <x:v>fishing-rod</x:v>
      </x:c>
      <x:c r="F48" s="38" t="str">
        <x:v>Fishing Rod</x:v>
      </x:c>
      <x:c r="G48" s="38" t="str">
        <x:v>bronze</x:v>
      </x:c>
      <x:c r="H48" s="38" t="str">
        <x:v>medium</x:v>
      </x:c>
      <x:c r="I48" s="38" t="str">
        <x:v>aquatic, tool, haste</x:v>
      </x:c>
      <x:c r="J48" s="38" t="n">
        <x:v>10</x:v>
      </x:c>
      <x:c r="K48" s="38" t="str">
        <x:v>merchant_nautica, merchant_tok-s-clocks, merchant_barkun, merchant_chronos, merchant_goldie, merchant_jay-jay, merchant_kina, merchant_luxe, merchant_mittel, merchant_orion</x:v>
      </x:c>
      <x:c r="L48" s="38" t="n">
        <x:v>10</x:v>
      </x:c>
      <x:c r="M48" s="38" t="str">
        <x:v>elem_水, elem_雷, elem_冰, elem_无, role_坦克, role_控制, role_输出, special_merchant, elite_high, role_远点压制</x:v>
      </x:c>
      <x:c r="N48" s="38" t="str">
        <x:v>Turbo</x:v>
      </x:c>
      <x:c r="O48" s="38" t="str">
        <x:v>pal_047</x:v>
      </x:c>
      <x:c r="P48" s="38" t="str">
        <x:v>裂空苍鹰</x:v>
      </x:c>
      <x:c r="Q48" s="38" t="str">
        <x:v>https://bazaar-builds.net/db/items/fishing-rod.html</x:v>
      </x:c>
      <x:c r="R48" s="38" t="str">
        <x:v>haste the aquatic item to the right of this for 2 seconds at the start of each day, get a small aquatic item.</x:v>
      </x:c>
      <x:c r="S48" s="38" t="str">
        <x:v>一对一确认来源对象。</x:v>
      </x:c>
    </x:row>
    <x:row r="49">
      <x:c r="A49" s="38" t="str">
        <x:v>bz_van_048</x:v>
      </x:c>
      <x:c r="B49" s="38" t="n">
        <x:v>48</x:v>
      </x:c>
      <x:c r="C49" s="38" t="str">
        <x:v>item</x:v>
      </x:c>
      <x:c r="D49" s="38" t="str">
        <x:v>confirmed</x:v>
      </x:c>
      <x:c r="E49" s="38" t="str">
        <x:v>flagship</x:v>
      </x:c>
      <x:c r="F49" s="38" t="str">
        <x:v>Flagship</x:v>
      </x:c>
      <x:c r="G49" s="38" t="str">
        <x:v>silver</x:v>
      </x:c>
      <x:c r="H49" s="38" t="str">
        <x:v>large</x:v>
      </x:c>
      <x:c r="I49" s="38" t="str">
        <x:v>aquatic, vehicle, weapon, damage, ammoreference</x:v>
      </x:c>
      <x:c r="J49" s="38" t="n">
        <x:v>1</x:v>
      </x:c>
      <x:c r="K49" s="38" t="str">
        <x:v>merchant_vanessa</x:v>
      </x:c>
      <x:c r="L49" s="38" t="n">
        <x:v>1</x:v>
      </x:c>
      <x:c r="M49" s="38" t="str">
        <x:v>elite_high</x:v>
      </x:c>
      <x:c r="N49" s="38" t="str">
        <x:v>Deadly</x:v>
      </x:c>
      <x:c r="O49" s="38" t="str">
        <x:v>pal_048</x:v>
      </x:c>
      <x:c r="P49" s="38" t="str">
        <x:v>木刺豪猪</x:v>
      </x:c>
      <x:c r="Q49" s="38" t="str">
        <x:v>https://bazaar-builds.net/db/items/flagship.html</x:v>
      </x:c>
      <x:c r="R49" s="38" t="str">
        <x:v>deal 50 damage if you have another tool, property, friend, ammo or relic item this has +1 multicast for each.</x:v>
      </x:c>
      <x:c r="S49" s="38" t="str">
        <x:v>一对一确认来源对象。</x:v>
      </x:c>
    </x:row>
    <x:row r="50">
      <x:c r="A50" s="38" t="str">
        <x:v>bz_van_049</x:v>
      </x:c>
      <x:c r="B50" s="38" t="n">
        <x:v>49</x:v>
      </x:c>
      <x:c r="C50" s="38" t="str">
        <x:v>item</x:v>
      </x:c>
      <x:c r="D50" s="38" t="str">
        <x:v>confirmed</x:v>
      </x:c>
      <x:c r="E50" s="38" t="str">
        <x:v>flying-fish</x:v>
      </x:c>
      <x:c r="F50" s="38" t="str">
        <x:v>Flying Fish</x:v>
      </x:c>
      <x:c r="G50" s="38" t="str">
        <x:v>bronze</x:v>
      </x:c>
      <x:c r="H50" s="38" t="str">
        <x:v>small</x:v>
      </x:c>
      <x:c r="I50" s="38" t="str">
        <x:v>aquatic, friend, weapon, haste, flying</x:v>
      </x:c>
      <x:c r="J50" s="38" t="n">
        <x:v>10</x:v>
      </x:c>
      <x:c r="K50" s="38" t="str">
        <x:v>merchant_dryad, merchant_nautica, merchant_pinfeather, merchant_tok-s-clocks, merchant_aila, merchant_ande, merchant_chronos, merchant_goldie, merchant_jay-jay, merchant_luxe</x:v>
      </x:c>
      <x:c r="L50" s="38" t="n">
        <x:v>10</x:v>
      </x:c>
      <x:c r="M50" s="38" t="str">
        <x:v>night_base, elem_火, elem_草, elem_雷, role_坦克, role_控制, role_输出, special_merchant, elite_high, role_机动压制</x:v>
      </x:c>
      <x:c r="N50" s="38" t="str">
        <x:v>Turbo</x:v>
      </x:c>
      <x:c r="O50" s="38" t="str">
        <x:v>pal_049</x:v>
      </x:c>
      <x:c r="P50" s="38" t="str">
        <x:v>铁臂黑猿</x:v>
      </x:c>
      <x:c r="Q50" s="38" t="str">
        <x:v>https://bazaar-builds.net/db/items/flying-fish.html</x:v>
      </x:c>
      <x:c r="R50" s="38" t="str">
        <x:v>deal 10 / 20 / 40 / 80 damage this and an adjacent item start flying. when you use a flying item, haste this for 1 second.</x:v>
      </x:c>
      <x:c r="S50" s="38" t="str">
        <x:v>一对一确认来源对象。</x:v>
      </x:c>
    </x:row>
    <x:row r="51">
      <x:c r="A51" s="38" t="str">
        <x:v>bz_van_050</x:v>
      </x:c>
      <x:c r="B51" s="38" t="n">
        <x:v>50</x:v>
      </x:c>
      <x:c r="C51" s="38" t="str">
        <x:v>item</x:v>
      </x:c>
      <x:c r="D51" s="38" t="str">
        <x:v>confirmed</x:v>
      </x:c>
      <x:c r="E51" s="38" t="str">
        <x:v>grapeshot</x:v>
      </x:c>
      <x:c r="F51" s="38" t="str">
        <x:v>Grapeshot</x:v>
      </x:c>
      <x:c r="G51" s="38" t="str">
        <x:v>bronze</x:v>
      </x:c>
      <x:c r="H51" s="38" t="str">
        <x:v>small</x:v>
      </x:c>
      <x:c r="I51" s="38" t="str">
        <x:v>weapon, damage, ammo</x:v>
      </x:c>
      <x:c r="J51" s="38" t="n">
        <x:v>10</x:v>
      </x:c>
      <x:c r="K51" s="38" t="str">
        <x:v>merchant_colt, merchant_aila, merchant_ande, merchant_goldie, merchant_jay-jay, merchant_luxe, merchant_midsworth, merchant_quixel, merchant_serafina, merchant_silvia</x:v>
      </x:c>
      <x:c r="L51" s="38" t="n">
        <x:v>10</x:v>
      </x:c>
      <x:c r="M51" s="38" t="str">
        <x:v>night_base, elem_火, elem_雷, elem_地, role_召唤, role_坦克, role_控制, role_治疗, role_经济, role_机动</x:v>
      </x:c>
      <x:c r="N51" s="38" t="str">
        <x:v>Deadly</x:v>
      </x:c>
      <x:c r="O51" s="38" t="str">
        <x:v>pal_050</x:v>
      </x:c>
      <x:c r="P51" s="38" t="str">
        <x:v>金甲蜂群</x:v>
      </x:c>
      <x:c r="Q51" s="38" t="str">
        <x:v>https://bazaar-builds.net/db/items/grapeshot.html</x:v>
      </x:c>
      <x:c r="R51" s="38" t="str">
        <x:v>deal 30 / 60 / 120 / 240 damage when you use another ammo item, reload 1 ammo.</x:v>
      </x:c>
      <x:c r="S51" s="38" t="str">
        <x:v>一对一确认来源对象。</x:v>
      </x:c>
    </x:row>
    <x:row r="52">
      <x:c r="A52" s="38" t="str">
        <x:v>bz_van_051</x:v>
      </x:c>
      <x:c r="B52" s="38" t="n">
        <x:v>51</x:v>
      </x:c>
      <x:c r="C52" s="38" t="str">
        <x:v>item</x:v>
      </x:c>
      <x:c r="D52" s="38" t="str">
        <x:v>confirmed</x:v>
      </x:c>
      <x:c r="E52" s="38" t="str">
        <x:v>grappling-hook</x:v>
      </x:c>
      <x:c r="F52" s="38" t="str">
        <x:v>Grappling Hook</x:v>
      </x:c>
      <x:c r="G52" s="38" t="str">
        <x:v>bronze</x:v>
      </x:c>
      <x:c r="H52" s="38" t="str">
        <x:v>small</x:v>
      </x:c>
      <x:c r="I52" s="38" t="str">
        <x:v>weapon, tool, damage, slow</x:v>
      </x:c>
      <x:c r="J52" s="38" t="n">
        <x:v>10</x:v>
      </x:c>
      <x:c r="K52" s="38" t="str">
        <x:v>merchant_tok-s-clocks, merchant_aila, merchant_ande, merchant_cobweb, merchant_goldie, merchant_jay-jay, merchant_luxe, merchant_midsworth, merchant_orion, merchant_quixel</x:v>
      </x:c>
      <x:c r="L52" s="38" t="n">
        <x:v>10</x:v>
      </x:c>
      <x:c r="M52" s="38" t="str">
        <x:v>night_base, elem_火, elem_雷, elem_地, role_召唤, role_坦克, role_控制, special_merchant, role_召唤铺场, role_远点压制</x:v>
      </x:c>
      <x:c r="N52" s="38" t="str">
        <x:v>Icy</x:v>
      </x:c>
      <x:c r="O52" s="38" t="str">
        <x:v>pal_051</x:v>
      </x:c>
      <x:c r="P52" s="38" t="str">
        <x:v>百花巨蜂</x:v>
      </x:c>
      <x:c r="Q52" s="38" t="str">
        <x:v>https://bazaar-builds.net/db/items/grappling-hook.html</x:v>
      </x:c>
      <x:c r="R52" s="38" t="str">
        <x:v>deal 20 / 40 / 80 / 160 damage slow 1 / 2 / 3 / 4 item(s) for 1 second</x:v>
      </x:c>
      <x:c r="S52" s="38" t="str">
        <x:v>一对一确认来源对象。</x:v>
      </x:c>
    </x:row>
    <x:row r="53">
      <x:c r="A53" s="38" t="str">
        <x:v>bz_van_052</x:v>
      </x:c>
      <x:c r="B53" s="38" t="n">
        <x:v>52</x:v>
      </x:c>
      <x:c r="C53" s="38" t="str">
        <x:v>item</x:v>
      </x:c>
      <x:c r="D53" s="38" t="str">
        <x:v>confirmed</x:v>
      </x:c>
      <x:c r="E53" s="38" t="str">
        <x:v>grenade</x:v>
      </x:c>
      <x:c r="F53" s="38" t="str">
        <x:v>Grenade</x:v>
      </x:c>
      <x:c r="G53" s="38" t="str">
        <x:v>bronze</x:v>
      </x:c>
      <x:c r="H53" s="38" t="str">
        <x:v>small</x:v>
      </x:c>
      <x:c r="I53" s="38" t="str">
        <x:v>weapon, damage, ammo</x:v>
      </x:c>
      <x:c r="J53" s="38" t="n">
        <x:v>10</x:v>
      </x:c>
      <x:c r="K53" s="38" t="str">
        <x:v>merchant_colt, merchant_aila, merchant_ande, merchant_goldie, merchant_jay-jay, merchant_luxe, merchant_midsworth, merchant_quixel, merchant_serafina, merchant_silvia</x:v>
      </x:c>
      <x:c r="L53" s="38" t="n">
        <x:v>10</x:v>
      </x:c>
      <x:c r="M53" s="38" t="str">
        <x:v>night_base, elem_火, elem_雷, elem_地, role_召唤, role_坦克, role_控制, role_治疗, role_经济, role_机动</x:v>
      </x:c>
      <x:c r="N53" s="38" t="str">
        <x:v>Deadly</x:v>
      </x:c>
      <x:c r="O53" s="38" t="str">
        <x:v>pal_052</x:v>
      </x:c>
      <x:c r="P53" s="38" t="str">
        <x:v>笑面山猫</x:v>
      </x:c>
      <x:c r="Q53" s="38" t="str">
        <x:v>https://bazaar-builds.net/db/items/grenade.html</x:v>
      </x:c>
      <x:c r="R53" s="38" t="str">
        <x:v>deal 50 / 100 / 150 / 200 damage</x:v>
      </x:c>
      <x:c r="S53" s="38" t="str">
        <x:v>一对一确认来源对象。</x:v>
      </x:c>
    </x:row>
    <x:row r="54">
      <x:c r="A54" s="38" t="str">
        <x:v>bz_van_053</x:v>
      </x:c>
      <x:c r="B54" s="38" t="n">
        <x:v>53</x:v>
      </x:c>
      <x:c r="C54" s="38" t="str">
        <x:v>item</x:v>
      </x:c>
      <x:c r="D54" s="38" t="str">
        <x:v>confirmed</x:v>
      </x:c>
      <x:c r="E54" s="38" t="str">
        <x:v>handaxe</x:v>
      </x:c>
      <x:c r="F54" s="38" t="str">
        <x:v>Handaxe</x:v>
      </x:c>
      <x:c r="G54" s="38" t="str">
        <x:v>bronze</x:v>
      </x:c>
      <x:c r="H54" s="38" t="str">
        <x:v>small</x:v>
      </x:c>
      <x:c r="I54" s="38" t="str">
        <x:v>weapon, damage</x:v>
      </x:c>
      <x:c r="J54" s="38" t="n">
        <x:v>10</x:v>
      </x:c>
      <x:c r="K54" s="38" t="str">
        <x:v>merchant_aila, merchant_ande, merchant_goldie, merchant_jay-jay, merchant_luxe, merchant_midsworth, merchant_quixel, merchant_serafina, merchant_silvia, merchant_valpak</x:v>
      </x:c>
      <x:c r="L54" s="38" t="n">
        <x:v>10</x:v>
      </x:c>
      <x:c r="M54" s="38" t="str">
        <x:v>night_base, elem_火, elem_雷, elem_地, elem_暗, role_召唤, role_坦克, role_控制, role_治疗, role_经济</x:v>
      </x:c>
      <x:c r="N54" s="38" t="str">
        <x:v>Deadly</x:v>
      </x:c>
      <x:c r="O54" s="38" t="str">
        <x:v>pal_053</x:v>
      </x:c>
      <x:c r="P54" s="38" t="str">
        <x:v>霜尾雪貂</x:v>
      </x:c>
      <x:c r="Q54" s="38" t="str">
        <x:v>https://bazaar-builds.net/db/items/handaxe.html</x:v>
      </x:c>
      <x:c r="R54" s="38" t="str">
        <x:v>deal 20 / 40 / 80 / 160 damage your weapons have +5 / 10 / 15 / 20 damage.</x:v>
      </x:c>
      <x:c r="S54" s="38" t="str">
        <x:v>一对一确认来源对象。</x:v>
      </x:c>
    </x:row>
    <x:row r="55">
      <x:c r="A55" s="38" t="str">
        <x:v>bz_van_054</x:v>
      </x:c>
      <x:c r="B55" s="38" t="n">
        <x:v>54</x:v>
      </x:c>
      <x:c r="C55" s="38" t="str">
        <x:v>item</x:v>
      </x:c>
      <x:c r="D55" s="38" t="str">
        <x:v>confirmed</x:v>
      </x:c>
      <x:c r="E55" s="38" t="str">
        <x:v>harpoon</x:v>
      </x:c>
      <x:c r="F55" s="38" t="str">
        <x:v>Harpoon</x:v>
      </x:c>
      <x:c r="G55" s="38" t="str">
        <x:v>silver</x:v>
      </x:c>
      <x:c r="H55" s="38" t="str">
        <x:v>medium</x:v>
      </x:c>
      <x:c r="I55" s="38" t="str">
        <x:v>aquatic, ammo</x:v>
      </x:c>
      <x:c r="J55" s="38" t="n">
        <x:v>10</x:v>
      </x:c>
      <x:c r="K55" s="38" t="str">
        <x:v>merchant_colt, merchant_nautica, merchant_barkun, merchant_goldie, merchant_jay-jay, merchant_kina, merchant_luxe, merchant_mittel, merchant_quixel, merchant_serafina</x:v>
      </x:c>
      <x:c r="L55" s="38" t="n">
        <x:v>10</x:v>
      </x:c>
      <x:c r="M55" s="38" t="str">
        <x:v>elem_水, elem_雷, elem_冰, elem_无, role_召唤, role_坦克, role_控制, role_治疗, role_输出, role_机动</x:v>
      </x:c>
      <x:c r="N55" s="38" t="str">
        <x:v>Obsidian</x:v>
      </x:c>
      <x:c r="O55" s="38" t="str">
        <x:v>pal_054</x:v>
      </x:c>
      <x:c r="P55" s="38" t="str">
        <x:v>白眉雪猿</x:v>
      </x:c>
      <x:c r="Q55" s="38" t="str">
        <x:v>https://bazaar-builds.net/db/items/harpoon.html</x:v>
      </x:c>
      <x:c r="R55" s="38" t="str">
        <x:v>destroy a small item</x:v>
      </x:c>
      <x:c r="S55" s="38" t="str">
        <x:v>一对一确认来源对象。</x:v>
      </x:c>
    </x:row>
    <x:row r="56">
      <x:c r="A56" s="38" t="str">
        <x:v>bz_van_055</x:v>
      </x:c>
      <x:c r="B56" s="38" t="n">
        <x:v>55</x:v>
      </x:c>
      <x:c r="C56" s="38" t="str">
        <x:v>item</x:v>
      </x:c>
      <x:c r="D56" s="38" t="str">
        <x:v>confirmed</x:v>
      </x:c>
      <x:c r="E56" s="38" t="str">
        <x:v>holsters</x:v>
      </x:c>
      <x:c r="F56" s="38" t="str">
        <x:v>Holsters</x:v>
      </x:c>
      <x:c r="G56" s="38" t="str">
        <x:v>silver</x:v>
      </x:c>
      <x:c r="H56" s="38" t="str">
        <x:v>small</x:v>
      </x:c>
      <x:c r="I56" s="38" t="str">
        <x:v>apparel, haste</x:v>
      </x:c>
      <x:c r="J56" s="38" t="n">
        <x:v>10</x:v>
      </x:c>
      <x:c r="K56" s="38" t="str">
        <x:v>merchant_tok-s-clocks, merchant_ande, merchant_chronos, merchant_gaseo, merchant_goldie, merchant_jay-jay, merchant_kina, merchant_luxe, merchant_midsworth, merchant_quixel</x:v>
      </x:c>
      <x:c r="L56" s="38" t="n">
        <x:v>10</x:v>
      </x:c>
      <x:c r="M56" s="38" t="str">
        <x:v>elem_火, elem_雷, elem_冰, elem_地, role_召唤, role_坦克, role_控制, special_merchant, elite_high, role_重甲抗压</x:v>
      </x:c>
      <x:c r="N56" s="38" t="str">
        <x:v>Turbo</x:v>
      </x:c>
      <x:c r="O56" s="38" t="str">
        <x:v>pal_055</x:v>
      </x:c>
      <x:c r="P56" s="38" t="str">
        <x:v>寒风幼螭</x:v>
      </x:c>
      <x:c r="Q56" s="38" t="str">
        <x:v>https://bazaar-builds.net/db/items/holsters.html</x:v>
      </x:c>
      <x:c r="R56" s="38" t="str">
        <x:v>the first time you use an item each fight, haste your small items for 1 / 2 / 3 seconds.</x:v>
      </x:c>
      <x:c r="S56" s="38" t="str">
        <x:v>一对一确认来源对象。</x:v>
      </x:c>
    </x:row>
    <x:row r="57">
      <x:c r="A57" s="38" t="str">
        <x:v>bz_van_056</x:v>
      </x:c>
      <x:c r="B57" s="38" t="n">
        <x:v>56</x:v>
      </x:c>
      <x:c r="C57" s="38" t="str">
        <x:v>item</x:v>
      </x:c>
      <x:c r="D57" s="38" t="str">
        <x:v>confirmed</x:v>
      </x:c>
      <x:c r="E57" s="38" t="str">
        <x:v>honing-steel</x:v>
      </x:c>
      <x:c r="F57" s="38" t="str">
        <x:v>Honing Steel</x:v>
      </x:c>
      <x:c r="G57" s="38" t="str">
        <x:v>bronze</x:v>
      </x:c>
      <x:c r="H57" s="38" t="str">
        <x:v>small</x:v>
      </x:c>
      <x:c r="I57" s="38" t="str">
        <x:v>tool, damagereference</x:v>
      </x:c>
      <x:c r="J57" s="38" t="n">
        <x:v>10</x:v>
      </x:c>
      <x:c r="K57" s="38" t="str">
        <x:v>merchant_ande, merchant_goldie, merchant_jay-jay, merchant_kina, merchant_luxe, merchant_midsworth, merchant_orion, merchant_quixel, merchant_serafina, merchant_silvia</x:v>
      </x:c>
      <x:c r="L57" s="38" t="n">
        <x:v>10</x:v>
      </x:c>
      <x:c r="M57" s="38" t="str">
        <x:v>elem_火, elem_雷, elem_冰, elem_地, role_召唤, role_坦克, role_控制, role_治疗, role_经济, role_远点压制</x:v>
      </x:c>
      <x:c r="N57" s="38" t="str">
        <x:v>Deadly</x:v>
      </x:c>
      <x:c r="O57" s="38" t="str">
        <x:v>pal_056</x:v>
      </x:c>
      <x:c r="P57" s="38" t="str">
        <x:v>震角雷牛</x:v>
      </x:c>
      <x:c r="Q57" s="38" t="str">
        <x:v>https://bazaar-builds.net/db/items/honing-steel.html</x:v>
      </x:c>
      <x:c r="R57" s="38" t="str">
        <x:v>your leftmost and rightmost weapons gain +5 / 10 / 15 / 20 damage for the fight</x:v>
      </x:c>
      <x:c r="S57" s="38" t="str">
        <x:v>一对一确认来源对象。</x:v>
      </x:c>
    </x:row>
    <x:row r="58">
      <x:c r="A58" s="38" t="str">
        <x:v>bz_van_057</x:v>
      </x:c>
      <x:c r="B58" s="38" t="n">
        <x:v>57</x:v>
      </x:c>
      <x:c r="C58" s="38" t="str">
        <x:v>item</x:v>
      </x:c>
      <x:c r="D58" s="38" t="str">
        <x:v>confirmed</x:v>
      </x:c>
      <x:c r="E58" s="38" t="str">
        <x:v>ice-pick</x:v>
      </x:c>
      <x:c r="F58" s="38" t="str">
        <x:v>Ice Pick</x:v>
      </x:c>
      <x:c r="G58" s="38" t="str">
        <x:v>silver</x:v>
      </x:c>
      <x:c r="H58" s="38" t="str">
        <x:v>small</x:v>
      </x:c>
      <x:c r="I58" s="38" t="str">
        <x:v>weapon, tool, damage, freeze</x:v>
      </x:c>
      <x:c r="J58" s="38" t="n">
        <x:v>10</x:v>
      </x:c>
      <x:c r="K58" s="38" t="str">
        <x:v>merchant_aila, merchant_ande, merchant_freiya, merchant_goldie, merchant_jay-jay, merchant_luxe, merchant_midsworth, merchant_orion, merchant_quixel, merchant_serafina</x:v>
      </x:c>
      <x:c r="L58" s="38" t="n">
        <x:v>10</x:v>
      </x:c>
      <x:c r="M58" s="38" t="str">
        <x:v>night_base, elem_火, elem_雷, elem_地, role_召唤, role_坦克, role_控制, role_治疗, role_远点压制, role_风系牵制</x:v>
      </x:c>
      <x:c r="N58" s="38" t="str">
        <x:v>Icy</x:v>
      </x:c>
      <x:c r="O58" s="38" t="str">
        <x:v>pal_057</x:v>
      </x:c>
      <x:c r="P58" s="38" t="str">
        <x:v>吹雪银狐</x:v>
      </x:c>
      <x:c r="Q58" s="38" t="str">
        <x:v>https://bazaar-builds.net/db/items/ice-pick.html</x:v>
      </x:c>
      <x:c r="R58" s="38" t="str">
        <x:v>deal 25 damage freeze an item for 1 second when you freeze, this gains 15 / 30 / 45 damage for the fight.</x:v>
      </x:c>
      <x:c r="S58" s="38" t="str">
        <x:v>一对一确认来源对象。</x:v>
      </x:c>
    </x:row>
    <x:row r="59">
      <x:c r="A59" s="38" t="str">
        <x:v>bz_van_058</x:v>
      </x:c>
      <x:c r="B59" s="38" t="n">
        <x:v>58</x:v>
      </x:c>
      <x:c r="C59" s="38" t="str">
        <x:v>item</x:v>
      </x:c>
      <x:c r="D59" s="38" t="str">
        <x:v>confirmed</x:v>
      </x:c>
      <x:c r="E59" s="38" t="str">
        <x:v>iceberg</x:v>
      </x:c>
      <x:c r="F59" s="38" t="str">
        <x:v>Iceberg</x:v>
      </x:c>
      <x:c r="G59" s="38" t="str">
        <x:v>diamond</x:v>
      </x:c>
      <x:c r="H59" s="38" t="str">
        <x:v>large</x:v>
      </x:c>
      <x:c r="I59" s="38" t="str">
        <x:v>aquatic, property, freeze</x:v>
      </x:c>
      <x:c r="J59" s="38" t="n">
        <x:v>10</x:v>
      </x:c>
      <x:c r="K59" s="38" t="str">
        <x:v>merchant_nautica, merchant_barkun, merchant_freiya, merchant_jay-jay, merchant_kina, merchant_luxe, merchant_midsworth, merchant_mr-morland, merchant_pol, merchant_serafina</x:v>
      </x:c>
      <x:c r="L59" s="38" t="n">
        <x:v>10</x:v>
      </x:c>
      <x:c r="M59" s="38" t="str">
        <x:v>elem_水, elem_雷, elem_冰, elem_地, elem_暗, role_控制, role_治疗, role_输出, role_风系铺场, role_风系牵制</x:v>
      </x:c>
      <x:c r="N59" s="38" t="str">
        <x:v>Icy</x:v>
      </x:c>
      <x:c r="O59" s="38" t="str">
        <x:v>pal_058</x:v>
      </x:c>
      <x:c r="P59" s="38" t="str">
        <x:v>丹角火麟</x:v>
      </x:c>
      <x:c r="Q59" s="38" t="str">
        <x:v>https://bazaar-builds.net/db/items/iceberg.html</x:v>
      </x:c>
      <x:c r="R59" s="38" t="str">
        <x:v>when an enemy uses an item, freeze it for 1 second.</x:v>
      </x:c>
      <x:c r="S59" s="38" t="str">
        <x:v>一对一确认来源对象。</x:v>
      </x:c>
    </x:row>
    <x:row r="60">
      <x:c r="A60" s="38" t="str">
        <x:v>bz_van_059</x:v>
      </x:c>
      <x:c r="B60" s="38" t="n">
        <x:v>59</x:v>
      </x:c>
      <x:c r="C60" s="38" t="str">
        <x:v>item</x:v>
      </x:c>
      <x:c r="D60" s="38" t="str">
        <x:v>confirmed</x:v>
      </x:c>
      <x:c r="E60" s="38" t="str">
        <x:v>illusoray</x:v>
      </x:c>
      <x:c r="F60" s="38" t="str">
        <x:v>IllusoRay</x:v>
      </x:c>
      <x:c r="G60" s="38" t="str">
        <x:v>bronze</x:v>
      </x:c>
      <x:c r="H60" s="38" t="str">
        <x:v>small</x:v>
      </x:c>
      <x:c r="I60" s="38" t="str">
        <x:v>aquatic, friend, ray, slow</x:v>
      </x:c>
      <x:c r="J60" s="38" t="n">
        <x:v>10</x:v>
      </x:c>
      <x:c r="K60" s="38" t="str">
        <x:v>merchant_dryad, merchant_nautica, merchant_tok-s-clocks, merchant_ande, merchant_cobweb, merchant_goldie, merchant_jay-jay, merchant_kina, merchant_luxe, merchant_midsworth</x:v>
      </x:c>
      <x:c r="L60" s="38" t="n">
        <x:v>10</x:v>
      </x:c>
      <x:c r="M60" s="38" t="str">
        <x:v>elem_火, elem_雷, elem_冰, elem_地, role_坦克, role_控制, role_输出, special_merchant, role_召唤铺场, role_机动压制</x:v>
      </x:c>
      <x:c r="N60" s="38" t="str">
        <x:v>Icy</x:v>
      </x:c>
      <x:c r="O60" s="38" t="str">
        <x:v>pal_059</x:v>
      </x:c>
      <x:c r="P60" s="38" t="str">
        <x:v>冰角白鹿</x:v>
      </x:c>
      <x:c r="Q60" s="38" t="str">
        <x:v>https://bazaar-builds.net/db/items/illusoray.html</x:v>
      </x:c>
      <x:c r="R60" s="38" t="str">
        <x:v>slow an item for 1 / 2 / 3 / 4 seconds for each adjacent friend or ray, this has +1 multicast.</x:v>
      </x:c>
      <x:c r="S60" s="38" t="str">
        <x:v>一对一确认来源对象。</x:v>
      </x:c>
    </x:row>
    <x:row r="61">
      <x:c r="A61" s="38" t="str">
        <x:v>bz_van_060</x:v>
      </x:c>
      <x:c r="B61" s="38" t="n">
        <x:v>60</x:v>
      </x:c>
      <x:c r="C61" s="38" t="str">
        <x:v>item</x:v>
      </x:c>
      <x:c r="D61" s="38" t="str">
        <x:v>confirmed</x:v>
      </x:c>
      <x:c r="E61" s="38" t="str">
        <x:v>incendiary-rounds</x:v>
      </x:c>
      <x:c r="F61" s="38" t="str">
        <x:v>Incendiary Rounds</x:v>
      </x:c>
      <x:c r="G61" s="38" t="str">
        <x:v>silver</x:v>
      </x:c>
      <x:c r="H61" s="38" t="str">
        <x:v>small</x:v>
      </x:c>
      <x:c r="I61" s="38" t="str">
        <x:v>burn</x:v>
      </x:c>
      <x:c r="J61" s="38" t="n">
        <x:v>10</x:v>
      </x:c>
      <x:c r="K61" s="38" t="str">
        <x:v>merchant_ande, merchant_goldie, merchant_hef, merchant_jay-jay, merchant_kina, merchant_luxe, merchant_midsworth, merchant_quixel, merchant_serafina, merchant_silvia</x:v>
      </x:c>
      <x:c r="L61" s="38" t="n">
        <x:v>10</x:v>
      </x:c>
      <x:c r="M61" s="38" t="str">
        <x:v>elem_火, elem_雷, elem_冰, elem_地, role_召唤, role_坦克, role_控制, role_治疗, role_经济, tier_pT2</x:v>
      </x:c>
      <x:c r="N61" s="38" t="str">
        <x:v>Fiery</x:v>
      </x:c>
      <x:c r="O61" s="38" t="str">
        <x:v>pal_060</x:v>
      </x:c>
      <x:c r="P61" s="38" t="str">
        <x:v>霹雳战獒</x:v>
      </x:c>
      <x:c r="Q61" s="38" t="str">
        <x:v>https://bazaar-builds.net/db/items/incendiary-rounds.html</x:v>
      </x:c>
      <x:c r="R61" s="38" t="str">
        <x:v>when you use an adjacent item, burn 1 / 2 / 3.</x:v>
      </x:c>
      <x:c r="S61" s="38" t="str">
        <x:v>一对一确认来源对象。</x:v>
      </x:c>
    </x:row>
    <x:row r="62">
      <x:c r="A62" s="38" t="str">
        <x:v>bz_van_061</x:v>
      </x:c>
      <x:c r="B62" s="38" t="n">
        <x:v>61</x:v>
      </x:c>
      <x:c r="C62" s="38" t="str">
        <x:v>item</x:v>
      </x:c>
      <x:c r="D62" s="38" t="str">
        <x:v>confirmed</x:v>
      </x:c>
      <x:c r="E62" s="38" t="str">
        <x:v>integrated-hud</x:v>
      </x:c>
      <x:c r="F62" s="38" t="str">
        <x:v>Integrated HUD</x:v>
      </x:c>
      <x:c r="G62" s="38" t="str">
        <x:v>silver</x:v>
      </x:c>
      <x:c r="H62" s="38" t="str">
        <x:v>small</x:v>
      </x:c>
      <x:c r="I62" s="38" t="str">
        <x:v>apparel, tech, crit, slow</x:v>
      </x:c>
      <x:c r="J62" s="38" t="n">
        <x:v>10</x:v>
      </x:c>
      <x:c r="K62" s="38" t="str">
        <x:v>merchant_aimbot, merchant_the-tester, merchant_tok-s-clocks, merchant_ande, merchant_cobweb, merchant_gaseo, merchant_goldie, merchant_jay-jay, merchant_kina, merchant_luxe</x:v>
      </x:c>
      <x:c r="L62" s="38" t="n">
        <x:v>10</x:v>
      </x:c>
      <x:c r="M62" s="38" t="str">
        <x:v>elem_火, elem_雷, elem_冰, role_坦克, role_控制, special_merchant, tier_pT1, role_召唤铺场, role_抗压承伤, role_重甲抗压</x:v>
      </x:c>
      <x:c r="N62" s="38" t="str">
        <x:v>Icy</x:v>
      </x:c>
      <x:c r="O62" s="38" t="str">
        <x:v>pal_061</x:v>
      </x:c>
      <x:c r="P62" s="38" t="str">
        <x:v>苍焰赤豺</x:v>
      </x:c>
      <x:c r="Q62" s="38" t="str">
        <x:v>https://bazaar-builds.net/db/items/integrated-hud.html</x:v>
      </x:c>
      <x:c r="R62" s="38" t="str">
        <x:v>the item to the right of this has +20 / 30 / 40% crit chance. when you crit with the item to the right of this, slow an item for 1 second.</x:v>
      </x:c>
      <x:c r="S62" s="38" t="str">
        <x:v>一对一确认来源对象。</x:v>
      </x:c>
    </x:row>
    <x:row r="63">
      <x:c r="A63" s="38" t="str">
        <x:v>bz_van_062</x:v>
      </x:c>
      <x:c r="B63" s="38" t="n">
        <x:v>62</x:v>
      </x:c>
      <x:c r="C63" s="38" t="str">
        <x:v>item</x:v>
      </x:c>
      <x:c r="D63" s="38" t="str">
        <x:v>confirmed</x:v>
      </x:c>
      <x:c r="E63" s="38" t="str">
        <x:v>javelin</x:v>
      </x:c>
      <x:c r="F63" s="38" t="str">
        <x:v>Javelin</x:v>
      </x:c>
      <x:c r="G63" s="38" t="str">
        <x:v>silver</x:v>
      </x:c>
      <x:c r="H63" s="38" t="str">
        <x:v>medium</x:v>
      </x:c>
      <x:c r="I63" s="38" t="str">
        <x:v>weapon, damage, ammo, haste</x:v>
      </x:c>
      <x:c r="J63" s="38" t="n">
        <x:v>10</x:v>
      </x:c>
      <x:c r="K63" s="38" t="str">
        <x:v>merchant_colt, merchant_tok-s-clocks, merchant_aila, merchant_barkun, merchant_chronos, merchant_goldie, merchant_jay-jay, merchant_luxe, merchant_mittel, merchant_quixel</x:v>
      </x:c>
      <x:c r="L63" s="38" t="n">
        <x:v>10</x:v>
      </x:c>
      <x:c r="M63" s="38" t="str">
        <x:v>night_base, elem_水, elem_雷, elem_无, role_召唤, role_坦克, role_控制, role_机动, special_merchant, elite_high</x:v>
      </x:c>
      <x:c r="N63" s="38" t="str">
        <x:v>Turbo</x:v>
      </x:c>
      <x:c r="O63" s="38" t="str">
        <x:v>pal_062</x:v>
      </x:c>
      <x:c r="P63" s="38" t="str">
        <x:v>雷纹巨猿</x:v>
      </x:c>
      <x:c r="Q63" s="38" t="str">
        <x:v>https://bazaar-builds.net/db/items/javelin.html</x:v>
      </x:c>
      <x:c r="R63" s="38" t="str">
        <x:v>deal 50 / 100 / 200 damage haste your other items for 1 / 2 / 3 seconds.</x:v>
      </x:c>
      <x:c r="S63" s="38" t="str">
        <x:v>一对一确认来源对象。</x:v>
      </x:c>
    </x:row>
    <x:row r="64">
      <x:c r="A64" s="38" t="str">
        <x:v>bz_van_063</x:v>
      </x:c>
      <x:c r="B64" s="38" t="n">
        <x:v>63</x:v>
      </x:c>
      <x:c r="C64" s="38" t="str">
        <x:v>item</x:v>
      </x:c>
      <x:c r="D64" s="38" t="str">
        <x:v>confirmed</x:v>
      </x:c>
      <x:c r="E64" s="38" t="str">
        <x:v>jellyfish</x:v>
      </x:c>
      <x:c r="F64" s="38" t="str">
        <x:v>Jellyfish</x:v>
      </x:c>
      <x:c r="G64" s="38" t="str">
        <x:v>bronze</x:v>
      </x:c>
      <x:c r="H64" s="38" t="str">
        <x:v>small</x:v>
      </x:c>
      <x:c r="I64" s="38" t="str">
        <x:v>aquatic, friend, poison, haste</x:v>
      </x:c>
      <x:c r="J64" s="38" t="n">
        <x:v>10</x:v>
      </x:c>
      <x:c r="K64" s="38" t="str">
        <x:v>merchant_dryad, merchant_nautica, merchant_tok-s-clocks, merchant_ande, merchant_chronos, merchant_goldie, merchant_jay-jay, merchant_kina, merchant_knightshade, merchant_luxe</x:v>
      </x:c>
      <x:c r="L64" s="38" t="n">
        <x:v>10</x:v>
      </x:c>
      <x:c r="M64" s="38" t="str">
        <x:v>elem_火, elem_雷, elem_冰, role_坦克, role_控制, role_输出, special_merchant, elite_high, role_机动压制, role_火系压制</x:v>
      </x:c>
      <x:c r="N64" s="38" t="str">
        <x:v>Toxic</x:v>
      </x:c>
      <x:c r="O64" s="38" t="str">
        <x:v>pal_063</x:v>
      </x:c>
      <x:c r="P64" s="38" t="str">
        <x:v>蜃雾白鹿</x:v>
      </x:c>
      <x:c r="Q64" s="38" t="str">
        <x:v>https://bazaar-builds.net/db/items/jellyfish.html</x:v>
      </x:c>
      <x:c r="R64" s="38" t="str">
        <x:v>poison 3 / 6 / 9 / 12 when you use an adjacent aquatic item, haste this for 1 / 2 / 3 / 4 seconds.</x:v>
      </x:c>
      <x:c r="S64" s="38" t="str">
        <x:v>一对一确认来源对象。</x:v>
      </x:c>
    </x:row>
    <x:row r="65">
      <x:c r="A65" s="38" t="str">
        <x:v>bz_van_064</x:v>
      </x:c>
      <x:c r="B65" s="38" t="n">
        <x:v>64</x:v>
      </x:c>
      <x:c r="C65" s="38" t="str">
        <x:v>item</x:v>
      </x:c>
      <x:c r="D65" s="38" t="str">
        <x:v>confirmed</x:v>
      </x:c>
      <x:c r="E65" s="38" t="str">
        <x:v>jetbike</x:v>
      </x:c>
      <x:c r="F65" s="38" t="str">
        <x:v>Jetbike</x:v>
      </x:c>
      <x:c r="G65" s="38" t="str">
        <x:v>silver</x:v>
      </x:c>
      <x:c r="H65" s="38" t="str">
        <x:v>large</x:v>
      </x:c>
      <x:c r="I65" s="38" t="str">
        <x:v>weapon, vehicle, damage, flying</x:v>
      </x:c>
      <x:c r="J65" s="38" t="n">
        <x:v>10</x:v>
      </x:c>
      <x:c r="K65" s="38" t="str">
        <x:v>merchant_pinfeather, merchant_aero, merchant_aila, merchant_barkun, merchant_goldie, merchant_jay-jay, merchant_luxe, merchant_midsworth, merchant_pol, merchant_serafina</x:v>
      </x:c>
      <x:c r="L65" s="38" t="n">
        <x:v>10</x:v>
      </x:c>
      <x:c r="M65" s="38" t="str">
        <x:v>night_base, elem_火, elem_水, elem_草, elem_雷, elem_地, role_坦克, role_控制, role_治疗, role_风系铺场</x:v>
      </x:c>
      <x:c r="N65" s="38" t="str">
        <x:v>Turbo</x:v>
      </x:c>
      <x:c r="O65" s="38" t="str">
        <x:v>pal_064</x:v>
      </x:c>
      <x:c r="P65" s="38" t="str">
        <x:v>翠冠花螭</x:v>
      </x:c>
      <x:c r="Q65" s="38" t="str">
        <x:v>https://bazaar-builds.net/db/items/jetbike.html</x:v>
      </x:c>
      <x:c r="R65" s="38" t="str">
        <x:v>deal 200 / 400 / 800 damage when you use an adjacent item, it and this start flying when you use another flying item, charge this 1 second.</x:v>
      </x:c>
      <x:c r="S65" s="38" t="str">
        <x:v>一对一确认来源对象。</x:v>
      </x:c>
    </x:row>
    <x:row r="66">
      <x:c r="A66" s="38" t="str">
        <x:v>bz_van_065</x:v>
      </x:c>
      <x:c r="B66" s="38" t="n">
        <x:v>65</x:v>
      </x:c>
      <x:c r="C66" s="38" t="str">
        <x:v>item</x:v>
      </x:c>
      <x:c r="D66" s="38" t="str">
        <x:v>confirmed</x:v>
      </x:c>
      <x:c r="E66" s="38" t="str">
        <x:v>jitte</x:v>
      </x:c>
      <x:c r="F66" s="38" t="str">
        <x:v>Jitte</x:v>
      </x:c>
      <x:c r="G66" s="38" t="str">
        <x:v>silver</x:v>
      </x:c>
      <x:c r="H66" s="38" t="str">
        <x:v>small</x:v>
      </x:c>
      <x:c r="I66" s="38" t="str">
        <x:v>weapon, damage, slow</x:v>
      </x:c>
      <x:c r="J66" s="38" t="n">
        <x:v>10</x:v>
      </x:c>
      <x:c r="K66" s="38" t="str">
        <x:v>merchant_tok-s-clocks, merchant_aila, merchant_ande, merchant_cobweb, merchant_goldie, merchant_jay-jay, merchant_luxe, merchant_midsworth, merchant_quixel, merchant_serafina</x:v>
      </x:c>
      <x:c r="L66" s="38" t="n">
        <x:v>10</x:v>
      </x:c>
      <x:c r="M66" s="38" t="str">
        <x:v>night_base, elem_火, elem_雷, elem_地, role_召唤, role_坦克, role_控制, role_治疗, special_merchant, role_召唤铺场</x:v>
      </x:c>
      <x:c r="N66" s="38" t="str">
        <x:v>Icy</x:v>
      </x:c>
      <x:c r="O66" s="38" t="str">
        <x:v>pal_065</x:v>
      </x:c>
      <x:c r="P66" s="38" t="str">
        <x:v>霆角龙犀</x:v>
      </x:c>
      <x:c r="Q66" s="38" t="str">
        <x:v>https://bazaar-builds.net/db/items/jitte.html</x:v>
      </x:c>
      <x:c r="R66" s="38" t="str">
        <x:v>deal 20 damage slow an item for 1 / 2 / 3 seconds when you slow, this gains 10 / 20 / 30 damage for the fight.</x:v>
      </x:c>
      <x:c r="S66" s="38" t="str">
        <x:v>一对一确认来源对象。</x:v>
      </x:c>
    </x:row>
    <x:row r="67">
      <x:c r="A67" s="38" t="str">
        <x:v>bz_van_066</x:v>
      </x:c>
      <x:c r="B67" s="38" t="n">
        <x:v>66</x:v>
      </x:c>
      <x:c r="C67" s="38" t="str">
        <x:v>item</x:v>
      </x:c>
      <x:c r="D67" s="38" t="str">
        <x:v>confirmed</x:v>
      </x:c>
      <x:c r="E67" s="38" t="str">
        <x:v>katana</x:v>
      </x:c>
      <x:c r="F67" s="38" t="str">
        <x:v>Katana</x:v>
      </x:c>
      <x:c r="G67" s="38" t="str">
        <x:v>bronze</x:v>
      </x:c>
      <x:c r="H67" s="38" t="str">
        <x:v>medium</x:v>
      </x:c>
      <x:c r="I67" s="38" t="str">
        <x:v>weapon, damage</x:v>
      </x:c>
      <x:c r="J67" s="38" t="n">
        <x:v>10</x:v>
      </x:c>
      <x:c r="K67" s="38" t="str">
        <x:v>merchant_aila, merchant_barkun, merchant_goldie, merchant_jay-jay, merchant_luxe, merchant_mittel, merchant_quixel, merchant_serafina, merchant_silvia, merchant_valpak</x:v>
      </x:c>
      <x:c r="L67" s="38" t="n">
        <x:v>10</x:v>
      </x:c>
      <x:c r="M67" s="38" t="str">
        <x:v>night_base, elem_水, elem_雷, elem_暗, elem_无, role_召唤, role_坦克, role_控制, role_治疗, role_经济</x:v>
      </x:c>
      <x:c r="N67" s="38" t="str">
        <x:v>Deadly</x:v>
      </x:c>
      <x:c r="O67" s="38" t="str">
        <x:v>pal_066</x:v>
      </x:c>
      <x:c r="P67" s="38" t="str">
        <x:v>浪鳞水蛇</x:v>
      </x:c>
      <x:c r="Q67" s="38" t="str">
        <x:v>https://bazaar-builds.net/db/items/katana.html</x:v>
      </x:c>
      <x:c r="R67" s="38" t="str">
        <x:v>deal 8 / 16 / 32 / 64 damage</x:v>
      </x:c>
      <x:c r="S67" s="38" t="str">
        <x:v>一对一确认来源对象。</x:v>
      </x:c>
    </x:row>
    <x:row r="68">
      <x:c r="A68" s="38" t="str">
        <x:v>bz_van_067</x:v>
      </x:c>
      <x:c r="B68" s="38" t="n">
        <x:v>67</x:v>
      </x:c>
      <x:c r="C68" s="38" t="str">
        <x:v>item</x:v>
      </x:c>
      <x:c r="D68" s="38" t="str">
        <x:v>confirmed</x:v>
      </x:c>
      <x:c r="E68" s="38" t="str">
        <x:v>korxena-crest</x:v>
      </x:c>
      <x:c r="F68" s="38" t="str">
        <x:v>Korxena Crest</x:v>
      </x:c>
      <x:c r="G68" s="38" t="str">
        <x:v>silver</x:v>
      </x:c>
      <x:c r="H68" s="38" t="str">
        <x:v>small</x:v>
      </x:c>
      <x:c r="I68" s="38" t="str">
        <x:v>apparel, relic, crit</x:v>
      </x:c>
      <x:c r="J68" s="38" t="n">
        <x:v>10</x:v>
      </x:c>
      <x:c r="K68" s="38" t="str">
        <x:v>merchant_aimbot, merchant_ande, merchant_gaseo, merchant_goldie, merchant_jay-jay, merchant_kina, merchant_luxe, merchant_midsworth, merchant_quixel, merchant_serafina</x:v>
      </x:c>
      <x:c r="L68" s="38" t="n">
        <x:v>10</x:v>
      </x:c>
      <x:c r="M68" s="38" t="str">
        <x:v>elem_火, elem_雷, elem_冰, elem_地, role_召唤, role_坦克, role_控制, role_治疗, tier_pT1, role_重甲抗压</x:v>
      </x:c>
      <x:c r="N68" s="38" t="str">
        <x:v>Deadly</x:v>
      </x:c>
      <x:c r="O68" s="38" t="str">
        <x:v>pal_067</x:v>
      </x:c>
      <x:c r="P68" s="38" t="str">
        <x:v>沙鳞巨蟒</x:v>
      </x:c>
      <x:c r="Q68" s="38" t="str">
        <x:v>https://bazaar-builds.net/db/items/korxena-crest.html</x:v>
      </x:c>
      <x:c r="R68" s="38" t="str">
        <x:v>your items have +15 / 25 / 35% crit chance.</x:v>
      </x:c>
      <x:c r="S68" s="38" t="str">
        <x:v>一对一确认来源对象。</x:v>
      </x:c>
    </x:row>
    <x:row r="69">
      <x:c r="A69" s="38" t="str">
        <x:v>bz_van_068</x:v>
      </x:c>
      <x:c r="B69" s="38" t="n">
        <x:v>68</x:v>
      </x:c>
      <x:c r="C69" s="38" t="str">
        <x:v>item</x:v>
      </x:c>
      <x:c r="D69" s="38" t="str">
        <x:v>confirmed</x:v>
      </x:c>
      <x:c r="E69" s="38" t="str">
        <x:v>kusarigama</x:v>
      </x:c>
      <x:c r="F69" s="38" t="str">
        <x:v>Kusarigama</x:v>
      </x:c>
      <x:c r="G69" s="38" t="str">
        <x:v>silver</x:v>
      </x:c>
      <x:c r="H69" s="38" t="str">
        <x:v>small</x:v>
      </x:c>
      <x:c r="I69" s="38" t="str">
        <x:v>weapon, tech, damage, critreference, slowreference</x:v>
      </x:c>
      <x:c r="J69" s="38" t="n">
        <x:v>10</x:v>
      </x:c>
      <x:c r="K69" s="38" t="str">
        <x:v>merchant_aimbot, merchant_the-tester, merchant_tok-s-clocks, merchant_aila, merchant_ande, merchant_cobweb, merchant_goldie, merchant_jay-jay, merchant_luxe, merchant_midsworth</x:v>
      </x:c>
      <x:c r="L69" s="38" t="n">
        <x:v>10</x:v>
      </x:c>
      <x:c r="M69" s="38" t="str">
        <x:v>night_base, elem_火, elem_雷, elem_地, role_坦克, role_控制, special_merchant, tier_pT1, role_召唤铺场, role_抗压承伤</x:v>
      </x:c>
      <x:c r="N69" s="38" t="str">
        <x:v>Icy</x:v>
      </x:c>
      <x:c r="O69" s="38" t="str">
        <x:v>pal_068</x:v>
      </x:c>
      <x:c r="P69" s="38" t="str">
        <x:v>食梦黑貘</x:v>
      </x:c>
      <x:c r="Q69" s="38" t="str">
        <x:v>https://bazaar-builds.net/db/items/kusarigama.html</x:v>
      </x:c>
      <x:c r="R69" s="38" t="str">
        <x:v>deal 4 / 8 / 12 damage when you slow or crit, this and adjacent weapons gain +4 / 8 / 12 damage for the fight.</x:v>
      </x:c>
      <x:c r="S69" s="38" t="str">
        <x:v>一对一确认来源对象。</x:v>
      </x:c>
    </x:row>
    <x:row r="70">
      <x:c r="A70" s="38" t="str">
        <x:v>bz_van_069</x:v>
      </x:c>
      <x:c r="B70" s="38" t="n">
        <x:v>69</x:v>
      </x:c>
      <x:c r="C70" s="38" t="str">
        <x:v>item</x:v>
      </x:c>
      <x:c r="D70" s="38" t="str">
        <x:v>confirmed</x:v>
      </x:c>
      <x:c r="E70" s="38" t="str">
        <x:v>langxian</x:v>
      </x:c>
      <x:c r="F70" s="38" t="str">
        <x:v>Langxian</x:v>
      </x:c>
      <x:c r="G70" s="38" t="str">
        <x:v>bronze</x:v>
      </x:c>
      <x:c r="H70" s="38" t="str">
        <x:v>medium</x:v>
      </x:c>
      <x:c r="I70" s="38" t="str">
        <x:v>weapon, relic, damage</x:v>
      </x:c>
      <x:c r="J70" s="38" t="n">
        <x:v>10</x:v>
      </x:c>
      <x:c r="K70" s="38" t="str">
        <x:v>merchant_aila, merchant_barkun, merchant_goldie, merchant_jay-jay, merchant_luxe, merchant_mittel, merchant_quixel, merchant_serafina, merchant_silvia, merchant_the-antiquarian</x:v>
      </x:c>
      <x:c r="L70" s="38" t="n">
        <x:v>10</x:v>
      </x:c>
      <x:c r="M70" s="38" t="str">
        <x:v>night_base, elem_水, elem_雷, elem_冰, elem_无, role_召唤, role_坦克, role_控制, role_治疗, role_经济</x:v>
      </x:c>
      <x:c r="N70" s="38" t="str">
        <x:v>Deadly</x:v>
      </x:c>
      <x:c r="O70" s="38" t="str">
        <x:v>pal_069</x:v>
      </x:c>
      <x:c r="P70" s="38" t="str">
        <x:v>碎岩巨龟</x:v>
      </x:c>
      <x:c r="Q70" s="38" t="str">
        <x:v>https://bazaar-builds.net/db/items/langxian.html</x:v>
      </x:c>
      <x:c r="R70" s="38" t="str">
        <x:v>deal 40 damage this has +40 / 60 / 80 / 100 damage for each fight you won with this.</x:v>
      </x:c>
      <x:c r="S70" s="38" t="str">
        <x:v>一对一确认来源对象。</x:v>
      </x:c>
    </x:row>
    <x:row r="71">
      <x:c r="A71" s="38" t="str">
        <x:v>bz_van_070</x:v>
      </x:c>
      <x:c r="B71" s="38" t="n">
        <x:v>70</x:v>
      </x:c>
      <x:c r="C71" s="38" t="str">
        <x:v>item</x:v>
      </x:c>
      <x:c r="D71" s="38" t="str">
        <x:v>confirmed</x:v>
      </x:c>
      <x:c r="E71" s="38" t="str">
        <x:v>life-preserver</x:v>
      </x:c>
      <x:c r="F71" s="38" t="str">
        <x:v>Life Preserver</x:v>
      </x:c>
      <x:c r="G71" s="38" t="str">
        <x:v>bronze</x:v>
      </x:c>
      <x:c r="H71" s="38" t="str">
        <x:v>medium</x:v>
      </x:c>
      <x:c r="I71" s="38" t="str">
        <x:v>aquatic, shield, heal</x:v>
      </x:c>
      <x:c r="J71" s="38" t="n">
        <x:v>10</x:v>
      </x:c>
      <x:c r="K71" s="38" t="str">
        <x:v>merchant_kev-s-armory, merchant_nautica, merchant_barkun, merchant_goldie, merchant_herma, merchant_jay-jay, merchant_kina, merchant_luxe, merchant_mittel, merchant_proteus</x:v>
      </x:c>
      <x:c r="L71" s="38" t="n">
        <x:v>10</x:v>
      </x:c>
      <x:c r="M71" s="38" t="str">
        <x:v>night_base, elem_水, elem_雷, elem_冰, elem_龙, elem_无, role_坦克, role_控制, role_输出, tier_pT3</x:v>
      </x:c>
      <x:c r="N71" s="38" t="str">
        <x:v>Restorative</x:v>
      </x:c>
      <x:c r="O71" s="38" t="str">
        <x:v>pal_070</x:v>
      </x:c>
      <x:c r="P71" s="38" t="str">
        <x:v>猫翼夜蝠</x:v>
      </x:c>
      <x:c r="Q71" s="38" t="str">
        <x:v>https://bazaar-builds.net/db/items/life-preserver.html</x:v>
      </x:c>
      <x:c r="R71" s="38" t="str">
        <x:v>shield 10 / 20 / 40 / 80 the first time you would be defeated each fight, heal 200 / 400 / 800 / 1600.</x:v>
      </x:c>
      <x:c r="S71" s="38" t="str">
        <x:v>一对一确认来源对象。</x:v>
      </x:c>
    </x:row>
    <x:row r="72">
      <x:c r="A72" s="38" t="str">
        <x:v>bz_van_071</x:v>
      </x:c>
      <x:c r="B72" s="38" t="n">
        <x:v>71</x:v>
      </x:c>
      <x:c r="C72" s="38" t="str">
        <x:v>item</x:v>
      </x:c>
      <x:c r="D72" s="38" t="str">
        <x:v>confirmed</x:v>
      </x:c>
      <x:c r="E72" s="38" t="str">
        <x:v>lighter</x:v>
      </x:c>
      <x:c r="F72" s="38" t="str">
        <x:v>Lighter</x:v>
      </x:c>
      <x:c r="G72" s="38" t="str">
        <x:v>bronze</x:v>
      </x:c>
      <x:c r="H72" s="38" t="str">
        <x:v>small</x:v>
      </x:c>
      <x:c r="I72" s="38" t="str">
        <x:v>tool, burn</x:v>
      </x:c>
      <x:c r="J72" s="38" t="n">
        <x:v>10</x:v>
      </x:c>
      <x:c r="K72" s="38" t="str">
        <x:v>merchant_ande, merchant_goldie, merchant_hef, merchant_jay-jay, merchant_kina, merchant_luxe, merchant_midsworth, merchant_orion, merchant_quixel, merchant_serafina</x:v>
      </x:c>
      <x:c r="L72" s="38" t="n">
        <x:v>10</x:v>
      </x:c>
      <x:c r="M72" s="38" t="str">
        <x:v>elem_火, elem_雷, elem_冰, elem_地, role_召唤, role_坦克, role_控制, role_治疗, tier_pT2, role_远点压制</x:v>
      </x:c>
      <x:c r="N72" s="38" t="str">
        <x:v>Fiery</x:v>
      </x:c>
      <x:c r="O72" s="38" t="str">
        <x:v>pal_071</x:v>
      </x:c>
      <x:c r="P72" s="38" t="str">
        <x:v>甘露壁虎</x:v>
      </x:c>
      <x:c r="Q72" s="38" t="str">
        <x:v>https://bazaar-builds.net/db/items/lighter.html</x:v>
      </x:c>
      <x:c r="R72" s="38" t="str">
        <x:v>burn 3 / 5 / 7 / 9</x:v>
      </x:c>
      <x:c r="S72" s="38" t="str">
        <x:v>一对一确认来源对象。</x:v>
      </x:c>
    </x:row>
    <x:row r="73">
      <x:c r="A73" s="38" t="str">
        <x:v>bz_van_072</x:v>
      </x:c>
      <x:c r="B73" s="38" t="n">
        <x:v>72</x:v>
      </x:c>
      <x:c r="C73" s="38" t="str">
        <x:v>item</x:v>
      </x:c>
      <x:c r="D73" s="38" t="str">
        <x:v>confirmed</x:v>
      </x:c>
      <x:c r="E73" s="38" t="str">
        <x:v>lighthouse</x:v>
      </x:c>
      <x:c r="F73" s="38" t="str">
        <x:v>Lighthouse</x:v>
      </x:c>
      <x:c r="G73" s="38" t="str">
        <x:v>gold</x:v>
      </x:c>
      <x:c r="H73" s="38" t="str">
        <x:v>large</x:v>
      </x:c>
      <x:c r="I73" s="38" t="str">
        <x:v>property, aquatic, burn, slow</x:v>
      </x:c>
      <x:c r="J73" s="38" t="n">
        <x:v>10</x:v>
      </x:c>
      <x:c r="K73" s="38" t="str">
        <x:v>merchant_nautica, merchant_tok-s-clocks, merchant_barkun, merchant_cobweb, merchant_goldie, merchant_hef, merchant_jay-jay, merchant_kina, merchant_luxe, merchant_midsworth</x:v>
      </x:c>
      <x:c r="L73" s="38" t="n">
        <x:v>10</x:v>
      </x:c>
      <x:c r="M73" s="38" t="str">
        <x:v>elem_水, elem_雷, elem_冰, elem_地, role_坦克, role_控制, role_输出, special_merchant, tier_pT2, role_召唤铺场</x:v>
      </x:c>
      <x:c r="N73" s="38" t="str">
        <x:v>Fiery</x:v>
      </x:c>
      <x:c r="O73" s="38" t="str">
        <x:v>pal_072</x:v>
      </x:c>
      <x:c r="P73" s="38" t="str">
        <x:v>赤巢火蚁</x:v>
      </x:c>
      <x:c r="Q73" s="38" t="str">
        <x:v>https://bazaar-builds.net/db/items/lighthouse.html</x:v>
      </x:c>
      <x:c r="R73" s="38" t="str">
        <x:v>slow 1 → 2 item(s) for 2 seconds when you slow, burn 6 → 9.</x:v>
      </x:c>
      <x:c r="S73" s="38" t="str">
        <x:v>一对一确认来源对象。</x:v>
      </x:c>
    </x:row>
    <x:row r="74">
      <x:c r="A74" s="38" t="str">
        <x:v>bz_van_073</x:v>
      </x:c>
      <x:c r="B74" s="38" t="n">
        <x:v>73</x:v>
      </x:c>
      <x:c r="C74" s="38" t="str">
        <x:v>item</x:v>
      </x:c>
      <x:c r="D74" s="38" t="str">
        <x:v>confirmed</x:v>
      </x:c>
      <x:c r="E74" s="38" t="str">
        <x:v>lockbox</x:v>
      </x:c>
      <x:c r="F74" s="38" t="str">
        <x:v>Lockbox</x:v>
      </x:c>
      <x:c r="G74" s="38" t="str">
        <x:v>silver</x:v>
      </x:c>
      <x:c r="H74" s="38" t="str">
        <x:v>medium</x:v>
      </x:c>
      <x:c r="I74" s="38" t="str">
        <x:v>relic, economyreference, value, damagereference</x:v>
      </x:c>
      <x:c r="J74" s="38" t="n">
        <x:v>10</x:v>
      </x:c>
      <x:c r="K74" s="38" t="str">
        <x:v>merchant_barkun, merchant_goldie, merchant_jay-jay, merchant_kina, merchant_luxe, merchant_mittel, merchant_prospero, merchant_quixel, merchant_serafina, merchant_silvia</x:v>
      </x:c>
      <x:c r="L74" s="38" t="n">
        <x:v>10</x:v>
      </x:c>
      <x:c r="M74" s="38" t="str">
        <x:v>elem_水, elem_雷, elem_冰, elem_无, role_召唤, role_坦克, role_控制, role_治疗, role_经济, role_机动</x:v>
      </x:c>
      <x:c r="N74" s="38" t="str">
        <x:v>Golden</x:v>
      </x:c>
      <x:c r="O74" s="38" t="str">
        <x:v>pal_073</x:v>
      </x:c>
      <x:c r="P74" s="38" t="str">
        <x:v>烽翼火龙</x:v>
      </x:c>
      <x:c r="Q74" s="38" t="str">
        <x:v>https://bazaar-builds.net/db/items/lockbox.html</x:v>
      </x:c>
      <x:c r="R74" s="38" t="str">
        <x:v>when you win a fight, this permanently gains 3 / 6 / 9 value. your weapons have +damage equal to to this item's value.</x:v>
      </x:c>
      <x:c r="S74" s="38" t="str">
        <x:v>一对一确认来源对象。</x:v>
      </x:c>
    </x:row>
    <x:row r="75">
      <x:c r="A75" s="38" t="str">
        <x:v>bz_van_074</x:v>
      </x:c>
      <x:c r="B75" s="38" t="n">
        <x:v>74</x:v>
      </x:c>
      <x:c r="C75" s="38" t="str">
        <x:v>item</x:v>
      </x:c>
      <x:c r="D75" s="38" t="str">
        <x:v>confirmed</x:v>
      </x:c>
      <x:c r="E75" s="38" t="str">
        <x:v>mantis-shrimp</x:v>
      </x:c>
      <x:c r="F75" s="38" t="str">
        <x:v>Mantis Shrimp</x:v>
      </x:c>
      <x:c r="G75" s="38" t="str">
        <x:v>bronze</x:v>
      </x:c>
      <x:c r="H75" s="38" t="str">
        <x:v>small</x:v>
      </x:c>
      <x:c r="I75" s="38" t="str">
        <x:v>aquatic, weapon, friend, damage, burn, slowreference, ammo</x:v>
      </x:c>
      <x:c r="J75" s="38" t="n">
        <x:v>10</x:v>
      </x:c>
      <x:c r="K75" s="38" t="str">
        <x:v>merchant_colt, merchant_dryad, merchant_nautica, merchant_tok-s-clocks, merchant_aila, merchant_ande, merchant_cobweb, merchant_goldie, merchant_hef, merchant_jay-jay</x:v>
      </x:c>
      <x:c r="L75" s="38" t="n">
        <x:v>10</x:v>
      </x:c>
      <x:c r="M75" s="38" t="str">
        <x:v>night_base, elem_火, elem_雷, role_坦克, role_输出, role_机动, special_merchant, tier_pT2, role_召唤铺场, role_机动压制</x:v>
      </x:c>
      <x:c r="N75" s="38" t="str">
        <x:v>Fiery</x:v>
      </x:c>
      <x:c r="O75" s="38" t="str">
        <x:v>pal_074</x:v>
      </x:c>
      <x:c r="P75" s="38" t="str">
        <x:v>霜翼冥龙</x:v>
      </x:c>
      <x:c r="Q75" s="38" t="str">
        <x:v>https://bazaar-builds.net/db/items/mantis-shrimp.html</x:v>
      </x:c>
      <x:c r="R75" s="38" t="str">
        <x:v>deal 20 damage burn 2 when you slow, this gains +10 / 15 / 20 / 25 damage and +2 / 3 / 4 / 5 burn for the fight.</x:v>
      </x:c>
      <x:c r="S75" s="38" t="str">
        <x:v>一对一确认来源对象。</x:v>
      </x:c>
    </x:row>
    <x:row r="76">
      <x:c r="A76" s="38" t="str">
        <x:v>bz_van_075</x:v>
      </x:c>
      <x:c r="B76" s="38" t="n">
        <x:v>75</x:v>
      </x:c>
      <x:c r="C76" s="38" t="str">
        <x:v>item</x:v>
      </x:c>
      <x:c r="D76" s="38" t="str">
        <x:v>confirmed</x:v>
      </x:c>
      <x:c r="E76" s="38" t="str">
        <x:v>marlon</x:v>
      </x:c>
      <x:c r="F76" s="38" t="str">
        <x:v>Marlon</x:v>
      </x:c>
      <x:c r="G76" s="38" t="str">
        <x:v>bronze</x:v>
      </x:c>
      <x:c r="H76" s="38" t="str">
        <x:v>medium</x:v>
      </x:c>
      <x:c r="I76" s="38" t="str">
        <x:v>aquatic, friend, weapon, crit, flying</x:v>
      </x:c>
      <x:c r="J76" s="38" t="n">
        <x:v>10</x:v>
      </x:c>
      <x:c r="K76" s="38" t="str">
        <x:v>merchant_aimbot, merchant_dryad, merchant_nautica, merchant_pinfeather, merchant_aila, merchant_barkun, merchant_goldie, merchant_jay-jay, merchant_luxe, merchant_mittel</x:v>
      </x:c>
      <x:c r="L76" s="38" t="n">
        <x:v>10</x:v>
      </x:c>
      <x:c r="M76" s="38" t="str">
        <x:v>night_base, elem_水, elem_草, elem_雷, elem_无, role_坦克, role_控制, role_输出, tier_pT1, role_机动压制</x:v>
      </x:c>
      <x:c r="N76" s="38" t="str">
        <x:v>Deadly</x:v>
      </x:c>
      <x:c r="O76" s="38" t="str">
        <x:v>pal_075</x:v>
      </x:c>
      <x:c r="P76" s="38" t="str">
        <x:v>赤刃螳螂</x:v>
      </x:c>
      <x:c r="Q76" s="38" t="str">
        <x:v>https://bazaar-builds.net/db/items/marlon.html</x:v>
      </x:c>
      <x:c r="R76" s="38" t="str">
        <x:v>deal 15 damage an item starts flying. when you use a flying item, this gains +20 / 30 / 40 / 50% crit chance for the fight.</x:v>
      </x:c>
      <x:c r="S76" s="38" t="str">
        <x:v>一对一确认来源对象。</x:v>
      </x:c>
    </x:row>
    <x:row r="77">
      <x:c r="A77" s="38" t="str">
        <x:v>bz_van_076</x:v>
      </x:c>
      <x:c r="B77" s="38" t="n">
        <x:v>76</x:v>
      </x:c>
      <x:c r="C77" s="38" t="str">
        <x:v>item</x:v>
      </x:c>
      <x:c r="D77" s="38" t="str">
        <x:v>confirmed</x:v>
      </x:c>
      <x:c r="E77" s="38" t="str">
        <x:v>mr-richardson</x:v>
      </x:c>
      <x:c r="F77" s="38" t="str">
        <x:v>Mr. Richardson</x:v>
      </x:c>
      <x:c r="G77" s="38" t="str">
        <x:v>silver</x:v>
      </x:c>
      <x:c r="H77" s="38" t="str">
        <x:v>small</x:v>
      </x:c>
      <x:c r="I77" s="38" t="str">
        <x:v>friend, aquatic, shield, hastereference, slowreference</x:v>
      </x:c>
      <x:c r="J77" s="38" t="n">
        <x:v>10</x:v>
      </x:c>
      <x:c r="K77" s="38" t="str">
        <x:v>merchant_dryad, merchant_kev-s-armory, merchant_nautica, merchant_tok-s-clocks, merchant_ande, merchant_chronos, merchant_cobweb, merchant_goldie, merchant_jay-jay, merchant_kina</x:v>
      </x:c>
      <x:c r="L77" s="38" t="n">
        <x:v>10</x:v>
      </x:c>
      <x:c r="M77" s="38" t="str">
        <x:v>elem_火, elem_雷, elem_冰, role_坦克, role_输出, special_merchant, elite_high, tier_pT3, role_召唤铺场, role_机动压制</x:v>
      </x:c>
      <x:c r="N77" s="38" t="str">
        <x:v>Icy</x:v>
      </x:c>
      <x:c r="O77" s="38" t="str">
        <x:v>pal_076</x:v>
      </x:c>
      <x:c r="P77" s="38" t="str">
        <x:v>迅雷金雕</x:v>
      </x:c>
      <x:c r="Q77" s="38" t="str">
        <x:v>https://bazaar-builds.net/db/items/mr-richardson.html</x:v>
      </x:c>
      <x:c r="R77" s="38" t="str">
        <x:v>shield 30 when you haste or slow, this gains +5 / 10 / 15 shield for the fight.</x:v>
      </x:c>
      <x:c r="S77" s="38" t="str">
        <x:v>一对一确认来源对象。</x:v>
      </x:c>
    </x:row>
    <x:row r="78">
      <x:c r="A78" s="38" t="str">
        <x:v>bz_van_077</x:v>
      </x:c>
      <x:c r="B78" s="38" t="n">
        <x:v>77</x:v>
      </x:c>
      <x:c r="C78" s="38" t="str">
        <x:v>item</x:v>
      </x:c>
      <x:c r="D78" s="38" t="str">
        <x:v>confirmed</x:v>
      </x:c>
      <x:c r="E78" s="38" t="str">
        <x:v>musket</x:v>
      </x:c>
      <x:c r="F78" s="38" t="str">
        <x:v>Musket</x:v>
      </x:c>
      <x:c r="G78" s="38" t="str">
        <x:v>silver</x:v>
      </x:c>
      <x:c r="H78" s="38" t="str">
        <x:v>medium</x:v>
      </x:c>
      <x:c r="I78" s="38" t="str">
        <x:v>weapon, damage, ammo, burnreference</x:v>
      </x:c>
      <x:c r="J78" s="38" t="n">
        <x:v>10</x:v>
      </x:c>
      <x:c r="K78" s="38" t="str">
        <x:v>merchant_colt, merchant_aila, merchant_barkun, merchant_goldie, merchant_hef, merchant_jay-jay, merchant_luxe, merchant_mittel, merchant_quixel, merchant_serafina</x:v>
      </x:c>
      <x:c r="L78" s="38" t="n">
        <x:v>10</x:v>
      </x:c>
      <x:c r="M78" s="38" t="str">
        <x:v>night_base, elem_水, elem_雷, elem_无, role_召唤, role_坦克, role_控制, role_治疗, role_机动, tier_pT2</x:v>
      </x:c>
      <x:c r="N78" s="38" t="str">
        <x:v>Fiery</x:v>
      </x:c>
      <x:c r="O78" s="38" t="str">
        <x:v>pal_077</x:v>
      </x:c>
      <x:c r="P78" s="38" t="str">
        <x:v>燧火黑乌</x:v>
      </x:c>
      <x:c r="Q78" s="38" t="str">
        <x:v>https://bazaar-builds.net/db/items/musket.html</x:v>
      </x:c>
      <x:c r="R78" s="38" t="str">
        <x:v>deal 100 / 150 / 300 damage when you burn with an adjacent item, reload this and it gains +25 / 50 / 75 damage for the fight.</x:v>
      </x:c>
      <x:c r="S78" s="38" t="str">
        <x:v>一对一确认来源对象。</x:v>
      </x:c>
    </x:row>
    <x:row r="79">
      <x:c r="A79" s="38" t="str">
        <x:v>bz_van_078</x:v>
      </x:c>
      <x:c r="B79" s="38" t="n">
        <x:v>78</x:v>
      </x:c>
      <x:c r="C79" s="38" t="str">
        <x:v>item</x:v>
      </x:c>
      <x:c r="D79" s="38" t="str">
        <x:v>confirmed</x:v>
      </x:c>
      <x:c r="E79" s="38" t="str">
        <x:v>narwhal</x:v>
      </x:c>
      <x:c r="F79" s="38" t="str">
        <x:v>Narwhal</x:v>
      </x:c>
      <x:c r="G79" s="38" t="str">
        <x:v>bronze</x:v>
      </x:c>
      <x:c r="H79" s="38" t="str">
        <x:v>small</x:v>
      </x:c>
      <x:c r="I79" s="38" t="str">
        <x:v>aquatic, weapon, friend, damage</x:v>
      </x:c>
      <x:c r="J79" s="38" t="n">
        <x:v>10</x:v>
      </x:c>
      <x:c r="K79" s="38" t="str">
        <x:v>merchant_dryad, merchant_nautica, merchant_aila, merchant_ande, merchant_goldie, merchant_jay-jay, merchant_luxe, merchant_midsworth, merchant_quixel, merchant_serafina</x:v>
      </x:c>
      <x:c r="L79" s="38" t="n">
        <x:v>10</x:v>
      </x:c>
      <x:c r="M79" s="38" t="str">
        <x:v>night_base, elem_火, elem_雷, elem_地, role_召唤, role_坦克, role_控制, role_治疗, role_输出, role_机动压制</x:v>
      </x:c>
      <x:c r="N79" s="38" t="str">
        <x:v>Deadly</x:v>
      </x:c>
      <x:c r="O79" s="38" t="str">
        <x:v>pal_078</x:v>
      </x:c>
      <x:c r="P79" s="38" t="str">
        <x:v>幽泉灵猫</x:v>
      </x:c>
      <x:c r="Q79" s="38" t="str">
        <x:v>https://bazaar-builds.net/db/items/narwhal.html</x:v>
      </x:c>
      <x:c r="R79" s="38" t="str">
        <x:v>deal 5 / 10 / 20 / 40 damage</x:v>
      </x:c>
      <x:c r="S79" s="38" t="str">
        <x:v>一对一确认来源对象。</x:v>
      </x:c>
    </x:row>
    <x:row r="80">
      <x:c r="A80" s="38" t="str">
        <x:v>bz_van_079</x:v>
      </x:c>
      <x:c r="B80" s="38" t="n">
        <x:v>79</x:v>
      </x:c>
      <x:c r="C80" s="38" t="str">
        <x:v>item</x:v>
      </x:c>
      <x:c r="D80" s="38" t="str">
        <x:v>confirmed</x:v>
      </x:c>
      <x:c r="E80" s="38" t="str">
        <x:v>nesting-doll</x:v>
      </x:c>
      <x:c r="F80" s="38" t="str">
        <x:v>Nesting Doll</x:v>
      </x:c>
      <x:c r="G80" s="38" t="str">
        <x:v>silver</x:v>
      </x:c>
      <x:c r="H80" s="38" t="str">
        <x:v>small</x:v>
      </x:c>
      <x:c r="I80" s="38" t="str">
        <x:v>toy, shield, ammo</x:v>
      </x:c>
      <x:c r="J80" s="38" t="n">
        <x:v>10</x:v>
      </x:c>
      <x:c r="K80" s="38" t="str">
        <x:v>merchant_colt, merchant_kev-s-armory, merchant_ande, merchant_goldie, merchant_jay-jay, merchant_kina, merchant_luxe, merchant_midsworth, merchant_proteus, merchant_quixel</x:v>
      </x:c>
      <x:c r="L80" s="38" t="n">
        <x:v>10</x:v>
      </x:c>
      <x:c r="M80" s="38" t="str">
        <x:v>elem_火, elem_雷, elem_冰, elem_地, elem_龙, role_召唤, role_坦克, role_控制, role_机动, tier_pT3</x:v>
      </x:c>
      <x:c r="N80" s="38" t="str">
        <x:v>Shielded</x:v>
      </x:c>
      <x:c r="O80" s="38" t="str">
        <x:v>pal_079</x:v>
      </x:c>
      <x:c r="P80" s="38" t="str">
        <x:v>焰尾山狐</x:v>
      </x:c>
      <x:c r="Q80" s="38" t="str">
        <x:v>https://bazaar-builds.net/db/items/nesting-doll.html</x:v>
      </x:c>
      <x:c r="R80" s="38" t="str">
        <x:v>shield equal to this item's ammo at the start of each day, this gains 1 / 2 / 3 max ammo.</x:v>
      </x:c>
      <x:c r="S80" s="38" t="str">
        <x:v>一对一确认来源对象。</x:v>
      </x:c>
    </x:row>
    <x:row r="81">
      <x:c r="A81" s="38" t="str">
        <x:v>bz_van_080</x:v>
      </x:c>
      <x:c r="B81" s="38" t="n">
        <x:v>80</x:v>
      </x:c>
      <x:c r="C81" s="38" t="str">
        <x:v>item</x:v>
      </x:c>
      <x:c r="D81" s="38" t="str">
        <x:v>confirmed</x:v>
      </x:c>
      <x:c r="E81" s="38" t="str">
        <x:v>old-saltclaw</x:v>
      </x:c>
      <x:c r="F81" s="38" t="str">
        <x:v>Old Saltclaw</x:v>
      </x:c>
      <x:c r="G81" s="38" t="str">
        <x:v>silver</x:v>
      </x:c>
      <x:c r="H81" s="38" t="str">
        <x:v>small</x:v>
      </x:c>
      <x:c r="I81" s="38" t="str">
        <x:v>aquatic, friend, weapon, damage, hastereference, slowreference</x:v>
      </x:c>
      <x:c r="J81" s="38" t="n">
        <x:v>10</x:v>
      </x:c>
      <x:c r="K81" s="38" t="str">
        <x:v>merchant_dryad, merchant_nautica, merchant_tok-s-clocks, merchant_aila, merchant_ande, merchant_chronos, merchant_cobweb, merchant_goldie, merchant_jay-jay, merchant_luxe</x:v>
      </x:c>
      <x:c r="L81" s="38" t="n">
        <x:v>10</x:v>
      </x:c>
      <x:c r="M81" s="38" t="str">
        <x:v>night_base, elem_火, elem_雷, role_坦克, role_控制, role_输出, special_merchant, elite_high, role_召唤铺场, role_机动压制</x:v>
      </x:c>
      <x:c r="N81" s="38" t="str">
        <x:v>Icy</x:v>
      </x:c>
      <x:c r="O81" s="38" t="str">
        <x:v>pal_080</x:v>
      </x:c>
      <x:c r="P81" s="38" t="str">
        <x:v>踏春白兔</x:v>
      </x:c>
      <x:c r="Q81" s="38" t="str">
        <x:v>https://bazaar-builds.net/db/items/old-saltclaw.html</x:v>
      </x:c>
      <x:c r="R81" s="38" t="str">
        <x:v>deal 30 damage when you haste or slow, this gains +5 / 10 / 15 damage for the fight.</x:v>
      </x:c>
      <x:c r="S81" s="38" t="str">
        <x:v>一对一确认来源对象。</x:v>
      </x:c>
    </x:row>
    <x:row r="82">
      <x:c r="A82" s="38" t="str">
        <x:v>bz_van_081</x:v>
      </x:c>
      <x:c r="B82" s="38" t="n">
        <x:v>81</x:v>
      </x:c>
      <x:c r="C82" s="38" t="str">
        <x:v>item</x:v>
      </x:c>
      <x:c r="D82" s="38" t="str">
        <x:v>confirmed</x:v>
      </x:c>
      <x:c r="E82" s="38" t="str">
        <x:v>oni-mask</x:v>
      </x:c>
      <x:c r="F82" s="38" t="str">
        <x:v>Oni Mask</x:v>
      </x:c>
      <x:c r="G82" s="38" t="str">
        <x:v>silver</x:v>
      </x:c>
      <x:c r="H82" s="38" t="str">
        <x:v>medium</x:v>
      </x:c>
      <x:c r="I82" s="38" t="str">
        <x:v>apparel, tech, burn, critreference</x:v>
      </x:c>
      <x:c r="J82" s="38" t="n">
        <x:v>10</x:v>
      </x:c>
      <x:c r="K82" s="38" t="str">
        <x:v>merchant_aimbot, merchant_the-tester, merchant_barkun, merchant_gaseo, merchant_goldie, merchant_hef, merchant_jay-jay, merchant_kina, merchant_luxe, merchant_mittel</x:v>
      </x:c>
      <x:c r="L82" s="38" t="n">
        <x:v>10</x:v>
      </x:c>
      <x:c r="M82" s="38" t="str">
        <x:v>elem_水, elem_雷, elem_冰, elem_无, role_坦克, role_控制, tier_pT1, tier_pT2, role_抗压承伤, role_重甲抗压</x:v>
      </x:c>
      <x:c r="N82" s="38" t="str">
        <x:v>Fiery</x:v>
      </x:c>
      <x:c r="O82" s="38" t="str">
        <x:v>pal_081</x:v>
      </x:c>
      <x:c r="P82" s="38" t="str">
        <x:v>药香花鹿</x:v>
      </x:c>
      <x:c r="Q82" s="38" t="str">
        <x:v>https://bazaar-builds.net/db/items/oni-mask.html</x:v>
      </x:c>
      <x:c r="R82" s="38" t="str">
        <x:v>burn 6 / 9 / 12 when you crit, your burn items gain +4 / 6 / 8 burn for the fight.</x:v>
      </x:c>
      <x:c r="S82" s="38" t="str">
        <x:v>一对一确认来源对象。</x:v>
      </x:c>
    </x:row>
    <x:row r="83">
      <x:c r="A83" s="38" t="str">
        <x:v>bz_van_082</x:v>
      </x:c>
      <x:c r="B83" s="38" t="n">
        <x:v>82</x:v>
      </x:c>
      <x:c r="C83" s="38" t="str">
        <x:v>item</x:v>
      </x:c>
      <x:c r="D83" s="38" t="str">
        <x:v>confirmed</x:v>
      </x:c>
      <x:c r="E83" s="38" t="str">
        <x:v>orange-julian</x:v>
      </x:c>
      <x:c r="F83" s="38" t="str">
        <x:v>Orange Julian</x:v>
      </x:c>
      <x:c r="G83" s="38" t="str">
        <x:v>silver</x:v>
      </x:c>
      <x:c r="H83" s="38" t="str">
        <x:v>medium</x:v>
      </x:c>
      <x:c r="I83" s="38" t="str">
        <x:v>friend, damagereference, economyreference</x:v>
      </x:c>
      <x:c r="J83" s="38" t="n">
        <x:v>10</x:v>
      </x:c>
      <x:c r="K83" s="38" t="str">
        <x:v>merchant_dryad, merchant_barkun, merchant_goldie, merchant_jay-jay, merchant_kina, merchant_luxe, merchant_mittel, merchant_prospero, merchant_quixel, merchant_serafina</x:v>
      </x:c>
      <x:c r="L83" s="38" t="n">
        <x:v>10</x:v>
      </x:c>
      <x:c r="M83" s="38" t="str">
        <x:v>elem_水, elem_雷, elem_冰, elem_无, role_召唤, role_坦克, role_控制, role_治疗, role_机动, role_机动压制</x:v>
      </x:c>
      <x:c r="N83" s="38" t="str">
        <x:v>Golden</x:v>
      </x:c>
      <x:c r="O83" s="38" t="str">
        <x:v>pal_082</x:v>
      </x:c>
      <x:c r="P83" s="38" t="str">
        <x:v>冰丝巨蛾</x:v>
      </x:c>
      <x:c r="Q83" s="38" t="str">
        <x:v>https://bazaar-builds.net/db/items/orange-julian.html</x:v>
      </x:c>
      <x:c r="R83" s="38" t="str">
        <x:v>your weapons gain +damage equal to half the gold you have gained this run.</x:v>
      </x:c>
      <x:c r="S83" s="38" t="str">
        <x:v>一对一确认来源对象。</x:v>
      </x:c>
    </x:row>
    <x:row r="84">
      <x:c r="A84" s="38" t="str">
        <x:v>bz_van_083</x:v>
      </x:c>
      <x:c r="B84" s="38" t="n">
        <x:v>83</x:v>
      </x:c>
      <x:c r="C84" s="38" t="str">
        <x:v>item</x:v>
      </x:c>
      <x:c r="D84" s="38" t="str">
        <x:v>confirmed</x:v>
      </x:c>
      <x:c r="E84" s="38" t="str">
        <x:v>pearl</x:v>
      </x:c>
      <x:c r="F84" s="38" t="str">
        <x:v>Pearl</x:v>
      </x:c>
      <x:c r="G84" s="38" t="str">
        <x:v>bronze</x:v>
      </x:c>
      <x:c r="H84" s="38" t="str">
        <x:v>small</x:v>
      </x:c>
      <x:c r="I84" s="38" t="str">
        <x:v>aquatic, shield</x:v>
      </x:c>
      <x:c r="J84" s="38" t="n">
        <x:v>10</x:v>
      </x:c>
      <x:c r="K84" s="38" t="str">
        <x:v>merchant_kev-s-armory, merchant_nautica, merchant_ande, merchant_goldie, merchant_jay-jay, merchant_kina, merchant_luxe, merchant_midsworth, merchant_proteus, merchant_quixel</x:v>
      </x:c>
      <x:c r="L84" s="38" t="n">
        <x:v>10</x:v>
      </x:c>
      <x:c r="M84" s="38" t="str">
        <x:v>elem_火, elem_雷, elem_冰, elem_地, elem_龙, role_召唤, role_坦克, role_控制, role_输出, tier_pT3</x:v>
      </x:c>
      <x:c r="N84" s="38" t="str">
        <x:v>Turbo</x:v>
      </x:c>
      <x:c r="O84" s="38" t="str">
        <x:v>pal_083</x:v>
      </x:c>
      <x:c r="P84" s="38" t="str">
        <x:v>云鳞幼螭</x:v>
      </x:c>
      <x:c r="Q84" s="38" t="str">
        <x:v>https://bazaar-builds.net/db/items/pearl.html</x:v>
      </x:c>
      <x:c r="R84" s="38" t="str">
        <x:v>shield 10 / 20 / 30 / 40 when you use another aquatic item, charge this 1 second.</x:v>
      </x:c>
      <x:c r="S84" s="38" t="str">
        <x:v>一对一确认来源对象。</x:v>
      </x:c>
    </x:row>
    <x:row r="85">
      <x:c r="A85" s="38" t="str">
        <x:v>bz_van_084</x:v>
      </x:c>
      <x:c r="B85" s="38" t="n">
        <x:v>84</x:v>
      </x:c>
      <x:c r="C85" s="38" t="str">
        <x:v>item</x:v>
      </x:c>
      <x:c r="D85" s="38" t="str">
        <x:v>confirmed</x:v>
      </x:c>
      <x:c r="E85" s="38" t="str">
        <x:v>pesky-pete</x:v>
      </x:c>
      <x:c r="F85" s="38" t="str">
        <x:v>Pesky Pete</x:v>
      </x:c>
      <x:c r="G85" s="38" t="str">
        <x:v>bronze</x:v>
      </x:c>
      <x:c r="H85" s="38" t="str">
        <x:v>small</x:v>
      </x:c>
      <x:c r="I85" s="38" t="str">
        <x:v>friend, burn, flying</x:v>
      </x:c>
      <x:c r="J85" s="38" t="n">
        <x:v>10</x:v>
      </x:c>
      <x:c r="K85" s="38" t="str">
        <x:v>merchant_dryad, merchant_pinfeather, merchant_ande, merchant_goldie, merchant_hef, merchant_jay-jay, merchant_kina, merchant_luxe, merchant_midsworth, merchant_quixel</x:v>
      </x:c>
      <x:c r="L85" s="38" t="n">
        <x:v>10</x:v>
      </x:c>
      <x:c r="M85" s="38" t="str">
        <x:v>elem_火, elem_草, elem_雷, elem_冰, elem_地, role_召唤, role_坦克, role_控制, tier_pT2, role_机动压制</x:v>
      </x:c>
      <x:c r="N85" s="38" t="str">
        <x:v>Fiery</x:v>
      </x:c>
      <x:c r="O85" s="38" t="str">
        <x:v>pal_084</x:v>
      </x:c>
      <x:c r="P85" s="38" t="str">
        <x:v>沧浪青蛟</x:v>
      </x:c>
      <x:c r="Q85" s="38" t="str">
        <x:v>https://bazaar-builds.net/db/items/pesky-pete.html</x:v>
      </x:c>
      <x:c r="R85" s="38" t="str">
        <x:v>burn 2 this starts flying for each adjacent friend or property, this has +1 multicast.</x:v>
      </x:c>
      <x:c r="S85" s="38" t="str">
        <x:v>一对一确认来源对象。</x:v>
      </x:c>
    </x:row>
    <x:row r="86">
      <x:c r="A86" s="38" t="str">
        <x:v>bz_van_085</x:v>
      </x:c>
      <x:c r="B86" s="38" t="n">
        <x:v>85</x:v>
      </x:c>
      <x:c r="C86" s="38" t="str">
        <x:v>item</x:v>
      </x:c>
      <x:c r="D86" s="38" t="str">
        <x:v>confirmed</x:v>
      </x:c>
      <x:c r="E86" s="38" t="str">
        <x:v>pet-rock</x:v>
      </x:c>
      <x:c r="F86" s="38" t="str">
        <x:v>Pet Rock</x:v>
      </x:c>
      <x:c r="G86" s="38" t="str">
        <x:v>bronze</x:v>
      </x:c>
      <x:c r="H86" s="38" t="str">
        <x:v>small</x:v>
      </x:c>
      <x:c r="I86" s="38" t="str">
        <x:v>weapon, friend, toy, damage, crit</x:v>
      </x:c>
      <x:c r="J86" s="38" t="n">
        <x:v>10</x:v>
      </x:c>
      <x:c r="K86" s="38" t="str">
        <x:v>merchant_aimbot, merchant_dryad, merchant_aila, merchant_ande, merchant_goldie, merchant_jay-jay, merchant_luxe, merchant_midsworth, merchant_quixel, merchant_serafina</x:v>
      </x:c>
      <x:c r="L86" s="38" t="n">
        <x:v>10</x:v>
      </x:c>
      <x:c r="M86" s="38" t="str">
        <x:v>night_base, elem_火, elem_雷, elem_地, role_召唤, role_坦克, role_控制, role_治疗, tier_pT1, role_机动压制</x:v>
      </x:c>
      <x:c r="N86" s="38" t="str">
        <x:v>Deadly</x:v>
      </x:c>
      <x:c r="O86" s="38" t="str">
        <x:v>pal_085</x:v>
      </x:c>
      <x:c r="P86" s="38" t="str">
        <x:v>涌泉水獭</x:v>
      </x:c>
      <x:c r="Q86" s="38" t="str">
        <x:v>https://bazaar-builds.net/db/items/pet-rock.html</x:v>
      </x:c>
      <x:c r="R86" s="38" t="str">
        <x:v>deal 10 / 20 / 40 / 80 damage if this is your only friend, your items have +10 / 15 / 20 / 25% crit chance.</x:v>
      </x:c>
      <x:c r="S86" s="38" t="str">
        <x:v>一对一确认来源对象。</x:v>
      </x:c>
    </x:row>
    <x:row r="87">
      <x:c r="A87" s="38" t="str">
        <x:v>bz_van_086</x:v>
      </x:c>
      <x:c r="B87" s="38" t="n">
        <x:v>86</x:v>
      </x:c>
      <x:c r="C87" s="38" t="str">
        <x:v>item</x:v>
      </x:c>
      <x:c r="D87" s="38" t="str">
        <x:v>confirmed</x:v>
      </x:c>
      <x:c r="E87" s="38" t="str">
        <x:v>piano</x:v>
      </x:c>
      <x:c r="F87" s="38" t="str">
        <x:v>Piano</x:v>
      </x:c>
      <x:c r="G87" s="38" t="str">
        <x:v>gold</x:v>
      </x:c>
      <x:c r="H87" s="38" t="str">
        <x:v>medium</x:v>
      </x:c>
      <x:c r="I87" s="38" t="str">
        <x:v>haste</x:v>
      </x:c>
      <x:c r="J87" s="38" t="n">
        <x:v>10</x:v>
      </x:c>
      <x:c r="K87" s="38" t="str">
        <x:v>merchant_tok-s-clocks, merchant_barkun, merchant_chronos, merchant_goldie, merchant_jay-jay, merchant_kina, merchant_luxe, merchant_mittel, merchant_quixel, merchant_serafina</x:v>
      </x:c>
      <x:c r="L87" s="38" t="n">
        <x:v>10</x:v>
      </x:c>
      <x:c r="M87" s="38" t="str">
        <x:v>elem_水, elem_雷, elem_冰, elem_无, role_召唤, role_坦克, role_控制, role_治疗, special_merchant, elite_high</x:v>
      </x:c>
      <x:c r="N87" s="38" t="str">
        <x:v>Turbo</x:v>
      </x:c>
      <x:c r="O87" s="38" t="str">
        <x:v>pal_086</x:v>
      </x:c>
      <x:c r="P87" s="38" t="str">
        <x:v>赤炎狻猊</x:v>
      </x:c>
      <x:c r="Q87" s="38" t="str">
        <x:v>https://bazaar-builds.net/db/items/piano.html</x:v>
      </x:c>
      <x:c r="R87" s="38" t="str">
        <x:v>when you use a friend, haste it for 1 → 2 seconds. adjacent items are friends.</x:v>
      </x:c>
      <x:c r="S87" s="38" t="str">
        <x:v>一对一确认来源对象。</x:v>
      </x:c>
    </x:row>
    <x:row r="88">
      <x:c r="A88" s="38" t="str">
        <x:v>bz_van_087</x:v>
      </x:c>
      <x:c r="B88" s="38" t="n">
        <x:v>87</x:v>
      </x:c>
      <x:c r="C88" s="38" t="str">
        <x:v>item</x:v>
      </x:c>
      <x:c r="D88" s="38" t="str">
        <x:v>confirmed</x:v>
      </x:c>
      <x:c r="E88" s="38" t="str">
        <x:v>piranha</x:v>
      </x:c>
      <x:c r="F88" s="38" t="str">
        <x:v>Piranha</x:v>
      </x:c>
      <x:c r="G88" s="38" t="str">
        <x:v>bronze</x:v>
      </x:c>
      <x:c r="H88" s="38" t="str">
        <x:v>small</x:v>
      </x:c>
      <x:c r="I88" s="38" t="str">
        <x:v>aquatic, weapon, friend, damage, charge</x:v>
      </x:c>
      <x:c r="J88" s="38" t="n">
        <x:v>10</x:v>
      </x:c>
      <x:c r="K88" s="38" t="str">
        <x:v>merchant_dryad, merchant_nautica, merchant_aila, merchant_ande, merchant_goldie, merchant_jay-jay, merchant_luxe, merchant_midsworth, merchant_quixel, merchant_serafina</x:v>
      </x:c>
      <x:c r="L88" s="38" t="n">
        <x:v>10</x:v>
      </x:c>
      <x:c r="M88" s="38" t="str">
        <x:v>night_base, elem_火, elem_雷, elem_地, role_召唤, role_坦克, role_控制, role_治疗, role_输出, role_机动压制</x:v>
      </x:c>
      <x:c r="N88" s="38" t="str">
        <x:v>Turbo</x:v>
      </x:c>
      <x:c r="O88" s="38" t="str">
        <x:v>pal_087</x:v>
      </x:c>
      <x:c r="P88" s="38" t="str">
        <x:v>碧海青蛟</x:v>
      </x:c>
      <x:c r="Q88" s="38" t="str">
        <x:v>https://bazaar-builds.net/db/items/piranha.html</x:v>
      </x:c>
      <x:c r="R88" s="38" t="str">
        <x:v>deal 15 damage when you use another friend or food, charge this 1 second.</x:v>
      </x:c>
      <x:c r="S88" s="38" t="str">
        <x:v>一对一确认来源对象。</x:v>
      </x:c>
    </x:row>
    <x:row r="89">
      <x:c r="A89" s="38" t="str">
        <x:v>bz_van_088</x:v>
      </x:c>
      <x:c r="B89" s="38" t="n">
        <x:v>88</x:v>
      </x:c>
      <x:c r="C89" s="38" t="str">
        <x:v>item</x:v>
      </x:c>
      <x:c r="D89" s="38" t="str">
        <x:v>confirmed</x:v>
      </x:c>
      <x:c r="E89" s="38" t="str">
        <x:v>pistol-sword</x:v>
      </x:c>
      <x:c r="F89" s="38" t="str">
        <x:v>Pistol Sword</x:v>
      </x:c>
      <x:c r="G89" s="38" t="str">
        <x:v>gold</x:v>
      </x:c>
      <x:c r="H89" s="38" t="str">
        <x:v>medium</x:v>
      </x:c>
      <x:c r="I89" s="38" t="str">
        <x:v>weapon, damage, ammo</x:v>
      </x:c>
      <x:c r="J89" s="38" t="n">
        <x:v>10</x:v>
      </x:c>
      <x:c r="K89" s="38" t="str">
        <x:v>merchant_colt, merchant_aila, merchant_barkun, merchant_goldie, merchant_jay-jay, merchant_luxe, merchant_mittel, merchant_quixel, merchant_serafina, merchant_valpak</x:v>
      </x:c>
      <x:c r="L89" s="38" t="n">
        <x:v>10</x:v>
      </x:c>
      <x:c r="M89" s="38" t="str">
        <x:v>night_base, elem_水, elem_雷, elem_暗, elem_无, role_召唤, role_坦克, role_控制, role_治疗, role_机动</x:v>
      </x:c>
      <x:c r="N89" s="38" t="str">
        <x:v>Deadly</x:v>
      </x:c>
      <x:c r="O89" s="38" t="str">
        <x:v>pal_088</x:v>
      </x:c>
      <x:c r="P89" s="38" t="str">
        <x:v>冰棘豪猪</x:v>
      </x:c>
      <x:c r="Q89" s="38" t="str">
        <x:v>https://bazaar-builds.net/db/items/pistol-sword.html</x:v>
      </x:c>
      <x:c r="R89" s="38" t="str">
        <x:v>deal 15 → 30 damage when you use an ammo item, deal 15 → 30 damage.</x:v>
      </x:c>
      <x:c r="S89" s="38" t="str">
        <x:v>一对一确认来源对象。</x:v>
      </x:c>
    </x:row>
    <x:row r="90">
      <x:c r="A90" s="38" t="str">
        <x:v>bz_van_089</x:v>
      </x:c>
      <x:c r="B90" s="38" t="n">
        <x:v>89</x:v>
      </x:c>
      <x:c r="C90" s="38" t="str">
        <x:v>item</x:v>
      </x:c>
      <x:c r="D90" s="38" t="str">
        <x:v>confirmed</x:v>
      </x:c>
      <x:c r="E90" s="38" t="str">
        <x:v>pop-snappers</x:v>
      </x:c>
      <x:c r="F90" s="38" t="str">
        <x:v>Pop Snappers</x:v>
      </x:c>
      <x:c r="G90" s="38" t="str">
        <x:v>bronze</x:v>
      </x:c>
      <x:c r="H90" s="38" t="str">
        <x:v>small</x:v>
      </x:c>
      <x:c r="I90" s="38" t="str">
        <x:v>toy, burn, ammo</x:v>
      </x:c>
      <x:c r="J90" s="38" t="n">
        <x:v>10</x:v>
      </x:c>
      <x:c r="K90" s="38" t="str">
        <x:v>merchant_colt, merchant_ande, merchant_goldie, merchant_hef, merchant_jay-jay, merchant_kina, merchant_luxe, merchant_midsworth, merchant_quixel, merchant_serafina</x:v>
      </x:c>
      <x:c r="L90" s="38" t="n">
        <x:v>10</x:v>
      </x:c>
      <x:c r="M90" s="38" t="str">
        <x:v>elem_火, elem_雷, elem_冰, elem_地, role_召唤, role_坦克, role_控制, role_治疗, role_机动, tier_pT2</x:v>
      </x:c>
      <x:c r="N90" s="38" t="str">
        <x:v>Fiery</x:v>
      </x:c>
      <x:c r="O90" s="38" t="str">
        <x:v>pal_089</x:v>
      </x:c>
      <x:c r="P90" s="38" t="str">
        <x:v>狱火凶獒</x:v>
      </x:c>
      <x:c r="Q90" s="38" t="str">
        <x:v>https://bazaar-builds.net/db/items/pop-snappers.html</x:v>
      </x:c>
      <x:c r="R90" s="38" t="str">
        <x:v>burn 4 / 8 / 12 / 16</x:v>
      </x:c>
      <x:c r="S90" s="38" t="str">
        <x:v>一对一确认来源对象。</x:v>
      </x:c>
    </x:row>
    <x:row r="91">
      <x:c r="A91" s="38" t="str">
        <x:v>bz_van_090</x:v>
      </x:c>
      <x:c r="B91" s="38" t="n">
        <x:v>90</x:v>
      </x:c>
      <x:c r="C91" s="38" t="str">
        <x:v>item</x:v>
      </x:c>
      <x:c r="D91" s="38" t="str">
        <x:v>confirmed</x:v>
      </x:c>
      <x:c r="E91" s="38" t="str">
        <x:v>port</x:v>
      </x:c>
      <x:c r="F91" s="38" t="str">
        <x:v>Port</x:v>
      </x:c>
      <x:c r="G91" s="38" t="str">
        <x:v>silver</x:v>
      </x:c>
      <x:c r="H91" s="38" t="str">
        <x:v>large</x:v>
      </x:c>
      <x:c r="I91" s="38" t="str">
        <x:v>property, aquatic, ammoreference, charge</x:v>
      </x:c>
      <x:c r="J91" s="38" t="n">
        <x:v>10</x:v>
      </x:c>
      <x:c r="K91" s="38" t="str">
        <x:v>merchant_colt, merchant_nautica, merchant_barkun, merchant_goldie, merchant_jay-jay, merchant_kina, merchant_luxe, merchant_midsworth, merchant_mr-morland, merchant_pol</x:v>
      </x:c>
      <x:c r="L91" s="38" t="n">
        <x:v>10</x:v>
      </x:c>
      <x:c r="M91" s="38" t="str">
        <x:v>elem_水, elem_雷, elem_冰, elem_地, elem_暗, role_坦克, role_控制, role_输出, role_机动, role_风系铺场</x:v>
      </x:c>
      <x:c r="N91" s="38" t="str">
        <x:v>Turbo</x:v>
      </x:c>
      <x:c r="O91" s="38" t="str">
        <x:v>pal_090</x:v>
      </x:c>
      <x:c r="P91" s="38" t="str">
        <x:v>三首火犬</x:v>
      </x:c>
      <x:c r="Q91" s="38" t="str">
        <x:v>https://bazaar-builds.net/db/items/port.html</x:v>
      </x:c>
      <x:c r="R91" s="38" t="str">
        <x:v>reload all your items 2 / 3 / 4 ammo and charge them 1 / 2 / 3 seconds at the start of each day, get a small ammo item from any hero.</x:v>
      </x:c>
      <x:c r="S91" s="38" t="str">
        <x:v>一对一确认来源对象。</x:v>
      </x:c>
    </x:row>
    <x:row r="92">
      <x:c r="A92" s="38" t="str">
        <x:v>bz_van_091</x:v>
      </x:c>
      <x:c r="B92" s="38" t="n">
        <x:v>91</x:v>
      </x:c>
      <x:c r="C92" s="38" t="str">
        <x:v>item</x:v>
      </x:c>
      <x:c r="D92" s="38" t="str">
        <x:v>confirmed</x:v>
      </x:c>
      <x:c r="E92" s="38" t="str">
        <x:v>powder-horn</x:v>
      </x:c>
      <x:c r="F92" s="38" t="str">
        <x:v>Powder Horn</x:v>
      </x:c>
      <x:c r="G92" s="38" t="str">
        <x:v>bronze</x:v>
      </x:c>
      <x:c r="H92" s="38" t="str">
        <x:v>small</x:v>
      </x:c>
      <x:c r="I92" s="38" t="str">
        <x:v>tool, ammoreference</x:v>
      </x:c>
      <x:c r="J92" s="38" t="n">
        <x:v>10</x:v>
      </x:c>
      <x:c r="K92" s="38" t="str">
        <x:v>merchant_colt, merchant_ande, merchant_goldie, merchant_jay-jay, merchant_kina, merchant_luxe, merchant_midsworth, merchant_orion, merchant_quixel, merchant_serafina</x:v>
      </x:c>
      <x:c r="L92" s="38" t="n">
        <x:v>10</x:v>
      </x:c>
      <x:c r="M92" s="38" t="str">
        <x:v>elem_火, elem_雷, elem_冰, elem_地, role_召唤, role_坦克, role_控制, role_治疗, role_机动, role_远点压制</x:v>
      </x:c>
      <x:c r="N92" s="38" t="str">
        <x:v>Deadly</x:v>
      </x:c>
      <x:c r="O92" s="38" t="str">
        <x:v>pal_091</x:v>
      </x:c>
      <x:c r="P92" s="38" t="str">
        <x:v>覆水龙龟</x:v>
      </x:c>
      <x:c r="Q92" s="38" t="str">
        <x:v>https://bazaar-builds.net/db/items/powder-horn.html</x:v>
      </x:c>
      <x:c r="R92" s="38" t="str">
        <x:v>reload the item to the right of this 1 / 2 / 3 / 4 ammo</x:v>
      </x:c>
      <x:c r="S92" s="38" t="str">
        <x:v>一对一确认来源对象。</x:v>
      </x:c>
    </x:row>
    <x:row r="93">
      <x:c r="A93" s="38" t="str">
        <x:v>bz_van_092</x:v>
      </x:c>
      <x:c r="B93" s="38" t="n">
        <x:v>92</x:v>
      </x:c>
      <x:c r="C93" s="38" t="str">
        <x:v>item</x:v>
      </x:c>
      <x:c r="D93" s="38" t="str">
        <x:v>confirmed</x:v>
      </x:c>
      <x:c r="E93" s="38" t="str">
        <x:v>powder-keg</x:v>
      </x:c>
      <x:c r="F93" s="38" t="str">
        <x:v>Powder Keg</x:v>
      </x:c>
      <x:c r="G93" s="38" t="str">
        <x:v>gold</x:v>
      </x:c>
      <x:c r="H93" s="38" t="str">
        <x:v>medium</x:v>
      </x:c>
      <x:c r="I93" s="38" t="str">
        <x:v>weapon, damage, burnreference</x:v>
      </x:c>
      <x:c r="J93" s="38" t="n">
        <x:v>10</x:v>
      </x:c>
      <x:c r="K93" s="38" t="str">
        <x:v>merchant_aila, merchant_barkun, merchant_goldie, merchant_hef, merchant_jay-jay, merchant_luxe, merchant_mittel, merchant_quixel, merchant_serafina, merchant_valpak</x:v>
      </x:c>
      <x:c r="L93" s="38" t="n">
        <x:v>10</x:v>
      </x:c>
      <x:c r="M93" s="38" t="str">
        <x:v>night_base, elem_水, elem_雷, elem_暗, elem_无, role_召唤, role_坦克, role_控制, role_治疗, tier_pT2</x:v>
      </x:c>
      <x:c r="N93" s="38" t="str">
        <x:v>Fiery</x:v>
      </x:c>
      <x:c r="O93" s="38" t="str">
        <x:v>pal_092</x:v>
      </x:c>
      <x:c r="P93" s="38" t="str">
        <x:v>雷泽青蛟</x:v>
      </x:c>
      <x:c r="Q93" s="38" t="str">
        <x:v>https://bazaar-builds.net/db/items/powder-keg.html</x:v>
      </x:c>
      <x:c r="R93" s="38" t="str">
        <x:v>deal damage equal to 30 → 40% of an enemy's max health and destroy this when you burn, charge this 2 seconds.</x:v>
      </x:c>
      <x:c r="S93" s="38" t="str">
        <x:v>一对一确认来源对象。</x:v>
      </x:c>
    </x:row>
    <x:row r="94">
      <x:c r="A94" s="38" t="str">
        <x:v>bz_van_093</x:v>
      </x:c>
      <x:c r="B94" s="38" t="n">
        <x:v>93</x:v>
      </x:c>
      <x:c r="C94" s="38" t="str">
        <x:v>item</x:v>
      </x:c>
      <x:c r="D94" s="38" t="str">
        <x:v>confirmed</x:v>
      </x:c>
      <x:c r="E94" s="38" t="str">
        <x:v>pufferfish</x:v>
      </x:c>
      <x:c r="F94" s="38" t="str">
        <x:v>Pufferfish</x:v>
      </x:c>
      <x:c r="G94" s="38" t="str">
        <x:v>silver</x:v>
      </x:c>
      <x:c r="H94" s="38" t="str">
        <x:v>medium</x:v>
      </x:c>
      <x:c r="I94" s="38" t="str">
        <x:v>aquatic, friend, poison, hastereference</x:v>
      </x:c>
      <x:c r="J94" s="38" t="n">
        <x:v>10</x:v>
      </x:c>
      <x:c r="K94" s="38" t="str">
        <x:v>merchant_dryad, merchant_nautica, merchant_tok-s-clocks, merchant_barkun, merchant_chronos, merchant_goldie, merchant_jay-jay, merchant_kina, merchant_knightshade, merchant_luxe</x:v>
      </x:c>
      <x:c r="L94" s="38" t="n">
        <x:v>10</x:v>
      </x:c>
      <x:c r="M94" s="38" t="str">
        <x:v>elem_水, elem_雷, elem_冰, role_坦克, role_控制, role_输出, special_merchant, elite_high, role_机动压制, role_火系压制</x:v>
      </x:c>
      <x:c r="N94" s="38" t="str">
        <x:v>Toxic</x:v>
      </x:c>
      <x:c r="O94" s="38" t="str">
        <x:v>pal_093</x:v>
      </x:c>
      <x:c r="P94" s="38" t="str">
        <x:v>连理双鹿</x:v>
      </x:c>
      <x:c r="Q94" s="38" t="str">
        <x:v>https://bazaar-builds.net/db/items/pufferfish.html</x:v>
      </x:c>
      <x:c r="R94" s="38" t="str">
        <x:v>poison 10 / 20 / 30 when you haste, charge this 2 seconds.</x:v>
      </x:c>
      <x:c r="S94" s="38" t="str">
        <x:v>一对一确认来源对象。</x:v>
      </x:c>
    </x:row>
    <x:row r="95">
      <x:c r="A95" s="38" t="str">
        <x:v>bz_van_094</x:v>
      </x:c>
      <x:c r="B95" s="38" t="n">
        <x:v>94</x:v>
      </x:c>
      <x:c r="C95" s="38" t="str">
        <x:v>item</x:v>
      </x:c>
      <x:c r="D95" s="38" t="str">
        <x:v>confirmed</x:v>
      </x:c>
      <x:c r="E95" s="38" t="str">
        <x:v>ramrod</x:v>
      </x:c>
      <x:c r="F95" s="38" t="str">
        <x:v>Ramrod</x:v>
      </x:c>
      <x:c r="G95" s="38" t="str">
        <x:v>bronze</x:v>
      </x:c>
      <x:c r="H95" s="38" t="str">
        <x:v>medium</x:v>
      </x:c>
      <x:c r="I95" s="38" t="str">
        <x:v>tool, ammoreference, crit</x:v>
      </x:c>
      <x:c r="J95" s="38" t="n">
        <x:v>10</x:v>
      </x:c>
      <x:c r="K95" s="38" t="str">
        <x:v>merchant_aimbot, merchant_colt, merchant_barkun, merchant_goldie, merchant_jay-jay, merchant_kina, merchant_luxe, merchant_mittel, merchant_orion, merchant_quixel</x:v>
      </x:c>
      <x:c r="L95" s="38" t="n">
        <x:v>10</x:v>
      </x:c>
      <x:c r="M95" s="38" t="str">
        <x:v>elem_水, elem_雷, elem_冰, elem_无, role_召唤, role_坦克, role_控制, role_机动, tier_pT1, role_远点压制</x:v>
      </x:c>
      <x:c r="N95" s="38" t="str">
        <x:v>Deadly</x:v>
      </x:c>
      <x:c r="O95" s="38" t="str">
        <x:v>pal_094</x:v>
      </x:c>
      <x:c r="P95" s="38" t="str">
        <x:v>海棠水鹿</x:v>
      </x:c>
      <x:c r="Q95" s="38" t="str">
        <x:v>https://bazaar-builds.net/db/items/ramrod.html</x:v>
      </x:c>
      <x:c r="R95" s="38" t="str">
        <x:v>reload adjacent ammo items 1 / 2 / 3 / 4 ammo when you reload an item, it gains +10 / 20 / 30 / 40% crit chance for the fight</x:v>
      </x:c>
      <x:c r="S95" s="38" t="str">
        <x:v>一对一确认来源对象。</x:v>
      </x:c>
    </x:row>
    <x:row r="96">
      <x:c r="A96" s="38" t="str">
        <x:v>bz_van_095</x:v>
      </x:c>
      <x:c r="B96" s="38" t="n">
        <x:v>95</x:v>
      </x:c>
      <x:c r="C96" s="38" t="str">
        <x:v>item</x:v>
      </x:c>
      <x:c r="D96" s="38" t="str">
        <x:v>confirmed</x:v>
      </x:c>
      <x:c r="E96" s="38" t="str">
        <x:v>repeater</x:v>
      </x:c>
      <x:c r="F96" s="38" t="str">
        <x:v>Repeater</x:v>
      </x:c>
      <x:c r="G96" s="38" t="str">
        <x:v>silver</x:v>
      </x:c>
      <x:c r="H96" s="38" t="str">
        <x:v>medium</x:v>
      </x:c>
      <x:c r="I96" s="38" t="str">
        <x:v>weapon, damage, ammo</x:v>
      </x:c>
      <x:c r="J96" s="38" t="n">
        <x:v>10</x:v>
      </x:c>
      <x:c r="K96" s="38" t="str">
        <x:v>merchant_colt, merchant_aila, merchant_barkun, merchant_goldie, merchant_jay-jay, merchant_luxe, merchant_mittel, merchant_quixel, merchant_serafina, merchant_silvia</x:v>
      </x:c>
      <x:c r="L96" s="38" t="n">
        <x:v>10</x:v>
      </x:c>
      <x:c r="M96" s="38" t="str">
        <x:v>night_base, elem_水, elem_雷, elem_无, role_召唤, role_坦克, role_控制, role_治疗, role_经济, role_机动</x:v>
      </x:c>
      <x:c r="N96" s="38" t="str">
        <x:v>Deadly</x:v>
      </x:c>
      <x:c r="O96" s="38" t="str">
        <x:v>pal_095</x:v>
      </x:c>
      <x:c r="P96" s="38" t="str">
        <x:v>百花灵鹿</x:v>
      </x:c>
      <x:c r="Q96" s="38" t="str">
        <x:v>https://bazaar-builds.net/db/items/repeater.html</x:v>
      </x:c>
      <x:c r="R96" s="38" t="str">
        <x:v>deal 30 damage when you use another ammo item, use this.</x:v>
      </x:c>
      <x:c r="S96" s="38" t="str">
        <x:v>一对一确认来源对象。</x:v>
      </x:c>
    </x:row>
    <x:row r="97">
      <x:c r="A97" s="38" t="str">
        <x:v>bz_van_096</x:v>
      </x:c>
      <x:c r="B97" s="38" t="n">
        <x:v>96</x:v>
      </x:c>
      <x:c r="C97" s="38" t="str">
        <x:v>item</x:v>
      </x:c>
      <x:c r="D97" s="38" t="str">
        <x:v>confirmed</x:v>
      </x:c>
      <x:c r="E97" s="38" t="str">
        <x:v>revolver</x:v>
      </x:c>
      <x:c r="F97" s="38" t="str">
        <x:v>Revolver</x:v>
      </x:c>
      <x:c r="G97" s="38" t="str">
        <x:v>bronze</x:v>
      </x:c>
      <x:c r="H97" s="38" t="str">
        <x:v>small</x:v>
      </x:c>
      <x:c r="I97" s="38" t="str">
        <x:v>weapon, damage, ammo</x:v>
      </x:c>
      <x:c r="J97" s="38" t="n">
        <x:v>10</x:v>
      </x:c>
      <x:c r="K97" s="38" t="str">
        <x:v>merchant_colt, merchant_aila, merchant_ande, merchant_goldie, merchant_jay-jay, merchant_luxe, merchant_midsworth, merchant_quixel, merchant_serafina, merchant_silvia</x:v>
      </x:c>
      <x:c r="L97" s="38" t="n">
        <x:v>10</x:v>
      </x:c>
      <x:c r="M97" s="38" t="str">
        <x:v>night_base, elem_火, elem_雷, elem_地, role_召唤, role_坦克, role_控制, role_治疗, role_经济, role_机动</x:v>
      </x:c>
      <x:c r="N97" s="38" t="str">
        <x:v>Deadly</x:v>
      </x:c>
      <x:c r="O97" s="38" t="str">
        <x:v>pal_096</x:v>
      </x:c>
      <x:c r="P97" s="38" t="str">
        <x:v>熔岩巨兽</x:v>
      </x:c>
      <x:c r="Q97" s="38" t="str">
        <x:v>https://bazaar-builds.net/db/items/revolver.html</x:v>
      </x:c>
      <x:c r="R97" s="38" t="str">
        <x:v>deal 8 / 16 / 32 / 64 damage</x:v>
      </x:c>
      <x:c r="S97" s="38" t="str">
        <x:v>一对一确认来源对象。</x:v>
      </x:c>
    </x:row>
    <x:row r="98">
      <x:c r="A98" s="38" t="str">
        <x:v>bz_van_097</x:v>
      </x:c>
      <x:c r="B98" s="38" t="n">
        <x:v>97</x:v>
      </x:c>
      <x:c r="C98" s="38" t="str">
        <x:v>item</x:v>
      </x:c>
      <x:c r="D98" s="38" t="str">
        <x:v>confirmed</x:v>
      </x:c>
      <x:c r="E98" s="38" t="str">
        <x:v>rifle</x:v>
      </x:c>
      <x:c r="F98" s="38" t="str">
        <x:v>Rifle</x:v>
      </x:c>
      <x:c r="G98" s="38" t="str">
        <x:v>bronze</x:v>
      </x:c>
      <x:c r="H98" s="38" t="str">
        <x:v>medium</x:v>
      </x:c>
      <x:c r="I98" s="38" t="str">
        <x:v>weapon, damage, ammo</x:v>
      </x:c>
      <x:c r="J98" s="38" t="n">
        <x:v>10</x:v>
      </x:c>
      <x:c r="K98" s="38" t="str">
        <x:v>merchant_colt, merchant_aila, merchant_barkun, merchant_goldie, merchant_jay-jay, merchant_luxe, merchant_mittel, merchant_quixel, merchant_serafina, merchant_silvia</x:v>
      </x:c>
      <x:c r="L98" s="38" t="n">
        <x:v>10</x:v>
      </x:c>
      <x:c r="M98" s="38" t="str">
        <x:v>night_base, elem_水, elem_雷, elem_无, role_召唤, role_坦克, role_控制, role_治疗, role_经济, role_机动</x:v>
      </x:c>
      <x:c r="N98" s="38" t="str">
        <x:v>Deadly</x:v>
      </x:c>
      <x:c r="O98" s="38" t="str">
        <x:v>pal_097</x:v>
      </x:c>
      <x:c r="P98" s="38" t="str">
        <x:v>寒岩巨兽</x:v>
      </x:c>
      <x:c r="Q98" s="38" t="str">
        <x:v>https://bazaar-builds.net/db/items/rifle.html</x:v>
      </x:c>
      <x:c r="R98" s="38" t="str">
        <x:v>deal 20 / 40 / 60 / 80 damage this gains +20 / 40 / 60 / 80 damage for the fight</x:v>
      </x:c>
      <x:c r="S98" s="38" t="str">
        <x:v>一对一确认来源对象。</x:v>
      </x:c>
    </x:row>
    <x:row r="99">
      <x:c r="A99" s="38" t="str">
        <x:v>bz_van_098</x:v>
      </x:c>
      <x:c r="B99" s="38" t="n">
        <x:v>98</x:v>
      </x:c>
      <x:c r="C99" s="38" t="str">
        <x:v>item</x:v>
      </x:c>
      <x:c r="D99" s="38" t="str">
        <x:v>confirmed</x:v>
      </x:c>
      <x:c r="E99" s="38" t="str">
        <x:v>rowboat</x:v>
      </x:c>
      <x:c r="F99" s="38" t="str">
        <x:v>Rowboat</x:v>
      </x:c>
      <x:c r="G99" s="38" t="str">
        <x:v>gold</x:v>
      </x:c>
      <x:c r="H99" s="38" t="str">
        <x:v>medium</x:v>
      </x:c>
      <x:c r="I99" s="38" t="str">
        <x:v>aquatic, vehicle, charge, cooldown</x:v>
      </x:c>
      <x:c r="J99" s="38" t="n">
        <x:v>10</x:v>
      </x:c>
      <x:c r="K99" s="38" t="str">
        <x:v>merchant_nautica, merchant_tok-s-clocks, merchant_aero, merchant_barkun, merchant_goldie, merchant_jay-jay, merchant_kina, merchant_luxe, merchant_mittel, merchant_quixel</x:v>
      </x:c>
      <x:c r="L99" s="38" t="n">
        <x:v>10</x:v>
      </x:c>
      <x:c r="M99" s="38" t="str">
        <x:v>elem_火, elem_水, elem_雷, elem_冰, elem_无, role_召唤, role_坦克, role_控制, role_输出, special_merchant</x:v>
      </x:c>
      <x:c r="N99" s="38" t="str">
        <x:v>Turbo</x:v>
      </x:c>
      <x:c r="O99" s="38" t="str">
        <x:v>pal_098</x:v>
      </x:c>
      <x:c r="P99" s="38" t="str">
        <x:v>云顶巨驼</x:v>
      </x:c>
      <x:c r="Q99" s="38" t="str">
        <x:v>https://bazaar-builds.net/db/items/rowboat.html</x:v>
      </x:c>
      <x:c r="R99" s="38" t="str">
        <x:v>charge adjacent items 1 → 2 seconds if you have 7 or more unique types, this item's cooldown is reduced by 5 seconds.</x:v>
      </x:c>
      <x:c r="S99" s="38" t="str">
        <x:v>一对一确认来源对象。</x:v>
      </x:c>
    </x:row>
    <x:row r="100">
      <x:c r="A100" s="38" t="str">
        <x:v>bz_van_099</x:v>
      </x:c>
      <x:c r="B100" s="38" t="n">
        <x:v>99</x:v>
      </x:c>
      <x:c r="C100" s="38" t="str">
        <x:v>item</x:v>
      </x:c>
      <x:c r="D100" s="38" t="str">
        <x:v>confirmed</x:v>
      </x:c>
      <x:c r="E100" s="38" t="str">
        <x:v>scimitar-of-the-deep</x:v>
      </x:c>
      <x:c r="F100" s="38" t="str">
        <x:v>Scimitar of the Deep</x:v>
      </x:c>
      <x:c r="G100" s="38" t="str">
        <x:v>silver</x:v>
      </x:c>
      <x:c r="H100" s="38" t="str">
        <x:v>medium</x:v>
      </x:c>
      <x:c r="I100" s="38" t="str">
        <x:v>weapon, relic, aquatic, damage, poison, crit, hastereference</x:v>
      </x:c>
      <x:c r="J100" s="38" t="n">
        <x:v>10</x:v>
      </x:c>
      <x:c r="K100" s="38" t="str">
        <x:v>merchant_aimbot, merchant_nautica, merchant_tok-s-clocks, merchant_aila, merchant_barkun, merchant_chronos, merchant_goldie, merchant_jay-jay, merchant_knightshade, merchant_luxe</x:v>
      </x:c>
      <x:c r="L100" s="38" t="n">
        <x:v>10</x:v>
      </x:c>
      <x:c r="M100" s="38" t="str">
        <x:v>night_base, elem_水, elem_雷, role_坦克, role_控制, role_输出, special_merchant, elite_high, tier_pT1, role_火系压制</x:v>
      </x:c>
      <x:c r="N100" s="38" t="str">
        <x:v>Toxic</x:v>
      </x:c>
      <x:c r="O100" s="38" t="str">
        <x:v>pal_099</x:v>
      </x:c>
      <x:c r="P100" s="38" t="str">
        <x:v>冰峰巨驼</x:v>
      </x:c>
      <x:c r="Q100" s="38" t="str">
        <x:v>https://bazaar-builds.net/db/items/scimitar-of-the-deep.html</x:v>
      </x:c>
      <x:c r="R100" s="38" t="str">
        <x:v>deal 20 damage when you crit, poison equal to half this item's damage. when this is hasted, your poison items gain +3 / 6 / 9 poison for the fight.</x:v>
      </x:c>
      <x:c r="S100" s="38" t="str">
        <x:v>一对一确认来源对象。</x:v>
      </x:c>
    </x:row>
    <x:row r="101">
      <x:c r="A101" s="38" t="str">
        <x:v>bz_van_100</x:v>
      </x:c>
      <x:c r="B101" s="38" t="n">
        <x:v>100</x:v>
      </x:c>
      <x:c r="C101" s="38" t="str">
        <x:v>item</x:v>
      </x:c>
      <x:c r="D101" s="38" t="str">
        <x:v>confirmed</x:v>
      </x:c>
      <x:c r="E101" s="38" t="str">
        <x:v>sea-shell</x:v>
      </x:c>
      <x:c r="F101" s="38" t="str">
        <x:v>Sea Shell</x:v>
      </x:c>
      <x:c r="G101" s="38" t="str">
        <x:v>bronze</x:v>
      </x:c>
      <x:c r="H101" s="38" t="str">
        <x:v>small</x:v>
      </x:c>
      <x:c r="I101" s="38" t="str">
        <x:v>aquatic, shield</x:v>
      </x:c>
      <x:c r="J101" s="38" t="n">
        <x:v>10</x:v>
      </x:c>
      <x:c r="K101" s="38" t="str">
        <x:v>merchant_kev-s-armory, merchant_nautica, merchant_ande, merchant_goldie, merchant_jay-jay, merchant_kina, merchant_luxe, merchant_midsworth, merchant_proteus, merchant_quixel</x:v>
      </x:c>
      <x:c r="L101" s="38" t="n">
        <x:v>10</x:v>
      </x:c>
      <x:c r="M101" s="38" t="str">
        <x:v>elem_火, elem_雷, elem_冰, elem_地, elem_龙, role_召唤, role_坦克, role_控制, role_输出, tier_pT3</x:v>
      </x:c>
      <x:c r="N101" s="38" t="str">
        <x:v>Shielded</x:v>
      </x:c>
      <x:c r="O101" s="38" t="str">
        <x:v>pal_100</x:v>
      </x:c>
      <x:c r="P101" s="38" t="str">
        <x:v>青林巨象</x:v>
      </x:c>
      <x:c r="Q101" s="38" t="str">
        <x:v>https://bazaar-builds.net/db/items/sea-shell.html</x:v>
      </x:c>
      <x:c r="R101" s="38" t="str">
        <x:v>shield 10 / 15 / 20 / 25 for each aquatic item you have</x:v>
      </x:c>
      <x:c r="S101" s="38" t="str">
        <x:v>一对一确认来源对象。</x:v>
      </x:c>
    </x:row>
    <x:row r="102">
      <x:c r="A102" s="38" t="str">
        <x:v>bz_van_101</x:v>
      </x:c>
      <x:c r="B102" s="38" t="n">
        <x:v>101</x:v>
      </x:c>
      <x:c r="C102" s="38" t="str">
        <x:v>item</x:v>
      </x:c>
      <x:c r="D102" s="38" t="str">
        <x:v>confirmed</x:v>
      </x:c>
      <x:c r="E102" s="38" t="str">
        <x:v>seadog-s-saloon</x:v>
      </x:c>
      <x:c r="F102" s="38" t="str">
        <x:v>Seadog's Saloon</x:v>
      </x:c>
      <x:c r="G102" s="38" t="str">
        <x:v>silver</x:v>
      </x:c>
      <x:c r="H102" s="38" t="str">
        <x:v>large</x:v>
      </x:c>
      <x:c r="I102" s="38" t="str">
        <x:v>aquatic, property, haste, slow</x:v>
      </x:c>
      <x:c r="J102" s="38" t="n">
        <x:v>10</x:v>
      </x:c>
      <x:c r="K102" s="38" t="str">
        <x:v>merchant_nautica, merchant_tok-s-clocks, merchant_barkun, merchant_chronos, merchant_cobweb, merchant_goldie, merchant_jay-jay, merchant_kina, merchant_luxe, merchant_midsworth</x:v>
      </x:c>
      <x:c r="L102" s="38" t="n">
        <x:v>10</x:v>
      </x:c>
      <x:c r="M102" s="38" t="str">
        <x:v>elem_水, elem_雷, elem_冰, elem_地, role_坦克, role_控制, role_输出, special_merchant, elite_high, role_召唤铺场</x:v>
      </x:c>
      <x:c r="N102" s="38" t="str">
        <x:v>Icy</x:v>
      </x:c>
      <x:c r="O102" s="38" t="str">
        <x:v>pal_101</x:v>
      </x:c>
      <x:c r="P102" s="38" t="str">
        <x:v>白牙雪象</x:v>
      </x:c>
      <x:c r="Q102" s="38" t="str">
        <x:v>https://bazaar-builds.net/db/items/seadog-s-saloon.html</x:v>
      </x:c>
      <x:c r="R102" s="38" t="str">
        <x:v>haste an item for 2 seconds slow an item for 2 seconds this has +1 multicast for each friend you have.</x:v>
      </x:c>
      <x:c r="S102" s="38" t="str">
        <x:v>一对一确认来源对象。</x:v>
      </x:c>
    </x:row>
    <x:row r="103">
      <x:c r="A103" s="38" t="str">
        <x:v>bz_van_102</x:v>
      </x:c>
      <x:c r="B103" s="38" t="n">
        <x:v>102</x:v>
      </x:c>
      <x:c r="C103" s="38" t="str">
        <x:v>item</x:v>
      </x:c>
      <x:c r="D103" s="38" t="str">
        <x:v>confirmed</x:v>
      </x:c>
      <x:c r="E103" s="38" t="str">
        <x:v>seashadow</x:v>
      </x:c>
      <x:c r="F103" s="38" t="str">
        <x:v>Seashadow</x:v>
      </x:c>
      <x:c r="G103" s="38" t="str">
        <x:v>silver</x:v>
      </x:c>
      <x:c r="H103" s="38" t="str">
        <x:v>medium</x:v>
      </x:c>
      <x:c r="I103" s="38" t="str">
        <x:v>friend, vehicle, cooldown</x:v>
      </x:c>
      <x:c r="J103" s="38" t="n">
        <x:v>10</x:v>
      </x:c>
      <x:c r="K103" s="38" t="str">
        <x:v>merchant_dryad, merchant_tok-s-clocks, merchant_aero, merchant_barkun, merchant_goldie, merchant_jay-jay, merchant_kina, merchant_luxe, merchant_mittel, merchant_quixel</x:v>
      </x:c>
      <x:c r="L103" s="38" t="n">
        <x:v>10</x:v>
      </x:c>
      <x:c r="M103" s="38" t="str">
        <x:v>elem_火, elem_水, elem_雷, elem_冰, elem_无, role_召唤, role_坦克, role_控制, special_merchant, role_机动压制</x:v>
      </x:c>
      <x:c r="N103" s="38" t="str">
        <x:v>Turbo</x:v>
      </x:c>
      <x:c r="O103" s="38" t="str">
        <x:v>pal_102</x:v>
      </x:c>
      <x:c r="P103" s="38" t="str">
        <x:v>白绒雪猿</x:v>
      </x:c>
      <x:c r="Q103" s="38" t="str">
        <x:v>https://bazaar-builds.net/db/items/seashadow.html</x:v>
      </x:c>
      <x:c r="R103" s="38" t="str">
        <x:v>reduce the cooldown of your other items by 8% for the fight increase this item's cooldown by 4 / 3 / 2 seconds for the fight</x:v>
      </x:c>
      <x:c r="S103" s="38" t="str">
        <x:v>一对一确认来源对象。</x:v>
      </x:c>
    </x:row>
    <x:row r="104">
      <x:c r="A104" s="38" t="str">
        <x:v>bz_van_103</x:v>
      </x:c>
      <x:c r="B104" s="38" t="n">
        <x:v>103</x:v>
      </x:c>
      <x:c r="C104" s="38" t="str">
        <x:v>item</x:v>
      </x:c>
      <x:c r="D104" s="38" t="str">
        <x:v>confirmed</x:v>
      </x:c>
      <x:c r="E104" s="38" t="str">
        <x:v>seaweed</x:v>
      </x:c>
      <x:c r="F104" s="38" t="str">
        <x:v>Seaweed</x:v>
      </x:c>
      <x:c r="G104" s="38" t="str">
        <x:v>bronze</x:v>
      </x:c>
      <x:c r="H104" s="38" t="str">
        <x:v>small</x:v>
      </x:c>
      <x:c r="I104" s="38" t="str">
        <x:v>aquatic, heal</x:v>
      </x:c>
      <x:c r="J104" s="38" t="n">
        <x:v>10</x:v>
      </x:c>
      <x:c r="K104" s="38" t="str">
        <x:v>merchant_nautica, merchant_ande, merchant_goldie, merchant_herma, merchant_jay-jay, merchant_kina, merchant_luxe, merchant_midsworth, merchant_quixel, merchant_serafina</x:v>
      </x:c>
      <x:c r="L104" s="38" t="n">
        <x:v>10</x:v>
      </x:c>
      <x:c r="M104" s="38" t="str">
        <x:v>night_base, elem_火, elem_雷, elem_冰, elem_地, role_召唤, role_坦克, role_控制, role_治疗, role_输出</x:v>
      </x:c>
      <x:c r="N104" s="38" t="str">
        <x:v>Restorative</x:v>
      </x:c>
      <x:c r="O104" s="38" t="str">
        <x:v>pal_103</x:v>
      </x:c>
      <x:c r="P104" s="38" t="str">
        <x:v>绿苔巨猿</x:v>
      </x:c>
      <x:c r="Q104" s="38" t="str">
        <x:v>https://bazaar-builds.net/db/items/seaweed.html</x:v>
      </x:c>
      <x:c r="R104" s="38" t="str">
        <x:v>heal 20 when you use an aquatic item, this gains +5 / 10 / 15 / 20 heal for the fight.</x:v>
      </x:c>
      <x:c r="S104" s="38" t="str">
        <x:v>一对一确认来源对象。</x:v>
      </x:c>
    </x:row>
    <x:row r="105">
      <x:c r="A105" s="38" t="str">
        <x:v>bz_van_104</x:v>
      </x:c>
      <x:c r="B105" s="38" t="n">
        <x:v>104</x:v>
      </x:c>
      <x:c r="C105" s="38" t="str">
        <x:v>item</x:v>
      </x:c>
      <x:c r="D105" s="38" t="str">
        <x:v>confirmed</x:v>
      </x:c>
      <x:c r="E105" s="38" t="str">
        <x:v>sextant</x:v>
      </x:c>
      <x:c r="F105" s="38" t="str">
        <x:v>Sextant</x:v>
      </x:c>
      <x:c r="G105" s="38" t="str">
        <x:v>silver</x:v>
      </x:c>
      <x:c r="H105" s="38" t="str">
        <x:v>medium</x:v>
      </x:c>
      <x:c r="I105" s="38" t="str">
        <x:v>aquatic, tool, crit, haste</x:v>
      </x:c>
      <x:c r="J105" s="38" t="n">
        <x:v>10</x:v>
      </x:c>
      <x:c r="K105" s="38" t="str">
        <x:v>merchant_aimbot, merchant_nautica, merchant_tok-s-clocks, merchant_barkun, merchant_chronos, merchant_goldie, merchant_jay-jay, merchant_kina, merchant_luxe, merchant_mittel</x:v>
      </x:c>
      <x:c r="L105" s="38" t="n">
        <x:v>10</x:v>
      </x:c>
      <x:c r="M105" s="38" t="str">
        <x:v>elem_水, elem_雷, elem_冰, elem_无, role_坦克, role_控制, role_输出, special_merchant, elite_high, tier_pT1</x:v>
      </x:c>
      <x:c r="N105" s="38" t="str">
        <x:v>Turbo</x:v>
      </x:c>
      <x:c r="O105" s="38" t="str">
        <x:v>pal_104</x:v>
      </x:c>
      <x:c r="P105" s="38" t="str">
        <x:v>铁甲巨兕</x:v>
      </x:c>
      <x:c r="Q105" s="38" t="str">
        <x:v>https://bazaar-builds.net/db/items/sextant.html</x:v>
      </x:c>
      <x:c r="R105" s="38" t="str">
        <x:v>when you crit, haste an item for 1 / 2 / 3 seconds. when you haste, an item gains +10% crit chance for the fight.</x:v>
      </x:c>
      <x:c r="S105" s="38" t="str">
        <x:v>一对一确认来源对象。</x:v>
      </x:c>
    </x:row>
    <x:row r="106">
      <x:c r="A106" s="38" t="str">
        <x:v>bz_van_105</x:v>
      </x:c>
      <x:c r="B106" s="38" t="n">
        <x:v>105</x:v>
      </x:c>
      <x:c r="C106" s="38" t="str">
        <x:v>item</x:v>
      </x:c>
      <x:c r="D106" s="38" t="str">
        <x:v>confirmed</x:v>
      </x:c>
      <x:c r="E106" s="38" t="str">
        <x:v>sharkclaws</x:v>
      </x:c>
      <x:c r="F106" s="38" t="str">
        <x:v>Sharkclaws</x:v>
      </x:c>
      <x:c r="G106" s="38" t="str">
        <x:v>bronze</x:v>
      </x:c>
      <x:c r="H106" s="38" t="str">
        <x:v>medium</x:v>
      </x:c>
      <x:c r="I106" s="38" t="str">
        <x:v>aquatic, weapon, damage</x:v>
      </x:c>
      <x:c r="J106" s="38" t="n">
        <x:v>10</x:v>
      </x:c>
      <x:c r="K106" s="38" t="str">
        <x:v>merchant_nautica, merchant_aila, merchant_barkun, merchant_goldie, merchant_jay-jay, merchant_luxe, merchant_mittel, merchant_quixel, merchant_serafina, merchant_silvia</x:v>
      </x:c>
      <x:c r="L106" s="38" t="n">
        <x:v>10</x:v>
      </x:c>
      <x:c r="M106" s="38" t="str">
        <x:v>night_base, elem_水, elem_雷, elem_无, role_召唤, role_坦克, role_控制, role_治疗, role_输出, role_经济</x:v>
      </x:c>
      <x:c r="N106" s="38" t="str">
        <x:v>Deadly</x:v>
      </x:c>
      <x:c r="O106" s="38" t="str">
        <x:v>pal_105</x:v>
      </x:c>
      <x:c r="P106" s="38" t="str">
        <x:v>云海白鹿</x:v>
      </x:c>
      <x:c r="Q106" s="38" t="str">
        <x:v>https://bazaar-builds.net/db/items/sharkclaws.html</x:v>
      </x:c>
      <x:c r="R106" s="38" t="str">
        <x:v>deal 10 / 20 / 30 / 40 damage your weapons gain +10 / 20 / 30 / 40 damage for the fight</x:v>
      </x:c>
      <x:c r="S106" s="38" t="str">
        <x:v>一对一确认来源对象。</x:v>
      </x:c>
    </x:row>
    <x:row r="107">
      <x:c r="A107" s="38" t="str">
        <x:v>bz_van_106</x:v>
      </x:c>
      <x:c r="B107" s="38" t="n">
        <x:v>106</x:v>
      </x:c>
      <x:c r="C107" s="38" t="str">
        <x:v>item</x:v>
      </x:c>
      <x:c r="D107" s="38" t="str">
        <x:v>confirmed</x:v>
      </x:c>
      <x:c r="E107" s="38" t="str">
        <x:v>sharkray</x:v>
      </x:c>
      <x:c r="F107" s="38" t="str">
        <x:v>Sharkray</x:v>
      </x:c>
      <x:c r="G107" s="38" t="str">
        <x:v>silver</x:v>
      </x:c>
      <x:c r="H107" s="38" t="str">
        <x:v>medium</x:v>
      </x:c>
      <x:c r="I107" s="38" t="str">
        <x:v>aquatic, weapon, friend, ray, damage, hastereference, poisonreference</x:v>
      </x:c>
      <x:c r="J107" s="38" t="n">
        <x:v>10</x:v>
      </x:c>
      <x:c r="K107" s="38" t="str">
        <x:v>merchant_dryad, merchant_nautica, merchant_tok-s-clocks, merchant_aila, merchant_barkun, merchant_chronos, merchant_goldie, merchant_jay-jay, merchant_knightshade, merchant_luxe</x:v>
      </x:c>
      <x:c r="L107" s="38" t="n">
        <x:v>10</x:v>
      </x:c>
      <x:c r="M107" s="38" t="str">
        <x:v>night_base, elem_水, elem_雷, role_坦克, role_控制, role_输出, special_merchant, elite_high, role_机动压制, role_火系压制</x:v>
      </x:c>
      <x:c r="N107" s="38" t="str">
        <x:v>Toxic</x:v>
      </x:c>
      <x:c r="O107" s="38" t="str">
        <x:v>pal_106</x:v>
      </x:c>
      <x:c r="P107" s="38" t="str">
        <x:v>夜幕巨蝠</x:v>
      </x:c>
      <x:c r="Q107" s="38" t="str">
        <x:v>https://bazaar-builds.net/db/items/sharkray.html</x:v>
      </x:c>
      <x:c r="R107" s="38" t="str">
        <x:v>deal 20 damage when you haste a friend, your friends gain +5 / 10 / 15 damage and 1 / 2 / 3 poison for the fight.</x:v>
      </x:c>
      <x:c r="S107" s="38" t="str">
        <x:v>一对一确认来源对象。</x:v>
      </x:c>
    </x:row>
    <x:row r="108">
      <x:c r="A108" s="38" t="str">
        <x:v>bz_van_107</x:v>
      </x:c>
      <x:c r="B108" s="38" t="n">
        <x:v>107</x:v>
      </x:c>
      <x:c r="C108" s="38" t="str">
        <x:v>item</x:v>
      </x:c>
      <x:c r="D108" s="38" t="str">
        <x:v>confirmed</x:v>
      </x:c>
      <x:c r="E108" s="38" t="str">
        <x:v>shipwreck</x:v>
      </x:c>
      <x:c r="F108" s="38" t="str">
        <x:v>Shipwreck</x:v>
      </x:c>
      <x:c r="G108" s="38" t="str">
        <x:v>diamond</x:v>
      </x:c>
      <x:c r="H108" s="38" t="str">
        <x:v>large</x:v>
      </x:c>
      <x:c r="I108" s="38" t="str">
        <x:v>aquatic, vehicle, property, relic</x:v>
      </x:c>
      <x:c r="J108" s="38" t="n">
        <x:v>10</x:v>
      </x:c>
      <x:c r="K108" s="38" t="str">
        <x:v>merchant_nautica, merchant_aero, merchant_barkun, merchant_jay-jay, merchant_kina, merchant_luxe, merchant_midsworth, merchant_mr-morland, merchant_pol, merchant_serafina</x:v>
      </x:c>
      <x:c r="L108" s="38" t="n">
        <x:v>10</x:v>
      </x:c>
      <x:c r="M108" s="38" t="str">
        <x:v>elem_火, elem_水, elem_雷, elem_冰, elem_地, elem_暗, role_控制, role_治疗, role_输出, role_风系铺场</x:v>
      </x:c>
      <x:c r="N108" s="38" t="str">
        <x:v>Radiant</x:v>
      </x:c>
      <x:c r="O108" s="38" t="str">
        <x:v>pal_107</x:v>
      </x:c>
      <x:c r="P108" s="38" t="str">
        <x:v>天羽云螭</x:v>
      </x:c>
      <x:c r="Q108" s="38" t="str">
        <x:v>https://bazaar-builds.net/db/items/shipwreck.html</x:v>
      </x:c>
      <x:c r="R108" s="38" t="str">
        <x:v>your aquatic items have +1 multicast.</x:v>
      </x:c>
      <x:c r="S108" s="38" t="str">
        <x:v>一对一确认来源对象。</x:v>
      </x:c>
    </x:row>
    <x:row r="109">
      <x:c r="A109" s="38" t="str">
        <x:v>bz_van_108</x:v>
      </x:c>
      <x:c r="B109" s="38" t="n">
        <x:v>108</x:v>
      </x:c>
      <x:c r="C109" s="38" t="str">
        <x:v>item</x:v>
      </x:c>
      <x:c r="D109" s="38" t="str">
        <x:v>confirmed</x:v>
      </x:c>
      <x:c r="E109" s="38" t="str">
        <x:v>shoe-blade</x:v>
      </x:c>
      <x:c r="F109" s="38" t="str">
        <x:v>Shoe Blade</x:v>
      </x:c>
      <x:c r="G109" s="38" t="str">
        <x:v>bronze</x:v>
      </x:c>
      <x:c r="H109" s="38" t="str">
        <x:v>small</x:v>
      </x:c>
      <x:c r="I109" s="38" t="str">
        <x:v>weapon, apparel, damage, crit</x:v>
      </x:c>
      <x:c r="J109" s="38" t="n">
        <x:v>10</x:v>
      </x:c>
      <x:c r="K109" s="38" t="str">
        <x:v>merchant_aimbot, merchant_aila, merchant_ande, merchant_gaseo, merchant_goldie, merchant_jay-jay, merchant_luxe, merchant_midsworth, merchant_quixel, merchant_serafina</x:v>
      </x:c>
      <x:c r="L109" s="38" t="n">
        <x:v>10</x:v>
      </x:c>
      <x:c r="M109" s="38" t="str">
        <x:v>night_base, elem_火, elem_雷, elem_地, role_召唤, role_坦克, role_控制, role_治疗, tier_pT1, role_重甲抗压</x:v>
      </x:c>
      <x:c r="N109" s="38" t="str">
        <x:v>Deadly</x:v>
      </x:c>
      <x:c r="O109" s="38" t="str">
        <x:v>pal_108</x:v>
      </x:c>
      <x:c r="P109" s="38" t="str">
        <x:v>焰羽赤雕</x:v>
      </x:c>
      <x:c r="Q109" s="38" t="str">
        <x:v>https://bazaar-builds.net/db/items/shoe-blade.html</x:v>
      </x:c>
      <x:c r="R109" s="38" t="str">
        <x:v>deal 25 / 50 / 100 / 200 damage this has +100% crit chance on its first use each fight.</x:v>
      </x:c>
      <x:c r="S109" s="38" t="str">
        <x:v>一对一确认来源对象。</x:v>
      </x:c>
    </x:row>
    <x:row r="110">
      <x:c r="A110" s="38" t="str">
        <x:v>bz_van_109</x:v>
      </x:c>
      <x:c r="B110" s="38" t="n">
        <x:v>109</x:v>
      </x:c>
      <x:c r="C110" s="38" t="str">
        <x:v>item</x:v>
      </x:c>
      <x:c r="D110" s="38" t="str">
        <x:v>confirmed</x:v>
      </x:c>
      <x:c r="E110" s="38" t="str">
        <x:v>shot-glasses</x:v>
      </x:c>
      <x:c r="F110" s="38" t="str">
        <x:v>Shot Glasses</x:v>
      </x:c>
      <x:c r="G110" s="38" t="str">
        <x:v>silver</x:v>
      </x:c>
      <x:c r="H110" s="38" t="str">
        <x:v>small</x:v>
      </x:c>
      <x:c r="I110" s="38" t="str">
        <x:v>ammo, haste, slow</x:v>
      </x:c>
      <x:c r="J110" s="38" t="n">
        <x:v>10</x:v>
      </x:c>
      <x:c r="K110" s="38" t="str">
        <x:v>merchant_colt, merchant_tok-s-clocks, merchant_ande, merchant_chronos, merchant_cobweb, merchant_goldie, merchant_jay-jay, merchant_kina, merchant_luxe, merchant_midsworth</x:v>
      </x:c>
      <x:c r="L110" s="38" t="n">
        <x:v>10</x:v>
      </x:c>
      <x:c r="M110" s="38" t="str">
        <x:v>elem_火, elem_雷, elem_冰, elem_地, role_坦克, role_控制, role_机动, special_merchant, elite_high, role_召唤铺场</x:v>
      </x:c>
      <x:c r="N110" s="38" t="str">
        <x:v>Icy</x:v>
      </x:c>
      <x:c r="O110" s="38" t="str">
        <x:v>pal_109</x:v>
      </x:c>
      <x:c r="P110" s="38" t="str">
        <x:v>冥羽黑乌</x:v>
      </x:c>
      <x:c r="Q110" s="38" t="str">
        <x:v>https://bazaar-builds.net/db/items/shot-glasses.html</x:v>
      </x:c>
      <x:c r="R110" s="38" t="str">
        <x:v>haste 4 of your items for 1 second slow 4 of your items for 1 second</x:v>
      </x:c>
      <x:c r="S110" s="38" t="str">
        <x:v>一对一确认来源对象。</x:v>
      </x:c>
    </x:row>
    <x:row r="111">
      <x:c r="A111" s="38" t="str">
        <x:v>bz_van_110</x:v>
      </x:c>
      <x:c r="B111" s="38" t="n">
        <x:v>110</x:v>
      </x:c>
      <x:c r="C111" s="38" t="str">
        <x:v>item</x:v>
      </x:c>
      <x:c r="D111" s="38" t="str">
        <x:v>confirmed</x:v>
      </x:c>
      <x:c r="E111" s="38" t="str">
        <x:v>shovel</x:v>
      </x:c>
      <x:c r="F111" s="38" t="str">
        <x:v>Shovel</x:v>
      </x:c>
      <x:c r="G111" s="38" t="str">
        <x:v>bronze</x:v>
      </x:c>
      <x:c r="H111" s="38" t="str">
        <x:v>medium</x:v>
      </x:c>
      <x:c r="I111" s="38" t="str">
        <x:v>weapon, tool, damage</x:v>
      </x:c>
      <x:c r="J111" s="38" t="n">
        <x:v>10</x:v>
      </x:c>
      <x:c r="K111" s="38" t="str">
        <x:v>merchant_aila, merchant_barkun, merchant_goldie, merchant_jay-jay, merchant_luxe, merchant_mittel, merchant_orion, merchant_quixel, merchant_serafina, merchant_silvia</x:v>
      </x:c>
      <x:c r="L111" s="38" t="n">
        <x:v>10</x:v>
      </x:c>
      <x:c r="M111" s="38" t="str">
        <x:v>night_base, elem_水, elem_雷, elem_无, role_召唤, role_坦克, role_控制, role_治疗, role_经济, role_远点压制</x:v>
      </x:c>
      <x:c r="N111" s="38" t="str">
        <x:v>Deadly</x:v>
      </x:c>
      <x:c r="O111" s="38" t="str">
        <x:v>pal_110</x:v>
      </x:c>
      <x:c r="P111" s="38" t="str">
        <x:v>渊鳞黑蛟</x:v>
      </x:c>
      <x:c r="Q111" s="38" t="str">
        <x:v>https://bazaar-builds.net/db/items/shovel.html</x:v>
      </x:c>
      <x:c r="R111" s="38" t="str">
        <x:v>deal 25 / 50 / 100 / 200 damage at the start of each day, get a small item from any hero.</x:v>
      </x:c>
      <x:c r="S111" s="38" t="str">
        <x:v>一对一确认来源对象。</x:v>
      </x:c>
    </x:row>
    <x:row r="112">
      <x:c r="A112" s="38" t="str">
        <x:v>bz_van_111</x:v>
      </x:c>
      <x:c r="B112" s="38" t="n">
        <x:v>111</x:v>
      </x:c>
      <x:c r="C112" s="38" t="str">
        <x:v>item</x:v>
      </x:c>
      <x:c r="D112" s="38" t="str">
        <x:v>confirmed</x:v>
      </x:c>
      <x:c r="E112" s="38" t="str">
        <x:v>shuriken</x:v>
      </x:c>
      <x:c r="F112" s="38" t="str">
        <x:v>Shuriken</x:v>
      </x:c>
      <x:c r="G112" s="38" t="str">
        <x:v>bronze</x:v>
      </x:c>
      <x:c r="H112" s="38" t="str">
        <x:v>small</x:v>
      </x:c>
      <x:c r="I112" s="38" t="str">
        <x:v>weapon, damage, ammo</x:v>
      </x:c>
      <x:c r="J112" s="38" t="n">
        <x:v>10</x:v>
      </x:c>
      <x:c r="K112" s="38" t="str">
        <x:v>merchant_colt, merchant_aila, merchant_ande, merchant_goldie, merchant_jay-jay, merchant_luxe, merchant_midsworth, merchant_quixel, merchant_serafina, merchant_silvia</x:v>
      </x:c>
      <x:c r="L112" s="38" t="n">
        <x:v>10</x:v>
      </x:c>
      <x:c r="M112" s="38" t="str">
        <x:v>night_base, elem_火, elem_雷, elem_地, role_召唤, role_坦克, role_控制, role_治疗, role_经济, role_机动</x:v>
      </x:c>
      <x:c r="N112" s="38" t="str">
        <x:v>Deadly</x:v>
      </x:c>
      <x:c r="O112" s="38" t="str">
        <x:v>pal_111</x:v>
      </x:c>
      <x:c r="P112" s="38" t="str">
        <x:v>毒甲蝎将</x:v>
      </x:c>
      <x:c r="Q112" s="38" t="str">
        <x:v>https://bazaar-builds.net/db/items/shuriken.html</x:v>
      </x:c>
      <x:c r="R112" s="38" t="str">
        <x:v>deal 5 / 10 / 20 / 40 damage this has multicast equal to its current ammo. when you use this, spend all its ammo.</x:v>
      </x:c>
      <x:c r="S112" s="38" t="str">
        <x:v>一对一确认来源对象。</x:v>
      </x:c>
    </x:row>
    <x:row r="113">
      <x:c r="A113" s="38" t="str">
        <x:v>bz_van_112</x:v>
      </x:c>
      <x:c r="B113" s="38" t="n">
        <x:v>112</x:v>
      </x:c>
      <x:c r="C113" s="38" t="str">
        <x:v>item</x:v>
      </x:c>
      <x:c r="D113" s="38" t="str">
        <x:v>confirmed</x:v>
      </x:c>
      <x:c r="E113" s="38" t="str">
        <x:v>slumbering-primordial</x:v>
      </x:c>
      <x:c r="F113" s="38" t="str">
        <x:v>Slumbering Primordial</x:v>
      </x:c>
      <x:c r="G113" s="38" t="str">
        <x:v>gold</x:v>
      </x:c>
      <x:c r="H113" s="38" t="str">
        <x:v>large</x:v>
      </x:c>
      <x:c r="I113" s="38" t="str">
        <x:v>friend, aquatic, weapon, relic, poisonreference, freezereference, burnreference, damage</x:v>
      </x:c>
      <x:c r="J113" s="38" t="n">
        <x:v>10</x:v>
      </x:c>
      <x:c r="K113" s="38" t="str">
        <x:v>merchant_dryad, merchant_nautica, merchant_aila, merchant_barkun, merchant_freiya, merchant_goldie, merchant_hef, merchant_jay-jay, merchant_knightshade, merchant_luxe</x:v>
      </x:c>
      <x:c r="L113" s="38" t="n">
        <x:v>10</x:v>
      </x:c>
      <x:c r="M113" s="38" t="str">
        <x:v>night_base, elem_水, elem_雷, role_坦克, role_控制, role_输出, tier_pT2, role_机动压制, role_风系牵制, role_火系压制</x:v>
      </x:c>
      <x:c r="N113" s="38" t="str">
        <x:v>Fiery</x:v>
      </x:c>
      <x:c r="O113" s="38" t="str">
        <x:v>pal_112</x:v>
      </x:c>
      <x:c r="P113" s="38" t="str">
        <x:v>石猿战将</x:v>
      </x:c>
      <x:c r="Q113" s="38" t="str">
        <x:v>https://bazaar-builds.net/db/items/slumbering-primordial.html</x:v>
      </x:c>
      <x:c r="R113" s="38" t="str">
        <x:v>deal 20 → 25 damage when you poison, freeze, or burn, charge this 1 → 2 seconds and this gains +20 → 25 damage for the fight.</x:v>
      </x:c>
      <x:c r="S113" s="38" t="str">
        <x:v>一对一确认来源对象。</x:v>
      </x:c>
    </x:row>
    <x:row r="114">
      <x:c r="A114" s="38" t="str">
        <x:v>bz_van_113</x:v>
      </x:c>
      <x:c r="B114" s="38" t="n">
        <x:v>113</x:v>
      </x:c>
      <x:c r="C114" s="38" t="str">
        <x:v>item</x:v>
      </x:c>
      <x:c r="D114" s="38" t="str">
        <x:v>confirmed</x:v>
      </x:c>
      <x:c r="E114" s="38" t="str">
        <x:v>sniper-rifle</x:v>
      </x:c>
      <x:c r="F114" s="38" t="str">
        <x:v>Sniper Rifle</x:v>
      </x:c>
      <x:c r="G114" s="38" t="str">
        <x:v>gold</x:v>
      </x:c>
      <x:c r="H114" s="38" t="str">
        <x:v>medium</x:v>
      </x:c>
      <x:c r="I114" s="38" t="str">
        <x:v>weapon, damage</x:v>
      </x:c>
      <x:c r="J114" s="38" t="n">
        <x:v>10</x:v>
      </x:c>
      <x:c r="K114" s="38" t="str">
        <x:v>merchant_aila, merchant_barkun, merchant_goldie, merchant_jay-jay, merchant_luxe, merchant_mittel, merchant_quixel, merchant_serafina, merchant_valpak, merchant_vanessa</x:v>
      </x:c>
      <x:c r="L114" s="38" t="n">
        <x:v>10</x:v>
      </x:c>
      <x:c r="M114" s="38" t="str">
        <x:v>night_base, elem_水, elem_雷, elem_暗, elem_无, role_召唤, role_坦克, role_控制, role_治疗, elite_high</x:v>
      </x:c>
      <x:c r="N114" s="38" t="str">
        <x:v>Deadly</x:v>
      </x:c>
      <x:c r="O114" s="38" t="str">
        <x:v>pal_113</x:v>
      </x:c>
      <x:c r="P114" s="38" t="str">
        <x:v>覆海蛟王</x:v>
      </x:c>
      <x:c r="Q114" s="38" t="str">
        <x:v>https://bazaar-builds.net/db/items/sniper-rifle.html</x:v>
      </x:c>
      <x:c r="R114" s="38" t="str">
        <x:v>deal 100 damage this deals 5 → 10 times more damage if it is your only weapon.</x:v>
      </x:c>
      <x:c r="S114" s="38" t="str">
        <x:v>一对一确认来源对象。</x:v>
      </x:c>
    </x:row>
    <x:row r="115">
      <x:c r="A115" s="38" t="str">
        <x:v>bz_van_114</x:v>
      </x:c>
      <x:c r="B115" s="38" t="n">
        <x:v>114</x:v>
      </x:c>
      <x:c r="C115" s="38" t="str">
        <x:v>item</x:v>
      </x:c>
      <x:c r="D115" s="38" t="str">
        <x:v>confirmed</x:v>
      </x:c>
      <x:c r="E115" s="38" t="str">
        <x:v>spyglass</x:v>
      </x:c>
      <x:c r="F115" s="38" t="str">
        <x:v>Spyglass</x:v>
      </x:c>
      <x:c r="G115" s="38" t="str">
        <x:v>gold</x:v>
      </x:c>
      <x:c r="H115" s="38" t="str">
        <x:v>medium</x:v>
      </x:c>
      <x:c r="I115" s="38" t="str">
        <x:v>tool, crit, cooldown, slowreference</x:v>
      </x:c>
      <x:c r="J115" s="38" t="n">
        <x:v>10</x:v>
      </x:c>
      <x:c r="K115" s="38" t="str">
        <x:v>merchant_aimbot, merchant_tok-s-clocks, merchant_barkun, merchant_cobweb, merchant_goldie, merchant_jay-jay, merchant_kina, merchant_luxe, merchant_mittel, merchant_orion</x:v>
      </x:c>
      <x:c r="L115" s="38" t="n">
        <x:v>10</x:v>
      </x:c>
      <x:c r="M115" s="38" t="str">
        <x:v>elem_水, elem_雷, elem_冰, elem_无, role_坦克, role_控制, special_merchant, tier_pT1, role_召唤铺场, role_远点压制</x:v>
      </x:c>
      <x:c r="N115" s="38" t="str">
        <x:v>Icy</x:v>
      </x:c>
      <x:c r="O115" s="38" t="str">
        <x:v>pal_114</x:v>
      </x:c>
      <x:c r="P115" s="38" t="str">
        <x:v>赤焰龙君</x:v>
      </x:c>
      <x:c r="Q115" s="38" t="str">
        <x:v>https://bazaar-builds.net/db/items/spyglass.html</x:v>
      </x:c>
      <x:c r="R115" s="38" t="str">
        <x:v>when you slow, an item gains +10% crit chance for the fight. at the start of each fight, increase an enemy items cooldown by 3 → 6 seconds for the fight.</x:v>
      </x:c>
      <x:c r="S115" s="38" t="str">
        <x:v>一对一确认来源对象。</x:v>
      </x:c>
    </x:row>
    <x:row r="116">
      <x:c r="A116" s="38" t="str">
        <x:v>bz_van_115</x:v>
      </x:c>
      <x:c r="B116" s="38" t="n">
        <x:v>115</x:v>
      </x:c>
      <x:c r="C116" s="38" t="str">
        <x:v>item</x:v>
      </x:c>
      <x:c r="D116" s="38" t="str">
        <x:v>confirmed</x:v>
      </x:c>
      <x:c r="E116" s="38" t="str">
        <x:v>star-chart</x:v>
      </x:c>
      <x:c r="F116" s="38" t="str">
        <x:v>Star Chart</x:v>
      </x:c>
      <x:c r="G116" s="38" t="str">
        <x:v>bronze</x:v>
      </x:c>
      <x:c r="H116" s="38" t="str">
        <x:v>medium</x:v>
      </x:c>
      <x:c r="I116" s="38" t="str">
        <x:v>tool, relic, cooldown, crit</x:v>
      </x:c>
      <x:c r="J116" s="38" t="n">
        <x:v>10</x:v>
      </x:c>
      <x:c r="K116" s="38" t="str">
        <x:v>merchant_aimbot, merchant_tok-s-clocks, merchant_barkun, merchant_goldie, merchant_jay-jay, merchant_kina, merchant_luxe, merchant_mittel, merchant_orion, merchant_quixel</x:v>
      </x:c>
      <x:c r="L116" s="38" t="n">
        <x:v>10</x:v>
      </x:c>
      <x:c r="M116" s="38" t="str">
        <x:v>elem_水, elem_雷, elem_冰, elem_无, role_召唤, role_坦克, role_控制, special_merchant, tier_pT1, role_远点压制</x:v>
      </x:c>
      <x:c r="N116" s="38" t="str">
        <x:v>Turbo</x:v>
      </x:c>
      <x:c r="O116" s="38" t="str">
        <x:v>pal_115</x:v>
      </x:c>
      <x:c r="P116" s="38" t="str">
        <x:v>南明朱雀</x:v>
      </x:c>
      <x:c r="Q116" s="38" t="str">
        <x:v>https://bazaar-builds.net/db/items/star-chart.html</x:v>
      </x:c>
      <x:c r="R116" s="38" t="str">
        <x:v>adjacent items have +10 / 15 / 20 / 25% crit chance. adjacent items' cooldowns are reduced by 5 / 10 / 15 / 20%.</x:v>
      </x:c>
      <x:c r="S116" s="38" t="str">
        <x:v>一对一确认来源对象。</x:v>
      </x:c>
    </x:row>
    <x:row r="117">
      <x:c r="A117" s="38" t="str">
        <x:v>bz_van_116</x:v>
      </x:c>
      <x:c r="B117" s="38" t="n">
        <x:v>116</x:v>
      </x:c>
      <x:c r="C117" s="38" t="str">
        <x:v>item</x:v>
      </x:c>
      <x:c r="D117" s="38" t="str">
        <x:v>confirmed</x:v>
      </x:c>
      <x:c r="E117" s="38" t="str">
        <x:v>stealth-glider</x:v>
      </x:c>
      <x:c r="F117" s="38" t="str">
        <x:v>Stealth Glider</x:v>
      </x:c>
      <x:c r="G117" s="38" t="str">
        <x:v>silver</x:v>
      </x:c>
      <x:c r="H117" s="38" t="str">
        <x:v>large</x:v>
      </x:c>
      <x:c r="I117" s="38" t="str">
        <x:v>vehicle, tech, flying</x:v>
      </x:c>
      <x:c r="J117" s="38" t="n">
        <x:v>10</x:v>
      </x:c>
      <x:c r="K117" s="38" t="str">
        <x:v>merchant_pinfeather, merchant_the-tester, merchant_aero, merchant_barkun, merchant_goldie, merchant_jay-jay, merchant_kina, merchant_luxe, merchant_midsworth, merchant_pol</x:v>
      </x:c>
      <x:c r="L117" s="38" t="n">
        <x:v>10</x:v>
      </x:c>
      <x:c r="M117" s="38" t="str">
        <x:v>elem_火, elem_水, elem_草, elem_雷, elem_冰, elem_地, role_坦克, role_控制, role_抗压承伤, role_风系铺场</x:v>
      </x:c>
      <x:c r="N117" s="38" t="str">
        <x:v>Deadly</x:v>
      </x:c>
      <x:c r="O117" s="38" t="str">
        <x:v>pal_116</x:v>
      </x:c>
      <x:c r="P117" s="38" t="str">
        <x:v>净瓶青鸾</x:v>
      </x:c>
      <x:c r="Q117" s="38" t="str">
        <x:v>https://bazaar-builds.net/db/items/stealth-glider.html</x:v>
      </x:c>
      <x:c r="R117" s="38" t="str">
        <x:v>an item starts flying. you take 10% less damage for each other flying item you have.</x:v>
      </x:c>
      <x:c r="S117" s="38" t="str">
        <x:v>一对一确认来源对象。</x:v>
      </x:c>
    </x:row>
    <x:row r="118">
      <x:c r="A118" s="38" t="str">
        <x:v>bz_van_117</x:v>
      </x:c>
      <x:c r="B118" s="38" t="n">
        <x:v>117</x:v>
      </x:c>
      <x:c r="C118" s="38" t="str">
        <x:v>item</x:v>
      </x:c>
      <x:c r="D118" s="38" t="str">
        <x:v>confirmed</x:v>
      </x:c>
      <x:c r="E118" s="38" t="str">
        <x:v>submarine</x:v>
      </x:c>
      <x:c r="F118" s="38" t="str">
        <x:v>Submarine</x:v>
      </x:c>
      <x:c r="G118" s="38" t="str">
        <x:v>silver</x:v>
      </x:c>
      <x:c r="H118" s="38" t="str">
        <x:v>large</x:v>
      </x:c>
      <x:c r="I118" s="38" t="str">
        <x:v>aquatic, weapon, vehicle, tech, damage, shield</x:v>
      </x:c>
      <x:c r="J118" s="38" t="n">
        <x:v>10</x:v>
      </x:c>
      <x:c r="K118" s="38" t="str">
        <x:v>merchant_kev-s-armory, merchant_nautica, merchant_the-tester, merchant_aero, merchant_aila, merchant_barkun, merchant_goldie, merchant_jay-jay, merchant_luxe, merchant_midsworth</x:v>
      </x:c>
      <x:c r="L118" s="38" t="n">
        <x:v>10</x:v>
      </x:c>
      <x:c r="M118" s="38" t="str">
        <x:v>night_base, elem_火, elem_水, elem_雷, elem_地, role_坦克, role_控制, role_输出, tier_pT3, role_抗压承伤</x:v>
      </x:c>
      <x:c r="N118" s="38" t="str">
        <x:v>Icy</x:v>
      </x:c>
      <x:c r="O118" s="38" t="str">
        <x:v>pal_117</x:v>
      </x:c>
      <x:c r="P118" s="38" t="str">
        <x:v>九霄熊王</x:v>
      </x:c>
      <x:c r="Q118" s="38" t="str">
        <x:v>https://bazaar-builds.net/db/items/submarine.html</x:v>
      </x:c>
      <x:c r="R118" s="38" t="str">
        <x:v>deal 60 / 120 / 240 damage shield equal to this item's damage if this is your only weapon it is affected by freeze and slow for half as long.</x:v>
      </x:c>
      <x:c r="S118" s="38" t="str">
        <x:v>一对一确认来源对象。</x:v>
      </x:c>
    </x:row>
    <x:row r="119">
      <x:c r="A119" s="38" t="str">
        <x:v>bz_van_118</x:v>
      </x:c>
      <x:c r="B119" s="38" t="n">
        <x:v>118</x:v>
      </x:c>
      <x:c r="C119" s="38" t="str">
        <x:v>item</x:v>
      </x:c>
      <x:c r="D119" s="38" t="str">
        <x:v>confirmed</x:v>
      </x:c>
      <x:c r="E119" s="38" t="str">
        <x:v>submersible</x:v>
      </x:c>
      <x:c r="F119" s="38" t="str">
        <x:v>Submersible</x:v>
      </x:c>
      <x:c r="G119" s="38" t="str">
        <x:v>silver</x:v>
      </x:c>
      <x:c r="H119" s="38" t="str">
        <x:v>medium</x:v>
      </x:c>
      <x:c r="I119" s="38" t="str">
        <x:v>aquatic, tool, vehicle, tech, damagereference, shieldreference</x:v>
      </x:c>
      <x:c r="J119" s="38" t="n">
        <x:v>10</x:v>
      </x:c>
      <x:c r="K119" s="38" t="str">
        <x:v>merchant_kev-s-armory, merchant_nautica, merchant_the-tester, merchant_aero, merchant_barkun, merchant_goldie, merchant_jay-jay, merchant_kina, merchant_luxe, merchant_mittel</x:v>
      </x:c>
      <x:c r="L119" s="38" t="n">
        <x:v>10</x:v>
      </x:c>
      <x:c r="M119" s="38" t="str">
        <x:v>elem_火, elem_水, elem_雷, elem_冰, elem_无, role_坦克, role_控制, role_输出, tier_pT3, role_抗压承伤</x:v>
      </x:c>
      <x:c r="N119" s="38" t="str">
        <x:v>Turbo</x:v>
      </x:c>
      <x:c r="O119" s="38" t="str">
        <x:v>pal_118</x:v>
      </x:c>
      <x:c r="P119" s="38" t="str">
        <x:v>百花鹿仙</x:v>
      </x:c>
      <x:c r="Q119" s="38" t="str">
        <x:v>https://bazaar-builds.net/db/items/submersible.html</x:v>
      </x:c>
      <x:c r="R119" s="38" t="str">
        <x:v>your leftmost and rightmost aquatic weapon and shield items gain +10 / 20 / 30 damage and +10 / 20 / 30 shield for the fight. if you have another vehicle or large item, this item's cooldown is reduced by 2 seconds.</x:v>
      </x:c>
      <x:c r="S119" s="38" t="str">
        <x:v>一对一确认来源对象。</x:v>
      </x:c>
    </x:row>
    <x:row r="120">
      <x:c r="A120" s="38" t="str">
        <x:v>bz_van_119</x:v>
      </x:c>
      <x:c r="B120" s="38" t="n">
        <x:v>119</x:v>
      </x:c>
      <x:c r="C120" s="38" t="str">
        <x:v>item</x:v>
      </x:c>
      <x:c r="D120" s="38" t="str">
        <x:v>confirmed</x:v>
      </x:c>
      <x:c r="E120" s="38" t="str">
        <x:v>suppressor</x:v>
      </x:c>
      <x:c r="F120" s="38" t="str">
        <x:v>Suppressor</x:v>
      </x:c>
      <x:c r="G120" s="38" t="str">
        <x:v>silver</x:v>
      </x:c>
      <x:c r="H120" s="38" t="str">
        <x:v>small</x:v>
      </x:c>
      <x:c r="I120" s="38" t="str">
        <x:v>tech, damagereference, cooldown</x:v>
      </x:c>
      <x:c r="J120" s="38" t="n">
        <x:v>10</x:v>
      </x:c>
      <x:c r="K120" s="38" t="str">
        <x:v>merchant_the-tester, merchant_tok-s-clocks, merchant_ande, merchant_goldie, merchant_jay-jay, merchant_kina, merchant_luxe, merchant_midsworth, merchant_quixel, merchant_serafina</x:v>
      </x:c>
      <x:c r="L120" s="38" t="n">
        <x:v>10</x:v>
      </x:c>
      <x:c r="M120" s="38" t="str">
        <x:v>elem_火, elem_雷, elem_冰, elem_地, role_召唤, role_坦克, role_控制, role_治疗, special_merchant, role_抗压承伤</x:v>
      </x:c>
      <x:c r="N120" s="38" t="str">
        <x:v>Turbo</x:v>
      </x:c>
      <x:c r="O120" s="38" t="str">
        <x:v>pal_119</x:v>
      </x:c>
      <x:c r="P120" s="38" t="str">
        <x:v>黑月狐姬</x:v>
      </x:c>
      <x:c r="Q120" s="38" t="str">
        <x:v>https://bazaar-builds.net/db/items/suppressor.html</x:v>
      </x:c>
      <x:c r="R120" s="38" t="str">
        <x:v>the weapon to the left of this has +25 / 50 / 75 damage. if you have exactly one weapon, its cooldown is reduced by 5 / 10 / 15%.</x:v>
      </x:c>
      <x:c r="S120" s="38" t="str">
        <x:v>一对一确认来源对象。</x:v>
      </x:c>
    </x:row>
    <x:row r="121">
      <x:c r="A121" s="38" t="str">
        <x:v>bz_van_120</x:v>
      </x:c>
      <x:c r="B121" s="38" t="n">
        <x:v>120</x:v>
      </x:c>
      <x:c r="C121" s="38" t="str">
        <x:v>item</x:v>
      </x:c>
      <x:c r="D121" s="38" t="str">
        <x:v>confirmed</x:v>
      </x:c>
      <x:c r="E121" s="38" t="str">
        <x:v>swash-buckle</x:v>
      </x:c>
      <x:c r="F121" s="38" t="str">
        <x:v>Swash Buckle</x:v>
      </x:c>
      <x:c r="G121" s="38" t="str">
        <x:v>gold</x:v>
      </x:c>
      <x:c r="H121" s="38" t="str">
        <x:v>medium</x:v>
      </x:c>
      <x:c r="I121" s="38" t="str">
        <x:v>apparel, crit, damagereference, healreference, shieldreference</x:v>
      </x:c>
      <x:c r="J121" s="38" t="n">
        <x:v>10</x:v>
      </x:c>
      <x:c r="K121" s="38" t="str">
        <x:v>merchant_aimbot, merchant_kev-s-armory, merchant_barkun, merchant_gaseo, merchant_goldie, merchant_herma, merchant_jay-jay, merchant_kina, merchant_luxe, merchant_mittel</x:v>
      </x:c>
      <x:c r="L121" s="38" t="n">
        <x:v>10</x:v>
      </x:c>
      <x:c r="M121" s="38" t="str">
        <x:v>night_base, elem_水, elem_雷, elem_冰, elem_无, role_坦克, role_控制, tier_pT1, tier_pT3, role_重甲抗压</x:v>
      </x:c>
      <x:c r="N121" s="38" t="str">
        <x:v>Restorative</x:v>
      </x:c>
      <x:c r="O121" s="38" t="str">
        <x:v>pal_120</x:v>
      </x:c>
      <x:c r="P121" s="38" t="str">
        <x:v>火云鹏王</x:v>
      </x:c>
      <x:c r="Q121" s="38" t="str">
        <x:v>https://bazaar-builds.net/db/items/swash-buckle.html</x:v>
      </x:c>
      <x:c r="R121" s="38" t="str">
        <x:v>adjacent items have +20 → 40% crit chance. adjacent items have bonus damage, heal, or shield equal to their crit chance.</x:v>
      </x:c>
      <x:c r="S121" s="38" t="str">
        <x:v>一对一确认来源对象。</x:v>
      </x:c>
    </x:row>
    <x:row r="122">
      <x:c r="A122" s="38" t="str">
        <x:v>bz_van_121</x:v>
      </x:c>
      <x:c r="B122" s="38" t="n">
        <x:v>121</x:v>
      </x:c>
      <x:c r="C122" s="38" t="str">
        <x:v>item</x:v>
      </x:c>
      <x:c r="D122" s="38" t="str">
        <x:v>confirmed</x:v>
      </x:c>
      <x:c r="E122" s="38" t="str">
        <x:v>switchblade</x:v>
      </x:c>
      <x:c r="F122" s="38" t="str">
        <x:v>Switchblade</x:v>
      </x:c>
      <x:c r="G122" s="38" t="str">
        <x:v>bronze</x:v>
      </x:c>
      <x:c r="H122" s="38" t="str">
        <x:v>small</x:v>
      </x:c>
      <x:c r="I122" s="38" t="str">
        <x:v>weapon, damage</x:v>
      </x:c>
      <x:c r="J122" s="38" t="n">
        <x:v>10</x:v>
      </x:c>
      <x:c r="K122" s="38" t="str">
        <x:v>merchant_aila, merchant_ande, merchant_goldie, merchant_jay-jay, merchant_luxe, merchant_midsworth, merchant_quixel, merchant_serafina, merchant_silvia, merchant_valpak</x:v>
      </x:c>
      <x:c r="L122" s="38" t="n">
        <x:v>10</x:v>
      </x:c>
      <x:c r="M122" s="38" t="str">
        <x:v>night_base, elem_火, elem_雷, elem_地, elem_暗, role_召唤, role_坦克, role_控制, role_治疗, role_经济</x:v>
      </x:c>
      <x:c r="N122" s="38" t="str">
        <x:v>Deadly</x:v>
      </x:c>
      <x:c r="O122" s="38" t="str">
        <x:v>pal_121</x:v>
      </x:c>
      <x:c r="P122" s="38" t="str">
        <x:v>雷泽龙王</x:v>
      </x:c>
      <x:c r="Q122" s="38" t="str">
        <x:v>https://bazaar-builds.net/db/items/switchblade.html</x:v>
      </x:c>
      <x:c r="R122" s="38" t="str">
        <x:v>deal 4 / 8 / 12 / 16 damage when you use an adjacent weapon, it gains +4 / 8 / 12 / 16 damage for the fight.</x:v>
      </x:c>
      <x:c r="S122" s="38" t="str">
        <x:v>一对一确认来源对象。</x:v>
      </x:c>
    </x:row>
    <x:row r="123">
      <x:c r="A123" s="38" t="str">
        <x:v>bz_van_122</x:v>
      </x:c>
      <x:c r="B123" s="38" t="n">
        <x:v>122</x:v>
      </x:c>
      <x:c r="C123" s="38" t="str">
        <x:v>item</x:v>
      </x:c>
      <x:c r="D123" s="38" t="str">
        <x:v>confirmed</x:v>
      </x:c>
      <x:c r="E123" s="38" t="str">
        <x:v>the-boulder</x:v>
      </x:c>
      <x:c r="F123" s="38" t="str">
        <x:v>The Boulder</x:v>
      </x:c>
      <x:c r="G123" s="38" t="str">
        <x:v>gold</x:v>
      </x:c>
      <x:c r="H123" s="38" t="str">
        <x:v>large</x:v>
      </x:c>
      <x:c r="I123" s="38" t="str">
        <x:v>weapon, relic, trap, damage, ammo</x:v>
      </x:c>
      <x:c r="J123" s="38" t="n">
        <x:v>10</x:v>
      </x:c>
      <x:c r="K123" s="38" t="str">
        <x:v>merchant_colt, merchant_aila, merchant_barkun, merchant_goldie, merchant_jay-jay, merchant_luxe, merchant_midsworth, merchant_pol, merchant_serafina, merchant_the-antiquarian</x:v>
      </x:c>
      <x:c r="L123" s="38" t="n">
        <x:v>10</x:v>
      </x:c>
      <x:c r="M123" s="38" t="str">
        <x:v>night_base, elem_水, elem_雷, elem_冰, elem_地, role_坦克, role_控制, role_治疗, role_机动, role_风系铺场</x:v>
      </x:c>
      <x:c r="N123" s="38" t="str">
        <x:v>Restorative</x:v>
      </x:c>
      <x:c r="O123" s="38" t="str">
        <x:v>pal_122</x:v>
      </x:c>
      <x:c r="P123" s="38" t="str">
        <x:v>玄羽雕尊</x:v>
      </x:c>
      <x:c r="Q123" s="38" t="str">
        <x:v>https://bazaar-builds.net/db/items/the-boulder.html</x:v>
      </x:c>
      <x:c r="R123" s="38" t="str">
        <x:v>deal damage equal to an enemy's max health</x:v>
      </x:c>
      <x:c r="S123" s="38" t="str">
        <x:v>一对一确认来源对象。</x:v>
      </x:c>
    </x:row>
    <x:row r="124">
      <x:c r="A124" s="38" t="str">
        <x:v>bz_van_123</x:v>
      </x:c>
      <x:c r="B124" s="38" t="n">
        <x:v>123</x:v>
      </x:c>
      <x:c r="C124" s="38" t="str">
        <x:v>item</x:v>
      </x:c>
      <x:c r="D124" s="38" t="str">
        <x:v>confirmed</x:v>
      </x:c>
      <x:c r="E124" s="38" t="str">
        <x:v>throwing-knives</x:v>
      </x:c>
      <x:c r="F124" s="38" t="str">
        <x:v>Throwing Knives</x:v>
      </x:c>
      <x:c r="G124" s="38" t="str">
        <x:v>gold</x:v>
      </x:c>
      <x:c r="H124" s="38" t="str">
        <x:v>small</x:v>
      </x:c>
      <x:c r="I124" s="38" t="str">
        <x:v>weapon, damage, critreference, ammo</x:v>
      </x:c>
      <x:c r="J124" s="38" t="n">
        <x:v>10</x:v>
      </x:c>
      <x:c r="K124" s="38" t="str">
        <x:v>merchant_aimbot, merchant_colt, merchant_aila, merchant_ande, merchant_goldie, merchant_jay-jay, merchant_luxe, merchant_midsworth, merchant_quixel, merchant_serafina</x:v>
      </x:c>
      <x:c r="L124" s="38" t="n">
        <x:v>10</x:v>
      </x:c>
      <x:c r="M124" s="38" t="str">
        <x:v>night_base, elem_火, elem_雷, elem_地, role_召唤, role_坦克, role_控制, role_治疗, role_机动, tier_pT1</x:v>
      </x:c>
      <x:c r="N124" s="38" t="str">
        <x:v>Deadly</x:v>
      </x:c>
      <x:c r="O124" s="38" t="str">
        <x:v>pal_123</x:v>
      </x:c>
      <x:c r="P124" s="38" t="str">
        <x:v>白象护法</x:v>
      </x:c>
      <x:c r="Q124" s="38" t="str">
        <x:v>https://bazaar-builds.net/db/items/throwing-knives.html</x:v>
      </x:c>
      <x:c r="R124" s="38" t="str">
        <x:v>deal 33 damage when you crit with another item, use this.</x:v>
      </x:c>
      <x:c r="S124" s="38" t="str">
        <x:v>一对一确认来源对象。</x:v>
      </x:c>
    </x:row>
    <x:row r="125">
      <x:c r="A125" s="38" t="str">
        <x:v>bz_van_124</x:v>
      </x:c>
      <x:c r="B125" s="38" t="n">
        <x:v>124</x:v>
      </x:c>
      <x:c r="C125" s="38" t="str">
        <x:v>item</x:v>
      </x:c>
      <x:c r="D125" s="38" t="str">
        <x:v>confirmed</x:v>
      </x:c>
      <x:c r="E125" s="38" t="str">
        <x:v>tiny-cutlass</x:v>
      </x:c>
      <x:c r="F125" s="38" t="str">
        <x:v>Tiny Cutlass</x:v>
      </x:c>
      <x:c r="G125" s="38" t="str">
        <x:v>bronze</x:v>
      </x:c>
      <x:c r="H125" s="38" t="str">
        <x:v>small</x:v>
      </x:c>
      <x:c r="I125" s="38" t="str">
        <x:v>weapon, damage, critreference</x:v>
      </x:c>
      <x:c r="J125" s="38" t="n">
        <x:v>1</x:v>
      </x:c>
      <x:c r="K125" s="38" t="str">
        <x:v>merchant_vanessa</x:v>
      </x:c>
      <x:c r="L125" s="38" t="n">
        <x:v>1</x:v>
      </x:c>
      <x:c r="M125" s="38" t="str">
        <x:v>elite_high</x:v>
      </x:c>
      <x:c r="N125" s="38" t="str">
        <x:v>Deadly</x:v>
      </x:c>
      <x:c r="O125" s="38" t="str">
        <x:v>pal_124</x:v>
      </x:c>
      <x:c r="P125" s="38" t="str">
        <x:v>混世魔猿</x:v>
      </x:c>
      <x:c r="Q125" s="38" t="str">
        <x:v>https://bazaar-builds.net/db/items/tiny-cutlass.html</x:v>
      </x:c>
      <x:c r="R125" s="38" t="str">
        <x:v>deal 6 / 12 / 24 / 48 damage this deals double crit damage.</x:v>
      </x:c>
      <x:c r="S125" s="38" t="str">
        <x:v>一对一确认来源对象。</x:v>
      </x:c>
    </x:row>
    <x:row r="126">
      <x:c r="A126" s="38" t="str">
        <x:v>bz_van_125</x:v>
      </x:c>
      <x:c r="B126" s="38" t="n">
        <x:v>125</x:v>
      </x:c>
      <x:c r="C126" s="38" t="str">
        <x:v>item</x:v>
      </x:c>
      <x:c r="D126" s="38" t="str">
        <x:v>confirmed</x:v>
      </x:c>
      <x:c r="E126" s="38" t="str">
        <x:v>torpedo</x:v>
      </x:c>
      <x:c r="F126" s="38" t="str">
        <x:v>Torpedo</x:v>
      </x:c>
      <x:c r="G126" s="38" t="str">
        <x:v>silver</x:v>
      </x:c>
      <x:c r="H126" s="38" t="str">
        <x:v>medium</x:v>
      </x:c>
      <x:c r="I126" s="38" t="str">
        <x:v>aquatic, weapon, tech, damage, ammo</x:v>
      </x:c>
      <x:c r="J126" s="38" t="n">
        <x:v>10</x:v>
      </x:c>
      <x:c r="K126" s="38" t="str">
        <x:v>merchant_colt, merchant_nautica, merchant_the-tester, merchant_aila, merchant_barkun, merchant_goldie, merchant_jay-jay, merchant_luxe, merchant_mittel, merchant_quixel</x:v>
      </x:c>
      <x:c r="L126" s="38" t="n">
        <x:v>10</x:v>
      </x:c>
      <x:c r="M126" s="38" t="str">
        <x:v>night_base, elem_水, elem_雷, elem_无, role_召唤, role_坦克, role_控制, role_输出, role_机动, role_抗压承伤</x:v>
      </x:c>
      <x:c r="N126" s="38" t="str">
        <x:v>Deadly</x:v>
      </x:c>
      <x:c r="O126" s="38" t="str">
        <x:v>pal_125</x:v>
      </x:c>
      <x:c r="P126" s="38" t="str">
        <x:v>寒狮妖王</x:v>
      </x:c>
      <x:c r="Q126" s="38" t="str">
        <x:v>https://bazaar-builds.net/db/items/torpedo.html</x:v>
      </x:c>
      <x:c r="R126" s="38" t="str">
        <x:v>deal 100 damage when you use another aquatic or ammo item, this gains 40 / 80 / 120 damage for the fight. if the item is large, double the damage gain.</x:v>
      </x:c>
      <x:c r="S126" s="38" t="str">
        <x:v>一对一确认来源对象。</x:v>
      </x:c>
    </x:row>
    <x:row r="127">
      <x:c r="A127" s="38" t="str">
        <x:v>bz_van_126</x:v>
      </x:c>
      <x:c r="B127" s="38" t="n">
        <x:v>126</x:v>
      </x:c>
      <x:c r="C127" s="38" t="str">
        <x:v>item</x:v>
      </x:c>
      <x:c r="D127" s="38" t="str">
        <x:v>confirmed</x:v>
      </x:c>
      <x:c r="E127" s="38" t="str">
        <x:v>tortuga</x:v>
      </x:c>
      <x:c r="F127" s="38" t="str">
        <x:v>Tortuga</x:v>
      </x:c>
      <x:c r="G127" s="38" t="str">
        <x:v>gold</x:v>
      </x:c>
      <x:c r="H127" s="38" t="str">
        <x:v>large</x:v>
      </x:c>
      <x:c r="I127" s="38" t="str">
        <x:v>aquatic, friend, vehicle, weapon, damage, haste</x:v>
      </x:c>
      <x:c r="J127" s="38" t="n">
        <x:v>10</x:v>
      </x:c>
      <x:c r="K127" s="38" t="str">
        <x:v>merchant_dryad, merchant_nautica, merchant_tok-s-clocks, merchant_aero, merchant_aila, merchant_barkun, merchant_chronos, merchant_goldie, merchant_jay-jay, merchant_luxe</x:v>
      </x:c>
      <x:c r="L127" s="38" t="n">
        <x:v>10</x:v>
      </x:c>
      <x:c r="M127" s="38" t="str">
        <x:v>night_base, elem_火, elem_水, elem_雷, role_坦克, role_控制, role_输出, special_merchant, elite_high, role_机动压制</x:v>
      </x:c>
      <x:c r="N127" s="38" t="str">
        <x:v>Turbo</x:v>
      </x:c>
      <x:c r="O127" s="38" t="str">
        <x:v>pal_126</x:v>
      </x:c>
      <x:c r="P127" s="38" t="str">
        <x:v>幽冥獒王</x:v>
      </x:c>
      <x:c r="Q127" s="38" t="str">
        <x:v>https://bazaar-builds.net/db/items/tortuga.html</x:v>
      </x:c>
      <x:c r="R127" s="38" t="str">
        <x:v>deal 450 → 900 damage haste your other items for 1 second when you use another friend, charge this 2 seconds.</x:v>
      </x:c>
      <x:c r="S127" s="38" t="str">
        <x:v>一对一确认来源对象。</x:v>
      </x:c>
    </x:row>
    <x:row r="128">
      <x:c r="A128" s="38" t="str">
        <x:v>bz_van_127</x:v>
      </x:c>
      <x:c r="B128" s="38" t="n">
        <x:v>127</x:v>
      </x:c>
      <x:c r="C128" s="38" t="str">
        <x:v>item</x:v>
      </x:c>
      <x:c r="D128" s="38" t="str">
        <x:v>confirmed</x:v>
      </x:c>
      <x:c r="E128" s="38" t="str">
        <x:v>trebuchet</x:v>
      </x:c>
      <x:c r="F128" s="38" t="str">
        <x:v>Trebuchet</x:v>
      </x:c>
      <x:c r="G128" s="38" t="str">
        <x:v>silver</x:v>
      </x:c>
      <x:c r="H128" s="38" t="str">
        <x:v>large</x:v>
      </x:c>
      <x:c r="I128" s="38" t="str">
        <x:v>weapon, burn, damage, hastereference</x:v>
      </x:c>
      <x:c r="J128" s="38" t="n">
        <x:v>10</x:v>
      </x:c>
      <x:c r="K128" s="38" t="str">
        <x:v>merchant_tok-s-clocks, merchant_aila, merchant_barkun, merchant_chronos, merchant_goldie, merchant_hef, merchant_jay-jay, merchant_luxe, merchant_midsworth, merchant_pol</x:v>
      </x:c>
      <x:c r="L128" s="38" t="n">
        <x:v>10</x:v>
      </x:c>
      <x:c r="M128" s="38" t="str">
        <x:v>night_base, elem_水, elem_雷, elem_地, role_坦克, role_控制, special_merchant, elite_high, tier_pT2, role_风系铺场</x:v>
      </x:c>
      <x:c r="N128" s="38" t="str">
        <x:v>Fiery</x:v>
      </x:c>
      <x:c r="O128" s="38" t="str">
        <x:v>pal_127</x:v>
      </x:c>
      <x:c r="P128" s="38" t="str">
        <x:v>九天龙君</x:v>
      </x:c>
      <x:c r="Q128" s="38" t="str">
        <x:v>https://bazaar-builds.net/db/items/trebuchet.html</x:v>
      </x:c>
      <x:c r="R128" s="38" t="str">
        <x:v>deal 75 / 150 / 300 damage burn 8 / 16 / 24 when you use another weapon or haste, charge this 2 seconds.</x:v>
      </x:c>
      <x:c r="S128" s="38" t="str">
        <x:v>一对一确认来源对象。</x:v>
      </x:c>
    </x:row>
    <x:row r="129">
      <x:c r="A129" s="38" t="str">
        <x:v>bz_van_128</x:v>
      </x:c>
      <x:c r="B129" s="38" t="n">
        <x:v>128</x:v>
      </x:c>
      <x:c r="C129" s="38" t="str">
        <x:v>item</x:v>
      </x:c>
      <x:c r="D129" s="38" t="str">
        <x:v>confirmed</x:v>
      </x:c>
      <x:c r="E129" s="38" t="str">
        <x:v>tripwire</x:v>
      </x:c>
      <x:c r="F129" s="38" t="str">
        <x:v>Tripwire</x:v>
      </x:c>
      <x:c r="G129" s="38" t="str">
        <x:v>gold</x:v>
      </x:c>
      <x:c r="H129" s="38" t="str">
        <x:v>medium</x:v>
      </x:c>
      <x:c r="I129" s="38" t="str">
        <x:v>trap, slow</x:v>
      </x:c>
      <x:c r="J129" s="38" t="n">
        <x:v>10</x:v>
      </x:c>
      <x:c r="K129" s="38" t="str">
        <x:v>merchant_tok-s-clocks, merchant_barkun, merchant_cobweb, merchant_goldie, merchant_jay-jay, merchant_kina, merchant_luxe, merchant_mittel, merchant_quixel, merchant_serafina</x:v>
      </x:c>
      <x:c r="L129" s="38" t="n">
        <x:v>10</x:v>
      </x:c>
      <x:c r="M129" s="38" t="str">
        <x:v>elem_水, elem_雷, elem_冰, elem_无, role_召唤, role_坦克, role_控制, role_治疗, special_merchant, role_召唤铺场</x:v>
      </x:c>
      <x:c r="N129" s="38" t="str">
        <x:v>Icy</x:v>
      </x:c>
      <x:c r="O129" s="38" t="str">
        <x:v>pal_128</x:v>
      </x:c>
      <x:c r="P129" s="38" t="str">
        <x:v>星貂王</x:v>
      </x:c>
      <x:c r="Q129" s="38" t="str">
        <x:v>https://bazaar-builds.net/db/items/tripwire.html</x:v>
      </x:c>
      <x:c r="R129" s="38" t="str">
        <x:v>when an enemy uses an item, slow it for 1 → 2 seconds.</x:v>
      </x:c>
      <x:c r="S129" s="38" t="str">
        <x:v>一对一确认来源对象。</x:v>
      </x:c>
    </x:row>
    <x:row r="130">
      <x:c r="A130" s="38" t="str">
        <x:v>bz_van_129</x:v>
      </x:c>
      <x:c r="B130" s="38" t="n">
        <x:v>129</x:v>
      </x:c>
      <x:c r="C130" s="38" t="str">
        <x:v>item</x:v>
      </x:c>
      <x:c r="D130" s="38" t="str">
        <x:v>confirmed</x:v>
      </x:c>
      <x:c r="E130" s="38" t="str">
        <x:v>tropical-island</x:v>
      </x:c>
      <x:c r="F130" s="38" t="str">
        <x:v>Tropical Island</x:v>
      </x:c>
      <x:c r="G130" s="38" t="str">
        <x:v>gold</x:v>
      </x:c>
      <x:c r="H130" s="38" t="str">
        <x:v>large</x:v>
      </x:c>
      <x:c r="I130" s="38" t="str">
        <x:v>property, aquatic, regen, slowreference</x:v>
      </x:c>
      <x:c r="J130" s="38" t="n">
        <x:v>10</x:v>
      </x:c>
      <x:c r="K130" s="38" t="str">
        <x:v>merchant_nautica, merchant_tok-s-clocks, merchant_barkun, merchant_cobweb, merchant_goldie, merchant_herma, merchant_jay-jay, merchant_kina, merchant_luxe, merchant_midsworth</x:v>
      </x:c>
      <x:c r="L130" s="38" t="n">
        <x:v>10</x:v>
      </x:c>
      <x:c r="M130" s="38" t="str">
        <x:v>night_base, elem_水, elem_雷, elem_冰, elem_地, role_坦克, role_控制, role_输出, special_merchant, role_召唤铺场</x:v>
      </x:c>
      <x:c r="N130" s="38" t="str">
        <x:v>Icy</x:v>
      </x:c>
      <x:c r="O130" s="38" t="str">
        <x:v>pal_129</x:v>
      </x:c>
      <x:c r="P130" s="38" t="str">
        <x:v>渊鹤王</x:v>
      </x:c>
      <x:c r="Q130" s="38" t="str">
        <x:v>https://bazaar-builds.net/db/items/tropical-island.html</x:v>
      </x:c>
      <x:c r="R130" s="38" t="str">
        <x:v>when you slow, regen 5 → 10. at the start of each hour, get a coconut or citrus.</x:v>
      </x:c>
      <x:c r="S130" s="38" t="str">
        <x:v>一对一确认来源对象。</x:v>
      </x:c>
    </x:row>
    <x:row r="131">
      <x:c r="A131" s="38" t="str">
        <x:v>bz_van_130</x:v>
      </x:c>
      <x:c r="B131" s="38" t="n">
        <x:v>130</x:v>
      </x:c>
      <x:c r="C131" s="38" t="str">
        <x:v>item</x:v>
      </x:c>
      <x:c r="D131" s="38" t="str">
        <x:v>confirmed</x:v>
      </x:c>
      <x:c r="E131" s="38" t="str">
        <x:v>turtle-shell</x:v>
      </x:c>
      <x:c r="F131" s="38" t="str">
        <x:v>Turtle Shell</x:v>
      </x:c>
      <x:c r="G131" s="38" t="str">
        <x:v>gold</x:v>
      </x:c>
      <x:c r="H131" s="38" t="str">
        <x:v>medium</x:v>
      </x:c>
      <x:c r="I131" s="38" t="str">
        <x:v>aquatic, shield</x:v>
      </x:c>
      <x:c r="J131" s="38" t="n">
        <x:v>10</x:v>
      </x:c>
      <x:c r="K131" s="38" t="str">
        <x:v>merchant_kev-s-armory, merchant_nautica, merchant_barkun, merchant_goldie, merchant_jay-jay, merchant_kina, merchant_luxe, merchant_mittel, merchant_proteus, merchant_quixel</x:v>
      </x:c>
      <x:c r="L131" s="38" t="n">
        <x:v>10</x:v>
      </x:c>
      <x:c r="M131" s="38" t="str">
        <x:v>elem_水, elem_雷, elem_冰, elem_龙, elem_无, role_召唤, role_坦克, role_控制, role_输出, tier_pT3</x:v>
      </x:c>
      <x:c r="N131" s="38" t="str">
        <x:v>Turbo</x:v>
      </x:c>
      <x:c r="O131" s="38" t="str">
        <x:v>pal_130</x:v>
      </x:c>
      <x:c r="P131" s="38" t="str">
        <x:v>潮甲君</x:v>
      </x:c>
      <x:c r="Q131" s="38" t="str">
        <x:v>https://bazaar-builds.net/db/items/turtle-shell.html</x:v>
      </x:c>
      <x:c r="R131" s="38" t="str">
        <x:v>shield 15 your shield items gain +15 → 30 shield for the fight when you use another non-weapon item, charge this 2 seconds.</x:v>
      </x:c>
      <x:c r="S131" s="38" t="str">
        <x:v>一对一确认来源对象。</x:v>
      </x:c>
    </x:row>
    <x:row r="132">
      <x:c r="A132" s="38" t="str">
        <x:v>bz_van_131</x:v>
      </x:c>
      <x:c r="B132" s="38" t="n">
        <x:v>131</x:v>
      </x:c>
      <x:c r="C132" s="38" t="str">
        <x:v>item</x:v>
      </x:c>
      <x:c r="D132" s="38" t="str">
        <x:v>confirmed</x:v>
      </x:c>
      <x:c r="E132" s="38" t="str">
        <x:v>vampire-squid</x:v>
      </x:c>
      <x:c r="F132" s="38" t="str">
        <x:v>Vampire Squid</x:v>
      </x:c>
      <x:c r="G132" s="38" t="str">
        <x:v>silver</x:v>
      </x:c>
      <x:c r="H132" s="38" t="str">
        <x:v>small</x:v>
      </x:c>
      <x:c r="I132" s="38" t="str">
        <x:v>aquatic, weapon, friend, damage, critreference</x:v>
      </x:c>
      <x:c r="J132" s="38" t="n">
        <x:v>10</x:v>
      </x:c>
      <x:c r="K132" s="38" t="str">
        <x:v>merchant_aimbot, merchant_dryad, merchant_nautica, merchant_aila, merchant_ande, merchant_goldie, merchant_jay-jay, merchant_luxe, merchant_midsworth, merchant_quixel</x:v>
      </x:c>
      <x:c r="L132" s="38" t="n">
        <x:v>10</x:v>
      </x:c>
      <x:c r="M132" s="38" t="str">
        <x:v>night_base, elem_火, elem_雷, elem_地, role_召唤, role_坦克, role_控制, role_输出, tier_pT1, role_机动压制</x:v>
      </x:c>
      <x:c r="N132" s="38" t="str">
        <x:v>Deadly</x:v>
      </x:c>
      <x:c r="O132" s="38" t="str">
        <x:v>pal_131</x:v>
      </x:c>
      <x:c r="P132" s="38" t="str">
        <x:v>碧蜂妖</x:v>
      </x:c>
      <x:c r="Q132" s="38" t="str">
        <x:v>https://bazaar-builds.net/db/items/vampire-squid.html</x:v>
      </x:c>
      <x:c r="R132" s="38" t="str">
        <x:v>deal 15 / 30 / 60 damage this has +damage equal to its crit chance.</x:v>
      </x:c>
      <x:c r="S132" s="38" t="str">
        <x:v>一对一确认来源对象。</x:v>
      </x:c>
    </x:row>
    <x:row r="133">
      <x:c r="A133" s="38" t="str">
        <x:v>bz_van_132</x:v>
      </x:c>
      <x:c r="B133" s="38" t="n">
        <x:v>132</x:v>
      </x:c>
      <x:c r="C133" s="38" t="str">
        <x:v>item</x:v>
      </x:c>
      <x:c r="D133" s="38" t="str">
        <x:v>confirmed</x:v>
      </x:c>
      <x:c r="E133" s="38" t="str">
        <x:v>volcanic-vents</x:v>
      </x:c>
      <x:c r="F133" s="38" t="str">
        <x:v>Volcanic Vents</x:v>
      </x:c>
      <x:c r="G133" s="38" t="str">
        <x:v>bronze</x:v>
      </x:c>
      <x:c r="H133" s="38" t="str">
        <x:v>medium</x:v>
      </x:c>
      <x:c r="I133" s="38" t="str">
        <x:v>aquatic, burn</x:v>
      </x:c>
      <x:c r="J133" s="38" t="n">
        <x:v>10</x:v>
      </x:c>
      <x:c r="K133" s="38" t="str">
        <x:v>merchant_nautica, merchant_barkun, merchant_goldie, merchant_hef, merchant_jay-jay, merchant_kina, merchant_luxe, merchant_mittel, merchant_quixel, merchant_serafina</x:v>
      </x:c>
      <x:c r="L133" s="38" t="n">
        <x:v>10</x:v>
      </x:c>
      <x:c r="M133" s="38" t="str">
        <x:v>elem_水, elem_雷, elem_冰, elem_无, role_召唤, role_坦克, role_控制, role_治疗, role_输出, tier_pT2</x:v>
      </x:c>
      <x:c r="N133" s="38" t="str">
        <x:v>Fiery</x:v>
      </x:c>
      <x:c r="O133" s="38" t="str">
        <x:v>pal_132</x:v>
      </x:c>
      <x:c r="P133" s="38" t="str">
        <x:v>烬隼童</x:v>
      </x:c>
      <x:c r="Q133" s="38" t="str">
        <x:v>https://bazaar-builds.net/db/items/volcanic-vents.html</x:v>
      </x:c>
      <x:c r="R133" s="38" t="str">
        <x:v>burn 3 / 6 / 9 / 12</x:v>
      </x:c>
      <x:c r="S133" s="38" t="str">
        <x:v>一对一确认来源对象。</x:v>
      </x:c>
    </x:row>
    <x:row r="134">
      <x:c r="A134" s="38" t="str">
        <x:v>bz_van_133</x:v>
      </x:c>
      <x:c r="B134" s="38" t="n">
        <x:v>133</x:v>
      </x:c>
      <x:c r="C134" s="38" t="str">
        <x:v>item</x:v>
      </x:c>
      <x:c r="D134" s="38" t="str">
        <x:v>confirmed</x:v>
      </x:c>
      <x:c r="E134" s="38" t="str">
        <x:v>wanted-poster</x:v>
      </x:c>
      <x:c r="F134" s="38" t="str">
        <x:v>Wanted Poster</x:v>
      </x:c>
      <x:c r="G134" s="38" t="str">
        <x:v>silver</x:v>
      </x:c>
      <x:c r="H134" s="38" t="str">
        <x:v>medium</x:v>
      </x:c>
      <x:c r="I134" s="38" t="str">
        <x:v>crit, experience</x:v>
      </x:c>
      <x:c r="J134" s="38" t="n">
        <x:v>10</x:v>
      </x:c>
      <x:c r="K134" s="38" t="str">
        <x:v>merchant_aimbot, merchant_barkun, merchant_goldie, merchant_jay-jay, merchant_kina, merchant_luxe, merchant_mittel, merchant_quixel, merchant_serafina, merchant_silvia</x:v>
      </x:c>
      <x:c r="L134" s="38" t="n">
        <x:v>10</x:v>
      </x:c>
      <x:c r="M134" s="38" t="str">
        <x:v>elem_水, elem_雷, elem_冰, elem_无, role_召唤, role_坦克, role_控制, role_治疗, role_经济, tier_pT1</x:v>
      </x:c>
      <x:c r="N134" s="38" t="str">
        <x:v>Deadly</x:v>
      </x:c>
      <x:c r="O134" s="38" t="str">
        <x:v>pal_133</x:v>
      </x:c>
      <x:c r="P134" s="38" t="str">
        <x:v>雷貉卫</x:v>
      </x:c>
      <x:c r="Q134" s="38" t="str">
        <x:v>https://bazaar-builds.net/db/items/wanted-poster.html</x:v>
      </x:c>
      <x:c r="R134" s="38" t="str">
        <x:v>when you win a fight against a hero, gain 1 xp. if you won the fight with this, gain 1 additional xp. your items have +10 / 20 / 30% crit chance.</x:v>
      </x:c>
      <x:c r="S134" s="38" t="str">
        <x:v>一对一确认来源对象。</x:v>
      </x:c>
    </x:row>
    <x:row r="135">
      <x:c r="A135" s="38" t="str">
        <x:v>bz_van_134</x:v>
      </x:c>
      <x:c r="B135" s="38" t="n">
        <x:v>134</x:v>
      </x:c>
      <x:c r="C135" s="38" t="str">
        <x:v>item</x:v>
      </x:c>
      <x:c r="D135" s="38" t="str">
        <x:v>confirmed</x:v>
      </x:c>
      <x:c r="E135" s="38" t="str">
        <x:v>water-wheel</x:v>
      </x:c>
      <x:c r="F135" s="38" t="str">
        <x:v>Water Wheel</x:v>
      </x:c>
      <x:c r="G135" s="38" t="str">
        <x:v>silver</x:v>
      </x:c>
      <x:c r="H135" s="38" t="str">
        <x:v>large</x:v>
      </x:c>
      <x:c r="I135" s="38" t="str">
        <x:v>aquatic, property, haste</x:v>
      </x:c>
      <x:c r="J135" s="38" t="n">
        <x:v>10</x:v>
      </x:c>
      <x:c r="K135" s="38" t="str">
        <x:v>merchant_nautica, merchant_tok-s-clocks, merchant_barkun, merchant_chronos, merchant_goldie, merchant_jay-jay, merchant_kina, merchant_luxe, merchant_midsworth, merchant_mr-morland</x:v>
      </x:c>
      <x:c r="L135" s="38" t="n">
        <x:v>10</x:v>
      </x:c>
      <x:c r="M135" s="38" t="str">
        <x:v>elem_水, elem_雷, elem_冰, elem_地, elem_暗, role_坦克, role_控制, role_输出, special_merchant, elite_high</x:v>
      </x:c>
      <x:c r="N135" s="38" t="str">
        <x:v>Turbo</x:v>
      </x:c>
      <x:c r="O135" s="38" t="str">
        <x:v>pal_134</x:v>
      </x:c>
      <x:c r="P135" s="38" t="str">
        <x:v>沧雀卫</x:v>
      </x:c>
      <x:c r="Q135" s="38" t="str">
        <x:v>https://bazaar-builds.net/db/items/water-wheel.html</x:v>
      </x:c>
      <x:c r="R135" s="38" t="str">
        <x:v>haste your other items for 2 seconds when you use an adjacent item, charge this 2 seconds.</x:v>
      </x:c>
      <x:c r="S135" s="38" t="str">
        <x:v>一对一确认来源对象。</x:v>
      </x:c>
    </x:row>
    <x:row r="136">
      <x:c r="A136" s="38" t="str">
        <x:v>bz_van_135</x:v>
      </x:c>
      <x:c r="B136" s="38" t="n">
        <x:v>135</x:v>
      </x:c>
      <x:c r="C136" s="38" t="str">
        <x:v>item</x:v>
      </x:c>
      <x:c r="D136" s="38" t="str">
        <x:v>confirmed</x:v>
      </x:c>
      <x:c r="E136" s="38" t="str">
        <x:v>weather-glass</x:v>
      </x:c>
      <x:c r="F136" s="38" t="str">
        <x:v>Weather Glass</x:v>
      </x:c>
      <x:c r="G136" s="38" t="str">
        <x:v>silver</x:v>
      </x:c>
      <x:c r="H136" s="38" t="str">
        <x:v>medium</x:v>
      </x:c>
      <x:c r="I136" s="38" t="str">
        <x:v>tool, burn, poison, slowreference, freezereference</x:v>
      </x:c>
      <x:c r="J136" s="38" t="n">
        <x:v>10</x:v>
      </x:c>
      <x:c r="K136" s="38" t="str">
        <x:v>merchant_tok-s-clocks, merchant_barkun, merchant_cobweb, merchant_freiya, merchant_goldie, merchant_hef, merchant_jay-jay, merchant_kina, merchant_knightshade, merchant_luxe</x:v>
      </x:c>
      <x:c r="L136" s="38" t="n">
        <x:v>10</x:v>
      </x:c>
      <x:c r="M136" s="38" t="str">
        <x:v>elem_水, elem_雷, elem_冰, role_坦克, role_控制, special_merchant, tier_pT2, role_召唤铺场, role_风系牵制, role_火系压制</x:v>
      </x:c>
      <x:c r="N136" s="38" t="str">
        <x:v>Fiery</x:v>
      </x:c>
      <x:c r="O136" s="38" t="str">
        <x:v>pal_135</x:v>
      </x:c>
      <x:c r="P136" s="38" t="str">
        <x:v>赤蝎精</x:v>
      </x:c>
      <x:c r="Q136" s="38" t="str">
        <x:v>https://bazaar-builds.net/db/items/weather-glass.html</x:v>
      </x:c>
      <x:c r="R136" s="38" t="str">
        <x:v>burn 4 poison 4 if you have another item with burn, poison, slow, or freeze, this has +1 multicast for each.</x:v>
      </x:c>
      <x:c r="S136" s="38" t="str">
        <x:v>一对一确认来源对象。</x:v>
      </x:c>
    </x:row>
    <x:row r="137">
      <x:c r="A137" s="38" t="str">
        <x:v>bz_van_136</x:v>
      </x:c>
      <x:c r="B137" s="38" t="n">
        <x:v>136</x:v>
      </x:c>
      <x:c r="C137" s="38" t="str">
        <x:v>item</x:v>
      </x:c>
      <x:c r="D137" s="38" t="str">
        <x:v>confirmed</x:v>
      </x:c>
      <x:c r="E137" s="38" t="str">
        <x:v>wetware</x:v>
      </x:c>
      <x:c r="F137" s="38" t="str">
        <x:v>Wetware</x:v>
      </x:c>
      <x:c r="G137" s="38" t="str">
        <x:v>bronze</x:v>
      </x:c>
      <x:c r="H137" s="38" t="str">
        <x:v>medium</x:v>
      </x:c>
      <x:c r="I137" s="38" t="str">
        <x:v>aquatic, apparel, tech, shield, techreference, damagereference</x:v>
      </x:c>
      <x:c r="J137" s="38" t="n">
        <x:v>10</x:v>
      </x:c>
      <x:c r="K137" s="38" t="str">
        <x:v>merchant_kev-s-armory, merchant_nautica, merchant_the-tester, merchant_barkun, merchant_gaseo, merchant_goldie, merchant_jay-jay, merchant_kina, merchant_luxe, merchant_mittel</x:v>
      </x:c>
      <x:c r="L137" s="38" t="n">
        <x:v>10</x:v>
      </x:c>
      <x:c r="M137" s="38" t="str">
        <x:v>elem_水, elem_雷, elem_冰, elem_无, role_坦克, role_控制, role_输出, tier_pT3, role_抗压承伤, role_重甲抗压</x:v>
      </x:c>
      <x:c r="N137" s="38" t="str">
        <x:v>Turbo</x:v>
      </x:c>
      <x:c r="O137" s="38" t="str">
        <x:v>pal_136</x:v>
      </x:c>
      <x:c r="P137" s="38" t="str">
        <x:v>沧熊童</x:v>
      </x:c>
      <x:c r="Q137" s="38" t="str">
        <x:v>https://bazaar-builds.net/db/items/wetware.html</x:v>
      </x:c>
      <x:c r="R137" s="38" t="str">
        <x:v>shield 10 when you use a weapon, this gains +15 / 25 / 35 / 45 shield for the fight. if you have another tech item, this item's cooldown is reduced by 2 seconds.</x:v>
      </x:c>
      <x:c r="S137" s="38" t="str">
        <x:v>一对一确认来源对象。</x:v>
      </x:c>
    </x:row>
    <x:row r="138">
      <x:c r="A138" s="38" t="str">
        <x:v>bz_van_137</x:v>
      </x:c>
      <x:c r="B138" s="38" t="n">
        <x:v>137</x:v>
      </x:c>
      <x:c r="C138" s="38" t="str">
        <x:v>item</x:v>
      </x:c>
      <x:c r="D138" s="38" t="str">
        <x:v>confirmed</x:v>
      </x:c>
      <x:c r="E138" s="38" t="str">
        <x:v>yeti-crab</x:v>
      </x:c>
      <x:c r="F138" s="38" t="str">
        <x:v>Yeti Crab</x:v>
      </x:c>
      <x:c r="G138" s="38" t="str">
        <x:v>bronze</x:v>
      </x:c>
      <x:c r="H138" s="38" t="str">
        <x:v>small</x:v>
      </x:c>
      <x:c r="I138" s="38" t="str">
        <x:v>aquatic, friend, freeze, poisonreference</x:v>
      </x:c>
      <x:c r="J138" s="38" t="n">
        <x:v>10</x:v>
      </x:c>
      <x:c r="K138" s="38" t="str">
        <x:v>merchant_dryad, merchant_nautica, merchant_ande, merchant_freiya, merchant_goldie, merchant_jay-jay, merchant_kina, merchant_knightshade, merchant_luxe, merchant_midsworth</x:v>
      </x:c>
      <x:c r="L138" s="38" t="n">
        <x:v>10</x:v>
      </x:c>
      <x:c r="M138" s="38" t="str">
        <x:v>elem_火, elem_雷, elem_冰, elem_地, role_坦克, role_控制, role_输出, role_机动压制, role_风系牵制, role_火系压制</x:v>
      </x:c>
      <x:c r="N138" s="38" t="str">
        <x:v>Icy</x:v>
      </x:c>
      <x:c r="O138" s="38" t="str">
        <x:v>pal_137</x:v>
      </x:c>
      <x:c r="P138" s="38" t="str">
        <x:v>雪貂童</x:v>
      </x:c>
      <x:c r="Q138" s="38" t="str">
        <x:v>https://bazaar-builds.net/db/items/yeti-crab.html</x:v>
      </x:c>
      <x:c r="R138" s="38" t="str">
        <x:v>freeze an item for 1 second when you freeze, adjacent poison items gain +2 / 4 / 6 / 8 poison for the fight.</x:v>
      </x:c>
      <x:c r="S138" s="38" t="str">
        <x:v>一对一确认来源对象。</x:v>
      </x:c>
    </x:row>
    <x:row r="139">
      <x:c r="A139" s="38" t="str">
        <x:v>bz_van_138</x:v>
      </x:c>
      <x:c r="B139" s="38" t="n">
        <x:v>138</x:v>
      </x:c>
      <x:c r="C139" s="38" t="str">
        <x:v>item</x:v>
      </x:c>
      <x:c r="D139" s="38" t="str">
        <x:v>confirmed</x:v>
      </x:c>
      <x:c r="E139" s="38" t="str">
        <x:v>zoarcid</x:v>
      </x:c>
      <x:c r="F139" s="38" t="str">
        <x:v>Zoarcid</x:v>
      </x:c>
      <x:c r="G139" s="38" t="str">
        <x:v>bronze</x:v>
      </x:c>
      <x:c r="H139" s="38" t="str">
        <x:v>small</x:v>
      </x:c>
      <x:c r="I139" s="38" t="str">
        <x:v>aquatic, weapon, friend, damage, haste, burnreference</x:v>
      </x:c>
      <x:c r="J139" s="38" t="n">
        <x:v>10</x:v>
      </x:c>
      <x:c r="K139" s="38" t="str">
        <x:v>merchant_dryad, merchant_nautica, merchant_tok-s-clocks, merchant_aila, merchant_ande, merchant_chronos, merchant_goldie, merchant_hef, merchant_jay-jay, merchant_luxe</x:v>
      </x:c>
      <x:c r="L139" s="38" t="n">
        <x:v>10</x:v>
      </x:c>
      <x:c r="M139" s="38" t="str">
        <x:v>night_base, elem_火, elem_雷, role_坦克, role_控制, role_输出, special_merchant, elite_high, tier_pT2, role_机动压制</x:v>
      </x:c>
      <x:c r="N139" s="38" t="str">
        <x:v>Fiery</x:v>
      </x:c>
      <x:c r="O139" s="38" t="str">
        <x:v>pal_138</x:v>
      </x:c>
      <x:c r="P139" s="38" t="str">
        <x:v>烬蜂童</x:v>
      </x:c>
      <x:c r="Q139" s="38" t="str">
        <x:v>https://bazaar-builds.net/db/items/zoarcid.html</x:v>
      </x:c>
      <x:c r="R139" s="38" t="str">
        <x:v>deal 20 damage haste adjacent items for 2 seconds when you burn, charge this 1 second.</x:v>
      </x:c>
      <x:c r="S139" s="38" t="str">
        <x:v>一对一确认来源对象。</x:v>
      </x:c>
    </x:row>
    <x:row r="140">
      <x:c r="A140" s="38" t="str">
        <x:v>bz_van_139</x:v>
      </x:c>
      <x:c r="B140" s="38" t="n">
        <x:v>139</x:v>
      </x:c>
      <x:c r="C140" s="38" t="str">
        <x:v>skill</x:v>
      </x:c>
      <x:c r="D140" s="38" t="str">
        <x:v>confirmed</x:v>
      </x:c>
      <x:c r="E140" s="38" t="str">
        <x:v>alacrity</x:v>
      </x:c>
      <x:c r="F140" s="38" t="str">
        <x:v>Alacrity</x:v>
      </x:c>
      <x:c r="G140" s="38" t="str">
        <x:v>gold</x:v>
      </x:c>
      <x:c r="H140" s="38" t="str">
        <x:v>medium</x:v>
      </x:c>
      <x:c r="I140" s="38" t="str">
        <x:v>charge, critreference</x:v>
      </x:c>
      <x:c r="J140" s="38" t="n">
        <x:v>5</x:v>
      </x:c>
      <x:c r="K140" s="38" t="str">
        <x:v>trainer_adira, trainer_nufu, trainer_orlin, trainer_vermir, trainer_zara</x:v>
      </x:c>
      <x:c r="L140" s="38" t="n">
        <x:v>5</x:v>
      </x:c>
      <x:c r="M140" s="38" t="str">
        <x:v>elem_水, elem_龙, elem_无, role_召唤, special_merchant</x:v>
      </x:c>
      <x:c r="N140" s="38" t="str">
        <x:v>Turbo</x:v>
      </x:c>
      <x:c r="O140" s="38" t="str">
        <x:v>pal_139</x:v>
      </x:c>
      <x:c r="P140" s="38" t="str">
        <x:v>雷鲭王</x:v>
      </x:c>
      <x:c r="Q140" s="38" t="str">
        <x:v>https://bazaar-builds.net/db/skills/alacrity.html</x:v>
      </x:c>
      <x:c r="R140" s="38" t="str">
        <x:v>the first 5 → 10 times you crit each fight, charge an item 1 second.</x:v>
      </x:c>
      <x:c r="S140" s="38" t="str">
        <x:v>一对一确认来源对象。</x:v>
      </x:c>
    </x:row>
    <x:row r="141">
      <x:c r="A141" s="38" t="str">
        <x:v>bz_van_140</x:v>
      </x:c>
      <x:c r="B141" s="38" t="n">
        <x:v>140</x:v>
      </x:c>
      <x:c r="C141" s="38" t="str">
        <x:v>skill</x:v>
      </x:c>
      <x:c r="D141" s="38" t="str">
        <x:v>confirmed</x:v>
      </x:c>
      <x:c r="E141" s="38" t="str">
        <x:v>arbitrage</x:v>
      </x:c>
      <x:c r="F141" s="38" t="str">
        <x:v>Arbitrage</x:v>
      </x:c>
      <x:c r="G141" s="38" t="str">
        <x:v>silver</x:v>
      </x:c>
      <x:c r="H141" s="38" t="str">
        <x:v>medium</x:v>
      </x:c>
      <x:c r="I141" s="38" t="str">
        <x:v>economyreference</x:v>
      </x:c>
      <x:c r="J141" s="38" t="n">
        <x:v>4</x:v>
      </x:c>
      <x:c r="K141" s="38" t="str">
        <x:v>trainer_adira, trainer_argenta, trainer_nufu, trainer_orlin</x:v>
      </x:c>
      <x:c r="L141" s="38" t="n">
        <x:v>4</x:v>
      </x:c>
      <x:c r="M141" s="38" t="str">
        <x:v>elem_水, elem_雷, elem_龙, elem_无</x:v>
      </x:c>
      <x:c r="N141" s="38" t="str">
        <x:v>Golden</x:v>
      </x:c>
      <x:c r="O141" s="38" t="str">
        <x:v>pal_140</x:v>
      </x:c>
      <x:c r="P141" s="38" t="str">
        <x:v>冥雀卫</x:v>
      </x:c>
      <x:c r="Q141" s="38" t="str">
        <x:v>https://bazaar-builds.net/db/skills/arbitrage.html</x:v>
      </x:c>
      <x:c r="R141" s="38" t="str">
        <x:v>your rerolls cost 1 / 2 / 3 less gold.</x:v>
      </x:c>
      <x:c r="S141" s="38" t="str">
        <x:v>一对一确认来源对象。</x:v>
      </x:c>
    </x:row>
    <x:row r="142">
      <x:c r="A142" s="38" t="str">
        <x:v>bz_van_141</x:v>
      </x:c>
      <x:c r="B142" s="38" t="n">
        <x:v>141</x:v>
      </x:c>
      <x:c r="C142" s="38" t="str">
        <x:v>skill</x:v>
      </x:c>
      <x:c r="D142" s="38" t="str">
        <x:v>confirmed</x:v>
      </x:c>
      <x:c r="E142" s="38" t="str">
        <x:v>arms-dealer</x:v>
      </x:c>
      <x:c r="F142" s="38" t="str">
        <x:v>Arms Dealer</x:v>
      </x:c>
      <x:c r="G142" s="38" t="str">
        <x:v>bronze</x:v>
      </x:c>
      <x:c r="H142" s="38" t="str">
        <x:v>medium</x:v>
      </x:c>
      <x:c r="I142" s="38" t="str">
        <x:v>weapon, health</x:v>
      </x:c>
      <x:c r="J142" s="38" t="n">
        <x:v>6</x:v>
      </x:c>
      <x:c r="K142" s="38" t="str">
        <x:v>trainer_adira, trainer_argenta, trainer_nufu, trainer_orlin, trainer_regenald, trainer_ryukon</x:v>
      </x:c>
      <x:c r="L142" s="38" t="n">
        <x:v>6</x:v>
      </x:c>
      <x:c r="M142" s="38" t="str">
        <x:v>elem_水, elem_雷, elem_龙, elem_无, role_坦克, tier_pT2</x:v>
      </x:c>
      <x:c r="N142" s="38" t="str">
        <x:v>Restorative</x:v>
      </x:c>
      <x:c r="O142" s="38" t="str">
        <x:v>pal_141</x:v>
      </x:c>
      <x:c r="P142" s="38" t="str">
        <x:v>沧鸾仔</x:v>
      </x:c>
      <x:c r="Q142" s="38" t="str">
        <x:v>https://bazaar-builds.net/db/skills/arms-dealer.html</x:v>
      </x:c>
      <x:c r="R142" s="38" t="str">
        <x:v>when you buy a weapon, gain 10 / 20 / 30 / 40 max health.</x:v>
      </x:c>
      <x:c r="S142" s="38" t="str">
        <x:v>一对一确认来源对象。</x:v>
      </x:c>
    </x:row>
    <x:row r="143">
      <x:c r="A143" s="38" t="str">
        <x:v>bz_van_142</x:v>
      </x:c>
      <x:c r="B143" s="38" t="n">
        <x:v>142</x:v>
      </x:c>
      <x:c r="C143" s="38" t="str">
        <x:v>skill</x:v>
      </x:c>
      <x:c r="D143" s="38" t="str">
        <x:v>confirmed</x:v>
      </x:c>
      <x:c r="E143" s="38" t="str">
        <x:v>artillery-spotter</x:v>
      </x:c>
      <x:c r="F143" s="38" t="str">
        <x:v>Artillery Spotter</x:v>
      </x:c>
      <x:c r="G143" s="38" t="str">
        <x:v>bronze</x:v>
      </x:c>
      <x:c r="H143" s="38" t="str">
        <x:v>medium</x:v>
      </x:c>
      <x:c r="I143" s="38" t="str">
        <x:v>crit</x:v>
      </x:c>
      <x:c r="J143" s="38" t="n">
        <x:v>5</x:v>
      </x:c>
      <x:c r="K143" s="38" t="str">
        <x:v>trainer_adira, trainer_argenta, trainer_nufu, trainer_orlin, trainer_vermir</x:v>
      </x:c>
      <x:c r="L143" s="38" t="n">
        <x:v>5</x:v>
      </x:c>
      <x:c r="M143" s="38" t="str">
        <x:v>elem_水, elem_雷, elem_龙, elem_无, role_召唤</x:v>
      </x:c>
      <x:c r="N143" s="38" t="str">
        <x:v>Deadly</x:v>
      </x:c>
      <x:c r="O143" s="38" t="str">
        <x:v>pal_142</x:v>
      </x:c>
      <x:c r="P143" s="38" t="str">
        <x:v>霆螳灵</x:v>
      </x:c>
      <x:c r="Q143" s="38" t="str">
        <x:v>https://bazaar-builds.net/db/skills/artillery-spotter.html</x:v>
      </x:c>
      <x:c r="R143" s="38" t="str">
        <x:v>if you have 5 or fewer items, your items have +10 / 20 / 30 / 40% crit chance.</x:v>
      </x:c>
      <x:c r="S143" s="38" t="str">
        <x:v>一对一确认来源对象。</x:v>
      </x:c>
    </x:row>
    <x:row r="144">
      <x:c r="A144" s="38" t="str">
        <x:v>bz_van_143</x:v>
      </x:c>
      <x:c r="B144" s="38" t="n">
        <x:v>143</x:v>
      </x:c>
      <x:c r="C144" s="38" t="str">
        <x:v>skill</x:v>
      </x:c>
      <x:c r="D144" s="38" t="str">
        <x:v>confirmed</x:v>
      </x:c>
      <x:c r="E144" s="38" t="str">
        <x:v>balanced-friendship</x:v>
      </x:c>
      <x:c r="F144" s="38" t="str">
        <x:v>Balanced Friendship</x:v>
      </x:c>
      <x:c r="G144" s="38" t="str">
        <x:v>silver</x:v>
      </x:c>
      <x:c r="H144" s="38" t="str">
        <x:v>medium</x:v>
      </x:c>
      <x:c r="I144" s="38" t="str">
        <x:v>friend, shieldreference, damagereference</x:v>
      </x:c>
      <x:c r="J144" s="38" t="n">
        <x:v>5</x:v>
      </x:c>
      <x:c r="K144" s="38" t="str">
        <x:v>trainer_adira, trainer_argenta, trainer_fortis, trainer_nufu, trainer_orlin</x:v>
      </x:c>
      <x:c r="L144" s="38" t="n">
        <x:v>5</x:v>
      </x:c>
      <x:c r="M144" s="38" t="str">
        <x:v>elem_水, elem_雷, elem_龙, elem_无, role_召唤铺场</x:v>
      </x:c>
      <x:c r="N144" s="38" t="str">
        <x:v>Shielded</x:v>
      </x:c>
      <x:c r="O144" s="38" t="str">
        <x:v>pal_143</x:v>
      </x:c>
      <x:c r="P144" s="38" t="str">
        <x:v>山熊卫</x:v>
      </x:c>
      <x:c r="Q144" s="38" t="str">
        <x:v>https://bazaar-builds.net/db/skills/balanced-friendship.html</x:v>
      </x:c>
      <x:c r="R144" s="38" t="str">
        <x:v>when you use a friend, your weapons gain +2 / 4 / 6 damage and shield items gain +2 / 4 / 6 shield for the fight.</x:v>
      </x:c>
      <x:c r="S144" s="38" t="str">
        <x:v>一对一确认来源对象。</x:v>
      </x:c>
    </x:row>
    <x:row r="145">
      <x:c r="A145" s="38" t="str">
        <x:v>bz_van_144</x:v>
      </x:c>
      <x:c r="B145" s="38" t="n">
        <x:v>144</x:v>
      </x:c>
      <x:c r="C145" s="38" t="str">
        <x:v>skill</x:v>
      </x:c>
      <x:c r="D145" s="38" t="str">
        <x:v>confirmed</x:v>
      </x:c>
      <x:c r="E145" s="38" t="str">
        <x:v>barnacle-crusted</x:v>
      </x:c>
      <x:c r="F145" s="38" t="str">
        <x:v>Barnacle Crusted</x:v>
      </x:c>
      <x:c r="G145" s="38" t="str">
        <x:v>gold</x:v>
      </x:c>
      <x:c r="H145" s="38" t="str">
        <x:v>medium</x:v>
      </x:c>
      <x:c r="I145" s="38" t="str">
        <x:v>aquatic, cooldown</x:v>
      </x:c>
      <x:c r="J145" s="38" t="n">
        <x:v>4</x:v>
      </x:c>
      <x:c r="K145" s="38" t="str">
        <x:v>trainer_adira, trainer_nufu, trainer_old-zane, trainer_orlin</x:v>
      </x:c>
      <x:c r="L145" s="38" t="n">
        <x:v>4</x:v>
      </x:c>
      <x:c r="M145" s="38" t="str">
        <x:v>elem_水, elem_地, elem_龙, elem_无</x:v>
      </x:c>
      <x:c r="N145" s="38" t="str">
        <x:v>Turbo</x:v>
      </x:c>
      <x:c r="O145" s="38" t="str">
        <x:v>pal_144</x:v>
      </x:c>
      <x:c r="P145" s="38" t="str">
        <x:v>沧燕侯</x:v>
      </x:c>
      <x:c r="Q145" s="38" t="str">
        <x:v>https://bazaar-builds.net/db/skills/barnacle-crusted.html</x:v>
      </x:c>
      <x:c r="R145" s="38" t="str">
        <x:v>the cooldown of your aquatic items is reduced by 5 → 10%.</x:v>
      </x:c>
      <x:c r="S145" s="38" t="str">
        <x:v>一对一确认来源对象。</x:v>
      </x:c>
    </x:row>
    <x:row r="146">
      <x:c r="A146" s="38" t="str">
        <x:v>bz_van_145</x:v>
      </x:c>
      <x:c r="B146" s="38" t="n">
        <x:v>145</x:v>
      </x:c>
      <x:c r="C146" s="38" t="str">
        <x:v>skill</x:v>
      </x:c>
      <x:c r="D146" s="38" t="str">
        <x:v>confirmed</x:v>
      </x:c>
      <x:c r="E146" s="38" t="str">
        <x:v>beautiful-friendship</x:v>
      </x:c>
      <x:c r="F146" s="38" t="str">
        <x:v>Beautiful Friendship</x:v>
      </x:c>
      <x:c r="G146" s="38" t="str">
        <x:v>silver</x:v>
      </x:c>
      <x:c r="H146" s="38" t="str">
        <x:v>medium</x:v>
      </x:c>
      <x:c r="I146" s="38" t="str">
        <x:v>friend, damagereference</x:v>
      </x:c>
      <x:c r="J146" s="38" t="n">
        <x:v>4</x:v>
      </x:c>
      <x:c r="K146" s="38" t="str">
        <x:v>trainer_adira, trainer_argenta, trainer_nufu, trainer_orlin</x:v>
      </x:c>
      <x:c r="L146" s="38" t="n">
        <x:v>4</x:v>
      </x:c>
      <x:c r="M146" s="38" t="str">
        <x:v>elem_水, elem_雷, elem_龙, elem_无</x:v>
      </x:c>
      <x:c r="N146" s="38" t="str">
        <x:v>Deadly</x:v>
      </x:c>
      <x:c r="O146" s="38" t="str">
        <x:v>pal_145</x:v>
      </x:c>
      <x:c r="P146" s="38" t="str">
        <x:v>螭蜂妖</x:v>
      </x:c>
      <x:c r="Q146" s="38" t="str">
        <x:v>https://bazaar-builds.net/db/skills/beautiful-friendship.html</x:v>
      </x:c>
      <x:c r="R146" s="38" t="str">
        <x:v>your weapons have +5 / 10 / 15 damage for each friend item you have.</x:v>
      </x:c>
      <x:c r="S146" s="38" t="str">
        <x:v>一对一确认来源对象。</x:v>
      </x:c>
    </x:row>
    <x:row r="147">
      <x:c r="A147" s="38" t="str">
        <x:v>bz_van_146</x:v>
      </x:c>
      <x:c r="B147" s="38" t="n">
        <x:v>146</x:v>
      </x:c>
      <x:c r="C147" s="38" t="str">
        <x:v>skill</x:v>
      </x:c>
      <x:c r="D147" s="38" t="str">
        <x:v>confirmed</x:v>
      </x:c>
      <x:c r="E147" s="38" t="str">
        <x:v>berserker</x:v>
      </x:c>
      <x:c r="F147" s="38" t="str">
        <x:v>Berserker</x:v>
      </x:c>
      <x:c r="G147" s="38" t="str">
        <x:v>silver</x:v>
      </x:c>
      <x:c r="H147" s="38" t="str">
        <x:v>medium</x:v>
      </x:c>
      <x:c r="I147" s="38" t="str">
        <x:v>weapon, cooldown</x:v>
      </x:c>
      <x:c r="J147" s="38" t="n">
        <x:v>6</x:v>
      </x:c>
      <x:c r="K147" s="38" t="str">
        <x:v>trainer_adira, trainer_argenta, trainer_nufu, trainer_old-zane, trainer_orlin, trainer_ryukon</x:v>
      </x:c>
      <x:c r="L147" s="38" t="n">
        <x:v>6</x:v>
      </x:c>
      <x:c r="M147" s="38" t="str">
        <x:v>elem_水, elem_雷, elem_地, elem_龙, elem_无, role_坦克</x:v>
      </x:c>
      <x:c r="N147" s="38" t="str">
        <x:v>Turbo</x:v>
      </x:c>
      <x:c r="O147" s="38" t="str">
        <x:v>pal_146</x:v>
      </x:c>
      <x:c r="P147" s="38" t="str">
        <x:v>沧鲤将</x:v>
      </x:c>
      <x:c r="Q147" s="38" t="str">
        <x:v>https://bazaar-builds.net/db/skills/berserker.html</x:v>
      </x:c>
      <x:c r="R147" s="38" t="str">
        <x:v>while your enemy has more health than you, your weapons' cooldowns are reduced by 5 / 10 / 15%.</x:v>
      </x:c>
      <x:c r="S147" s="38" t="str">
        <x:v>一对一确认来源对象。</x:v>
      </x:c>
    </x:row>
    <x:row r="148">
      <x:c r="A148" s="38" t="str">
        <x:v>bz_van_147</x:v>
      </x:c>
      <x:c r="B148" s="38" t="n">
        <x:v>147</x:v>
      </x:c>
      <x:c r="C148" s="38" t="str">
        <x:v>skill</x:v>
      </x:c>
      <x:c r="D148" s="38" t="str">
        <x:v>confirmed</x:v>
      </x:c>
      <x:c r="E148" s="38" t="str">
        <x:v>big-guns</x:v>
      </x:c>
      <x:c r="F148" s="38" t="str">
        <x:v>Big Guns</x:v>
      </x:c>
      <x:c r="G148" s="38" t="str">
        <x:v>diamond</x:v>
      </x:c>
      <x:c r="H148" s="38" t="str">
        <x:v>medium</x:v>
      </x:c>
      <x:c r="I148" s="38" t="str">
        <x:v>weapon, damagereference</x:v>
      </x:c>
      <x:c r="J148" s="38" t="n">
        <x:v>3</x:v>
      </x:c>
      <x:c r="K148" s="38" t="str">
        <x:v>trainer_adira, trainer_nufu, trainer_ryukon</x:v>
      </x:c>
      <x:c r="L148" s="38" t="n">
        <x:v>3</x:v>
      </x:c>
      <x:c r="M148" s="38" t="str">
        <x:v>elem_水, elem_龙, role_坦克</x:v>
      </x:c>
      <x:c r="N148" s="38" t="str">
        <x:v>Deadly</x:v>
      </x:c>
      <x:c r="O148" s="38" t="str">
        <x:v>pal_147</x:v>
      </x:c>
      <x:c r="P148" s="38" t="str">
        <x:v>沙狮神</x:v>
      </x:c>
      <x:c r="Q148" s="38" t="str">
        <x:v>https://bazaar-builds.net/db/skills/big-guns.html</x:v>
      </x:c>
      <x:c r="R148" s="38" t="str">
        <x:v>double the damage of your large weapons.</x:v>
      </x:c>
      <x:c r="S148" s="38" t="str">
        <x:v>一对一确认来源对象。</x:v>
      </x:c>
    </x:row>
    <x:row r="149">
      <x:c r="A149" s="38" t="str">
        <x:v>bz_van_148</x:v>
      </x:c>
      <x:c r="B149" s="38" t="n">
        <x:v>148</x:v>
      </x:c>
      <x:c r="C149" s="38" t="str">
        <x:v>skill</x:v>
      </x:c>
      <x:c r="D149" s="38" t="str">
        <x:v>confirmed</x:v>
      </x:c>
      <x:c r="E149" s="38" t="str">
        <x:v>big-numbers</x:v>
      </x:c>
      <x:c r="F149" s="38" t="str">
        <x:v>Big Numbers</x:v>
      </x:c>
      <x:c r="G149" s="38" t="str">
        <x:v>gold</x:v>
      </x:c>
      <x:c r="H149" s="38" t="str">
        <x:v>medium</x:v>
      </x:c>
      <x:c r="I149" s="38" t="str">
        <x:v>crit</x:v>
      </x:c>
      <x:c r="J149" s="38" t="n">
        <x:v>4</x:v>
      </x:c>
      <x:c r="K149" s="38" t="str">
        <x:v>trainer_adira, trainer_nufu, trainer_orlin, trainer_vermir</x:v>
      </x:c>
      <x:c r="L149" s="38" t="n">
        <x:v>4</x:v>
      </x:c>
      <x:c r="M149" s="38" t="str">
        <x:v>elem_水, elem_龙, elem_无, role_召唤</x:v>
      </x:c>
      <x:c r="N149" s="38" t="str">
        <x:v>Deadly</x:v>
      </x:c>
      <x:c r="O149" s="38" t="str">
        <x:v>pal_148</x:v>
      </x:c>
      <x:c r="P149" s="38" t="str">
        <x:v>震狼君</x:v>
      </x:c>
      <x:c r="Q149" s="38" t="str">
        <x:v>https://bazaar-builds.net/db/skills/big-numbers.html</x:v>
      </x:c>
      <x:c r="R149" s="38" t="str">
        <x:v>your large items have +25 → 50% crit chance</x:v>
      </x:c>
      <x:c r="S149" s="38" t="str">
        <x:v>一对一确认来源对象。</x:v>
      </x:c>
    </x:row>
    <x:row r="150">
      <x:c r="A150" s="38" t="str">
        <x:v>bz_van_149</x:v>
      </x:c>
      <x:c r="B150" s="38" t="n">
        <x:v>149</x:v>
      </x:c>
      <x:c r="C150" s="38" t="str">
        <x:v>skill</x:v>
      </x:c>
      <x:c r="D150" s="38" t="str">
        <x:v>confirmed</x:v>
      </x:c>
      <x:c r="E150" s="38" t="str">
        <x:v>bloodhound</x:v>
      </x:c>
      <x:c r="F150" s="38" t="str">
        <x:v>Bloodhound</x:v>
      </x:c>
      <x:c r="G150" s="38" t="str">
        <x:v>silver</x:v>
      </x:c>
      <x:c r="H150" s="38" t="str">
        <x:v>medium</x:v>
      </x:c>
      <x:c r="I150" s="38" t="str">
        <x:v>charge</x:v>
      </x:c>
      <x:c r="J150" s="38" t="n">
        <x:v>5</x:v>
      </x:c>
      <x:c r="K150" s="38" t="str">
        <x:v>trainer_adira, trainer_argenta, trainer_nufu, trainer_orlin, trainer_zara</x:v>
      </x:c>
      <x:c r="L150" s="38" t="n">
        <x:v>5</x:v>
      </x:c>
      <x:c r="M150" s="38" t="str">
        <x:v>elem_水, elem_雷, elem_龙, elem_无, special_merchant</x:v>
      </x:c>
      <x:c r="N150" s="38" t="str">
        <x:v>Turbo</x:v>
      </x:c>
      <x:c r="O150" s="38" t="str">
        <x:v>pal_149</x:v>
      </x:c>
      <x:c r="P150" s="38" t="str">
        <x:v>渊鹿妖</x:v>
      </x:c>
      <x:c r="Q150" s="38" t="str">
        <x:v>https://bazaar-builds.net/db/skills/bloodhound.html</x:v>
      </x:c>
      <x:c r="R150" s="38" t="str">
        <x:v>the first time an enemy falls below half health each fight, charge your items 1 / 2 / 3 seconds.</x:v>
      </x:c>
      <x:c r="S150" s="38" t="str">
        <x:v>一对一确认来源对象。</x:v>
      </x:c>
    </x:row>
    <x:row r="151">
      <x:c r="A151" s="38" t="str">
        <x:v>bz_van_150</x:v>
      </x:c>
      <x:c r="B151" s="38" t="n">
        <x:v>150</x:v>
      </x:c>
      <x:c r="C151" s="38" t="str">
        <x:v>skill</x:v>
      </x:c>
      <x:c r="D151" s="38" t="str">
        <x:v>confirmed</x:v>
      </x:c>
      <x:c r="E151" s="38" t="str">
        <x:v>bold-under-pressure</x:v>
      </x:c>
      <x:c r="F151" s="38" t="str">
        <x:v>Bold Under Pressure</x:v>
      </x:c>
      <x:c r="G151" s="38" t="str">
        <x:v>silver</x:v>
      </x:c>
      <x:c r="H151" s="38" t="str">
        <x:v>medium</x:v>
      </x:c>
      <x:c r="I151" s="38" t="str">
        <x:v>haste</x:v>
      </x:c>
      <x:c r="J151" s="38" t="n">
        <x:v>5</x:v>
      </x:c>
      <x:c r="K151" s="38" t="str">
        <x:v>trainer_adira, trainer_argenta, trainer_nufu, trainer_orlin, trainer_zara</x:v>
      </x:c>
      <x:c r="L151" s="38" t="n">
        <x:v>5</x:v>
      </x:c>
      <x:c r="M151" s="38" t="str">
        <x:v>elem_水, elem_雷, elem_龙, elem_无, special_merchant</x:v>
      </x:c>
      <x:c r="N151" s="38" t="str">
        <x:v>Turbo</x:v>
      </x:c>
      <x:c r="O151" s="38" t="str">
        <x:v>pal_150</x:v>
      </x:c>
      <x:c r="P151" s="38" t="str">
        <x:v>汐蝶卫</x:v>
      </x:c>
      <x:c r="Q151" s="38" t="str">
        <x:v>https://bazaar-builds.net/db/skills/bold-under-pressure.html</x:v>
      </x:c>
      <x:c r="R151" s="38" t="str">
        <x:v>the first time you fall below half health each fight, haste 2 / 4 / 6 items for 2 seconds.</x:v>
      </x:c>
      <x:c r="S151" s="38" t="str">
        <x:v>一对一确认来源对象。</x:v>
      </x:c>
    </x:row>
    <x:row r="152">
      <x:c r="A152" s="38" t="str">
        <x:v>bz_van_151</x:v>
      </x:c>
      <x:c r="B152" s="38" t="n">
        <x:v>151</x:v>
      </x:c>
      <x:c r="C152" s="38" t="str">
        <x:v>skill</x:v>
      </x:c>
      <x:c r="D152" s="38" t="str">
        <x:v>confirmed</x:v>
      </x:c>
      <x:c r="E152" s="38" t="str">
        <x:v>building-crescendo</x:v>
      </x:c>
      <x:c r="F152" s="38" t="str">
        <x:v>Building Crescendo</x:v>
      </x:c>
      <x:c r="G152" s="38" t="str">
        <x:v>gold</x:v>
      </x:c>
      <x:c r="H152" s="38" t="str">
        <x:v>medium</x:v>
      </x:c>
      <x:c r="I152" s="38" t="str">
        <x:v>crit</x:v>
      </x:c>
      <x:c r="J152" s="38" t="n">
        <x:v>4</x:v>
      </x:c>
      <x:c r="K152" s="38" t="str">
        <x:v>trainer_adira, trainer_nufu, trainer_orlin, trainer_vermir</x:v>
      </x:c>
      <x:c r="L152" s="38" t="n">
        <x:v>4</x:v>
      </x:c>
      <x:c r="M152" s="38" t="str">
        <x:v>elem_水, elem_龙, elem_无, role_召唤</x:v>
      </x:c>
      <x:c r="N152" s="38" t="str">
        <x:v>Deadly</x:v>
      </x:c>
      <x:c r="O152" s="38" t="str">
        <x:v>pal_151</x:v>
      </x:c>
      <x:c r="P152" s="38" t="str">
        <x:v>电鹰君</x:v>
      </x:c>
      <x:c r="Q152" s="38" t="str">
        <x:v>https://bazaar-builds.net/db/skills/building-crescendo.html</x:v>
      </x:c>
      <x:c r="R152" s="38" t="str">
        <x:v>when you use an item, your items gain 1 → 2% crit chance for the fight.</x:v>
      </x:c>
      <x:c r="S152" s="38" t="str">
        <x:v>一对一确认来源对象。</x:v>
      </x:c>
    </x:row>
    <x:row r="153">
      <x:c r="A153" s="38" t="str">
        <x:v>bz_van_152</x:v>
      </x:c>
      <x:c r="B153" s="38" t="n">
        <x:v>152</x:v>
      </x:c>
      <x:c r="C153" s="38" t="str">
        <x:v>skill</x:v>
      </x:c>
      <x:c r="D153" s="38" t="str">
        <x:v>confirmed</x:v>
      </x:c>
      <x:c r="E153" s="38" t="str">
        <x:v>bullet-time</x:v>
      </x:c>
      <x:c r="F153" s="38" t="str">
        <x:v>Bullet Time</x:v>
      </x:c>
      <x:c r="G153" s="38" t="str">
        <x:v>gold</x:v>
      </x:c>
      <x:c r="H153" s="38" t="str">
        <x:v>medium</x:v>
      </x:c>
      <x:c r="I153" s="38" t="str">
        <x:v>slow, ammoreference</x:v>
      </x:c>
      <x:c r="J153" s="38" t="n">
        <x:v>6</x:v>
      </x:c>
      <x:c r="K153" s="38" t="str">
        <x:v>trainer_adira, trainer_c4, trainer_nufu, trainer_old-zane, trainer_orlin, trainer_slohmor-lumbra</x:v>
      </x:c>
      <x:c r="L153" s="38" t="n">
        <x:v>6</x:v>
      </x:c>
      <x:c r="M153" s="38" t="str">
        <x:v>elem_水, elem_地, elem_龙, elem_无, role_经济, tier_pT1</x:v>
      </x:c>
      <x:c r="N153" s="38" t="str">
        <x:v>Icy</x:v>
      </x:c>
      <x:c r="O153" s="38" t="str">
        <x:v>pal_152</x:v>
      </x:c>
      <x:c r="P153" s="38" t="str">
        <x:v>鸣鳗王</x:v>
      </x:c>
      <x:c r="Q153" s="38" t="str">
        <x:v>https://bazaar-builds.net/db/skills/bullet-time.html</x:v>
      </x:c>
      <x:c r="R153" s="38" t="str">
        <x:v>the first 4 → 8 times you use an ammo item each fight, slow an item for 1 second.</x:v>
      </x:c>
      <x:c r="S153" s="38" t="str">
        <x:v>一对一确认来源对象。</x:v>
      </x:c>
    </x:row>
    <x:row r="154">
      <x:c r="A154" s="38" t="str">
        <x:v>bz_van_153</x:v>
      </x:c>
      <x:c r="B154" s="38" t="n">
        <x:v>153</x:v>
      </x:c>
      <x:c r="C154" s="38" t="str">
        <x:v>skill</x:v>
      </x:c>
      <x:c r="D154" s="38" t="str">
        <x:v>confirmed</x:v>
      </x:c>
      <x:c r="E154" s="38" t="str">
        <x:v>captain-s-charge</x:v>
      </x:c>
      <x:c r="F154" s="38" t="str">
        <x:v>Captain's Charge</x:v>
      </x:c>
      <x:c r="G154" s="38" t="str">
        <x:v>silver</x:v>
      </x:c>
      <x:c r="H154" s="38" t="str">
        <x:v>medium</x:v>
      </x:c>
      <x:c r="I154" s="38" t="str">
        <x:v>haste</x:v>
      </x:c>
      <x:c r="J154" s="38" t="n">
        <x:v>5</x:v>
      </x:c>
      <x:c r="K154" s="38" t="str">
        <x:v>trainer_adira, trainer_argenta, trainer_nufu, trainer_orlin, trainer_zara</x:v>
      </x:c>
      <x:c r="L154" s="38" t="n">
        <x:v>5</x:v>
      </x:c>
      <x:c r="M154" s="38" t="str">
        <x:v>elem_水, elem_雷, elem_龙, elem_无, special_merchant</x:v>
      </x:c>
      <x:c r="N154" s="38" t="str">
        <x:v>Turbo</x:v>
      </x:c>
      <x:c r="O154" s="38" t="str">
        <x:v>pal_153</x:v>
      </x:c>
      <x:c r="P154" s="38" t="str">
        <x:v>震狐卫</x:v>
      </x:c>
      <x:c r="Q154" s="38" t="str">
        <x:v>https://bazaar-builds.net/db/skills/captain-s-charge.html</x:v>
      </x:c>
      <x:c r="R154" s="38" t="str">
        <x:v>the first time you use a large item each fight, haste 2 / 3 / 4 items for 3 seconds.</x:v>
      </x:c>
      <x:c r="S154" s="38" t="str">
        <x:v>一对一确认来源对象。</x:v>
      </x:c>
    </x:row>
    <x:row r="155">
      <x:c r="A155" s="38" t="str">
        <x:v>bz_van_154</x:v>
      </x:c>
      <x:c r="B155" s="38" t="n">
        <x:v>154</x:v>
      </x:c>
      <x:c r="C155" s="38" t="str">
        <x:v>skill</x:v>
      </x:c>
      <x:c r="D155" s="38" t="str">
        <x:v>confirmed</x:v>
      </x:c>
      <x:c r="E155" s="38" t="str">
        <x:v>chemical-fire</x:v>
      </x:c>
      <x:c r="F155" s="38" t="str">
        <x:v>Chemical Fire</x:v>
      </x:c>
      <x:c r="G155" s="38" t="str">
        <x:v>silver</x:v>
      </x:c>
      <x:c r="H155" s="38" t="str">
        <x:v>medium</x:v>
      </x:c>
      <x:c r="I155" s="38" t="str">
        <x:v>poisonreference, burnreference</x:v>
      </x:c>
      <x:c r="J155" s="38" t="n">
        <x:v>6</x:v>
      </x:c>
      <x:c r="K155" s="38" t="str">
        <x:v>trainer_adira, trainer_argenta, trainer_malafang, trainer_nufu, trainer_orlin, trainer_professor-riggle</x:v>
      </x:c>
      <x:c r="L155" s="38" t="n">
        <x:v>6</x:v>
      </x:c>
      <x:c r="M155" s="38" t="str">
        <x:v>elem_水, elem_雷, elem_龙, elem_无, role_治疗, role_输出</x:v>
      </x:c>
      <x:c r="N155" s="38" t="str">
        <x:v>Fiery</x:v>
      </x:c>
      <x:c r="O155" s="38" t="str">
        <x:v>pal_154</x:v>
      </x:c>
      <x:c r="P155" s="38" t="str">
        <x:v>朱蛛将</x:v>
      </x:c>
      <x:c r="Q155" s="38" t="str">
        <x:v>https://bazaar-builds.net/db/skills/chemical-fire.html</x:v>
      </x:c>
      <x:c r="R155" s="38" t="str">
        <x:v>your burn items have +2 / 4 / 6 burn. your poison items have +2 / 4 / 6 poison.</x:v>
      </x:c>
      <x:c r="S155" s="38" t="str">
        <x:v>一对一确认来源对象。</x:v>
      </x:c>
    </x:row>
    <x:row r="156">
      <x:c r="A156" s="38" t="str">
        <x:v>bz_van_155</x:v>
      </x:c>
      <x:c r="B156" s="38" t="n">
        <x:v>155</x:v>
      </x:c>
      <x:c r="C156" s="38" t="str">
        <x:v>skill</x:v>
      </x:c>
      <x:c r="D156" s="38" t="str">
        <x:v>confirmed</x:v>
      </x:c>
      <x:c r="E156" s="38" t="str">
        <x:v>circle-of-life</x:v>
      </x:c>
      <x:c r="F156" s="38" t="str">
        <x:v>Circle of Life</x:v>
      </x:c>
      <x:c r="G156" s="38" t="str">
        <x:v>diamond</x:v>
      </x:c>
      <x:c r="H156" s="38" t="str">
        <x:v>medium</x:v>
      </x:c>
      <x:c r="I156" s="38" t="str">
        <x:v>weapon, lifesteal</x:v>
      </x:c>
      <x:c r="J156" s="38" t="n">
        <x:v>3</x:v>
      </x:c>
      <x:c r="K156" s="38" t="str">
        <x:v>trainer_adira, trainer_nufu, trainer_ryukon</x:v>
      </x:c>
      <x:c r="L156" s="38" t="n">
        <x:v>3</x:v>
      </x:c>
      <x:c r="M156" s="38" t="str">
        <x:v>elem_水, elem_龙, role_坦克</x:v>
      </x:c>
      <x:c r="N156" s="38" t="str">
        <x:v>Deadly</x:v>
      </x:c>
      <x:c r="O156" s="38" t="str">
        <x:v>pal_155</x:v>
      </x:c>
      <x:c r="P156" s="38" t="str">
        <x:v>沧鲤祖</x:v>
      </x:c>
      <x:c r="Q156" s="38" t="str">
        <x:v>https://bazaar-builds.net/db/skills/circle-of-life.html</x:v>
      </x:c>
      <x:c r="R156" s="38" t="str">
        <x:v>your leftmost weapon has lifesteal.</x:v>
      </x:c>
      <x:c r="S156" s="38" t="str">
        <x:v>一对一确认来源对象。</x:v>
      </x:c>
    </x:row>
    <x:row r="157">
      <x:c r="A157" s="38" t="str">
        <x:v>bz_van_156</x:v>
      </x:c>
      <x:c r="B157" s="38" t="n">
        <x:v>156</x:v>
      </x:c>
      <x:c r="C157" s="38" t="str">
        <x:v>skill</x:v>
      </x:c>
      <x:c r="D157" s="38" t="str">
        <x:v>confirmed</x:v>
      </x:c>
      <x:c r="E157" s="38" t="str">
        <x:v>command-ship</x:v>
      </x:c>
      <x:c r="F157" s="38" t="str">
        <x:v>Command Ship</x:v>
      </x:c>
      <x:c r="G157" s="38" t="str">
        <x:v>gold</x:v>
      </x:c>
      <x:c r="H157" s="38" t="str">
        <x:v>medium</x:v>
      </x:c>
      <x:c r="I157" s="38" t="str">
        <x:v>vehicle, cooldown</x:v>
      </x:c>
      <x:c r="J157" s="38" t="n">
        <x:v>3</x:v>
      </x:c>
      <x:c r="K157" s="38" t="str">
        <x:v>trainer_adira, trainer_nufu, trainer_orlin</x:v>
      </x:c>
      <x:c r="L157" s="38" t="n">
        <x:v>3</x:v>
      </x:c>
      <x:c r="M157" s="38" t="str">
        <x:v>elem_水, elem_龙, elem_无</x:v>
      </x:c>
      <x:c r="N157" s="38" t="str">
        <x:v>Turbo</x:v>
      </x:c>
      <x:c r="O157" s="38" t="str">
        <x:v>pal_156</x:v>
      </x:c>
      <x:c r="P157" s="38" t="str">
        <x:v>角马王</x:v>
      </x:c>
      <x:c r="Q157" s="38" t="str">
        <x:v>https://bazaar-builds.net/db/skills/command-ship.html</x:v>
      </x:c>
      <x:c r="R157" s="38" t="str">
        <x:v>if you have a vehicle, your non-vehicle items' cooldowns are reduced by 5 → 10%.</x:v>
      </x:c>
      <x:c r="S157" s="38" t="str">
        <x:v>一对一确认来源对象。</x:v>
      </x:c>
    </x:row>
    <x:row r="158">
      <x:c r="A158" s="38" t="str">
        <x:v>bz_van_157</x:v>
      </x:c>
      <x:c r="B158" s="38" t="n">
        <x:v>157</x:v>
      </x:c>
      <x:c r="C158" s="38" t="str">
        <x:v>skill</x:v>
      </x:c>
      <x:c r="D158" s="38" t="str">
        <x:v>confirmed</x:v>
      </x:c>
      <x:c r="E158" s="38" t="str">
        <x:v>conflagration</x:v>
      </x:c>
      <x:c r="F158" s="38" t="str">
        <x:v>Conflagration</x:v>
      </x:c>
      <x:c r="G158" s="38" t="str">
        <x:v>silver</x:v>
      </x:c>
      <x:c r="H158" s="38" t="str">
        <x:v>medium</x:v>
      </x:c>
      <x:c r="I158" s="38" t="str">
        <x:v>burnreference</x:v>
      </x:c>
      <x:c r="J158" s="38" t="n">
        <x:v>5</x:v>
      </x:c>
      <x:c r="K158" s="38" t="str">
        <x:v>trainer_adira, trainer_argenta, trainer_malafang, trainer_nufu, trainer_orlin</x:v>
      </x:c>
      <x:c r="L158" s="38" t="n">
        <x:v>5</x:v>
      </x:c>
      <x:c r="M158" s="38" t="str">
        <x:v>elem_水, elem_雷, elem_龙, elem_无, role_治疗</x:v>
      </x:c>
      <x:c r="N158" s="38" t="str">
        <x:v>Fiery</x:v>
      </x:c>
      <x:c r="O158" s="38" t="str">
        <x:v>pal_157</x:v>
      </x:c>
      <x:c r="P158" s="38" t="str">
        <x:v>焰鹰妖</x:v>
      </x:c>
      <x:c r="Q158" s="38" t="str">
        <x:v>https://bazaar-builds.net/db/skills/conflagration.html</x:v>
      </x:c>
      <x:c r="R158" s="38" t="str">
        <x:v>when you use an item with burn, that item gains 1 / 2 / 3 burn for the fight.</x:v>
      </x:c>
      <x:c r="S158" s="38" t="str">
        <x:v>一对一确认来源对象。</x:v>
      </x:c>
    </x:row>
    <x:row r="159">
      <x:c r="A159" s="38" t="str">
        <x:v>bz_van_158</x:v>
      </x:c>
      <x:c r="B159" s="38" t="n">
        <x:v>158</x:v>
      </x:c>
      <x:c r="C159" s="38" t="str">
        <x:v>skill</x:v>
      </x:c>
      <x:c r="D159" s="38" t="str">
        <x:v>confirmed</x:v>
      </x:c>
      <x:c r="E159" s="38" t="str">
        <x:v>crashing-waves</x:v>
      </x:c>
      <x:c r="F159" s="38" t="str">
        <x:v>Crashing Waves</x:v>
      </x:c>
      <x:c r="G159" s="38" t="str">
        <x:v>gold</x:v>
      </x:c>
      <x:c r="H159" s="38" t="str">
        <x:v>medium</x:v>
      </x:c>
      <x:c r="I159" s="38" t="str">
        <x:v>weapon, aquatic, haste, damagereference</x:v>
      </x:c>
      <x:c r="J159" s="38" t="n">
        <x:v>6</x:v>
      </x:c>
      <x:c r="K159" s="38" t="str">
        <x:v>trainer_adira, trainer_nufu, trainer_old-zane, trainer_orlin, trainer_ryukon, trainer_zara</x:v>
      </x:c>
      <x:c r="L159" s="38" t="n">
        <x:v>6</x:v>
      </x:c>
      <x:c r="M159" s="38" t="str">
        <x:v>elem_水, elem_地, elem_龙, elem_无, role_坦克, special_merchant</x:v>
      </x:c>
      <x:c r="N159" s="38" t="str">
        <x:v>Turbo</x:v>
      </x:c>
      <x:c r="O159" s="38" t="str">
        <x:v>pal_158</x:v>
      </x:c>
      <x:c r="P159" s="38" t="str">
        <x:v>澜蜂尊</x:v>
      </x:c>
      <x:c r="Q159" s="38" t="str">
        <x:v>https://bazaar-builds.net/db/skills/crashing-waves.html</x:v>
      </x:c>
      <x:c r="R159" s="38" t="str">
        <x:v>the first 5 → 10 times you use an aquatic item each fight, haste a weapon for 1 second.</x:v>
      </x:c>
      <x:c r="S159" s="38" t="str">
        <x:v>一对一确认来源对象。</x:v>
      </x:c>
    </x:row>
    <x:row r="160">
      <x:c r="A160" s="38" t="str">
        <x:v>bz_van_159</x:v>
      </x:c>
      <x:c r="B160" s="38" t="n">
        <x:v>159</x:v>
      </x:c>
      <x:c r="C160" s="38" t="str">
        <x:v>skill</x:v>
      </x:c>
      <x:c r="D160" s="38" t="str">
        <x:v>confirmed</x:v>
      </x:c>
      <x:c r="E160" s="38" t="str">
        <x:v>creeping-chill</x:v>
      </x:c>
      <x:c r="F160" s="38" t="str">
        <x:v>Creeping Chill</x:v>
      </x:c>
      <x:c r="G160" s="38" t="str">
        <x:v>silver</x:v>
      </x:c>
      <x:c r="H160" s="38" t="str">
        <x:v>medium</x:v>
      </x:c>
      <x:c r="I160" s="38" t="str">
        <x:v>slowreference, freeze</x:v>
      </x:c>
      <x:c r="J160" s="38" t="n">
        <x:v>6</x:v>
      </x:c>
      <x:c r="K160" s="38" t="str">
        <x:v>trainer_adira, trainer_argenta, trainer_bjorn, trainer_nufu, trainer_orlin, trainer_slohmor-lumbra</x:v>
      </x:c>
      <x:c r="L160" s="38" t="n">
        <x:v>6</x:v>
      </x:c>
      <x:c r="M160" s="38" t="str">
        <x:v>elem_水, elem_雷, elem_龙, elem_无, role_控制, role_经济</x:v>
      </x:c>
      <x:c r="N160" s="38" t="str">
        <x:v>Icy</x:v>
      </x:c>
      <x:c r="O160" s="38" t="str">
        <x:v>pal_159</x:v>
      </x:c>
      <x:c r="P160" s="38" t="str">
        <x:v>凝鳗卫</x:v>
      </x:c>
      <x:c r="Q160" s="38" t="str">
        <x:v>https://bazaar-builds.net/db/skills/creeping-chill.html</x:v>
      </x:c>
      <x:c r="R160" s="38" t="str">
        <x:v>the first time you slow each fight, freeze an item for 2 / 3 / 4 seconds.</x:v>
      </x:c>
      <x:c r="S160" s="38" t="str">
        <x:v>一对一确认来源对象。</x:v>
      </x:c>
    </x:row>
    <x:row r="161">
      <x:c r="A161" s="38" t="str">
        <x:v>bz_van_160</x:v>
      </x:c>
      <x:c r="B161" s="38" t="n">
        <x:v>160</x:v>
      </x:c>
      <x:c r="C161" s="38" t="str">
        <x:v>skill</x:v>
      </x:c>
      <x:c r="D161" s="38" t="str">
        <x:v>confirmed</x:v>
      </x:c>
      <x:c r="E161" s="38" t="str">
        <x:v>creeping-toxins</x:v>
      </x:c>
      <x:c r="F161" s="38" t="str">
        <x:v>Creeping Toxins</x:v>
      </x:c>
      <x:c r="G161" s="38" t="str">
        <x:v>gold</x:v>
      </x:c>
      <x:c r="H161" s="38" t="str">
        <x:v>medium</x:v>
      </x:c>
      <x:c r="I161" s="38" t="str">
        <x:v>charge, poisonreference, slowreference</x:v>
      </x:c>
      <x:c r="J161" s="38" t="n">
        <x:v>6</x:v>
      </x:c>
      <x:c r="K161" s="38" t="str">
        <x:v>trainer_adira, trainer_nufu, trainer_orlin, trainer_professor-riggle, trainer_slohmor-lumbra, trainer_zara</x:v>
      </x:c>
      <x:c r="L161" s="38" t="n">
        <x:v>6</x:v>
      </x:c>
      <x:c r="M161" s="38" t="str">
        <x:v>elem_水, elem_龙, elem_无, role_输出, role_经济, special_merchant</x:v>
      </x:c>
      <x:c r="N161" s="38" t="str">
        <x:v>Icy</x:v>
      </x:c>
      <x:c r="O161" s="38" t="str">
        <x:v>pal_160</x:v>
      </x:c>
      <x:c r="P161" s="38" t="str">
        <x:v>青鳗君</x:v>
      </x:c>
      <x:c r="Q161" s="38" t="str">
        <x:v>https://bazaar-builds.net/db/skills/creeping-toxins.html</x:v>
      </x:c>
      <x:c r="R161" s="38" t="str">
        <x:v>the first 4 → 8 times you slow each fight, charge a poison item 1 second.</x:v>
      </x:c>
      <x:c r="S161" s="38" t="str">
        <x:v>一对一确认来源对象。</x:v>
      </x:c>
    </x:row>
    <x:row r="162">
      <x:c r="A162" s="38" t="str">
        <x:v>bz_van_161</x:v>
      </x:c>
      <x:c r="B162" s="38" t="n">
        <x:v>161</x:v>
      </x:c>
      <x:c r="C162" s="38" t="str">
        <x:v>skill</x:v>
      </x:c>
      <x:c r="D162" s="38" t="str">
        <x:v>confirmed</x:v>
      </x:c>
      <x:c r="E162" s="38" t="str">
        <x:v>deadly-eye</x:v>
      </x:c>
      <x:c r="F162" s="38" t="str">
        <x:v>Deadly Eye</x:v>
      </x:c>
      <x:c r="G162" s="38" t="str">
        <x:v>bronze</x:v>
      </x:c>
      <x:c r="H162" s="38" t="str">
        <x:v>medium</x:v>
      </x:c>
      <x:c r="I162" s="38" t="str">
        <x:v>weapon, crit</x:v>
      </x:c>
      <x:c r="J162" s="38" t="n">
        <x:v>6</x:v>
      </x:c>
      <x:c r="K162" s="38" t="str">
        <x:v>trainer_adira, trainer_argenta, trainer_nufu, trainer_orlin, trainer_ryukon, trainer_vermir</x:v>
      </x:c>
      <x:c r="L162" s="38" t="n">
        <x:v>6</x:v>
      </x:c>
      <x:c r="M162" s="38" t="str">
        <x:v>elem_水, elem_雷, elem_龙, elem_无, role_召唤, role_坦克</x:v>
      </x:c>
      <x:c r="N162" s="38" t="str">
        <x:v>Deadly</x:v>
      </x:c>
      <x:c r="O162" s="38" t="str">
        <x:v>pal_161</x:v>
      </x:c>
      <x:c r="P162" s="38" t="str">
        <x:v>电鹰童</x:v>
      </x:c>
      <x:c r="Q162" s="38" t="str">
        <x:v>https://bazaar-builds.net/db/skills/deadly-eye.html</x:v>
      </x:c>
      <x:c r="R162" s="38" t="str">
        <x:v>your weapons have +5 / 10 / 15 / 20% crit chance.</x:v>
      </x:c>
      <x:c r="S162" s="38" t="str">
        <x:v>一对一确认来源对象。</x:v>
      </x:c>
    </x:row>
    <x:row r="163">
      <x:c r="A163" s="38" t="str">
        <x:v>bz_van_162</x:v>
      </x:c>
      <x:c r="B163" s="38" t="n">
        <x:v>162</x:v>
      </x:c>
      <x:c r="C163" s="38" t="str">
        <x:v>skill</x:v>
      </x:c>
      <x:c r="D163" s="38" t="str">
        <x:v>confirmed</x:v>
      </x:c>
      <x:c r="E163" s="38" t="str">
        <x:v>deadly-waters</x:v>
      </x:c>
      <x:c r="F163" s="38" t="str">
        <x:v>Deadly Waters</x:v>
      </x:c>
      <x:c r="G163" s="38" t="str">
        <x:v>bronze</x:v>
      </x:c>
      <x:c r="H163" s="38" t="str">
        <x:v>medium</x:v>
      </x:c>
      <x:c r="I163" s="38" t="str">
        <x:v>aquatic, damagereference</x:v>
      </x:c>
      <x:c r="J163" s="38" t="n">
        <x:v>5</x:v>
      </x:c>
      <x:c r="K163" s="38" t="str">
        <x:v>trainer_adira, trainer_argenta, trainer_nufu, trainer_old-zane, trainer_orlin</x:v>
      </x:c>
      <x:c r="L163" s="38" t="n">
        <x:v>5</x:v>
      </x:c>
      <x:c r="M163" s="38" t="str">
        <x:v>elem_水, elem_雷, elem_地, elem_龙, elem_无</x:v>
      </x:c>
      <x:c r="N163" s="38" t="str">
        <x:v>Deadly</x:v>
      </x:c>
      <x:c r="O163" s="38" t="str">
        <x:v>pal_162</x:v>
      </x:c>
      <x:c r="P163" s="38" t="str">
        <x:v>澜鲨童</x:v>
      </x:c>
      <x:c r="Q163" s="38" t="str">
        <x:v>https://bazaar-builds.net/db/skills/deadly-waters.html</x:v>
      </x:c>
      <x:c r="R163" s="38" t="str">
        <x:v>your aquatic weapons deal +10 / 20 / 30 / 40 damage.</x:v>
      </x:c>
      <x:c r="S163" s="38" t="str">
        <x:v>一对一确认来源对象。</x:v>
      </x:c>
    </x:row>
    <x:row r="164">
      <x:c r="A164" s="38" t="str">
        <x:v>bz_van_163</x:v>
      </x:c>
      <x:c r="B164" s="38" t="n">
        <x:v>163</x:v>
      </x:c>
      <x:c r="C164" s="38" t="str">
        <x:v>skill</x:v>
      </x:c>
      <x:c r="D164" s="38" t="str">
        <x:v>confirmed</x:v>
      </x:c>
      <x:c r="E164" s="38" t="str">
        <x:v>defensive-stance</x:v>
      </x:c>
      <x:c r="F164" s="38" t="str">
        <x:v>Defensive Stance</x:v>
      </x:c>
      <x:c r="G164" s="38" t="str">
        <x:v>silver</x:v>
      </x:c>
      <x:c r="H164" s="38" t="str">
        <x:v>medium</x:v>
      </x:c>
      <x:c r="I164" s="38" t="str">
        <x:v>weapon, shieldreference, damagereference</x:v>
      </x:c>
      <x:c r="J164" s="38" t="n">
        <x:v>6</x:v>
      </x:c>
      <x:c r="K164" s="38" t="str">
        <x:v>trainer_adira, trainer_argenta, trainer_fortis, trainer_nufu, trainer_orlin, trainer_ryukon</x:v>
      </x:c>
      <x:c r="L164" s="38" t="n">
        <x:v>6</x:v>
      </x:c>
      <x:c r="M164" s="38" t="str">
        <x:v>elem_水, elem_雷, elem_龙, elem_无, role_坦克, role_召唤铺场</x:v>
      </x:c>
      <x:c r="N164" s="38" t="str">
        <x:v>Shielded</x:v>
      </x:c>
      <x:c r="O164" s="38" t="str">
        <x:v>pal_163</x:v>
      </x:c>
      <x:c r="P164" s="38" t="str">
        <x:v>石甲将</x:v>
      </x:c>
      <x:c r="Q164" s="38" t="str">
        <x:v>https://bazaar-builds.net/db/skills/defensive-stance.html</x:v>
      </x:c>
      <x:c r="R164" s="38" t="str">
        <x:v>when you use a weapon, your shield items gain 3 / 6 / 9 shield for the fight.</x:v>
      </x:c>
      <x:c r="S164" s="38" t="str">
        <x:v>一对一确认来源对象。</x:v>
      </x:c>
    </x:row>
    <x:row r="165">
      <x:c r="A165" s="38" t="str">
        <x:v>bz_van_164</x:v>
      </x:c>
      <x:c r="B165" s="38" t="n">
        <x:v>164</x:v>
      </x:c>
      <x:c r="C165" s="38" t="str">
        <x:v>skill</x:v>
      </x:c>
      <x:c r="D165" s="38" t="str">
        <x:v>confirmed</x:v>
      </x:c>
      <x:c r="E165" s="38" t="str">
        <x:v>denizens-of-the-deep</x:v>
      </x:c>
      <x:c r="F165" s="38" t="str">
        <x:v>Denizens of the Deep</x:v>
      </x:c>
      <x:c r="G165" s="38" t="str">
        <x:v>gold</x:v>
      </x:c>
      <x:c r="H165" s="38" t="str">
        <x:v>medium</x:v>
      </x:c>
      <x:c r="I165" s="38" t="str">
        <x:v>aquatic, friend, burn, poison</x:v>
      </x:c>
      <x:c r="J165" s="38" t="n">
        <x:v>6</x:v>
      </x:c>
      <x:c r="K165" s="38" t="str">
        <x:v>trainer_adira, trainer_malafang, trainer_nufu, trainer_old-zane, trainer_orlin, trainer_professor-riggle</x:v>
      </x:c>
      <x:c r="L165" s="38" t="n">
        <x:v>6</x:v>
      </x:c>
      <x:c r="M165" s="38" t="str">
        <x:v>elem_水, elem_地, elem_龙, elem_无, role_治疗, role_输出</x:v>
      </x:c>
      <x:c r="N165" s="38" t="str">
        <x:v>Fiery</x:v>
      </x:c>
      <x:c r="O165" s="38" t="str">
        <x:v>pal_164</x:v>
      </x:c>
      <x:c r="P165" s="38" t="str">
        <x:v>朱蛛侯</x:v>
      </x:c>
      <x:c r="Q165" s="38" t="str">
        <x:v>https://bazaar-builds.net/db/skills/denizens-of-the-deep.html</x:v>
      </x:c>
      <x:c r="R165" s="38" t="str">
        <x:v>the first 4 → 8 times you use an aquatic friend each fight, poison 5 and burn 5.</x:v>
      </x:c>
      <x:c r="S165" s="38" t="str">
        <x:v>一对一确认来源对象。</x:v>
      </x:c>
    </x:row>
    <x:row r="166">
      <x:c r="A166" s="38" t="str">
        <x:v>bz_van_165</x:v>
      </x:c>
      <x:c r="B166" s="38" t="n">
        <x:v>165</x:v>
      </x:c>
      <x:c r="C166" s="38" t="str">
        <x:v>skill</x:v>
      </x:c>
      <x:c r="D166" s="38" t="str">
        <x:v>confirmed</x:v>
      </x:c>
      <x:c r="E166" s="38" t="str">
        <x:v>depth-charge</x:v>
      </x:c>
      <x:c r="F166" s="38" t="str">
        <x:v>Depth Charge</x:v>
      </x:c>
      <x:c r="G166" s="38" t="str">
        <x:v>gold</x:v>
      </x:c>
      <x:c r="H166" s="38" t="str">
        <x:v>medium</x:v>
      </x:c>
      <x:c r="I166" s="38" t="str">
        <x:v>weapon, aquatic, ammo, damagereference</x:v>
      </x:c>
      <x:c r="J166" s="38" t="n">
        <x:v>6</x:v>
      </x:c>
      <x:c r="K166" s="38" t="str">
        <x:v>trainer_adira, trainer_c4, trainer_nufu, trainer_old-zane, trainer_orlin, trainer_ryukon</x:v>
      </x:c>
      <x:c r="L166" s="38" t="n">
        <x:v>6</x:v>
      </x:c>
      <x:c r="M166" s="38" t="str">
        <x:v>elem_水, elem_地, elem_龙, elem_无, role_坦克, tier_pT1</x:v>
      </x:c>
      <x:c r="N166" s="38" t="str">
        <x:v>Turbo</x:v>
      </x:c>
      <x:c r="O166" s="38" t="str">
        <x:v>pal_165</x:v>
      </x:c>
      <x:c r="P166" s="38" t="str">
        <x:v>渊猿王</x:v>
      </x:c>
      <x:c r="Q166" s="38" t="str">
        <x:v>https://bazaar-builds.net/db/skills/depth-charge.html</x:v>
      </x:c>
      <x:c r="R166" s="38" t="str">
        <x:v>if you have exactly one weapon, it has +5 → 10 max ammo. ...if it is also aquatic, it has +25 → 50 damage.</x:v>
      </x:c>
      <x:c r="S166" s="38" t="str">
        <x:v>一对一确认来源对象。</x:v>
      </x:c>
    </x:row>
    <x:row r="167">
      <x:c r="A167" s="38" t="str">
        <x:v>bz_van_166</x:v>
      </x:c>
      <x:c r="B167" s="38" t="n">
        <x:v>166</x:v>
      </x:c>
      <x:c r="C167" s="38" t="str">
        <x:v>skill</x:v>
      </x:c>
      <x:c r="D167" s="38" t="str">
        <x:v>confirmed</x:v>
      </x:c>
      <x:c r="E167" s="38" t="str">
        <x:v>desperate-cleanse</x:v>
      </x:c>
      <x:c r="F167" s="38" t="str">
        <x:v>Desperate Cleanse</x:v>
      </x:c>
      <x:c r="G167" s="38" t="str">
        <x:v>diamond</x:v>
      </x:c>
      <x:c r="H167" s="38" t="str">
        <x:v>medium</x:v>
      </x:c>
      <x:c r="I167" s="38" t="str"/>
      <x:c r="J167" s="38" t="n">
        <x:v>2</x:v>
      </x:c>
      <x:c r="K167" s="38" t="str">
        <x:v>trainer_adira, trainer_nufu</x:v>
      </x:c>
      <x:c r="L167" s="38" t="n">
        <x:v>2</x:v>
      </x:c>
      <x:c r="M167" s="38" t="str">
        <x:v>elem_水, elem_龙</x:v>
      </x:c>
      <x:c r="N167" s="38" t="str">
        <x:v>Fiery</x:v>
      </x:c>
      <x:c r="O167" s="38" t="str">
        <x:v>pal_166</x:v>
      </x:c>
      <x:c r="P167" s="38" t="str">
        <x:v>焰蚌圣</x:v>
      </x:c>
      <x:c r="Q167" s="38" t="str">
        <x:v>https://bazaar-builds.net/db/skills/desperate-cleanse.html</x:v>
      </x:c>
      <x:c r="R167" s="38" t="str">
        <x:v>the first time you fall below half health each fight, remove freeze and slow from your items and cleanse half your burn and poison.</x:v>
      </x:c>
      <x:c r="S167" s="38" t="str">
        <x:v>一对一确认来源对象。</x:v>
      </x:c>
    </x:row>
    <x:row r="168">
      <x:c r="A168" s="38" t="str">
        <x:v>bz_van_167</x:v>
      </x:c>
      <x:c r="B168" s="38" t="n">
        <x:v>167</x:v>
      </x:c>
      <x:c r="C168" s="38" t="str">
        <x:v>skill</x:v>
      </x:c>
      <x:c r="D168" s="38" t="str">
        <x:v>confirmed</x:v>
      </x:c>
      <x:c r="E168" s="38" t="str">
        <x:v>desperate-strike</x:v>
      </x:c>
      <x:c r="F168" s="38" t="str">
        <x:v>Desperate Strike</x:v>
      </x:c>
      <x:c r="G168" s="38" t="str">
        <x:v>silver</x:v>
      </x:c>
      <x:c r="H168" s="38" t="str">
        <x:v>medium</x:v>
      </x:c>
      <x:c r="I168" s="38" t="str">
        <x:v>crit</x:v>
      </x:c>
      <x:c r="J168" s="38" t="n">
        <x:v>5</x:v>
      </x:c>
      <x:c r="K168" s="38" t="str">
        <x:v>trainer_adira, trainer_argenta, trainer_nufu, trainer_orlin, trainer_vermir</x:v>
      </x:c>
      <x:c r="L168" s="38" t="n">
        <x:v>5</x:v>
      </x:c>
      <x:c r="M168" s="38" t="str">
        <x:v>elem_水, elem_雷, elem_龙, elem_无, role_召唤</x:v>
      </x:c>
      <x:c r="N168" s="38" t="str">
        <x:v>Restorative</x:v>
      </x:c>
      <x:c r="O168" s="38" t="str">
        <x:v>pal_167</x:v>
      </x:c>
      <x:c r="P168" s="38" t="str">
        <x:v>渊兔妖</x:v>
      </x:c>
      <x:c r="Q168" s="38" t="str">
        <x:v>https://bazaar-builds.net/db/skills/desperate-strike.html</x:v>
      </x:c>
      <x:c r="R168" s="38" t="str">
        <x:v>while you have less health than your enemy, your items have +20 / 40 / 60% crit chance.</x:v>
      </x:c>
      <x:c r="S168" s="38" t="str">
        <x:v>一对一确认来源对象。</x:v>
      </x:c>
    </x:row>
    <x:row r="169">
      <x:c r="A169" s="38" t="str">
        <x:v>bz_van_168</x:v>
      </x:c>
      <x:c r="B169" s="38" t="n">
        <x:v>168</x:v>
      </x:c>
      <x:c r="C169" s="38" t="str">
        <x:v>skill</x:v>
      </x:c>
      <x:c r="D169" s="38" t="str">
        <x:v>confirmed</x:v>
      </x:c>
      <x:c r="E169" s="38" t="str">
        <x:v>double-down</x:v>
      </x:c>
      <x:c r="F169" s="38" t="str">
        <x:v>Double Down</x:v>
      </x:c>
      <x:c r="G169" s="38" t="str">
        <x:v>diamond</x:v>
      </x:c>
      <x:c r="H169" s="38" t="str">
        <x:v>medium</x:v>
      </x:c>
      <x:c r="I169" s="38" t="str">
        <x:v>weapon, damagereference</x:v>
      </x:c>
      <x:c r="J169" s="38" t="n">
        <x:v>3</x:v>
      </x:c>
      <x:c r="K169" s="38" t="str">
        <x:v>trainer_adira, trainer_nufu, trainer_ryukon</x:v>
      </x:c>
      <x:c r="L169" s="38" t="n">
        <x:v>3</x:v>
      </x:c>
      <x:c r="M169" s="38" t="str">
        <x:v>elem_水, elem_龙, role_坦克</x:v>
      </x:c>
      <x:c r="N169" s="38" t="str">
        <x:v>Restorative</x:v>
      </x:c>
      <x:c r="O169" s="38" t="str">
        <x:v>pal_168</x:v>
      </x:c>
      <x:c r="P169" s="38" t="str">
        <x:v>澜兔祖</x:v>
      </x:c>
      <x:c r="Q169" s="38" t="str">
        <x:v>https://bazaar-builds.net/db/skills/double-down.html</x:v>
      </x:c>
      <x:c r="R169" s="38" t="str">
        <x:v>the first time you fall below half health each fight, double the damage of your leftmost weapon for the fight.</x:v>
      </x:c>
      <x:c r="S169" s="38" t="str">
        <x:v>一对一确认来源对象。</x:v>
      </x:c>
    </x:row>
    <x:row r="170">
      <x:c r="A170" s="38" t="str">
        <x:v>bz_van_169</x:v>
      </x:c>
      <x:c r="B170" s="38" t="n">
        <x:v>169</x:v>
      </x:c>
      <x:c r="C170" s="38" t="str">
        <x:v>skill</x:v>
      </x:c>
      <x:c r="D170" s="38" t="str">
        <x:v>confirmed</x:v>
      </x:c>
      <x:c r="E170" s="38" t="str">
        <x:v>emergency-burn</x:v>
      </x:c>
      <x:c r="F170" s="38" t="str">
        <x:v>Emergency Burn</x:v>
      </x:c>
      <x:c r="G170" s="38" t="str">
        <x:v>silver</x:v>
      </x:c>
      <x:c r="H170" s="38" t="str">
        <x:v>medium</x:v>
      </x:c>
      <x:c r="I170" s="38" t="str">
        <x:v>burn</x:v>
      </x:c>
      <x:c r="J170" s="38" t="n">
        <x:v>5</x:v>
      </x:c>
      <x:c r="K170" s="38" t="str">
        <x:v>trainer_adira, trainer_argenta, trainer_malafang, trainer_nufu, trainer_orlin</x:v>
      </x:c>
      <x:c r="L170" s="38" t="n">
        <x:v>5</x:v>
      </x:c>
      <x:c r="M170" s="38" t="str">
        <x:v>elem_水, elem_雷, elem_龙, elem_无, role_治疗</x:v>
      </x:c>
      <x:c r="N170" s="38" t="str">
        <x:v>Fiery</x:v>
      </x:c>
      <x:c r="O170" s="38" t="str">
        <x:v>pal_169</x:v>
      </x:c>
      <x:c r="P170" s="38" t="str">
        <x:v>朱鹤将</x:v>
      </x:c>
      <x:c r="Q170" s="38" t="str">
        <x:v>https://bazaar-builds.net/db/skills/emergency-burn.html</x:v>
      </x:c>
      <x:c r="R170" s="38" t="str">
        <x:v>the first time you fall below half health each fight, burn 20 / 30 / 40.</x:v>
      </x:c>
      <x:c r="S170" s="38" t="str">
        <x:v>一对一确认来源对象。</x:v>
      </x:c>
    </x:row>
    <x:row r="171">
      <x:c r="A171" s="38" t="str">
        <x:v>bz_van_170</x:v>
      </x:c>
      <x:c r="B171" s="38" t="n">
        <x:v>170</x:v>
      </x:c>
      <x:c r="C171" s="38" t="str">
        <x:v>skill</x:v>
      </x:c>
      <x:c r="D171" s="38" t="str">
        <x:v>confirmed</x:v>
      </x:c>
      <x:c r="E171" s="38" t="str">
        <x:v>exposing-toxins</x:v>
      </x:c>
      <x:c r="F171" s="38" t="str">
        <x:v>Exposing Toxins</x:v>
      </x:c>
      <x:c r="G171" s="38" t="str">
        <x:v>silver</x:v>
      </x:c>
      <x:c r="H171" s="38" t="str">
        <x:v>medium</x:v>
      </x:c>
      <x:c r="I171" s="38" t="str">
        <x:v>poisonreference, crit</x:v>
      </x:c>
      <x:c r="J171" s="38" t="n">
        <x:v>6</x:v>
      </x:c>
      <x:c r="K171" s="38" t="str">
        <x:v>trainer_adira, trainer_argenta, trainer_nufu, trainer_orlin, trainer_professor-riggle, trainer_vermir</x:v>
      </x:c>
      <x:c r="L171" s="38" t="n">
        <x:v>6</x:v>
      </x:c>
      <x:c r="M171" s="38" t="str">
        <x:v>elem_水, elem_雷, elem_龙, elem_无, role_召唤, role_输出</x:v>
      </x:c>
      <x:c r="N171" s="38" t="str">
        <x:v>Toxic</x:v>
      </x:c>
      <x:c r="O171" s="38" t="str">
        <x:v>pal_170</x:v>
      </x:c>
      <x:c r="P171" s="38" t="str">
        <x:v>青蝎卫</x:v>
      </x:c>
      <x:c r="Q171" s="38" t="str">
        <x:v>https://bazaar-builds.net/db/skills/exposing-toxins.html</x:v>
      </x:c>
      <x:c r="R171" s="38" t="str">
        <x:v>when you poison, your items gain +1 / 2 / 3% crit chance for the fight.</x:v>
      </x:c>
      <x:c r="S171" s="38" t="str">
        <x:v>一对一确认来源对象。</x:v>
      </x:c>
    </x:row>
    <x:row r="172">
      <x:c r="A172" s="38" t="str">
        <x:v>bz_van_171</x:v>
      </x:c>
      <x:c r="B172" s="38" t="n">
        <x:v>171</x:v>
      </x:c>
      <x:c r="C172" s="38" t="str">
        <x:v>skill</x:v>
      </x:c>
      <x:c r="D172" s="38" t="str">
        <x:v>confirmed</x:v>
      </x:c>
      <x:c r="E172" s="38" t="str">
        <x:v>fiery</x:v>
      </x:c>
      <x:c r="F172" s="38" t="str">
        <x:v>Fiery</x:v>
      </x:c>
      <x:c r="G172" s="38" t="str">
        <x:v>bronze</x:v>
      </x:c>
      <x:c r="H172" s="38" t="str">
        <x:v>medium</x:v>
      </x:c>
      <x:c r="I172" s="38" t="str">
        <x:v>burnreference</x:v>
      </x:c>
      <x:c r="J172" s="38" t="n">
        <x:v>5</x:v>
      </x:c>
      <x:c r="K172" s="38" t="str">
        <x:v>trainer_adira, trainer_argenta, trainer_malafang, trainer_nufu, trainer_orlin</x:v>
      </x:c>
      <x:c r="L172" s="38" t="n">
        <x:v>5</x:v>
      </x:c>
      <x:c r="M172" s="38" t="str">
        <x:v>elem_水, elem_雷, elem_龙, elem_无, role_治疗</x:v>
      </x:c>
      <x:c r="N172" s="38" t="str">
        <x:v>Fiery</x:v>
      </x:c>
      <x:c r="O172" s="38" t="str">
        <x:v>pal_171</x:v>
      </x:c>
      <x:c r="P172" s="38" t="str">
        <x:v>赤狼童</x:v>
      </x:c>
      <x:c r="Q172" s="38" t="str">
        <x:v>https://bazaar-builds.net/db/skills/fiery.html</x:v>
      </x:c>
      <x:c r="R172" s="38" t="str">
        <x:v>your burn items have +1 / 2 / 3 / 4 burn.</x:v>
      </x:c>
      <x:c r="S172" s="38" t="str">
        <x:v>一对一确认来源对象。</x:v>
      </x:c>
    </x:row>
    <x:row r="173">
      <x:c r="A173" s="38" t="str">
        <x:v>bz_van_172</x:v>
      </x:c>
      <x:c r="B173" s="38" t="n">
        <x:v>172</x:v>
      </x:c>
      <x:c r="C173" s="38" t="str">
        <x:v>skill</x:v>
      </x:c>
      <x:c r="D173" s="38" t="str">
        <x:v>confirmed</x:v>
      </x:c>
      <x:c r="E173" s="38" t="str">
        <x:v>final-dose</x:v>
      </x:c>
      <x:c r="F173" s="38" t="str">
        <x:v>Final Dose</x:v>
      </x:c>
      <x:c r="G173" s="38" t="str">
        <x:v>bronze</x:v>
      </x:c>
      <x:c r="H173" s="38" t="str">
        <x:v>medium</x:v>
      </x:c>
      <x:c r="I173" s="38" t="str">
        <x:v>poisonreference</x:v>
      </x:c>
      <x:c r="J173" s="38" t="n">
        <x:v>5</x:v>
      </x:c>
      <x:c r="K173" s="38" t="str">
        <x:v>trainer_adira, trainer_argenta, trainer_nufu, trainer_orlin, trainer_professor-riggle</x:v>
      </x:c>
      <x:c r="L173" s="38" t="n">
        <x:v>5</x:v>
      </x:c>
      <x:c r="M173" s="38" t="str">
        <x:v>elem_水, elem_雷, elem_龙, elem_无, role_输出</x:v>
      </x:c>
      <x:c r="N173" s="38" t="str">
        <x:v>Toxic</x:v>
      </x:c>
      <x:c r="O173" s="38" t="str">
        <x:v>pal_172</x:v>
      </x:c>
      <x:c r="P173" s="38" t="str">
        <x:v>森蟒仔</x:v>
      </x:c>
      <x:c r="Q173" s="38" t="str">
        <x:v>https://bazaar-builds.net/db/skills/final-dose.html</x:v>
      </x:c>
      <x:c r="R173" s="38" t="str">
        <x:v>your rightmost poison item has +2 / 4 / 6 / 8 poison.</x:v>
      </x:c>
      <x:c r="S173" s="38" t="str">
        <x:v>一对一确认来源对象。</x:v>
      </x:c>
    </x:row>
    <x:row r="174">
      <x:c r="A174" s="38" t="str">
        <x:v>bz_van_173</x:v>
      </x:c>
      <x:c r="B174" s="38" t="n">
        <x:v>173</x:v>
      </x:c>
      <x:c r="C174" s="38" t="str">
        <x:v>skill</x:v>
      </x:c>
      <x:c r="D174" s="38" t="str">
        <x:v>confirmed</x:v>
      </x:c>
      <x:c r="E174" s="38" t="str">
        <x:v>final-flame</x:v>
      </x:c>
      <x:c r="F174" s="38" t="str">
        <x:v>Final Flame</x:v>
      </x:c>
      <x:c r="G174" s="38" t="str">
        <x:v>bronze</x:v>
      </x:c>
      <x:c r="H174" s="38" t="str">
        <x:v>medium</x:v>
      </x:c>
      <x:c r="I174" s="38" t="str">
        <x:v>burnreference</x:v>
      </x:c>
      <x:c r="J174" s="38" t="n">
        <x:v>5</x:v>
      </x:c>
      <x:c r="K174" s="38" t="str">
        <x:v>trainer_adira, trainer_argenta, trainer_malafang, trainer_nufu, trainer_orlin</x:v>
      </x:c>
      <x:c r="L174" s="38" t="n">
        <x:v>5</x:v>
      </x:c>
      <x:c r="M174" s="38" t="str">
        <x:v>elem_水, elem_雷, elem_龙, elem_无, role_治疗</x:v>
      </x:c>
      <x:c r="N174" s="38" t="str">
        <x:v>Fiery</x:v>
      </x:c>
      <x:c r="O174" s="38" t="str">
        <x:v>pal_173</x:v>
      </x:c>
      <x:c r="P174" s="38" t="str">
        <x:v>燎鹰兽</x:v>
      </x:c>
      <x:c r="Q174" s="38" t="str">
        <x:v>https://bazaar-builds.net/db/skills/final-flame.html</x:v>
      </x:c>
      <x:c r="R174" s="38" t="str">
        <x:v>your rightmost burn item has +2 / 4 / 6 / 8 burn.</x:v>
      </x:c>
      <x:c r="S174" s="38" t="str">
        <x:v>一对一确认来源对象。</x:v>
      </x:c>
    </x:row>
    <x:row r="175">
      <x:c r="A175" s="38" t="str">
        <x:v>bz_van_174</x:v>
      </x:c>
      <x:c r="B175" s="38" t="n">
        <x:v>174</x:v>
      </x:c>
      <x:c r="C175" s="38" t="str">
        <x:v>skill</x:v>
      </x:c>
      <x:c r="D175" s="38" t="str">
        <x:v>confirmed</x:v>
      </x:c>
      <x:c r="E175" s="38" t="str">
        <x:v>first-flames</x:v>
      </x:c>
      <x:c r="F175" s="38" t="str">
        <x:v>First Flames</x:v>
      </x:c>
      <x:c r="G175" s="38" t="str">
        <x:v>silver</x:v>
      </x:c>
      <x:c r="H175" s="38" t="str">
        <x:v>medium</x:v>
      </x:c>
      <x:c r="I175" s="38" t="str">
        <x:v>burn</x:v>
      </x:c>
      <x:c r="J175" s="38" t="n">
        <x:v>5</x:v>
      </x:c>
      <x:c r="K175" s="38" t="str">
        <x:v>trainer_adira, trainer_argenta, trainer_malafang, trainer_nufu, trainer_orlin</x:v>
      </x:c>
      <x:c r="L175" s="38" t="n">
        <x:v>5</x:v>
      </x:c>
      <x:c r="M175" s="38" t="str">
        <x:v>elem_水, elem_雷, elem_龙, elem_无, role_治疗</x:v>
      </x:c>
      <x:c r="N175" s="38" t="str">
        <x:v>Fiery</x:v>
      </x:c>
      <x:c r="O175" s="38" t="str">
        <x:v>pal_174</x:v>
      </x:c>
      <x:c r="P175" s="38" t="str">
        <x:v>焰狼将</x:v>
      </x:c>
      <x:c r="Q175" s="38" t="str">
        <x:v>https://bazaar-builds.net/db/skills/first-flames.html</x:v>
      </x:c>
      <x:c r="R175" s="38" t="str">
        <x:v>the first time you use a large item each fight, burn 20 / 40 / 60.</x:v>
      </x:c>
      <x:c r="S175" s="38" t="str">
        <x:v>一对一确认来源对象。</x:v>
      </x:c>
    </x:row>
    <x:row r="176">
      <x:c r="A176" s="38" t="str">
        <x:v>bz_van_175</x:v>
      </x:c>
      <x:c r="B176" s="38" t="n">
        <x:v>175</x:v>
      </x:c>
      <x:c r="C176" s="38" t="str">
        <x:v>skill</x:v>
      </x:c>
      <x:c r="D176" s="38" t="str">
        <x:v>confirmed</x:v>
      </x:c>
      <x:c r="E176" s="38" t="str">
        <x:v>first-strike</x:v>
      </x:c>
      <x:c r="F176" s="38" t="str">
        <x:v>First Strike</x:v>
      </x:c>
      <x:c r="G176" s="38" t="str">
        <x:v>gold</x:v>
      </x:c>
      <x:c r="H176" s="38" t="str">
        <x:v>medium</x:v>
      </x:c>
      <x:c r="I176" s="38" t="str">
        <x:v>crit</x:v>
      </x:c>
      <x:c r="J176" s="38" t="n">
        <x:v>4</x:v>
      </x:c>
      <x:c r="K176" s="38" t="str">
        <x:v>trainer_adira, trainer_nufu, trainer_orlin, trainer_vermir</x:v>
      </x:c>
      <x:c r="L176" s="38" t="n">
        <x:v>4</x:v>
      </x:c>
      <x:c r="M176" s="38" t="str">
        <x:v>elem_水, elem_龙, elem_无, role_召唤</x:v>
      </x:c>
      <x:c r="N176" s="38" t="str">
        <x:v>Deadly</x:v>
      </x:c>
      <x:c r="O176" s="38" t="str">
        <x:v>pal_175</x:v>
      </x:c>
      <x:c r="P176" s="38" t="str">
        <x:v>电豹尊</x:v>
      </x:c>
      <x:c r="Q176" s="38" t="str">
        <x:v>https://bazaar-builds.net/db/skills/first-strike.html</x:v>
      </x:c>
      <x:c r="R176" s="38" t="str">
        <x:v>your items have +75 → 100% crit chance. when you use an item, all your items lose 10% crit chance for the fight.</x:v>
      </x:c>
      <x:c r="S176" s="38" t="str">
        <x:v>一对一确认来源对象。</x:v>
      </x:c>
    </x:row>
    <x:row r="177">
      <x:c r="A177" s="38" t="str">
        <x:v>bz_van_176</x:v>
      </x:c>
      <x:c r="B177" s="38" t="n">
        <x:v>176</x:v>
      </x:c>
      <x:c r="C177" s="38" t="str">
        <x:v>skill</x:v>
      </x:c>
      <x:c r="D177" s="38" t="str">
        <x:v>confirmed</x:v>
      </x:c>
      <x:c r="E177" s="38" t="str">
        <x:v>flanking-criticals</x:v>
      </x:c>
      <x:c r="F177" s="38" t="str">
        <x:v>Flanking Criticals</x:v>
      </x:c>
      <x:c r="G177" s="38" t="str">
        <x:v>silver</x:v>
      </x:c>
      <x:c r="H177" s="38" t="str">
        <x:v>medium</x:v>
      </x:c>
      <x:c r="I177" s="38" t="str">
        <x:v>crit</x:v>
      </x:c>
      <x:c r="J177" s="38" t="n">
        <x:v>5</x:v>
      </x:c>
      <x:c r="K177" s="38" t="str">
        <x:v>trainer_adira, trainer_argenta, trainer_nufu, trainer_orlin, trainer_vermir</x:v>
      </x:c>
      <x:c r="L177" s="38" t="n">
        <x:v>5</x:v>
      </x:c>
      <x:c r="M177" s="38" t="str">
        <x:v>elem_水, elem_雷, elem_龙, elem_无, role_召唤</x:v>
      </x:c>
      <x:c r="N177" s="38" t="str">
        <x:v>Deadly</x:v>
      </x:c>
      <x:c r="O177" s="38" t="str">
        <x:v>pal_176</x:v>
      </x:c>
      <x:c r="P177" s="38" t="str">
        <x:v>电螳精</x:v>
      </x:c>
      <x:c r="Q177" s="38" t="str">
        <x:v>https://bazaar-builds.net/db/skills/flanking-criticals.html</x:v>
      </x:c>
      <x:c r="R177" s="38" t="str">
        <x:v>the first time you use a large item each fight, adjacent items gain 20 / 40 / 60% crit chance for the fight.</x:v>
      </x:c>
      <x:c r="S177" s="38" t="str">
        <x:v>一对一确认来源对象。</x:v>
      </x:c>
    </x:row>
    <x:row r="178">
      <x:c r="A178" s="38" t="str">
        <x:v>bz_van_177</x:v>
      </x:c>
      <x:c r="B178" s="38" t="n">
        <x:v>177</x:v>
      </x:c>
      <x:c r="C178" s="38" t="str">
        <x:v>skill</x:v>
      </x:c>
      <x:c r="D178" s="38" t="str">
        <x:v>confirmed</x:v>
      </x:c>
      <x:c r="E178" s="38" t="str">
        <x:v>flashy-mechanic</x:v>
      </x:c>
      <x:c r="F178" s="38" t="str">
        <x:v>Flashy Mechanic</x:v>
      </x:c>
      <x:c r="G178" s="38" t="str">
        <x:v>silver</x:v>
      </x:c>
      <x:c r="H178" s="38" t="str">
        <x:v>medium</x:v>
      </x:c>
      <x:c r="I178" s="38" t="str">
        <x:v>tool, crit</x:v>
      </x:c>
      <x:c r="J178" s="38" t="n">
        <x:v>5</x:v>
      </x:c>
      <x:c r="K178" s="38" t="str">
        <x:v>trainer_adira, trainer_argenta, trainer_nufu, trainer_orlin, trainer_vermir</x:v>
      </x:c>
      <x:c r="L178" s="38" t="n">
        <x:v>5</x:v>
      </x:c>
      <x:c r="M178" s="38" t="str">
        <x:v>elem_水, elem_雷, elem_龙, elem_无, role_召唤</x:v>
      </x:c>
      <x:c r="N178" s="38" t="str">
        <x:v>Deadly</x:v>
      </x:c>
      <x:c r="O178" s="38" t="str">
        <x:v>pal_177</x:v>
      </x:c>
      <x:c r="P178" s="38" t="str">
        <x:v>霆狼卫</x:v>
      </x:c>
      <x:c r="Q178" s="38" t="str">
        <x:v>https://bazaar-builds.net/db/skills/flashy-mechanic.html</x:v>
      </x:c>
      <x:c r="R178" s="38" t="str">
        <x:v>when you use a tool, items adjacent to it gain 3 / 6 / 9% crit chance.</x:v>
      </x:c>
      <x:c r="S178" s="38" t="str">
        <x:v>一对一确认来源对象。</x:v>
      </x:c>
    </x:row>
    <x:row r="179">
      <x:c r="A179" s="38" t="str">
        <x:v>bz_van_178</x:v>
      </x:c>
      <x:c r="B179" s="38" t="n">
        <x:v>178</x:v>
      </x:c>
      <x:c r="C179" s="38" t="str">
        <x:v>skill</x:v>
      </x:c>
      <x:c r="D179" s="38" t="str">
        <x:v>confirmed</x:v>
      </x:c>
      <x:c r="E179" s="38" t="str">
        <x:v>flashy-pilot</x:v>
      </x:c>
      <x:c r="F179" s="38" t="str">
        <x:v>Flashy Pilot</x:v>
      </x:c>
      <x:c r="G179" s="38" t="str">
        <x:v>silver</x:v>
      </x:c>
      <x:c r="H179" s="38" t="str">
        <x:v>medium</x:v>
      </x:c>
      <x:c r="I179" s="38" t="str">
        <x:v>vehicle, crit</x:v>
      </x:c>
      <x:c r="J179" s="38" t="n">
        <x:v>5</x:v>
      </x:c>
      <x:c r="K179" s="38" t="str">
        <x:v>trainer_adira, trainer_argenta, trainer_nufu, trainer_orlin, trainer_vermir</x:v>
      </x:c>
      <x:c r="L179" s="38" t="n">
        <x:v>5</x:v>
      </x:c>
      <x:c r="M179" s="38" t="str">
        <x:v>elem_水, elem_雷, elem_龙, elem_无, role_召唤</x:v>
      </x:c>
      <x:c r="N179" s="38" t="str">
        <x:v>Deadly</x:v>
      </x:c>
      <x:c r="O179" s="38" t="str">
        <x:v>pal_178</x:v>
      </x:c>
      <x:c r="P179" s="38" t="str">
        <x:v>闪鲲妖</x:v>
      </x:c>
      <x:c r="Q179" s="38" t="str">
        <x:v>https://bazaar-builds.net/db/skills/flashy-pilot.html</x:v>
      </x:c>
      <x:c r="R179" s="38" t="str">
        <x:v>when you use a vehicle, your items gain 3 / 6 / 9% crit chance.</x:v>
      </x:c>
      <x:c r="S179" s="38" t="str">
        <x:v>一对一确认来源对象。</x:v>
      </x:c>
    </x:row>
    <x:row r="180">
      <x:c r="A180" s="38" t="str">
        <x:v>bz_van_179</x:v>
      </x:c>
      <x:c r="B180" s="38" t="n">
        <x:v>179</x:v>
      </x:c>
      <x:c r="C180" s="38" t="str">
        <x:v>skill</x:v>
      </x:c>
      <x:c r="D180" s="38" t="str">
        <x:v>confirmed</x:v>
      </x:c>
      <x:c r="E180" s="38" t="str">
        <x:v>flashy-reload</x:v>
      </x:c>
      <x:c r="F180" s="38" t="str">
        <x:v>Flashy Reload</x:v>
      </x:c>
      <x:c r="G180" s="38" t="str">
        <x:v>gold</x:v>
      </x:c>
      <x:c r="H180" s="38" t="str">
        <x:v>medium</x:v>
      </x:c>
      <x:c r="I180" s="38" t="str">
        <x:v>ammo, critreference</x:v>
      </x:c>
      <x:c r="J180" s="38" t="n">
        <x:v>5</x:v>
      </x:c>
      <x:c r="K180" s="38" t="str">
        <x:v>trainer_adira, trainer_c4, trainer_nufu, trainer_orlin, trainer_vermir</x:v>
      </x:c>
      <x:c r="L180" s="38" t="n">
        <x:v>5</x:v>
      </x:c>
      <x:c r="M180" s="38" t="str">
        <x:v>elem_水, elem_龙, elem_无, role_召唤, tier_pT1</x:v>
      </x:c>
      <x:c r="N180" s="38" t="str">
        <x:v>Deadly</x:v>
      </x:c>
      <x:c r="O180" s="38" t="str">
        <x:v>pal_179</x:v>
      </x:c>
      <x:c r="P180" s="38" t="str">
        <x:v>震鹰王</x:v>
      </x:c>
      <x:c r="Q180" s="38" t="str">
        <x:v>https://bazaar-builds.net/db/skills/flashy-reload.html</x:v>
      </x:c>
      <x:c r="R180" s="38" t="str">
        <x:v>the first 3 → 6 times you crit each fight, reload another item.</x:v>
      </x:c>
      <x:c r="S180" s="38" t="str">
        <x:v>一对一确认来源对象。</x:v>
      </x:c>
    </x:row>
    <x:row r="181">
      <x:c r="A181" s="38" t="str">
        <x:v>bz_van_180</x:v>
      </x:c>
      <x:c r="B181" s="38" t="n">
        <x:v>180</x:v>
      </x:c>
      <x:c r="C181" s="38" t="str">
        <x:v>skill</x:v>
      </x:c>
      <x:c r="D181" s="38" t="str">
        <x:v>confirmed</x:v>
      </x:c>
      <x:c r="E181" s="38" t="str">
        <x:v>flurry-of-blows</x:v>
      </x:c>
      <x:c r="F181" s="38" t="str">
        <x:v>Flurry of Blows</x:v>
      </x:c>
      <x:c r="G181" s="38" t="str">
        <x:v>gold</x:v>
      </x:c>
      <x:c r="H181" s="38" t="str">
        <x:v>medium</x:v>
      </x:c>
      <x:c r="I181" s="38" t="str">
        <x:v>weapon, charge, damagereference</x:v>
      </x:c>
      <x:c r="J181" s="38" t="n">
        <x:v>6</x:v>
      </x:c>
      <x:c r="K181" s="38" t="str">
        <x:v>trainer_adira, trainer_nufu, trainer_old-zane, trainer_orlin, trainer_ryukon, trainer_zara</x:v>
      </x:c>
      <x:c r="L181" s="38" t="n">
        <x:v>6</x:v>
      </x:c>
      <x:c r="M181" s="38" t="str">
        <x:v>elem_水, elem_地, elem_龙, elem_无, role_坦克, special_merchant</x:v>
      </x:c>
      <x:c r="N181" s="38" t="str">
        <x:v>Turbo</x:v>
      </x:c>
      <x:c r="O181" s="38" t="str">
        <x:v>pal_180</x:v>
      </x:c>
      <x:c r="P181" s="38" t="str">
        <x:v>鸣马王</x:v>
      </x:c>
      <x:c r="Q181" s="38" t="str">
        <x:v>https://bazaar-builds.net/db/skills/flurry-of-blows.html</x:v>
      </x:c>
      <x:c r="R181" s="38" t="str">
        <x:v>the first 4 → 8 times you use a weapon each fight, charge an item 1 second.</x:v>
      </x:c>
      <x:c r="S181" s="38" t="str">
        <x:v>一对一确认来源对象。</x:v>
      </x:c>
    </x:row>
    <x:row r="182">
      <x:c r="A182" s="38" t="str">
        <x:v>bz_van_181</x:v>
      </x:c>
      <x:c r="B182" s="38" t="n">
        <x:v>181</x:v>
      </x:c>
      <x:c r="C182" s="38" t="str">
        <x:v>skill</x:v>
      </x:c>
      <x:c r="D182" s="38" t="str">
        <x:v>confirmed</x:v>
      </x:c>
      <x:c r="E182" s="38" t="str">
        <x:v>focused-rage</x:v>
      </x:c>
      <x:c r="F182" s="38" t="str">
        <x:v>Focused Rage</x:v>
      </x:c>
      <x:c r="G182" s="38" t="str">
        <x:v>diamond</x:v>
      </x:c>
      <x:c r="H182" s="38" t="str">
        <x:v>medium</x:v>
      </x:c>
      <x:c r="I182" s="38" t="str">
        <x:v>crit</x:v>
      </x:c>
      <x:c r="J182" s="38" t="n">
        <x:v>4</x:v>
      </x:c>
      <x:c r="K182" s="38" t="str">
        <x:v>trainer_adira, trainer_nufu, trainer_old-zane, trainer_vermir</x:v>
      </x:c>
      <x:c r="L182" s="38" t="n">
        <x:v>4</x:v>
      </x:c>
      <x:c r="M182" s="38" t="str">
        <x:v>elem_水, elem_地, elem_龙, role_召唤</x:v>
      </x:c>
      <x:c r="N182" s="38" t="str">
        <x:v>Restorative</x:v>
      </x:c>
      <x:c r="O182" s="38" t="str">
        <x:v>pal_181</x:v>
      </x:c>
      <x:c r="P182" s="38" t="str">
        <x:v>碧兔神</x:v>
      </x:c>
      <x:c r="Q182" s="38" t="str">
        <x:v>https://bazaar-builds.net/db/skills/focused-rage.html</x:v>
      </x:c>
      <x:c r="R182" s="38" t="str">
        <x:v>the first time you fall below half health each fight, your items gain +50% crit chance for the fight.</x:v>
      </x:c>
      <x:c r="S182" s="38" t="str">
        <x:v>一对一确认来源对象。</x:v>
      </x:c>
    </x:row>
    <x:row r="183">
      <x:c r="A183" s="38" t="str">
        <x:v>bz_van_182</x:v>
      </x:c>
      <x:c r="B183" s="38" t="n">
        <x:v>182</x:v>
      </x:c>
      <x:c r="C183" s="38" t="str">
        <x:v>skill</x:v>
      </x:c>
      <x:c r="D183" s="38" t="str">
        <x:v>confirmed</x:v>
      </x:c>
      <x:c r="E183" s="38" t="str">
        <x:v>friend-of-the-sea</x:v>
      </x:c>
      <x:c r="F183" s="38" t="str">
        <x:v>Friend of the Sea</x:v>
      </x:c>
      <x:c r="G183" s="38" t="str">
        <x:v>diamond</x:v>
      </x:c>
      <x:c r="H183" s="38" t="str">
        <x:v>medium</x:v>
      </x:c>
      <x:c r="I183" s="38" t="str">
        <x:v>aquatic, friend</x:v>
      </x:c>
      <x:c r="J183" s="38" t="n">
        <x:v>3</x:v>
      </x:c>
      <x:c r="K183" s="38" t="str">
        <x:v>trainer_adira, trainer_nufu, trainer_old-zane</x:v>
      </x:c>
      <x:c r="L183" s="38" t="n">
        <x:v>3</x:v>
      </x:c>
      <x:c r="M183" s="38" t="str">
        <x:v>elem_水, elem_地, elem_龙</x:v>
      </x:c>
      <x:c r="N183" s="38" t="str">
        <x:v>Radiant</x:v>
      </x:c>
      <x:c r="O183" s="38" t="str">
        <x:v>pal_182</x:v>
      </x:c>
      <x:c r="P183" s="38" t="str">
        <x:v>渊蚁皇</x:v>
      </x:c>
      <x:c r="Q183" s="38" t="str">
        <x:v>https://bazaar-builds.net/db/skills/friend-of-the-sea.html</x:v>
      </x:c>
      <x:c r="R183" s="38" t="str">
        <x:v>your aquatic items are friends.</x:v>
      </x:c>
      <x:c r="S183" s="38" t="str">
        <x:v>一对一确认来源对象。</x:v>
      </x:c>
    </x:row>
    <x:row r="184">
      <x:c r="A184" s="38" t="str">
        <x:v>bz_van_183</x:v>
      </x:c>
      <x:c r="B184" s="38" t="n">
        <x:v>183</x:v>
      </x:c>
      <x:c r="C184" s="38" t="str">
        <x:v>skill</x:v>
      </x:c>
      <x:c r="D184" s="38" t="str">
        <x:v>confirmed</x:v>
      </x:c>
      <x:c r="E184" s="38" t="str">
        <x:v>frontal-shielding</x:v>
      </x:c>
      <x:c r="F184" s="38" t="str">
        <x:v>Frontal Shielding</x:v>
      </x:c>
      <x:c r="G184" s="38" t="str">
        <x:v>bronze</x:v>
      </x:c>
      <x:c r="H184" s="38" t="str">
        <x:v>medium</x:v>
      </x:c>
      <x:c r="I184" s="38" t="str">
        <x:v>shieldreference</x:v>
      </x:c>
      <x:c r="J184" s="38" t="n">
        <x:v>5</x:v>
      </x:c>
      <x:c r="K184" s="38" t="str">
        <x:v>trainer_adira, trainer_argenta, trainer_fortis, trainer_nufu, trainer_orlin</x:v>
      </x:c>
      <x:c r="L184" s="38" t="n">
        <x:v>5</x:v>
      </x:c>
      <x:c r="M184" s="38" t="str">
        <x:v>elem_水, elem_雷, elem_龙, elem_无, role_召唤铺场</x:v>
      </x:c>
      <x:c r="N184" s="38" t="str">
        <x:v>Shielded</x:v>
      </x:c>
      <x:c r="O184" s="38" t="str">
        <x:v>pal_183</x:v>
      </x:c>
      <x:c r="P184" s="38" t="str">
        <x:v>垒牦灵</x:v>
      </x:c>
      <x:c r="Q184" s="38" t="str">
        <x:v>https://bazaar-builds.net/db/skills/frontal-shielding.html</x:v>
      </x:c>
      <x:c r="R184" s="38" t="str">
        <x:v>your leftmost shield item has +10 / 20 / 30 / 40 shield.</x:v>
      </x:c>
      <x:c r="S184" s="38" t="str">
        <x:v>一对一确认来源对象。</x:v>
      </x:c>
    </x:row>
    <x:row r="185">
      <x:c r="A185" s="38" t="str">
        <x:v>bz_van_184</x:v>
      </x:c>
      <x:c r="B185" s="38" t="n">
        <x:v>184</x:v>
      </x:c>
      <x:c r="C185" s="38" t="str">
        <x:v>skill</x:v>
      </x:c>
      <x:c r="D185" s="38" t="str">
        <x:v>confirmed</x:v>
      </x:c>
      <x:c r="E185" s="38" t="str">
        <x:v>frontline-logistics</x:v>
      </x:c>
      <x:c r="F185" s="38" t="str">
        <x:v>Frontline Logistics</x:v>
      </x:c>
      <x:c r="G185" s="38" t="str">
        <x:v>silver</x:v>
      </x:c>
      <x:c r="H185" s="38" t="str">
        <x:v>medium</x:v>
      </x:c>
      <x:c r="I185" s="38" t="str">
        <x:v>weapon, ammoreference, damagereference</x:v>
      </x:c>
      <x:c r="J185" s="38" t="n">
        <x:v>6</x:v>
      </x:c>
      <x:c r="K185" s="38" t="str">
        <x:v>trainer_adira, trainer_argenta, trainer_c4, trainer_nufu, trainer_orlin, trainer_ryukon</x:v>
      </x:c>
      <x:c r="L185" s="38" t="n">
        <x:v>6</x:v>
      </x:c>
      <x:c r="M185" s="38" t="str">
        <x:v>elem_水, elem_雷, elem_龙, elem_无, role_坦克, tier_pT1</x:v>
      </x:c>
      <x:c r="N185" s="38" t="str">
        <x:v>Deadly</x:v>
      </x:c>
      <x:c r="O185" s="38" t="str">
        <x:v>pal_184</x:v>
      </x:c>
      <x:c r="P185" s="38" t="str">
        <x:v>雷鹰将</x:v>
      </x:c>
      <x:c r="Q185" s="38" t="str">
        <x:v>https://bazaar-builds.net/db/skills/frontline-logistics.html</x:v>
      </x:c>
      <x:c r="R185" s="38" t="str">
        <x:v>when you use an ammo item, your weapons gain +3 / 6 / 9 damage for the fight.</x:v>
      </x:c>
      <x:c r="S185" s="38" t="str">
        <x:v>一对一确认来源对象。</x:v>
      </x:c>
    </x:row>
    <x:row r="186">
      <x:c r="A186" s="38" t="str">
        <x:v>bz_van_185</x:v>
      </x:c>
      <x:c r="B186" s="38" t="n">
        <x:v>185</x:v>
      </x:c>
      <x:c r="C186" s="38" t="str">
        <x:v>skill</x:v>
      </x:c>
      <x:c r="D186" s="38" t="str">
        <x:v>confirmed</x:v>
      </x:c>
      <x:c r="E186" s="38" t="str">
        <x:v>frostfire</x:v>
      </x:c>
      <x:c r="F186" s="38" t="str">
        <x:v>Frostfire</x:v>
      </x:c>
      <x:c r="G186" s="38" t="str">
        <x:v>silver</x:v>
      </x:c>
      <x:c r="H186" s="38" t="str">
        <x:v>medium</x:v>
      </x:c>
      <x:c r="I186" s="38" t="str">
        <x:v>burnreference, freeze</x:v>
      </x:c>
      <x:c r="J186" s="38" t="n">
        <x:v>6</x:v>
      </x:c>
      <x:c r="K186" s="38" t="str">
        <x:v>trainer_adira, trainer_argenta, trainer_bjorn, trainer_malafang, trainer_nufu, trainer_orlin</x:v>
      </x:c>
      <x:c r="L186" s="38" t="n">
        <x:v>6</x:v>
      </x:c>
      <x:c r="M186" s="38" t="str">
        <x:v>elem_水, elem_雷, elem_龙, elem_无, role_控制, role_治疗</x:v>
      </x:c>
      <x:c r="N186" s="38" t="str">
        <x:v>Fiery</x:v>
      </x:c>
      <x:c r="O186" s="38" t="str">
        <x:v>pal_185</x:v>
      </x:c>
      <x:c r="P186" s="38" t="str">
        <x:v>烬鳗将</x:v>
      </x:c>
      <x:c r="Q186" s="38" t="str">
        <x:v>https://bazaar-builds.net/db/skills/frostfire.html</x:v>
      </x:c>
      <x:c r="R186" s="38" t="str">
        <x:v>the first time you burn each fight, freeze an item for 2 / 3 / 4 seconds.</x:v>
      </x:c>
      <x:c r="S186" s="38" t="str">
        <x:v>一对一确认来源对象。</x:v>
      </x:c>
    </x:row>
    <x:row r="187">
      <x:c r="A187" s="38" t="str">
        <x:v>bz_van_186</x:v>
      </x:c>
      <x:c r="B187" s="38" t="n">
        <x:v>186</x:v>
      </x:c>
      <x:c r="C187" s="38" t="str">
        <x:v>skill</x:v>
      </x:c>
      <x:c r="D187" s="38" t="str">
        <x:v>confirmed</x:v>
      </x:c>
      <x:c r="E187" s="38" t="str">
        <x:v>glass-cannon</x:v>
      </x:c>
      <x:c r="F187" s="38" t="str">
        <x:v>Glass Cannon</x:v>
      </x:c>
      <x:c r="G187" s="38" t="str">
        <x:v>diamond</x:v>
      </x:c>
      <x:c r="H187" s="38" t="str">
        <x:v>medium</x:v>
      </x:c>
      <x:c r="I187" s="38" t="str">
        <x:v>weapon, damagereference</x:v>
      </x:c>
      <x:c r="J187" s="38" t="n">
        <x:v>4</x:v>
      </x:c>
      <x:c r="K187" s="38" t="str">
        <x:v>trainer_adira, trainer_nufu, trainer_old-zane, trainer_ryukon</x:v>
      </x:c>
      <x:c r="L187" s="38" t="n">
        <x:v>4</x:v>
      </x:c>
      <x:c r="M187" s="38" t="str">
        <x:v>elem_水, elem_地, elem_龙, role_坦克</x:v>
      </x:c>
      <x:c r="N187" s="38" t="str">
        <x:v>Deadly</x:v>
      </x:c>
      <x:c r="O187" s="38" t="str">
        <x:v>pal_186</x:v>
      </x:c>
      <x:c r="P187" s="38" t="str">
        <x:v>角豹神</x:v>
      </x:c>
      <x:c r="Q187" s="38" t="str">
        <x:v>https://bazaar-builds.net/db/skills/glass-cannon.html</x:v>
      </x:c>
      <x:c r="R187" s="38" t="str">
        <x:v>all weapons have double damage.</x:v>
      </x:c>
      <x:c r="S187" s="38" t="str">
        <x:v>一对一确认来源对象。</x:v>
      </x:c>
    </x:row>
    <x:row r="188">
      <x:c r="A188" s="38" t="str">
        <x:v>bz_van_187</x:v>
      </x:c>
      <x:c r="B188" s="38" t="n">
        <x:v>187</x:v>
      </x:c>
      <x:c r="C188" s="38" t="str">
        <x:v>skill</x:v>
      </x:c>
      <x:c r="D188" s="38" t="str">
        <x:v>confirmed</x:v>
      </x:c>
      <x:c r="E188" s="38" t="str">
        <x:v>gunner</x:v>
      </x:c>
      <x:c r="F188" s="38" t="str">
        <x:v>Gunner</x:v>
      </x:c>
      <x:c r="G188" s="38" t="str">
        <x:v>silver</x:v>
      </x:c>
      <x:c r="H188" s="38" t="str">
        <x:v>medium</x:v>
      </x:c>
      <x:c r="I188" s="38" t="str">
        <x:v>ammo</x:v>
      </x:c>
      <x:c r="J188" s="38" t="n">
        <x:v>5</x:v>
      </x:c>
      <x:c r="K188" s="38" t="str">
        <x:v>trainer_adira, trainer_argenta, trainer_c4, trainer_nufu, trainer_orlin</x:v>
      </x:c>
      <x:c r="L188" s="38" t="n">
        <x:v>5</x:v>
      </x:c>
      <x:c r="M188" s="38" t="str">
        <x:v>elem_水, elem_雷, elem_龙, elem_无, tier_pT1</x:v>
      </x:c>
      <x:c r="N188" s="38" t="str">
        <x:v>Deadly</x:v>
      </x:c>
      <x:c r="O188" s="38" t="str">
        <x:v>pal_187</x:v>
      </x:c>
      <x:c r="P188" s="38" t="str">
        <x:v>雷鹰卫</x:v>
      </x:c>
      <x:c r="Q188" s="38" t="str">
        <x:v>https://bazaar-builds.net/db/skills/gunner.html</x:v>
      </x:c>
      <x:c r="R188" s="38" t="str">
        <x:v>your items have +1 / 2 / 3 max ammo.</x:v>
      </x:c>
      <x:c r="S188" s="38" t="str">
        <x:v>一对一确认来源对象。</x:v>
      </x:c>
    </x:row>
    <x:row r="189">
      <x:c r="A189" s="38" t="str">
        <x:v>bz_van_188</x:v>
      </x:c>
      <x:c r="B189" s="38" t="n">
        <x:v>188</x:v>
      </x:c>
      <x:c r="C189" s="38" t="str">
        <x:v>skill</x:v>
      </x:c>
      <x:c r="D189" s="38" t="str">
        <x:v>confirmed</x:v>
      </x:c>
      <x:c r="E189" s="38" t="str">
        <x:v>hardened-shield</x:v>
      </x:c>
      <x:c r="F189" s="38" t="str">
        <x:v>Hardened Shield</x:v>
      </x:c>
      <x:c r="G189" s="38" t="str">
        <x:v>silver</x:v>
      </x:c>
      <x:c r="H189" s="38" t="str">
        <x:v>medium</x:v>
      </x:c>
      <x:c r="I189" s="38" t="str">
        <x:v>shieldreference</x:v>
      </x:c>
      <x:c r="J189" s="38" t="n">
        <x:v>5</x:v>
      </x:c>
      <x:c r="K189" s="38" t="str">
        <x:v>trainer_adira, trainer_argenta, trainer_fortis, trainer_nufu, trainer_orlin</x:v>
      </x:c>
      <x:c r="L189" s="38" t="n">
        <x:v>5</x:v>
      </x:c>
      <x:c r="M189" s="38" t="str">
        <x:v>elem_水, elem_雷, elem_龙, elem_无, role_召唤铺场</x:v>
      </x:c>
      <x:c r="N189" s="38" t="str">
        <x:v>Shielded</x:v>
      </x:c>
      <x:c r="O189" s="38" t="str">
        <x:v>pal_188</x:v>
      </x:c>
      <x:c r="P189" s="38" t="str">
        <x:v>岩獒精</x:v>
      </x:c>
      <x:c r="Q189" s="38" t="str">
        <x:v>https://bazaar-builds.net/db/skills/hardened-shield.html</x:v>
      </x:c>
      <x:c r="R189" s="38" t="str">
        <x:v>your shield items have +10 / 20 / 30 shield for each weapon your enemy has.</x:v>
      </x:c>
      <x:c r="S189" s="38" t="str">
        <x:v>一对一确认来源对象。</x:v>
      </x:c>
    </x:row>
    <x:row r="190">
      <x:c r="A190" s="38" t="str">
        <x:v>bz_van_189</x:v>
      </x:c>
      <x:c r="B190" s="38" t="n">
        <x:v>189</x:v>
      </x:c>
      <x:c r="C190" s="38" t="str">
        <x:v>skill</x:v>
      </x:c>
      <x:c r="D190" s="38" t="str">
        <x:v>confirmed</x:v>
      </x:c>
      <x:c r="E190" s="38" t="str">
        <x:v>healthy-heart</x:v>
      </x:c>
      <x:c r="F190" s="38" t="str">
        <x:v>Healthy Heart</x:v>
      </x:c>
      <x:c r="G190" s="38" t="str">
        <x:v>diamond</x:v>
      </x:c>
      <x:c r="H190" s="38" t="str">
        <x:v>medium</x:v>
      </x:c>
      <x:c r="I190" s="38" t="str">
        <x:v>health, heal</x:v>
      </x:c>
      <x:c r="J190" s="38" t="n">
        <x:v>3</x:v>
      </x:c>
      <x:c r="K190" s="38" t="str">
        <x:v>trainer_adira, trainer_nufu, trainer_regenald</x:v>
      </x:c>
      <x:c r="L190" s="38" t="n">
        <x:v>3</x:v>
      </x:c>
      <x:c r="M190" s="38" t="str">
        <x:v>elem_水, elem_龙, tier_pT2</x:v>
      </x:c>
      <x:c r="N190" s="38" t="str">
        <x:v>Fiery</x:v>
      </x:c>
      <x:c r="O190" s="38" t="str">
        <x:v>pal_189</x:v>
      </x:c>
      <x:c r="P190" s="38" t="str">
        <x:v>烬鹿祖</x:v>
      </x:c>
      <x:c r="Q190" s="38" t="str">
        <x:v>https://bazaar-builds.net/db/skills/healthy-heart.html</x:v>
      </x:c>
      <x:c r="R190" s="38" t="str">
        <x:v>the first time you fall below half health each fight, heal equal to 30% of your max health and cleanse half your burn and poison.</x:v>
      </x:c>
      <x:c r="S190" s="38" t="str">
        <x:v>一对一确认来源对象。</x:v>
      </x:c>
    </x:row>
    <x:row r="191">
      <x:c r="A191" s="38" t="str">
        <x:v>bz_van_190</x:v>
      </x:c>
      <x:c r="B191" s="38" t="n">
        <x:v>190</x:v>
      </x:c>
      <x:c r="C191" s="38" t="str">
        <x:v>skill</x:v>
      </x:c>
      <x:c r="D191" s="38" t="str">
        <x:v>confirmed</x:v>
      </x:c>
      <x:c r="E191" s="38" t="str">
        <x:v>healthy-jolt</x:v>
      </x:c>
      <x:c r="F191" s="38" t="str">
        <x:v>Healthy Jolt</x:v>
      </x:c>
      <x:c r="G191" s="38" t="str">
        <x:v>silver</x:v>
      </x:c>
      <x:c r="H191" s="38" t="str">
        <x:v>medium</x:v>
      </x:c>
      <x:c r="I191" s="38" t="str">
        <x:v>healreference, haste</x:v>
      </x:c>
      <x:c r="J191" s="38" t="n">
        <x:v>6</x:v>
      </x:c>
      <x:c r="K191" s="38" t="str">
        <x:v>trainer_adira, trainer_argenta, trainer_nufu, trainer_orlin, trainer_regenald, trainer_zara</x:v>
      </x:c>
      <x:c r="L191" s="38" t="n">
        <x:v>6</x:v>
      </x:c>
      <x:c r="M191" s="38" t="str">
        <x:v>elem_水, elem_雷, elem_龙, elem_无, special_merchant, tier_pT2</x:v>
      </x:c>
      <x:c r="N191" s="38" t="str">
        <x:v>Turbo</x:v>
      </x:c>
      <x:c r="O191" s="38" t="str">
        <x:v>pal_190</x:v>
      </x:c>
      <x:c r="P191" s="38" t="str">
        <x:v>潮鹤精</x:v>
      </x:c>
      <x:c r="Q191" s="38" t="str">
        <x:v>https://bazaar-builds.net/db/skills/healthy-jolt.html</x:v>
      </x:c>
      <x:c r="R191" s="38" t="str">
        <x:v>the first time you over-heal each fight, haste your items for 1 / 2 / 3 seconds.</x:v>
      </x:c>
      <x:c r="S191" s="38" t="str">
        <x:v>一对一确认来源对象。</x:v>
      </x:c>
    </x:row>
    <x:row r="192">
      <x:c r="A192" s="38" t="str">
        <x:v>bz_van_191</x:v>
      </x:c>
      <x:c r="B192" s="38" t="n">
        <x:v>191</x:v>
      </x:c>
      <x:c r="C192" s="38" t="str">
        <x:v>skill</x:v>
      </x:c>
      <x:c r="D192" s="38" t="str">
        <x:v>confirmed</x:v>
      </x:c>
      <x:c r="E192" s="38" t="str">
        <x:v>heated-shells</x:v>
      </x:c>
      <x:c r="F192" s="38" t="str">
        <x:v>Heated Shells</x:v>
      </x:c>
      <x:c r="G192" s="38" t="str">
        <x:v>silver</x:v>
      </x:c>
      <x:c r="H192" s="38" t="str">
        <x:v>medium</x:v>
      </x:c>
      <x:c r="I192" s="38" t="str">
        <x:v>burn, ammo</x:v>
      </x:c>
      <x:c r="J192" s="38" t="n">
        <x:v>6</x:v>
      </x:c>
      <x:c r="K192" s="38" t="str">
        <x:v>trainer_adira, trainer_argenta, trainer_c4, trainer_malafang, trainer_nufu, trainer_orlin</x:v>
      </x:c>
      <x:c r="L192" s="38" t="n">
        <x:v>6</x:v>
      </x:c>
      <x:c r="M192" s="38" t="str">
        <x:v>elem_水, elem_雷, elem_龙, elem_无, role_治疗, tier_pT1</x:v>
      </x:c>
      <x:c r="N192" s="38" t="str">
        <x:v>Fiery</x:v>
      </x:c>
      <x:c r="O192" s="38" t="str">
        <x:v>pal_191</x:v>
      </x:c>
      <x:c r="P192" s="38" t="str">
        <x:v>焰豹将</x:v>
      </x:c>
      <x:c r="Q192" s="38" t="str">
        <x:v>https://bazaar-builds.net/db/skills/heated-shells.html</x:v>
      </x:c>
      <x:c r="R192" s="38" t="str">
        <x:v>the first 4 / 8 / 12 times you use an ammo item each fight, burn 5.</x:v>
      </x:c>
      <x:c r="S192" s="38" t="str">
        <x:v>一对一确认来源对象。</x:v>
      </x:c>
    </x:row>
    <x:row r="193">
      <x:c r="A193" s="38" t="str">
        <x:v>bz_van_192</x:v>
      </x:c>
      <x:c r="B193" s="38" t="n">
        <x:v>192</x:v>
      </x:c>
      <x:c r="C193" s="38" t="str">
        <x:v>skill</x:v>
      </x:c>
      <x:c r="D193" s="38" t="str">
        <x:v>confirmed</x:v>
      </x:c>
      <x:c r="E193" s="38" t="str">
        <x:v>heavy-firepower</x:v>
      </x:c>
      <x:c r="F193" s="38" t="str">
        <x:v>Heavy Firepower</x:v>
      </x:c>
      <x:c r="G193" s="38" t="str">
        <x:v>silver</x:v>
      </x:c>
      <x:c r="H193" s="38" t="str">
        <x:v>medium</x:v>
      </x:c>
      <x:c r="I193" s="38" t="str">
        <x:v>weapon, damagereference</x:v>
      </x:c>
      <x:c r="J193" s="38" t="n">
        <x:v>5</x:v>
      </x:c>
      <x:c r="K193" s="38" t="str">
        <x:v>trainer_adira, trainer_argenta, trainer_nufu, trainer_orlin, trainer_ryukon</x:v>
      </x:c>
      <x:c r="L193" s="38" t="n">
        <x:v>5</x:v>
      </x:c>
      <x:c r="M193" s="38" t="str">
        <x:v>elem_水, elem_雷, elem_龙, elem_无, role_坦克</x:v>
      </x:c>
      <x:c r="N193" s="38" t="str">
        <x:v>Fiery</x:v>
      </x:c>
      <x:c r="O193" s="38" t="str">
        <x:v>pal_192</x:v>
      </x:c>
      <x:c r="P193" s="38" t="str">
        <x:v>赤鼋妖</x:v>
      </x:c>
      <x:c r="Q193" s="38" t="str">
        <x:v>https://bazaar-builds.net/db/skills/heavy-firepower.html</x:v>
      </x:c>
      <x:c r="R193" s="38" t="str">
        <x:v>if you have 5 or fewer items, your weapons have +25 / 50 / 75 damage.</x:v>
      </x:c>
      <x:c r="S193" s="38" t="str">
        <x:v>一对一确认来源对象。</x:v>
      </x:c>
    </x:row>
    <x:row r="194">
      <x:c r="A194" s="38" t="str">
        <x:v>bz_van_193</x:v>
      </x:c>
      <x:c r="B194" s="38" t="n">
        <x:v>193</x:v>
      </x:c>
      <x:c r="C194" s="38" t="str">
        <x:v>skill</x:v>
      </x:c>
      <x:c r="D194" s="38" t="str">
        <x:v>confirmed</x:v>
      </x:c>
      <x:c r="E194" s="38" t="str">
        <x:v>honed-arsenal</x:v>
      </x:c>
      <x:c r="F194" s="38" t="str">
        <x:v>Honed Arsenal</x:v>
      </x:c>
      <x:c r="G194" s="38" t="str">
        <x:v>silver</x:v>
      </x:c>
      <x:c r="H194" s="38" t="str">
        <x:v>medium</x:v>
      </x:c>
      <x:c r="I194" s="38" t="str">
        <x:v>weapon, crit</x:v>
      </x:c>
      <x:c r="J194" s="38" t="n">
        <x:v>6</x:v>
      </x:c>
      <x:c r="K194" s="38" t="str">
        <x:v>trainer_adira, trainer_argenta, trainer_nufu, trainer_orlin, trainer_ryukon, trainer_vermir</x:v>
      </x:c>
      <x:c r="L194" s="38" t="n">
        <x:v>6</x:v>
      </x:c>
      <x:c r="M194" s="38" t="str">
        <x:v>elem_水, elem_雷, elem_龙, elem_无, role_召唤, role_坦克</x:v>
      </x:c>
      <x:c r="N194" s="38" t="str">
        <x:v>Deadly</x:v>
      </x:c>
      <x:c r="O194" s="38" t="str">
        <x:v>pal_193</x:v>
      </x:c>
      <x:c r="P194" s="38" t="str">
        <x:v>雷狼卫</x:v>
      </x:c>
      <x:c r="Q194" s="38" t="str">
        <x:v>https://bazaar-builds.net/db/skills/honed-arsenal.html</x:v>
      </x:c>
      <x:c r="R194" s="38" t="str">
        <x:v>your items have +2 / 4 / 6% crit chance per weapon you have.</x:v>
      </x:c>
      <x:c r="S194" s="38" t="str">
        <x:v>一对一确认来源对象。</x:v>
      </x:c>
    </x:row>
    <x:row r="195">
      <x:c r="A195" s="38" t="str">
        <x:v>bz_van_194</x:v>
      </x:c>
      <x:c r="B195" s="38" t="n">
        <x:v>194</x:v>
      </x:c>
      <x:c r="C195" s="38" t="str">
        <x:v>skill</x:v>
      </x:c>
      <x:c r="D195" s="38" t="str">
        <x:v>confirmed</x:v>
      </x:c>
      <x:c r="E195" s="38" t="str">
        <x:v>honed-strike</x:v>
      </x:c>
      <x:c r="F195" s="38" t="str">
        <x:v>Honed Strike</x:v>
      </x:c>
      <x:c r="G195" s="38" t="str">
        <x:v>gold</x:v>
      </x:c>
      <x:c r="H195" s="38" t="str">
        <x:v>medium</x:v>
      </x:c>
      <x:c r="I195" s="38" t="str">
        <x:v>crit</x:v>
      </x:c>
      <x:c r="J195" s="38" t="n">
        <x:v>4</x:v>
      </x:c>
      <x:c r="K195" s="38" t="str">
        <x:v>trainer_adira, trainer_nufu, trainer_orlin, trainer_vermir</x:v>
      </x:c>
      <x:c r="L195" s="38" t="n">
        <x:v>4</x:v>
      </x:c>
      <x:c r="M195" s="38" t="str">
        <x:v>elem_水, elem_龙, elem_无, role_召唤</x:v>
      </x:c>
      <x:c r="N195" s="38" t="str">
        <x:v>Deadly</x:v>
      </x:c>
      <x:c r="O195" s="38" t="str">
        <x:v>pal_194</x:v>
      </x:c>
      <x:c r="P195" s="38" t="str">
        <x:v>电虎侯</x:v>
      </x:c>
      <x:c r="Q195" s="38" t="str">
        <x:v>https://bazaar-builds.net/db/skills/honed-strike.html</x:v>
      </x:c>
      <x:c r="R195" s="38" t="str">
        <x:v>when you use an item, it gains +5 → 10% crit chance for the fight.</x:v>
      </x:c>
      <x:c r="S195" s="38" t="str">
        <x:v>一对一确认来源对象。</x:v>
      </x:c>
    </x:row>
    <x:row r="196">
      <x:c r="A196" s="38" t="str">
        <x:v>bz_van_195</x:v>
      </x:c>
      <x:c r="B196" s="38" t="n">
        <x:v>195</x:v>
      </x:c>
      <x:c r="C196" s="38" t="str">
        <x:v>skill</x:v>
      </x:c>
      <x:c r="D196" s="38" t="str">
        <x:v>confirmed</x:v>
      </x:c>
      <x:c r="E196" s="38" t="str">
        <x:v>hot-spot</x:v>
      </x:c>
      <x:c r="F196" s="38" t="str">
        <x:v>Hot Spot</x:v>
      </x:c>
      <x:c r="G196" s="38" t="str">
        <x:v>silver</x:v>
      </x:c>
      <x:c r="H196" s="38" t="str">
        <x:v>medium</x:v>
      </x:c>
      <x:c r="I196" s="38" t="str">
        <x:v>burn</x:v>
      </x:c>
      <x:c r="J196" s="38" t="n">
        <x:v>5</x:v>
      </x:c>
      <x:c r="K196" s="38" t="str">
        <x:v>trainer_adira, trainer_argenta, trainer_malafang, trainer_nufu, trainer_orlin</x:v>
      </x:c>
      <x:c r="L196" s="38" t="n">
        <x:v>5</x:v>
      </x:c>
      <x:c r="M196" s="38" t="str">
        <x:v>elem_水, elem_雷, elem_龙, elem_无, role_治疗</x:v>
      </x:c>
      <x:c r="N196" s="38" t="str">
        <x:v>Fiery</x:v>
      </x:c>
      <x:c r="O196" s="38" t="str">
        <x:v>pal_195</x:v>
      </x:c>
      <x:c r="P196" s="38" t="str">
        <x:v>燎狼将</x:v>
      </x:c>
      <x:c r="Q196" s="38" t="str">
        <x:v>https://bazaar-builds.net/db/skills/hot-spot.html</x:v>
      </x:c>
      <x:c r="R196" s="38" t="str">
        <x:v>the first 4 / 8 / 12 times you use your leftmost item each fight, burn 5.</x:v>
      </x:c>
      <x:c r="S196" s="38" t="str">
        <x:v>一对一确认来源对象。</x:v>
      </x:c>
    </x:row>
    <x:row r="197">
      <x:c r="A197" s="38" t="str">
        <x:v>bz_van_196</x:v>
      </x:c>
      <x:c r="B197" s="38" t="n">
        <x:v>196</x:v>
      </x:c>
      <x:c r="C197" s="38" t="str">
        <x:v>skill</x:v>
      </x:c>
      <x:c r="D197" s="38" t="str">
        <x:v>confirmed</x:v>
      </x:c>
      <x:c r="E197" s="38" t="str">
        <x:v>ice-bullets</x:v>
      </x:c>
      <x:c r="F197" s="38" t="str">
        <x:v>Ice Bullets</x:v>
      </x:c>
      <x:c r="G197" s="38" t="str">
        <x:v>gold</x:v>
      </x:c>
      <x:c r="H197" s="38" t="str">
        <x:v>medium</x:v>
      </x:c>
      <x:c r="I197" s="38" t="str">
        <x:v>freezereference, ammo, damagereference</x:v>
      </x:c>
      <x:c r="J197" s="38" t="n">
        <x:v>6</x:v>
      </x:c>
      <x:c r="K197" s="38" t="str">
        <x:v>trainer_adira, trainer_bjorn, trainer_c4, trainer_nufu, trainer_old-zane, trainer_orlin</x:v>
      </x:c>
      <x:c r="L197" s="38" t="n">
        <x:v>6</x:v>
      </x:c>
      <x:c r="M197" s="38" t="str">
        <x:v>elem_水, elem_地, elem_龙, elem_无, role_控制, tier_pT1</x:v>
      </x:c>
      <x:c r="N197" s="38" t="str">
        <x:v>Icy</x:v>
      </x:c>
      <x:c r="O197" s="38" t="str">
        <x:v>pal_196</x:v>
      </x:c>
      <x:c r="P197" s="38" t="str">
        <x:v>凛鳗王</x:v>
      </x:c>
      <x:c r="Q197" s="38" t="str">
        <x:v>https://bazaar-builds.net/db/skills/ice-bullets.html</x:v>
      </x:c>
      <x:c r="R197" s="38" t="str">
        <x:v>the first 3 → 6 times you freeze each fight, reload another item.</x:v>
      </x:c>
      <x:c r="S197" s="38" t="str">
        <x:v>一对一确认来源对象。</x:v>
      </x:c>
    </x:row>
    <x:row r="198">
      <x:c r="A198" s="38" t="str">
        <x:v>bz_van_197</x:v>
      </x:c>
      <x:c r="B198" s="38" t="n">
        <x:v>197</x:v>
      </x:c>
      <x:c r="C198" s="38" t="str">
        <x:v>skill</x:v>
      </x:c>
      <x:c r="D198" s="38" t="str">
        <x:v>confirmed</x:v>
      </x:c>
      <x:c r="E198" s="38" t="str">
        <x:v>ice-smasher</x:v>
      </x:c>
      <x:c r="F198" s="38" t="str">
        <x:v>Ice Smasher</x:v>
      </x:c>
      <x:c r="G198" s="38" t="str">
        <x:v>diamond</x:v>
      </x:c>
      <x:c r="H198" s="38" t="str">
        <x:v>medium</x:v>
      </x:c>
      <x:c r="I198" s="38" t="str">
        <x:v>weapon, damagereference</x:v>
      </x:c>
      <x:c r="J198" s="38" t="n">
        <x:v>3</x:v>
      </x:c>
      <x:c r="K198" s="38" t="str">
        <x:v>trainer_adira, trainer_nufu, trainer_ryukon</x:v>
      </x:c>
      <x:c r="L198" s="38" t="n">
        <x:v>3</x:v>
      </x:c>
      <x:c r="M198" s="38" t="str">
        <x:v>elem_水, elem_龙, role_坦克</x:v>
      </x:c>
      <x:c r="N198" s="38" t="str">
        <x:v>Icy</x:v>
      </x:c>
      <x:c r="O198" s="38" t="str">
        <x:v>pal_197</x:v>
      </x:c>
      <x:c r="P198" s="38" t="str">
        <x:v>寒狐祖</x:v>
      </x:c>
      <x:c r="Q198" s="38" t="str">
        <x:v>https://bazaar-builds.net/db/skills/ice-smasher.html</x:v>
      </x:c>
      <x:c r="R198" s="38" t="str">
        <x:v>your leftmost item is affected by freeze for half as long. if you have exactly one weapon, all your items are affected by freeze for half as long instead.</x:v>
      </x:c>
      <x:c r="S198" s="38" t="str">
        <x:v>一对一确认来源对象。</x:v>
      </x:c>
    </x:row>
    <x:row r="199">
      <x:c r="A199" s="38" t="str">
        <x:v>bz_van_198</x:v>
      </x:c>
      <x:c r="B199" s="38" t="n">
        <x:v>198</x:v>
      </x:c>
      <x:c r="C199" s="38" t="str">
        <x:v>skill</x:v>
      </x:c>
      <x:c r="D199" s="38" t="str">
        <x:v>confirmed</x:v>
      </x:c>
      <x:c r="E199" s="38" t="str">
        <x:v>immolating-spark</x:v>
      </x:c>
      <x:c r="F199" s="38" t="str">
        <x:v>Immolating Spark</x:v>
      </x:c>
      <x:c r="G199" s="38" t="str">
        <x:v>bronze</x:v>
      </x:c>
      <x:c r="H199" s="38" t="str">
        <x:v>medium</x:v>
      </x:c>
      <x:c r="I199" s="38" t="str">
        <x:v>burnreference</x:v>
      </x:c>
      <x:c r="J199" s="38" t="n">
        <x:v>5</x:v>
      </x:c>
      <x:c r="K199" s="38" t="str">
        <x:v>trainer_adira, trainer_argenta, trainer_malafang, trainer_nufu, trainer_orlin</x:v>
      </x:c>
      <x:c r="L199" s="38" t="n">
        <x:v>5</x:v>
      </x:c>
      <x:c r="M199" s="38" t="str">
        <x:v>elem_水, elem_雷, elem_龙, elem_无, role_治疗</x:v>
      </x:c>
      <x:c r="N199" s="38" t="str">
        <x:v>Fiery</x:v>
      </x:c>
      <x:c r="O199" s="38" t="str">
        <x:v>pal_198</x:v>
      </x:c>
      <x:c r="P199" s="38" t="str">
        <x:v>赤虎仔</x:v>
      </x:c>
      <x:c r="Q199" s="38" t="str">
        <x:v>https://bazaar-builds.net/db/skills/immolating-spark.html</x:v>
      </x:c>
      <x:c r="R199" s="38" t="str">
        <x:v>your leftmost burn item has +2 / 4 / 6 / 8 burn.</x:v>
      </x:c>
      <x:c r="S199" s="38" t="str">
        <x:v>一对一确认来源对象。</x:v>
      </x:c>
    </x:row>
    <x:row r="200">
      <x:c r="A200" s="38" t="str">
        <x:v>bz_van_199</x:v>
      </x:c>
      <x:c r="B200" s="38" t="n">
        <x:v>199</x:v>
      </x:c>
      <x:c r="C200" s="38" t="str">
        <x:v>skill</x:v>
      </x:c>
      <x:c r="D200" s="38" t="str">
        <x:v>confirmed</x:v>
      </x:c>
      <x:c r="E200" s="38" t="str">
        <x:v>improved-toxins</x:v>
      </x:c>
      <x:c r="F200" s="38" t="str">
        <x:v>Improved Toxins</x:v>
      </x:c>
      <x:c r="G200" s="38" t="str">
        <x:v>bronze</x:v>
      </x:c>
      <x:c r="H200" s="38" t="str">
        <x:v>medium</x:v>
      </x:c>
      <x:c r="I200" s="38" t="str">
        <x:v>poisonreference</x:v>
      </x:c>
      <x:c r="J200" s="38" t="n">
        <x:v>5</x:v>
      </x:c>
      <x:c r="K200" s="38" t="str">
        <x:v>trainer_adira, trainer_argenta, trainer_nufu, trainer_orlin, trainer_professor-riggle</x:v>
      </x:c>
      <x:c r="L200" s="38" t="n">
        <x:v>5</x:v>
      </x:c>
      <x:c r="M200" s="38" t="str">
        <x:v>elem_水, elem_雷, elem_龙, elem_无, role_输出</x:v>
      </x:c>
      <x:c r="N200" s="38" t="str">
        <x:v>Toxic</x:v>
      </x:c>
      <x:c r="O200" s="38" t="str">
        <x:v>pal_199</x:v>
      </x:c>
      <x:c r="P200" s="38" t="str">
        <x:v>藤貂仔</x:v>
      </x:c>
      <x:c r="Q200" s="38" t="str">
        <x:v>https://bazaar-builds.net/db/skills/improved-toxins.html</x:v>
      </x:c>
      <x:c r="R200" s="38" t="str">
        <x:v>your poison items have +1 / 2 / 3 / 4 poison.</x:v>
      </x:c>
      <x:c r="S200" s="38" t="str">
        <x:v>一对一确认来源对象。</x:v>
      </x:c>
    </x:row>
    <x:row r="201">
      <x:c r="A201" s="38" t="str">
        <x:v>bz_van_200</x:v>
      </x:c>
      <x:c r="B201" s="38" t="n">
        <x:v>200</x:v>
      </x:c>
      <x:c r="C201" s="38" t="str">
        <x:v>skill</x:v>
      </x:c>
      <x:c r="D201" s="38" t="str">
        <x:v>confirmed</x:v>
      </x:c>
      <x:c r="E201" s="38" t="str">
        <x:v>improvised-burn</x:v>
      </x:c>
      <x:c r="F201" s="38" t="str">
        <x:v>Improvised Burn</x:v>
      </x:c>
      <x:c r="G201" s="38" t="str">
        <x:v>gold</x:v>
      </x:c>
      <x:c r="H201" s="38" t="str">
        <x:v>medium</x:v>
      </x:c>
      <x:c r="I201" s="38" t="str">
        <x:v>burnreference, critreference</x:v>
      </x:c>
      <x:c r="J201" s="38" t="n">
        <x:v>5</x:v>
      </x:c>
      <x:c r="K201" s="38" t="str">
        <x:v>trainer_adira, trainer_malafang, trainer_nufu, trainer_orlin, trainer_vermir</x:v>
      </x:c>
      <x:c r="L201" s="38" t="n">
        <x:v>5</x:v>
      </x:c>
      <x:c r="M201" s="38" t="str">
        <x:v>elem_水, elem_龙, elem_无, role_召唤, role_治疗</x:v>
      </x:c>
      <x:c r="N201" s="38" t="str">
        <x:v>Fiery</x:v>
      </x:c>
      <x:c r="O201" s="38" t="str">
        <x:v>pal_200</x:v>
      </x:c>
      <x:c r="P201" s="38" t="str">
        <x:v>烬豹侯</x:v>
      </x:c>
      <x:c r="Q201" s="38" t="str">
        <x:v>https://bazaar-builds.net/db/skills/improvised-burn.html</x:v>
      </x:c>
      <x:c r="R201" s="38" t="str">
        <x:v>when you crit, your burn items gain 2 → 4 burn for the fight.</x:v>
      </x:c>
      <x:c r="S201" s="38" t="str">
        <x:v>一对一确认来源对象。</x:v>
      </x:c>
    </x:row>
    <x:row r="202">
      <x:c r="A202" s="38" t="str">
        <x:v>bz_van_201</x:v>
      </x:c>
      <x:c r="B202" s="38" t="n">
        <x:v>201</x:v>
      </x:c>
      <x:c r="C202" s="38" t="str">
        <x:v>skill</x:v>
      </x:c>
      <x:c r="D202" s="38" t="str">
        <x:v>confirmed</x:v>
      </x:c>
      <x:c r="E202" s="38" t="str">
        <x:v>improvised-heal</x:v>
      </x:c>
      <x:c r="F202" s="38" t="str">
        <x:v>Improvised Heal</x:v>
      </x:c>
      <x:c r="G202" s="38" t="str">
        <x:v>silver</x:v>
      </x:c>
      <x:c r="H202" s="38" t="str">
        <x:v>medium</x:v>
      </x:c>
      <x:c r="I202" s="38" t="str">
        <x:v>healreference, critreference</x:v>
      </x:c>
      <x:c r="J202" s="38" t="n">
        <x:v>7</x:v>
      </x:c>
      <x:c r="K202" s="38" t="str">
        <x:v>trainer_adira, trainer_argenta, trainer_nufu, trainer_old-zane, trainer_orlin, trainer_regenald, trainer_vermir</x:v>
      </x:c>
      <x:c r="L202" s="38" t="n">
        <x:v>7</x:v>
      </x:c>
      <x:c r="M202" s="38" t="str">
        <x:v>elem_水, elem_雷, elem_地, elem_龙, elem_无, role_召唤, tier_pT2</x:v>
      </x:c>
      <x:c r="N202" s="38" t="str">
        <x:v>Restorative</x:v>
      </x:c>
      <x:c r="O202" s="38" t="str">
        <x:v>pal_201</x:v>
      </x:c>
      <x:c r="P202" s="38" t="str">
        <x:v>潮鸾卫</x:v>
      </x:c>
      <x:c r="Q202" s="38" t="str">
        <x:v>https://bazaar-builds.net/db/skills/improvised-heal.html</x:v>
      </x:c>
      <x:c r="R202" s="38" t="str">
        <x:v>when you crit, your heal items gain +10 / 20 / 30 heal for the fight.</x:v>
      </x:c>
      <x:c r="S202" s="38" t="str">
        <x:v>一对一确认来源对象。</x:v>
      </x:c>
    </x:row>
    <x:row r="203">
      <x:c r="A203" s="38" t="str">
        <x:v>bz_van_202</x:v>
      </x:c>
      <x:c r="B203" s="38" t="n">
        <x:v>202</x:v>
      </x:c>
      <x:c r="C203" s="38" t="str">
        <x:v>skill</x:v>
      </x:c>
      <x:c r="D203" s="38" t="str">
        <x:v>confirmed</x:v>
      </x:c>
      <x:c r="E203" s="38" t="str">
        <x:v>improvised-poison</x:v>
      </x:c>
      <x:c r="F203" s="38" t="str">
        <x:v>Improvised Poison</x:v>
      </x:c>
      <x:c r="G203" s="38" t="str">
        <x:v>gold</x:v>
      </x:c>
      <x:c r="H203" s="38" t="str">
        <x:v>medium</x:v>
      </x:c>
      <x:c r="I203" s="38" t="str">
        <x:v>poisonreference, critreference</x:v>
      </x:c>
      <x:c r="J203" s="38" t="n">
        <x:v>5</x:v>
      </x:c>
      <x:c r="K203" s="38" t="str">
        <x:v>trainer_adira, trainer_nufu, trainer_orlin, trainer_professor-riggle, trainer_vermir</x:v>
      </x:c>
      <x:c r="L203" s="38" t="n">
        <x:v>5</x:v>
      </x:c>
      <x:c r="M203" s="38" t="str">
        <x:v>elem_水, elem_龙, elem_无, role_召唤, role_输出</x:v>
      </x:c>
      <x:c r="N203" s="38" t="str">
        <x:v>Toxic</x:v>
      </x:c>
      <x:c r="O203" s="38" t="str">
        <x:v>pal_202</x:v>
      </x:c>
      <x:c r="P203" s="38" t="str">
        <x:v>苔狐侯</x:v>
      </x:c>
      <x:c r="Q203" s="38" t="str">
        <x:v>https://bazaar-builds.net/db/skills/improvised-poison.html</x:v>
      </x:c>
      <x:c r="R203" s="38" t="str">
        <x:v>when you crit, your poison items gain 2 → 4 poison for the fight.</x:v>
      </x:c>
      <x:c r="S203" s="38" t="str">
        <x:v>一对一确认来源对象。</x:v>
      </x:c>
    </x:row>
    <x:row r="204">
      <x:c r="A204" s="38" t="str">
        <x:v>bz_van_203</x:v>
      </x:c>
      <x:c r="B204" s="38" t="n">
        <x:v>203</x:v>
      </x:c>
      <x:c r="C204" s="38" t="str">
        <x:v>skill</x:v>
      </x:c>
      <x:c r="D204" s="38" t="str">
        <x:v>confirmed</x:v>
      </x:c>
      <x:c r="E204" s="38" t="str">
        <x:v>improvised-protection</x:v>
      </x:c>
      <x:c r="F204" s="38" t="str">
        <x:v>Improvised Protection</x:v>
      </x:c>
      <x:c r="G204" s="38" t="str">
        <x:v>silver</x:v>
      </x:c>
      <x:c r="H204" s="38" t="str">
        <x:v>medium</x:v>
      </x:c>
      <x:c r="I204" s="38" t="str">
        <x:v>shieldreference, critreference</x:v>
      </x:c>
      <x:c r="J204" s="38" t="n">
        <x:v>6</x:v>
      </x:c>
      <x:c r="K204" s="38" t="str">
        <x:v>trainer_adira, trainer_argenta, trainer_fortis, trainer_nufu, trainer_orlin, trainer_vermir</x:v>
      </x:c>
      <x:c r="L204" s="38" t="n">
        <x:v>6</x:v>
      </x:c>
      <x:c r="M204" s="38" t="str">
        <x:v>elem_水, elem_雷, elem_龙, elem_无, role_召唤, role_召唤铺场</x:v>
      </x:c>
      <x:c r="N204" s="38" t="str">
        <x:v>Shielded</x:v>
      </x:c>
      <x:c r="O204" s="38" t="str">
        <x:v>pal_203</x:v>
      </x:c>
      <x:c r="P204" s="38" t="str">
        <x:v>霆熊卫</x:v>
      </x:c>
      <x:c r="Q204" s="38" t="str">
        <x:v>https://bazaar-builds.net/db/skills/improvised-protection.html</x:v>
      </x:c>
      <x:c r="R204" s="38" t="str">
        <x:v>when you crit, your shield items gain 5 / 10 / 15 shield for the fight.</x:v>
      </x:c>
      <x:c r="S204" s="38" t="str">
        <x:v>一对一确认来源对象。</x:v>
      </x:c>
    </x:row>
    <x:row r="205">
      <x:c r="A205" s="38" t="str">
        <x:v>bz_van_204</x:v>
      </x:c>
      <x:c r="B205" s="38" t="n">
        <x:v>204</x:v>
      </x:c>
      <x:c r="C205" s="38" t="str">
        <x:v>skill</x:v>
      </x:c>
      <x:c r="D205" s="38" t="str">
        <x:v>confirmed</x:v>
      </x:c>
      <x:c r="E205" s="38" t="str">
        <x:v>improvised-weaponry</x:v>
      </x:c>
      <x:c r="F205" s="38" t="str">
        <x:v>Improvised Weaponry</x:v>
      </x:c>
      <x:c r="G205" s="38" t="str">
        <x:v>silver</x:v>
      </x:c>
      <x:c r="H205" s="38" t="str">
        <x:v>medium</x:v>
      </x:c>
      <x:c r="I205" s="38" t="str">
        <x:v>weapon, damagereference, critreference</x:v>
      </x:c>
      <x:c r="J205" s="38" t="n">
        <x:v>6</x:v>
      </x:c>
      <x:c r="K205" s="38" t="str">
        <x:v>trainer_adira, trainer_argenta, trainer_nufu, trainer_orlin, trainer_ryukon, trainer_vermir</x:v>
      </x:c>
      <x:c r="L205" s="38" t="n">
        <x:v>6</x:v>
      </x:c>
      <x:c r="M205" s="38" t="str">
        <x:v>elem_水, elem_雷, elem_龙, elem_无, role_召唤, role_坦克</x:v>
      </x:c>
      <x:c r="N205" s="38" t="str">
        <x:v>Deadly</x:v>
      </x:c>
      <x:c r="O205" s="38" t="str">
        <x:v>pal_204</x:v>
      </x:c>
      <x:c r="P205" s="38" t="str">
        <x:v>闪鲨将</x:v>
      </x:c>
      <x:c r="Q205" s="38" t="str">
        <x:v>https://bazaar-builds.net/db/skills/improvised-weaponry.html</x:v>
      </x:c>
      <x:c r="R205" s="38" t="str">
        <x:v>when you crit, your weapons gain 5 / 10 / 15 damage for the fight.</x:v>
      </x:c>
      <x:c r="S205" s="38" t="str">
        <x:v>一对一确认来源对象。</x:v>
      </x:c>
    </x:row>
    <x:row r="206">
      <x:c r="A206" s="38" t="str">
        <x:v>bz_van_205</x:v>
      </x:c>
      <x:c r="B206" s="38" t="n">
        <x:v>205</x:v>
      </x:c>
      <x:c r="C206" s="38" t="str">
        <x:v>skill</x:v>
      </x:c>
      <x:c r="D206" s="38" t="str">
        <x:v>confirmed</x:v>
      </x:c>
      <x:c r="E206" s="38" t="str">
        <x:v>inexorable</x:v>
      </x:c>
      <x:c r="F206" s="38" t="str">
        <x:v>Inexorable</x:v>
      </x:c>
      <x:c r="G206" s="38" t="str">
        <x:v>silver</x:v>
      </x:c>
      <x:c r="H206" s="38" t="str">
        <x:v>medium</x:v>
      </x:c>
      <x:c r="I206" s="38" t="str">
        <x:v>crit</x:v>
      </x:c>
      <x:c r="J206" s="38" t="n">
        <x:v>6</x:v>
      </x:c>
      <x:c r="K206" s="38" t="str">
        <x:v>trainer_adira, trainer_argenta, trainer_nufu, trainer_old-zane, trainer_orlin, trainer_vermir</x:v>
      </x:c>
      <x:c r="L206" s="38" t="n">
        <x:v>6</x:v>
      </x:c>
      <x:c r="M206" s="38" t="str">
        <x:v>elem_水, elem_雷, elem_地, elem_龙, elem_无, role_召唤</x:v>
      </x:c>
      <x:c r="N206" s="38" t="str">
        <x:v>Deadly</x:v>
      </x:c>
      <x:c r="O206" s="38" t="str">
        <x:v>pal_205</x:v>
      </x:c>
      <x:c r="P206" s="38" t="str">
        <x:v>雷隼卫</x:v>
      </x:c>
      <x:c r="Q206" s="38" t="str">
        <x:v>https://bazaar-builds.net/db/skills/inexorable.html</x:v>
      </x:c>
      <x:c r="R206" s="38" t="str">
        <x:v>your items have +2% crit chance. when you start a fight, this gains +2 / 3 / 4% crit chance bonus.</x:v>
      </x:c>
      <x:c r="S206" s="38" t="str">
        <x:v>一对一确认来源对象。</x:v>
      </x:c>
    </x:row>
    <x:row r="207">
      <x:c r="A207" s="38" t="str">
        <x:v>bz_van_206</x:v>
      </x:c>
      <x:c r="B207" s="38" t="n">
        <x:v>206</x:v>
      </x:c>
      <x:c r="C207" s="38" t="str">
        <x:v>skill</x:v>
      </x:c>
      <x:c r="D207" s="38" t="str">
        <x:v>confirmed</x:v>
      </x:c>
      <x:c r="E207" s="38" t="str">
        <x:v>initial-chill</x:v>
      </x:c>
      <x:c r="F207" s="38" t="str">
        <x:v>Initial Chill</x:v>
      </x:c>
      <x:c r="G207" s="38" t="str">
        <x:v>silver</x:v>
      </x:c>
      <x:c r="H207" s="38" t="str">
        <x:v>medium</x:v>
      </x:c>
      <x:c r="I207" s="38" t="str">
        <x:v>freeze</x:v>
      </x:c>
      <x:c r="J207" s="38" t="n">
        <x:v>5</x:v>
      </x:c>
      <x:c r="K207" s="38" t="str">
        <x:v>trainer_adira, trainer_argenta, trainer_bjorn, trainer_nufu, trainer_orlin</x:v>
      </x:c>
      <x:c r="L207" s="38" t="n">
        <x:v>5</x:v>
      </x:c>
      <x:c r="M207" s="38" t="str">
        <x:v>elem_水, elem_雷, elem_龙, elem_无, role_控制</x:v>
      </x:c>
      <x:c r="N207" s="38" t="str">
        <x:v>Icy</x:v>
      </x:c>
      <x:c r="O207" s="38" t="str">
        <x:v>pal_206</x:v>
      </x:c>
      <x:c r="P207" s="38" t="str">
        <x:v>霜狐卫</x:v>
      </x:c>
      <x:c r="Q207" s="38" t="str">
        <x:v>https://bazaar-builds.net/db/skills/initial-chill.html</x:v>
      </x:c>
      <x:c r="R207" s="38" t="str">
        <x:v>the first time you use a large item each fight, freeze an item for 3 / 4 / 5 seconds.</x:v>
      </x:c>
      <x:c r="S207" s="38" t="str">
        <x:v>一对一确认来源对象。</x:v>
      </x:c>
    </x:row>
    <x:row r="208">
      <x:c r="A208" s="38" t="str">
        <x:v>bz_van_207</x:v>
      </x:c>
      <x:c r="B208" s="38" t="n">
        <x:v>207</x:v>
      </x:c>
      <x:c r="C208" s="38" t="str">
        <x:v>skill</x:v>
      </x:c>
      <x:c r="D208" s="38" t="str">
        <x:v>confirmed</x:v>
      </x:c>
      <x:c r="E208" s="38" t="str">
        <x:v>initial-dose</x:v>
      </x:c>
      <x:c r="F208" s="38" t="str">
        <x:v>Initial Dose</x:v>
      </x:c>
      <x:c r="G208" s="38" t="str">
        <x:v>bronze</x:v>
      </x:c>
      <x:c r="H208" s="38" t="str">
        <x:v>medium</x:v>
      </x:c>
      <x:c r="I208" s="38" t="str">
        <x:v>poisonreference</x:v>
      </x:c>
      <x:c r="J208" s="38" t="n">
        <x:v>5</x:v>
      </x:c>
      <x:c r="K208" s="38" t="str">
        <x:v>trainer_adira, trainer_argenta, trainer_nufu, trainer_orlin, trainer_professor-riggle</x:v>
      </x:c>
      <x:c r="L208" s="38" t="n">
        <x:v>5</x:v>
      </x:c>
      <x:c r="M208" s="38" t="str">
        <x:v>elem_水, elem_雷, elem_龙, elem_无, role_输出</x:v>
      </x:c>
      <x:c r="N208" s="38" t="str">
        <x:v>Toxic</x:v>
      </x:c>
      <x:c r="O208" s="38" t="str">
        <x:v>pal_207</x:v>
      </x:c>
      <x:c r="P208" s="38" t="str">
        <x:v>森蛇童</x:v>
      </x:c>
      <x:c r="Q208" s="38" t="str">
        <x:v>https://bazaar-builds.net/db/skills/initial-dose.html</x:v>
      </x:c>
      <x:c r="R208" s="38" t="str">
        <x:v>your leftmost poison item has +2 / 4 / 6 / 8 poison.</x:v>
      </x:c>
      <x:c r="S208" s="38" t="str">
        <x:v>一对一确认来源对象。</x:v>
      </x:c>
    </x:row>
    <x:row r="209">
      <x:c r="A209" s="38" t="str">
        <x:v>bz_van_208</x:v>
      </x:c>
      <x:c r="B209" s="38" t="n">
        <x:v>208</x:v>
      </x:c>
      <x:c r="C209" s="38" t="str">
        <x:v>skill</x:v>
      </x:c>
      <x:c r="D209" s="38" t="str">
        <x:v>confirmed</x:v>
      </x:c>
      <x:c r="E209" s="38" t="str">
        <x:v>invigorating-cold</x:v>
      </x:c>
      <x:c r="F209" s="38" t="str">
        <x:v>Invigorating Cold</x:v>
      </x:c>
      <x:c r="G209" s="38" t="str">
        <x:v>silver</x:v>
      </x:c>
      <x:c r="H209" s="38" t="str">
        <x:v>medium</x:v>
      </x:c>
      <x:c r="I209" s="38" t="str">
        <x:v>haste, freezereference</x:v>
      </x:c>
      <x:c r="J209" s="38" t="n">
        <x:v>6</x:v>
      </x:c>
      <x:c r="K209" s="38" t="str">
        <x:v>trainer_adira, trainer_argenta, trainer_bjorn, trainer_nufu, trainer_orlin, trainer_zara</x:v>
      </x:c>
      <x:c r="L209" s="38" t="n">
        <x:v>6</x:v>
      </x:c>
      <x:c r="M209" s="38" t="str">
        <x:v>elem_水, elem_雷, elem_龙, elem_无, role_控制, special_merchant</x:v>
      </x:c>
      <x:c r="N209" s="38" t="str">
        <x:v>Icy</x:v>
      </x:c>
      <x:c r="O209" s="38" t="str">
        <x:v>pal_208</x:v>
      </x:c>
      <x:c r="P209" s="38" t="str">
        <x:v>冰蛙将</x:v>
      </x:c>
      <x:c r="Q209" s="38" t="str">
        <x:v>https://bazaar-builds.net/db/skills/invigorating-cold.html</x:v>
      </x:c>
      <x:c r="R209" s="38" t="str">
        <x:v>the first time you freeze each fight, haste 1 / 2 / 3 item(s) for 2 seconds.</x:v>
      </x:c>
      <x:c r="S209" s="38" t="str">
        <x:v>一对一确认来源对象。</x:v>
      </x:c>
    </x:row>
    <x:row r="210">
      <x:c r="A210" s="38" t="str">
        <x:v>bz_van_209</x:v>
      </x:c>
      <x:c r="B210" s="38" t="n">
        <x:v>209</x:v>
      </x:c>
      <x:c r="C210" s="38" t="str">
        <x:v>skill</x:v>
      </x:c>
      <x:c r="D210" s="38" t="str">
        <x:v>confirmed</x:v>
      </x:c>
      <x:c r="E210" s="38" t="str">
        <x:v>iron-sharpens-iron</x:v>
      </x:c>
      <x:c r="F210" s="38" t="str">
        <x:v>Iron Sharpens Iron</x:v>
      </x:c>
      <x:c r="G210" s="38" t="str">
        <x:v>silver</x:v>
      </x:c>
      <x:c r="H210" s="38" t="str">
        <x:v>medium</x:v>
      </x:c>
      <x:c r="I210" s="38" t="str">
        <x:v>weapon, damagereference</x:v>
      </x:c>
      <x:c r="J210" s="38" t="n">
        <x:v>5</x:v>
      </x:c>
      <x:c r="K210" s="38" t="str">
        <x:v>trainer_adira, trainer_argenta, trainer_nufu, trainer_orlin, trainer_ryukon</x:v>
      </x:c>
      <x:c r="L210" s="38" t="n">
        <x:v>5</x:v>
      </x:c>
      <x:c r="M210" s="38" t="str">
        <x:v>elem_水, elem_雷, elem_龙, elem_无, role_坦克</x:v>
      </x:c>
      <x:c r="N210" s="38" t="str">
        <x:v>Golden</x:v>
      </x:c>
      <x:c r="O210" s="38" t="str">
        <x:v>pal_209</x:v>
      </x:c>
      <x:c r="P210" s="38" t="str">
        <x:v>夜貉精</x:v>
      </x:c>
      <x:c r="Q210" s="38" t="str">
        <x:v>https://bazaar-builds.net/db/skills/iron-sharpens-iron.html</x:v>
      </x:c>
      <x:c r="R210" s="38" t="str">
        <x:v>your leftmost weapon has +8 damage. when you buy a weapon, this gains +1 / 2 / 3 damage bonus.</x:v>
      </x:c>
      <x:c r="S210" s="38" t="str">
        <x:v>一对一确认来源对象。</x:v>
      </x:c>
    </x:row>
    <x:row r="211">
      <x:c r="A211" s="38" t="str">
        <x:v>bz_van_210</x:v>
      </x:c>
      <x:c r="B211" s="38" t="n">
        <x:v>210</x:v>
      </x:c>
      <x:c r="C211" s="38" t="str">
        <x:v>skill</x:v>
      </x:c>
      <x:c r="D211" s="38" t="str">
        <x:v>confirmed</x:v>
      </x:c>
      <x:c r="E211" s="38" t="str">
        <x:v>keen-eye</x:v>
      </x:c>
      <x:c r="F211" s="38" t="str">
        <x:v>Keen Eye</x:v>
      </x:c>
      <x:c r="G211" s="38" t="str">
        <x:v>bronze</x:v>
      </x:c>
      <x:c r="H211" s="38" t="str">
        <x:v>medium</x:v>
      </x:c>
      <x:c r="I211" s="38" t="str">
        <x:v>crit</x:v>
      </x:c>
      <x:c r="J211" s="38" t="n">
        <x:v>5</x:v>
      </x:c>
      <x:c r="K211" s="38" t="str">
        <x:v>trainer_adira, trainer_argenta, trainer_nufu, trainer_orlin, trainer_vermir</x:v>
      </x:c>
      <x:c r="L211" s="38" t="n">
        <x:v>5</x:v>
      </x:c>
      <x:c r="M211" s="38" t="str">
        <x:v>elem_水, elem_雷, elem_龙, elem_无, role_召唤</x:v>
      </x:c>
      <x:c r="N211" s="38" t="str">
        <x:v>Deadly</x:v>
      </x:c>
      <x:c r="O211" s="38" t="str">
        <x:v>pal_210</x:v>
      </x:c>
      <x:c r="P211" s="38" t="str">
        <x:v>震豹童</x:v>
      </x:c>
      <x:c r="Q211" s="38" t="str">
        <x:v>https://bazaar-builds.net/db/skills/keen-eye.html</x:v>
      </x:c>
      <x:c r="R211" s="38" t="str">
        <x:v>your items have +4 / 8 / 12 / 16% crit chance.</x:v>
      </x:c>
      <x:c r="S211" s="38" t="str">
        <x:v>一对一确认来源对象。</x:v>
      </x:c>
    </x:row>
    <x:row r="212">
      <x:c r="A212" s="38" t="str">
        <x:v>bz_van_211</x:v>
      </x:c>
      <x:c r="B212" s="38" t="n">
        <x:v>211</x:v>
      </x:c>
      <x:c r="C212" s="38" t="str">
        <x:v>skill</x:v>
      </x:c>
      <x:c r="D212" s="38" t="str">
        <x:v>confirmed</x:v>
      </x:c>
      <x:c r="E212" s="38" t="str">
        <x:v>knife-tricks</x:v>
      </x:c>
      <x:c r="F212" s="38" t="str">
        <x:v>Knife Tricks</x:v>
      </x:c>
      <x:c r="G212" s="38" t="str">
        <x:v>diamond</x:v>
      </x:c>
      <x:c r="H212" s="38" t="str">
        <x:v>medium</x:v>
      </x:c>
      <x:c r="I212" s="38" t="str">
        <x:v>weapon, cooldown, damagereference</x:v>
      </x:c>
      <x:c r="J212" s="38" t="n">
        <x:v>3</x:v>
      </x:c>
      <x:c r="K212" s="38" t="str">
        <x:v>trainer_adira, trainer_nufu, trainer_ryukon</x:v>
      </x:c>
      <x:c r="L212" s="38" t="n">
        <x:v>3</x:v>
      </x:c>
      <x:c r="M212" s="38" t="str">
        <x:v>elem_水, elem_龙, role_坦克</x:v>
      </x:c>
      <x:c r="N212" s="38" t="str">
        <x:v>Turbo</x:v>
      </x:c>
      <x:c r="O212" s="38" t="str">
        <x:v>pal_211</x:v>
      </x:c>
      <x:c r="P212" s="38" t="str">
        <x:v>夜雀皇</x:v>
      </x:c>
      <x:c r="Q212" s="38" t="str">
        <x:v>https://bazaar-builds.net/db/skills/knife-tricks.html</x:v>
      </x:c>
      <x:c r="R212" s="38" t="str">
        <x:v>when you use a weapon, reduce its cooldown by 4% for the fight.</x:v>
      </x:c>
      <x:c r="S212" s="38" t="str">
        <x:v>一对一确认来源对象。</x:v>
      </x:c>
    </x:row>
    <x:row r="213">
      <x:c r="A213" s="38" t="str">
        <x:v>bz_van_212</x:v>
      </x:c>
      <x:c r="B213" s="38" t="n">
        <x:v>212</x:v>
      </x:c>
      <x:c r="C213" s="38" t="str">
        <x:v>skill</x:v>
      </x:c>
      <x:c r="D213" s="38" t="str">
        <x:v>confirmed</x:v>
      </x:c>
      <x:c r="E213" s="38" t="str">
        <x:v>large-appetites</x:v>
      </x:c>
      <x:c r="F213" s="38" t="str">
        <x:v>Large Appetites</x:v>
      </x:c>
      <x:c r="G213" s="38" t="str">
        <x:v>silver</x:v>
      </x:c>
      <x:c r="H213" s="38" t="str">
        <x:v>medium</x:v>
      </x:c>
      <x:c r="I213" s="38" t="str">
        <x:v>health</x:v>
      </x:c>
      <x:c r="J213" s="38" t="n">
        <x:v>5</x:v>
      </x:c>
      <x:c r="K213" s="38" t="str">
        <x:v>trainer_adira, trainer_argenta, trainer_nufu, trainer_orlin, trainer_regenald</x:v>
      </x:c>
      <x:c r="L213" s="38" t="n">
        <x:v>5</x:v>
      </x:c>
      <x:c r="M213" s="38" t="str">
        <x:v>elem_水, elem_雷, elem_龙, elem_无, tier_pT2</x:v>
      </x:c>
      <x:c r="N213" s="38" t="str">
        <x:v>Restorative</x:v>
      </x:c>
      <x:c r="O213" s="38" t="str">
        <x:v>pal_212</x:v>
      </x:c>
      <x:c r="P213" s="38" t="str">
        <x:v>沧鹤妖</x:v>
      </x:c>
      <x:c r="Q213" s="38" t="str">
        <x:v>https://bazaar-builds.net/db/skills/large-appetites.html</x:v>
      </x:c>
      <x:c r="R213" s="38" t="str">
        <x:v>if you have 5 or fewer items, you have +500 / 1000 / 2000 max health.</x:v>
      </x:c>
      <x:c r="S213" s="38" t="str">
        <x:v>一对一确认来源对象。</x:v>
      </x:c>
    </x:row>
    <x:row r="214">
      <x:c r="A214" s="38" t="str">
        <x:v>bz_van_213</x:v>
      </x:c>
      <x:c r="B214" s="38" t="n">
        <x:v>213</x:v>
      </x:c>
      <x:c r="C214" s="38" t="str">
        <x:v>skill</x:v>
      </x:c>
      <x:c r="D214" s="38" t="str">
        <x:v>confirmed</x:v>
      </x:c>
      <x:c r="E214" s="38" t="str">
        <x:v>left-eye</x:v>
      </x:c>
      <x:c r="F214" s="38" t="str">
        <x:v>Left Eye</x:v>
      </x:c>
      <x:c r="G214" s="38" t="str">
        <x:v>bronze</x:v>
      </x:c>
      <x:c r="H214" s="38" t="str">
        <x:v>medium</x:v>
      </x:c>
      <x:c r="I214" s="38" t="str">
        <x:v>crit</x:v>
      </x:c>
      <x:c r="J214" s="38" t="n">
        <x:v>5</x:v>
      </x:c>
      <x:c r="K214" s="38" t="str">
        <x:v>trainer_adira, trainer_argenta, trainer_nufu, trainer_orlin, trainer_vermir</x:v>
      </x:c>
      <x:c r="L214" s="38" t="n">
        <x:v>5</x:v>
      </x:c>
      <x:c r="M214" s="38" t="str">
        <x:v>elem_水, elem_雷, elem_龙, elem_无, role_召唤</x:v>
      </x:c>
      <x:c r="N214" s="38" t="str">
        <x:v>Deadly</x:v>
      </x:c>
      <x:c r="O214" s="38" t="str">
        <x:v>pal_213</x:v>
      </x:c>
      <x:c r="P214" s="38" t="str">
        <x:v>震鹰童</x:v>
      </x:c>
      <x:c r="Q214" s="38" t="str">
        <x:v>https://bazaar-builds.net/db/skills/left-eye.html</x:v>
      </x:c>
      <x:c r="R214" s="38" t="str">
        <x:v>your leftmost item has +8 / 16 / 24 / 32% crit chance.</x:v>
      </x:c>
      <x:c r="S214" s="38" t="str">
        <x:v>一对一确认来源对象。</x:v>
      </x:c>
    </x:row>
    <x:row r="215">
      <x:c r="A215" s="38" t="str">
        <x:v>bz_van_214</x:v>
      </x:c>
      <x:c r="B215" s="38" t="n">
        <x:v>214</x:v>
      </x:c>
      <x:c r="C215" s="38" t="str">
        <x:v>skill</x:v>
      </x:c>
      <x:c r="D215" s="38" t="str">
        <x:v>confirmed</x:v>
      </x:c>
      <x:c r="E215" s="38" t="str">
        <x:v>left-handed</x:v>
      </x:c>
      <x:c r="F215" s="38" t="str">
        <x:v>Left-Handed</x:v>
      </x:c>
      <x:c r="G215" s="38" t="str">
        <x:v>bronze</x:v>
      </x:c>
      <x:c r="H215" s="38" t="str">
        <x:v>medium</x:v>
      </x:c>
      <x:c r="I215" s="38" t="str">
        <x:v>weapon, damagereference</x:v>
      </x:c>
      <x:c r="J215" s="38" t="n">
        <x:v>5</x:v>
      </x:c>
      <x:c r="K215" s="38" t="str">
        <x:v>trainer_adira, trainer_argenta, trainer_nufu, trainer_orlin, trainer_ryukon</x:v>
      </x:c>
      <x:c r="L215" s="38" t="n">
        <x:v>5</x:v>
      </x:c>
      <x:c r="M215" s="38" t="str">
        <x:v>elem_水, elem_雷, elem_龙, elem_无, role_坦克</x:v>
      </x:c>
      <x:c r="N215" s="38" t="str">
        <x:v>Deadly</x:v>
      </x:c>
      <x:c r="O215" s="38" t="str">
        <x:v>pal_214</x:v>
      </x:c>
      <x:c r="P215" s="38" t="str">
        <x:v>角鲨兽</x:v>
      </x:c>
      <x:c r="Q215" s="38" t="str">
        <x:v>https://bazaar-builds.net/db/skills/left-handed.html</x:v>
      </x:c>
      <x:c r="R215" s="38" t="str">
        <x:v>your leftmost weapon deals +10 / 20 / 30 / 40 damage.</x:v>
      </x:c>
      <x:c r="S215" s="38" t="str">
        <x:v>一对一确认来源对象。</x:v>
      </x:c>
    </x:row>
    <x:row r="216">
      <x:c r="A216" s="38" t="str">
        <x:v>bz_van_215</x:v>
      </x:c>
      <x:c r="B216" s="38" t="n">
        <x:v>215</x:v>
      </x:c>
      <x:c r="C216" s="38" t="str">
        <x:v>skill</x:v>
      </x:c>
      <x:c r="D216" s="38" t="str">
        <x:v>confirmed</x:v>
      </x:c>
      <x:c r="E216" s="38" t="str">
        <x:v>lefty-loosey</x:v>
      </x:c>
      <x:c r="F216" s="38" t="str">
        <x:v>Lefty Loosey</x:v>
      </x:c>
      <x:c r="G216" s="38" t="str">
        <x:v>gold</x:v>
      </x:c>
      <x:c r="H216" s="38" t="str">
        <x:v>medium</x:v>
      </x:c>
      <x:c r="I216" s="38" t="str">
        <x:v>haste</x:v>
      </x:c>
      <x:c r="J216" s="38" t="n">
        <x:v>4</x:v>
      </x:c>
      <x:c r="K216" s="38" t="str">
        <x:v>trainer_adira, trainer_nufu, trainer_orlin, trainer_zara</x:v>
      </x:c>
      <x:c r="L216" s="38" t="n">
        <x:v>4</x:v>
      </x:c>
      <x:c r="M216" s="38" t="str">
        <x:v>elem_水, elem_龙, elem_无, special_merchant</x:v>
      </x:c>
      <x:c r="N216" s="38" t="str">
        <x:v>Turbo</x:v>
      </x:c>
      <x:c r="O216" s="38" t="str">
        <x:v>pal_215</x:v>
      </x:c>
      <x:c r="P216" s="38" t="str">
        <x:v>角隼尊</x:v>
      </x:c>
      <x:c r="Q216" s="38" t="str">
        <x:v>https://bazaar-builds.net/db/skills/lefty-loosey.html</x:v>
      </x:c>
      <x:c r="R216" s="38" t="str">
        <x:v>the first 5 → 10 times you use your leftmost item each fight, haste an item for 1 second.</x:v>
      </x:c>
      <x:c r="S216" s="38" t="str">
        <x:v>一对一确认来源对象。</x:v>
      </x:c>
    </x:row>
    <x:row r="217">
      <x:c r="A217" s="38" t="str">
        <x:v>bz_van_216</x:v>
      </x:c>
      <x:c r="B217" s="38" t="n">
        <x:v>216</x:v>
      </x:c>
      <x:c r="C217" s="38" t="str">
        <x:v>skill</x:v>
      </x:c>
      <x:c r="D217" s="38" t="str">
        <x:v>confirmed</x:v>
      </x:c>
      <x:c r="E217" s="38" t="str">
        <x:v>lethargy</x:v>
      </x:c>
      <x:c r="F217" s="38" t="str">
        <x:v>Lethargy</x:v>
      </x:c>
      <x:c r="G217" s="38" t="str">
        <x:v>silver</x:v>
      </x:c>
      <x:c r="H217" s="38" t="str">
        <x:v>medium</x:v>
      </x:c>
      <x:c r="I217" s="38" t="str">
        <x:v>cooldown</x:v>
      </x:c>
      <x:c r="J217" s="38" t="n">
        <x:v>4</x:v>
      </x:c>
      <x:c r="K217" s="38" t="str">
        <x:v>trainer_adira, trainer_argenta, trainer_nufu, trainer_orlin</x:v>
      </x:c>
      <x:c r="L217" s="38" t="n">
        <x:v>4</x:v>
      </x:c>
      <x:c r="M217" s="38" t="str">
        <x:v>elem_水, elem_雷, elem_龙, elem_无</x:v>
      </x:c>
      <x:c r="N217" s="38" t="str">
        <x:v>Turbo</x:v>
      </x:c>
      <x:c r="O217" s="38" t="str">
        <x:v>pal_216</x:v>
      </x:c>
      <x:c r="P217" s="38" t="str">
        <x:v>霆鲭将</x:v>
      </x:c>
      <x:c r="Q217" s="38" t="str">
        <x:v>https://bazaar-builds.net/db/skills/lethargy.html</x:v>
      </x:c>
      <x:c r="R217" s="38" t="str">
        <x:v>all item cooldowns are increased by 1 / 2 / 3 seconds.</x:v>
      </x:c>
      <x:c r="S217" s="38" t="str">
        <x:v>一对一确认来源对象。</x:v>
      </x:c>
    </x:row>
    <x:row r="218">
      <x:c r="A218" s="38" t="str">
        <x:v>bz_van_217</x:v>
      </x:c>
      <x:c r="B218" s="38" t="n">
        <x:v>217</x:v>
      </x:c>
      <x:c r="C218" s="38" t="str">
        <x:v>skill</x:v>
      </x:c>
      <x:c r="D218" s="38" t="str">
        <x:v>confirmed</x:v>
      </x:c>
      <x:c r="E218" s="38" t="str">
        <x:v>lifting</x:v>
      </x:c>
      <x:c r="F218" s="38" t="str">
        <x:v>Lifting</x:v>
      </x:c>
      <x:c r="G218" s="38" t="str">
        <x:v>silver</x:v>
      </x:c>
      <x:c r="H218" s="38" t="str">
        <x:v>medium</x:v>
      </x:c>
      <x:c r="I218" s="38" t="str">
        <x:v>weapon, damagereference</x:v>
      </x:c>
      <x:c r="J218" s="38" t="n">
        <x:v>5</x:v>
      </x:c>
      <x:c r="K218" s="38" t="str">
        <x:v>trainer_adira, trainer_argenta, trainer_nufu, trainer_orlin, trainer_ryukon</x:v>
      </x:c>
      <x:c r="L218" s="38" t="n">
        <x:v>5</x:v>
      </x:c>
      <x:c r="M218" s="38" t="str">
        <x:v>elem_水, elem_雷, elem_龙, elem_无, role_坦克</x:v>
      </x:c>
      <x:c r="N218" s="38" t="str">
        <x:v>Golden</x:v>
      </x:c>
      <x:c r="O218" s="38" t="str">
        <x:v>pal_217</x:v>
      </x:c>
      <x:c r="P218" s="38" t="str">
        <x:v>震雀将</x:v>
      </x:c>
      <x:c r="Q218" s="38" t="str">
        <x:v>https://bazaar-builds.net/db/skills/lifting.html</x:v>
      </x:c>
      <x:c r="R218" s="38" t="str">
        <x:v>your weapons have +1 damage. when you buy a weapon, this gains +1 / 2 / 3 damage bonus.</x:v>
      </x:c>
      <x:c r="S218" s="38" t="str">
        <x:v>一对一确认来源对象。</x:v>
      </x:c>
    </x:row>
    <x:row r="219">
      <x:c r="A219" s="38" t="str">
        <x:v>bz_van_218</x:v>
      </x:c>
      <x:c r="B219" s="38" t="n">
        <x:v>218</x:v>
      </x:c>
      <x:c r="C219" s="38" t="str">
        <x:v>skill</x:v>
      </x:c>
      <x:c r="D219" s="38" t="str">
        <x:v>confirmed</x:v>
      </x:c>
      <x:c r="E219" s="38" t="str">
        <x:v>living-flame</x:v>
      </x:c>
      <x:c r="F219" s="38" t="str">
        <x:v>Living Flame</x:v>
      </x:c>
      <x:c r="G219" s="38" t="str">
        <x:v>diamond</x:v>
      </x:c>
      <x:c r="H219" s="38" t="str">
        <x:v>medium</x:v>
      </x:c>
      <x:c r="I219" s="38" t="str">
        <x:v>burnreference, cooldown</x:v>
      </x:c>
      <x:c r="J219" s="38" t="n">
        <x:v>3</x:v>
      </x:c>
      <x:c r="K219" s="38" t="str">
        <x:v>trainer_adira, trainer_malafang, trainer_nufu</x:v>
      </x:c>
      <x:c r="L219" s="38" t="n">
        <x:v>3</x:v>
      </x:c>
      <x:c r="M219" s="38" t="str">
        <x:v>elem_水, elem_龙, role_治疗</x:v>
      </x:c>
      <x:c r="N219" s="38" t="str">
        <x:v>Fiery</x:v>
      </x:c>
      <x:c r="O219" s="38" t="str">
        <x:v>pal_218</x:v>
      </x:c>
      <x:c r="P219" s="38" t="str">
        <x:v>赤鹤皇</x:v>
      </x:c>
      <x:c r="Q219" s="38" t="str">
        <x:v>https://bazaar-builds.net/db/skills/living-flame.html</x:v>
      </x:c>
      <x:c r="R219" s="38" t="str">
        <x:v>the first time you fall below half health each fight, your burn items' cooldowns are halved for the fight.</x:v>
      </x:c>
      <x:c r="S219" s="38" t="str">
        <x:v>一对一确认来源对象。</x:v>
      </x:c>
    </x:row>
    <x:row r="220">
      <x:c r="A220" s="38" t="str">
        <x:v>bz_van_219</x:v>
      </x:c>
      <x:c r="B220" s="38" t="n">
        <x:v>219</x:v>
      </x:c>
      <x:c r="C220" s="38" t="str">
        <x:v>skill</x:v>
      </x:c>
      <x:c r="D220" s="38" t="str">
        <x:v>confirmed</x:v>
      </x:c>
      <x:c r="E220" s="38" t="str">
        <x:v>loaded-fury</x:v>
      </x:c>
      <x:c r="F220" s="38" t="str">
        <x:v>Loaded Fury</x:v>
      </x:c>
      <x:c r="G220" s="38" t="str">
        <x:v>silver</x:v>
      </x:c>
      <x:c r="H220" s="38" t="str">
        <x:v>medium</x:v>
      </x:c>
      <x:c r="I220" s="38" t="str">
        <x:v>ammo, damagereference</x:v>
      </x:c>
      <x:c r="J220" s="38" t="n">
        <x:v>6</x:v>
      </x:c>
      <x:c r="K220" s="38" t="str">
        <x:v>trainer_adira, trainer_argenta, trainer_c4, trainer_nufu, trainer_old-zane, trainer_orlin</x:v>
      </x:c>
      <x:c r="L220" s="38" t="n">
        <x:v>6</x:v>
      </x:c>
      <x:c r="M220" s="38" t="str">
        <x:v>elem_水, elem_雷, elem_地, elem_龙, elem_无, tier_pT1</x:v>
      </x:c>
      <x:c r="N220" s="38" t="str">
        <x:v>Deadly</x:v>
      </x:c>
      <x:c r="O220" s="38" t="str">
        <x:v>pal_219</x:v>
      </x:c>
      <x:c r="P220" s="38" t="str">
        <x:v>霆狼妖</x:v>
      </x:c>
      <x:c r="Q220" s="38" t="str">
        <x:v>https://bazaar-builds.net/db/skills/loaded-fury.html</x:v>
      </x:c>
      <x:c r="R220" s="38" t="str">
        <x:v>your weapons have +1 / 2 / 3 damage for each ammo on your items.</x:v>
      </x:c>
      <x:c r="S220" s="38" t="str">
        <x:v>一对一确认来源对象。</x:v>
      </x:c>
    </x:row>
    <x:row r="221">
      <x:c r="A221" s="38" t="str">
        <x:v>bz_van_220</x:v>
      </x:c>
      <x:c r="B221" s="38" t="n">
        <x:v>220</x:v>
      </x:c>
      <x:c r="C221" s="38" t="str">
        <x:v>skill</x:v>
      </x:c>
      <x:c r="D221" s="38" t="str">
        <x:v>confirmed</x:v>
      </x:c>
      <x:c r="E221" s="38" t="str">
        <x:v>master-diver</x:v>
      </x:c>
      <x:c r="F221" s="38" t="str">
        <x:v>Master Diver</x:v>
      </x:c>
      <x:c r="G221" s="38" t="str">
        <x:v>gold</x:v>
      </x:c>
      <x:c r="H221" s="38" t="str">
        <x:v>medium</x:v>
      </x:c>
      <x:c r="I221" s="38" t="str">
        <x:v>aquatic</x:v>
      </x:c>
      <x:c r="J221" s="38" t="n">
        <x:v>4</x:v>
      </x:c>
      <x:c r="K221" s="38" t="str">
        <x:v>trainer_adira, trainer_nufu, trainer_old-zane, trainer_orlin</x:v>
      </x:c>
      <x:c r="L221" s="38" t="n">
        <x:v>4</x:v>
      </x:c>
      <x:c r="M221" s="38" t="str">
        <x:v>elem_水, elem_地, elem_龙, elem_无</x:v>
      </x:c>
      <x:c r="N221" s="38" t="str">
        <x:v>Turbo</x:v>
      </x:c>
      <x:c r="O221" s="38" t="str">
        <x:v>pal_220</x:v>
      </x:c>
      <x:c r="P221" s="38" t="str">
        <x:v>碧雀君</x:v>
      </x:c>
      <x:c r="Q221" s="38" t="str">
        <x:v>https://bazaar-builds.net/db/skills/master-diver.html</x:v>
      </x:c>
      <x:c r="R221" s="38" t="str">
        <x:v>your leftmost item is aquatic and has its cooldown reduced by 3 → 6%.</x:v>
      </x:c>
      <x:c r="S221" s="38" t="str">
        <x:v>一对一确认来源对象。</x:v>
      </x:c>
    </x:row>
    <x:row r="222">
      <x:c r="A222" s="38" t="str">
        <x:v>bz_van_221</x:v>
      </x:c>
      <x:c r="B222" s="38" t="n">
        <x:v>221</x:v>
      </x:c>
      <x:c r="C222" s="38" t="str">
        <x:v>skill</x:v>
      </x:c>
      <x:c r="D222" s="38" t="str">
        <x:v>confirmed</x:v>
      </x:c>
      <x:c r="E222" s="38" t="str">
        <x:v>master-sniper</x:v>
      </x:c>
      <x:c r="F222" s="38" t="str">
        <x:v>Master Sniper</x:v>
      </x:c>
      <x:c r="G222" s="38" t="str">
        <x:v>diamond</x:v>
      </x:c>
      <x:c r="H222" s="38" t="str">
        <x:v>medium</x:v>
      </x:c>
      <x:c r="I222" s="38" t="str">
        <x:v>weapon, ammo, damagereference</x:v>
      </x:c>
      <x:c r="J222" s="38" t="n">
        <x:v>5</x:v>
      </x:c>
      <x:c r="K222" s="38" t="str">
        <x:v>trainer_adira, trainer_c4, trainer_nufu, trainer_old-zane, trainer_ryukon</x:v>
      </x:c>
      <x:c r="L222" s="38" t="n">
        <x:v>5</x:v>
      </x:c>
      <x:c r="M222" s="38" t="str">
        <x:v>elem_水, elem_地, elem_龙, role_坦克, tier_pT1</x:v>
      </x:c>
      <x:c r="N222" s="38" t="str">
        <x:v>Deadly</x:v>
      </x:c>
      <x:c r="O222" s="38" t="str">
        <x:v>pal_221</x:v>
      </x:c>
      <x:c r="P222" s="38" t="str">
        <x:v>霆虎神</x:v>
      </x:c>
      <x:c r="Q222" s="38" t="str">
        <x:v>https://bazaar-builds.net/db/skills/master-sniper.html</x:v>
      </x:c>
      <x:c r="R222" s="38" t="str">
        <x:v>your leftmost ammo weapon has double damage and +1 max ammo.</x:v>
      </x:c>
      <x:c r="S222" s="38" t="str">
        <x:v>一对一确认来源对象。</x:v>
      </x:c>
    </x:row>
    <x:row r="223">
      <x:c r="A223" s="38" t="str">
        <x:v>bz_van_222</x:v>
      </x:c>
      <x:c r="B223" s="38" t="n">
        <x:v>222</x:v>
      </x:c>
      <x:c r="C223" s="38" t="str">
        <x:v>skill</x:v>
      </x:c>
      <x:c r="D223" s="38" t="str">
        <x:v>confirmed</x:v>
      </x:c>
      <x:c r="E223" s="38" t="str">
        <x:v>mixed-message</x:v>
      </x:c>
      <x:c r="F223" s="38" t="str">
        <x:v>Mixed Message</x:v>
      </x:c>
      <x:c r="G223" s="38" t="str">
        <x:v>gold</x:v>
      </x:c>
      <x:c r="H223" s="38" t="str">
        <x:v>medium</x:v>
      </x:c>
      <x:c r="I223" s="38" t="str">
        <x:v>weapon, charge, damagereference</x:v>
      </x:c>
      <x:c r="J223" s="38" t="n">
        <x:v>5</x:v>
      </x:c>
      <x:c r="K223" s="38" t="str">
        <x:v>trainer_adira, trainer_nufu, trainer_orlin, trainer_ryukon, trainer_zara</x:v>
      </x:c>
      <x:c r="L223" s="38" t="n">
        <x:v>5</x:v>
      </x:c>
      <x:c r="M223" s="38" t="str">
        <x:v>elem_水, elem_龙, elem_无, role_坦克, special_merchant</x:v>
      </x:c>
      <x:c r="N223" s="38" t="str">
        <x:v>Turbo</x:v>
      </x:c>
      <x:c r="O223" s="38" t="str">
        <x:v>pal_222</x:v>
      </x:c>
      <x:c r="P223" s="38" t="str">
        <x:v>雷猿王</x:v>
      </x:c>
      <x:c r="Q223" s="38" t="str">
        <x:v>https://bazaar-builds.net/db/skills/mixed-message.html</x:v>
      </x:c>
      <x:c r="R223" s="38" t="str">
        <x:v>the first 3 → 6 times you use a non-weapon item each fight, charge a weapon 1 second.</x:v>
      </x:c>
      <x:c r="S223" s="38" t="str">
        <x:v>一对一确认来源对象。</x:v>
      </x:c>
    </x:row>
    <x:row r="224">
      <x:c r="A224" s="38" t="str">
        <x:v>bz_van_223</x:v>
      </x:c>
      <x:c r="B224" s="38" t="n">
        <x:v>223</x:v>
      </x:c>
      <x:c r="C224" s="38" t="str">
        <x:v>skill</x:v>
      </x:c>
      <x:c r="D224" s="38" t="str">
        <x:v>confirmed</x:v>
      </x:c>
      <x:c r="E224" s="38" t="str">
        <x:v>moth-to-a-flame</x:v>
      </x:c>
      <x:c r="F224" s="38" t="str">
        <x:v>Moth to a Flame</x:v>
      </x:c>
      <x:c r="G224" s="38" t="str">
        <x:v>diamond</x:v>
      </x:c>
      <x:c r="H224" s="38" t="str">
        <x:v>medium</x:v>
      </x:c>
      <x:c r="I224" s="38" t="str">
        <x:v>regen, burnreference</x:v>
      </x:c>
      <x:c r="J224" s="38" t="n">
        <x:v>4</x:v>
      </x:c>
      <x:c r="K224" s="38" t="str">
        <x:v>trainer_adira, trainer_malafang, trainer_nufu, trainer_regenald</x:v>
      </x:c>
      <x:c r="L224" s="38" t="n">
        <x:v>4</x:v>
      </x:c>
      <x:c r="M224" s="38" t="str">
        <x:v>elem_水, elem_龙, role_治疗, tier_pT2</x:v>
      </x:c>
      <x:c r="N224" s="38" t="str">
        <x:v>Fiery</x:v>
      </x:c>
      <x:c r="O224" s="38" t="str">
        <x:v>pal_223</x:v>
      </x:c>
      <x:c r="P224" s="38" t="str">
        <x:v>燎蚌皇</x:v>
      </x:c>
      <x:c r="Q224" s="38" t="str">
        <x:v>https://bazaar-builds.net/db/skills/moth-to-a-flame.html</x:v>
      </x:c>
      <x:c r="R224" s="38" t="str">
        <x:v>you have +regen equal to half the burn on an enemy.</x:v>
      </x:c>
      <x:c r="S224" s="38" t="str">
        <x:v>一对一确认来源对象。</x:v>
      </x:c>
    </x:row>
    <x:row r="225">
      <x:c r="A225" s="38" t="str">
        <x:v>bz_van_224</x:v>
      </x:c>
      <x:c r="B225" s="38" t="n">
        <x:v>224</x:v>
      </x:c>
      <x:c r="C225" s="38" t="str">
        <x:v>skill</x:v>
      </x:c>
      <x:c r="D225" s="38" t="str">
        <x:v>confirmed</x:v>
      </x:c>
      <x:c r="E225" s="38" t="str">
        <x:v>net-launcher</x:v>
      </x:c>
      <x:c r="F225" s="38" t="str">
        <x:v>Net Launcher</x:v>
      </x:c>
      <x:c r="G225" s="38" t="str">
        <x:v>silver</x:v>
      </x:c>
      <x:c r="H225" s="38" t="str">
        <x:v>medium</x:v>
      </x:c>
      <x:c r="I225" s="38" t="str">
        <x:v>slow</x:v>
      </x:c>
      <x:c r="J225" s="38" t="n">
        <x:v>5</x:v>
      </x:c>
      <x:c r="K225" s="38" t="str">
        <x:v>trainer_adira, trainer_argenta, trainer_nufu, trainer_orlin, trainer_slohmor-lumbra</x:v>
      </x:c>
      <x:c r="L225" s="38" t="n">
        <x:v>5</x:v>
      </x:c>
      <x:c r="M225" s="38" t="str">
        <x:v>elem_水, elem_雷, elem_龙, elem_无, role_经济</x:v>
      </x:c>
      <x:c r="N225" s="38" t="str">
        <x:v>Icy</x:v>
      </x:c>
      <x:c r="O225" s="38" t="str">
        <x:v>pal_224</x:v>
      </x:c>
      <x:c r="P225" s="38" t="str">
        <x:v>夜蝎卫</x:v>
      </x:c>
      <x:c r="Q225" s="38" t="str">
        <x:v>https://bazaar-builds.net/db/skills/net-launcher.html</x:v>
      </x:c>
      <x:c r="R225" s="38" t="str">
        <x:v>the first time you use a large item each fight, slow 2 / 3 / 4 item(s) for 3 seconds.</x:v>
      </x:c>
      <x:c r="S225" s="38" t="str">
        <x:v>一对一确认来源对象。</x:v>
      </x:c>
    </x:row>
    <x:row r="226">
      <x:c r="A226" s="38" t="str">
        <x:v>bz_van_225</x:v>
      </x:c>
      <x:c r="B226" s="38" t="n">
        <x:v>225</x:v>
      </x:c>
      <x:c r="C226" s="38" t="str">
        <x:v>skill</x:v>
      </x:c>
      <x:c r="D226" s="38" t="str">
        <x:v>confirmed</x:v>
      </x:c>
      <x:c r="E226" s="38" t="str">
        <x:v>noisy-cricket</x:v>
      </x:c>
      <x:c r="F226" s="38" t="str">
        <x:v>Noisy Cricket</x:v>
      </x:c>
      <x:c r="G226" s="38" t="str">
        <x:v>silver</x:v>
      </x:c>
      <x:c r="H226" s="38" t="str">
        <x:v>medium</x:v>
      </x:c>
      <x:c r="I226" s="38" t="str">
        <x:v>weapon, damagereference</x:v>
      </x:c>
      <x:c r="J226" s="38" t="n">
        <x:v>5</x:v>
      </x:c>
      <x:c r="K226" s="38" t="str">
        <x:v>trainer_adira, trainer_argenta, trainer_nufu, trainer_orlin, trainer_ryukon</x:v>
      </x:c>
      <x:c r="L226" s="38" t="n">
        <x:v>5</x:v>
      </x:c>
      <x:c r="M226" s="38" t="str">
        <x:v>elem_水, elem_雷, elem_龙, elem_无, role_坦克</x:v>
      </x:c>
      <x:c r="N226" s="38" t="str">
        <x:v>Deadly</x:v>
      </x:c>
      <x:c r="O226" s="38" t="str">
        <x:v>pal_225</x:v>
      </x:c>
      <x:c r="P226" s="38" t="str">
        <x:v>星隼精</x:v>
      </x:c>
      <x:c r="Q226" s="38" t="str">
        <x:v>https://bazaar-builds.net/db/skills/noisy-cricket.html</x:v>
      </x:c>
      <x:c r="R226" s="38" t="str">
        <x:v>if you have at least 7 items, your weapons deal +20 / 30 / 40 damage.</x:v>
      </x:c>
      <x:c r="S226" s="38" t="str">
        <x:v>一对一确认来源对象。</x:v>
      </x:c>
    </x:row>
    <x:row r="227">
      <x:c r="A227" s="38" t="str">
        <x:v>bz_van_226</x:v>
      </x:c>
      <x:c r="B227" s="38" t="n">
        <x:v>226</x:v>
      </x:c>
      <x:c r="C227" s="38" t="str">
        <x:v>skill</x:v>
      </x:c>
      <x:c r="D227" s="38" t="str">
        <x:v>confirmed</x:v>
      </x:c>
      <x:c r="E227" s="38" t="str">
        <x:v>oceanic-rush</x:v>
      </x:c>
      <x:c r="F227" s="38" t="str">
        <x:v>Oceanic Rush</x:v>
      </x:c>
      <x:c r="G227" s="38" t="str">
        <x:v>silver</x:v>
      </x:c>
      <x:c r="H227" s="38" t="str">
        <x:v>medium</x:v>
      </x:c>
      <x:c r="I227" s="38" t="str">
        <x:v>aquatic, haste</x:v>
      </x:c>
      <x:c r="J227" s="38" t="n">
        <x:v>6</x:v>
      </x:c>
      <x:c r="K227" s="38" t="str">
        <x:v>trainer_adira, trainer_argenta, trainer_nufu, trainer_old-zane, trainer_orlin, trainer_zara</x:v>
      </x:c>
      <x:c r="L227" s="38" t="n">
        <x:v>6</x:v>
      </x:c>
      <x:c r="M227" s="38" t="str">
        <x:v>elem_水, elem_雷, elem_地, elem_龙, elem_无, special_merchant</x:v>
      </x:c>
      <x:c r="N227" s="38" t="str">
        <x:v>Turbo</x:v>
      </x:c>
      <x:c r="O227" s="38" t="str">
        <x:v>pal_226</x:v>
      </x:c>
      <x:c r="P227" s="38" t="str">
        <x:v>潮雀妖</x:v>
      </x:c>
      <x:c r="Q227" s="38" t="str">
        <x:v>https://bazaar-builds.net/db/skills/oceanic-rush.html</x:v>
      </x:c>
      <x:c r="R227" s="38" t="str">
        <x:v>the first time you use an item each fight, haste 1 / 2 / 3 aquatic item(s) for 2 seconds.</x:v>
      </x:c>
      <x:c r="S227" s="38" t="str">
        <x:v>一对一确认来源对象。</x:v>
      </x:c>
    </x:row>
    <x:row r="228">
      <x:c r="A228" s="38" t="str">
        <x:v>bz_van_227</x:v>
      </x:c>
      <x:c r="B228" s="38" t="n">
        <x:v>227</x:v>
      </x:c>
      <x:c r="C228" s="38" t="str">
        <x:v>skill</x:v>
      </x:c>
      <x:c r="D228" s="38" t="str">
        <x:v>confirmed</x:v>
      </x:c>
      <x:c r="E228" s="38" t="str">
        <x:v>outmaneuver</x:v>
      </x:c>
      <x:c r="F228" s="38" t="str">
        <x:v>Outmaneuver</x:v>
      </x:c>
      <x:c r="G228" s="38" t="str">
        <x:v>gold</x:v>
      </x:c>
      <x:c r="H228" s="38" t="str">
        <x:v>medium</x:v>
      </x:c>
      <x:c r="I228" s="38" t="str">
        <x:v>vehicle, haste, slowreference</x:v>
      </x:c>
      <x:c r="J228" s="38" t="n">
        <x:v>5</x:v>
      </x:c>
      <x:c r="K228" s="38" t="str">
        <x:v>trainer_adira, trainer_nufu, trainer_orlin, trainer_slohmor-lumbra, trainer_zara</x:v>
      </x:c>
      <x:c r="L228" s="38" t="n">
        <x:v>5</x:v>
      </x:c>
      <x:c r="M228" s="38" t="str">
        <x:v>elem_水, elem_龙, elem_无, role_经济, special_merchant</x:v>
      </x:c>
      <x:c r="N228" s="38" t="str">
        <x:v>Icy</x:v>
      </x:c>
      <x:c r="O228" s="38" t="str">
        <x:v>pal_227</x:v>
      </x:c>
      <x:c r="P228" s="38" t="str">
        <x:v>蛟蛙侯</x:v>
      </x:c>
      <x:c r="Q228" s="38" t="str">
        <x:v>https://bazaar-builds.net/db/skills/outmaneuver.html</x:v>
      </x:c>
      <x:c r="R228" s="38" t="str">
        <x:v>the first 5 → 10 times you slow each fight, haste a vehicle for 2 seconds.</x:v>
      </x:c>
      <x:c r="S228" s="38" t="str">
        <x:v>一对一确认来源对象。</x:v>
      </x:c>
    </x:row>
    <x:row r="229">
      <x:c r="A229" s="38" t="str">
        <x:v>bz_van_228</x:v>
      </x:c>
      <x:c r="B229" s="38" t="n">
        <x:v>228</x:v>
      </x:c>
      <x:c r="C229" s="38" t="str">
        <x:v>skill</x:v>
      </x:c>
      <x:c r="D229" s="38" t="str">
        <x:v>confirmed</x:v>
      </x:c>
      <x:c r="E229" s="38" t="str">
        <x:v>paralytic-poison</x:v>
      </x:c>
      <x:c r="F229" s="38" t="str">
        <x:v>Paralytic Poison</x:v>
      </x:c>
      <x:c r="G229" s="38" t="str">
        <x:v>silver</x:v>
      </x:c>
      <x:c r="H229" s="38" t="str">
        <x:v>medium</x:v>
      </x:c>
      <x:c r="I229" s="38" t="str">
        <x:v>poisonreference, freeze</x:v>
      </x:c>
      <x:c r="J229" s="38" t="n">
        <x:v>6</x:v>
      </x:c>
      <x:c r="K229" s="38" t="str">
        <x:v>trainer_adira, trainer_argenta, trainer_bjorn, trainer_nufu, trainer_orlin, trainer_professor-riggle</x:v>
      </x:c>
      <x:c r="L229" s="38" t="n">
        <x:v>6</x:v>
      </x:c>
      <x:c r="M229" s="38" t="str">
        <x:v>elem_水, elem_雷, elem_龙, elem_无, role_控制, role_输出</x:v>
      </x:c>
      <x:c r="N229" s="38" t="str">
        <x:v>Icy</x:v>
      </x:c>
      <x:c r="O229" s="38" t="str">
        <x:v>pal_228</x:v>
      </x:c>
      <x:c r="P229" s="38" t="str">
        <x:v>凛蝎卫</x:v>
      </x:c>
      <x:c r="Q229" s="38" t="str">
        <x:v>https://bazaar-builds.net/db/skills/paralytic-poison.html</x:v>
      </x:c>
      <x:c r="R229" s="38" t="str">
        <x:v>the first time you poison each fight, freeze an item for 2 / 3 / 4 seconds.</x:v>
      </x:c>
      <x:c r="S229" s="38" t="str">
        <x:v>一对一确认来源对象。</x:v>
      </x:c>
    </x:row>
    <x:row r="230">
      <x:c r="A230" s="38" t="str">
        <x:v>bz_van_229</x:v>
      </x:c>
      <x:c r="B230" s="38" t="n">
        <x:v>229</x:v>
      </x:c>
      <x:c r="C230" s="38" t="str">
        <x:v>skill</x:v>
      </x:c>
      <x:c r="D230" s="38" t="str">
        <x:v>confirmed</x:v>
      </x:c>
      <x:c r="E230" s="38" t="str">
        <x:v>parting-shot</x:v>
      </x:c>
      <x:c r="F230" s="38" t="str">
        <x:v>Parting Shot</x:v>
      </x:c>
      <x:c r="G230" s="38" t="str">
        <x:v>gold</x:v>
      </x:c>
      <x:c r="H230" s="38" t="str">
        <x:v>medium</x:v>
      </x:c>
      <x:c r="I230" s="38" t="str">
        <x:v>crit, ammoreference</x:v>
      </x:c>
      <x:c r="J230" s="38" t="n">
        <x:v>5</x:v>
      </x:c>
      <x:c r="K230" s="38" t="str">
        <x:v>trainer_adira, trainer_c4, trainer_nufu, trainer_orlin, trainer_vermir</x:v>
      </x:c>
      <x:c r="L230" s="38" t="n">
        <x:v>5</x:v>
      </x:c>
      <x:c r="M230" s="38" t="str">
        <x:v>elem_水, elem_龙, elem_无, role_召唤, tier_pT1</x:v>
      </x:c>
      <x:c r="N230" s="38" t="str">
        <x:v>Deadly</x:v>
      </x:c>
      <x:c r="O230" s="38" t="str">
        <x:v>pal_229</x:v>
      </x:c>
      <x:c r="P230" s="38" t="str">
        <x:v>闪狼侯</x:v>
      </x:c>
      <x:c r="Q230" s="38" t="str">
        <x:v>https://bazaar-builds.net/db/skills/parting-shot.html</x:v>
      </x:c>
      <x:c r="R230" s="38" t="str">
        <x:v>when you use an item with ammo, it gains +10 → 15% crit chance for the fight.</x:v>
      </x:c>
      <x:c r="S230" s="38" t="str">
        <x:v>一对一确认来源对象。</x:v>
      </x:c>
    </x:row>
    <x:row r="231">
      <x:c r="A231" s="38" t="str">
        <x:v>bz_van_230</x:v>
      </x:c>
      <x:c r="B231" s="38" t="n">
        <x:v>230</x:v>
      </x:c>
      <x:c r="C231" s="38" t="str">
        <x:v>skill</x:v>
      </x:c>
      <x:c r="D231" s="38" t="str">
        <x:v>confirmed</x:v>
      </x:c>
      <x:c r="E231" s="38" t="str">
        <x:v>peaceful-eye</x:v>
      </x:c>
      <x:c r="F231" s="38" t="str">
        <x:v>Peaceful Eye</x:v>
      </x:c>
      <x:c r="G231" s="38" t="str">
        <x:v>bronze</x:v>
      </x:c>
      <x:c r="H231" s="38" t="str">
        <x:v>medium</x:v>
      </x:c>
      <x:c r="I231" s="38" t="str">
        <x:v>crit</x:v>
      </x:c>
      <x:c r="J231" s="38" t="n">
        <x:v>5</x:v>
      </x:c>
      <x:c r="K231" s="38" t="str">
        <x:v>trainer_adira, trainer_argenta, trainer_nufu, trainer_orlin, trainer_vermir</x:v>
      </x:c>
      <x:c r="L231" s="38" t="n">
        <x:v>5</x:v>
      </x:c>
      <x:c r="M231" s="38" t="str">
        <x:v>elem_水, elem_雷, elem_龙, elem_无, role_召唤</x:v>
      </x:c>
      <x:c r="N231" s="38" t="str">
        <x:v>Deadly</x:v>
      </x:c>
      <x:c r="O231" s="38" t="str">
        <x:v>pal_230</x:v>
      </x:c>
      <x:c r="P231" s="38" t="str">
        <x:v>震隼灵</x:v>
      </x:c>
      <x:c r="Q231" s="38" t="str">
        <x:v>https://bazaar-builds.net/db/skills/peaceful-eye.html</x:v>
      </x:c>
      <x:c r="R231" s="38" t="str">
        <x:v>your non-weapon items have +5 / 10 / 15 / 20% crit chance.</x:v>
      </x:c>
      <x:c r="S231" s="38" t="str">
        <x:v>一对一确认来源对象。</x:v>
      </x:c>
    </x:row>
    <x:row r="232">
      <x:c r="A232" s="38" t="str">
        <x:v>bz_van_231</x:v>
      </x:c>
      <x:c r="B232" s="38" t="n">
        <x:v>231</x:v>
      </x:c>
      <x:c r="C232" s="38" t="str">
        <x:v>skill</x:v>
      </x:c>
      <x:c r="D232" s="38" t="str">
        <x:v>confirmed</x:v>
      </x:c>
      <x:c r="E232" s="38" t="str">
        <x:v>poisonous-opener</x:v>
      </x:c>
      <x:c r="F232" s="38" t="str">
        <x:v>Poisonous Opener</x:v>
      </x:c>
      <x:c r="G232" s="38" t="str">
        <x:v>silver</x:v>
      </x:c>
      <x:c r="H232" s="38" t="str">
        <x:v>medium</x:v>
      </x:c>
      <x:c r="I232" s="38" t="str">
        <x:v>poison</x:v>
      </x:c>
      <x:c r="J232" s="38" t="n">
        <x:v>5</x:v>
      </x:c>
      <x:c r="K232" s="38" t="str">
        <x:v>trainer_adira, trainer_argenta, trainer_nufu, trainer_orlin, trainer_professor-riggle</x:v>
      </x:c>
      <x:c r="L232" s="38" t="n">
        <x:v>5</x:v>
      </x:c>
      <x:c r="M232" s="38" t="str">
        <x:v>elem_水, elem_雷, elem_龙, elem_无, role_输出</x:v>
      </x:c>
      <x:c r="N232" s="38" t="str">
        <x:v>Toxic</x:v>
      </x:c>
      <x:c r="O232" s="38" t="str">
        <x:v>pal_231</x:v>
      </x:c>
      <x:c r="P232" s="38" t="str">
        <x:v>苔蛛将</x:v>
      </x:c>
      <x:c r="Q232" s="38" t="str">
        <x:v>https://bazaar-builds.net/db/skills/poisonous-opener.html</x:v>
      </x:c>
      <x:c r="R232" s="38" t="str">
        <x:v>the first time you use a large item each fight, poison 20 / 40 / 60.</x:v>
      </x:c>
      <x:c r="S232" s="38" t="str">
        <x:v>一对一确认来源对象。</x:v>
      </x:c>
    </x:row>
    <x:row r="233">
      <x:c r="A233" s="38" t="str">
        <x:v>bz_van_232</x:v>
      </x:c>
      <x:c r="B233" s="38" t="n">
        <x:v>232</x:v>
      </x:c>
      <x:c r="C233" s="38" t="str">
        <x:v>skill</x:v>
      </x:c>
      <x:c r="D233" s="38" t="str">
        <x:v>confirmed</x:v>
      </x:c>
      <x:c r="E233" s="38" t="str">
        <x:v>quality-over-quantity</x:v>
      </x:c>
      <x:c r="F233" s="38" t="str">
        <x:v>Quality over Quantity</x:v>
      </x:c>
      <x:c r="G233" s="38" t="str">
        <x:v>gold</x:v>
      </x:c>
      <x:c r="H233" s="38" t="str">
        <x:v>medium</x:v>
      </x:c>
      <x:c r="I233" s="38" t="str">
        <x:v>weapon, lifesteal, crit</x:v>
      </x:c>
      <x:c r="J233" s="38" t="n">
        <x:v>5</x:v>
      </x:c>
      <x:c r="K233" s="38" t="str">
        <x:v>trainer_adira, trainer_nufu, trainer_orlin, trainer_ryukon, trainer_vermir</x:v>
      </x:c>
      <x:c r="L233" s="38" t="n">
        <x:v>5</x:v>
      </x:c>
      <x:c r="M233" s="38" t="str">
        <x:v>elem_水, elem_龙, elem_无, role_召唤, role_坦克</x:v>
      </x:c>
      <x:c r="N233" s="38" t="str">
        <x:v>Deadly</x:v>
      </x:c>
      <x:c r="O233" s="38" t="str">
        <x:v>pal_232</x:v>
      </x:c>
      <x:c r="P233" s="38" t="str">
        <x:v>汐羊王</x:v>
      </x:c>
      <x:c r="Q233" s="38" t="str">
        <x:v>https://bazaar-builds.net/db/skills/quality-over-quantity.html</x:v>
      </x:c>
      <x:c r="R233" s="38" t="str">
        <x:v>if you have exactly one weapon, it has lifesteal and 5 → 10% crit chance.</x:v>
      </x:c>
      <x:c r="S233" s="38" t="str">
        <x:v>一对一确认来源对象。</x:v>
      </x:c>
    </x:row>
    <x:row r="234">
      <x:c r="A234" s="38" t="str">
        <x:v>bz_van_233</x:v>
      </x:c>
      <x:c r="B234" s="38" t="n">
        <x:v>233</x:v>
      </x:c>
      <x:c r="C234" s="38" t="str">
        <x:v>skill</x:v>
      </x:c>
      <x:c r="D234" s="38" t="str">
        <x:v>confirmed</x:v>
      </x:c>
      <x:c r="E234" s="38" t="str">
        <x:v>quick-defenses</x:v>
      </x:c>
      <x:c r="F234" s="38" t="str">
        <x:v>Quick Defenses</x:v>
      </x:c>
      <x:c r="G234" s="38" t="str">
        <x:v>gold</x:v>
      </x:c>
      <x:c r="H234" s="38" t="str">
        <x:v>medium</x:v>
      </x:c>
      <x:c r="I234" s="38" t="str">
        <x:v>shieldreference, cooldown</x:v>
      </x:c>
      <x:c r="J234" s="38" t="n">
        <x:v>4</x:v>
      </x:c>
      <x:c r="K234" s="38" t="str">
        <x:v>trainer_adira, trainer_fortis, trainer_nufu, trainer_orlin</x:v>
      </x:c>
      <x:c r="L234" s="38" t="n">
        <x:v>4</x:v>
      </x:c>
      <x:c r="M234" s="38" t="str">
        <x:v>elem_水, elem_龙, elem_无, role_召唤铺场</x:v>
      </x:c>
      <x:c r="N234" s="38" t="str">
        <x:v>Turbo</x:v>
      </x:c>
      <x:c r="O234" s="38" t="str">
        <x:v>pal_233</x:v>
      </x:c>
      <x:c r="P234" s="38" t="str">
        <x:v>山象王</x:v>
      </x:c>
      <x:c r="Q234" s="38" t="str">
        <x:v>https://bazaar-builds.net/db/skills/quick-defenses.html</x:v>
      </x:c>
      <x:c r="R234" s="38" t="str">
        <x:v>your shield items' cooldowns are reduced by 5 → 10%.</x:v>
      </x:c>
      <x:c r="S234" s="38" t="str">
        <x:v>一对一确认来源对象。</x:v>
      </x:c>
    </x:row>
    <x:row r="235">
      <x:c r="A235" s="38" t="str">
        <x:v>bz_van_234</x:v>
      </x:c>
      <x:c r="B235" s="38" t="n">
        <x:v>234</x:v>
      </x:c>
      <x:c r="C235" s="38" t="str">
        <x:v>skill</x:v>
      </x:c>
      <x:c r="D235" s="38" t="str">
        <x:v>confirmed</x:v>
      </x:c>
      <x:c r="E235" s="38" t="str">
        <x:v>quick-freeze</x:v>
      </x:c>
      <x:c r="F235" s="38" t="str">
        <x:v>Quick Freeze</x:v>
      </x:c>
      <x:c r="G235" s="38" t="str">
        <x:v>silver</x:v>
      </x:c>
      <x:c r="H235" s="38" t="str">
        <x:v>medium</x:v>
      </x:c>
      <x:c r="I235" s="38" t="str">
        <x:v>hastereference, freeze</x:v>
      </x:c>
      <x:c r="J235" s="38" t="n">
        <x:v>6</x:v>
      </x:c>
      <x:c r="K235" s="38" t="str">
        <x:v>trainer_adira, trainer_argenta, trainer_bjorn, trainer_nufu, trainer_orlin, trainer_zara</x:v>
      </x:c>
      <x:c r="L235" s="38" t="n">
        <x:v>6</x:v>
      </x:c>
      <x:c r="M235" s="38" t="str">
        <x:v>elem_水, elem_雷, elem_龙, elem_无, role_控制, special_merchant</x:v>
      </x:c>
      <x:c r="N235" s="38" t="str">
        <x:v>Icy</x:v>
      </x:c>
      <x:c r="O235" s="38" t="str">
        <x:v>pal_234</x:v>
      </x:c>
      <x:c r="P235" s="38" t="str">
        <x:v>寒蟒卫</x:v>
      </x:c>
      <x:c r="Q235" s="38" t="str">
        <x:v>https://bazaar-builds.net/db/skills/quick-freeze.html</x:v>
      </x:c>
      <x:c r="R235" s="38" t="str">
        <x:v>the first time you haste each fight, freeze an item for 2 / 3 / 4 seconds.</x:v>
      </x:c>
      <x:c r="S235" s="38" t="str">
        <x:v>一对一确认来源对象。</x:v>
      </x:c>
    </x:row>
    <x:row r="236">
      <x:c r="A236" s="38" t="str">
        <x:v>bz_van_235</x:v>
      </x:c>
      <x:c r="B236" s="38" t="n">
        <x:v>235</x:v>
      </x:c>
      <x:c r="C236" s="38" t="str">
        <x:v>skill</x:v>
      </x:c>
      <x:c r="D236" s="38" t="str">
        <x:v>confirmed</x:v>
      </x:c>
      <x:c r="E236" s="38" t="str">
        <x:v>quick-ignition</x:v>
      </x:c>
      <x:c r="F236" s="38" t="str">
        <x:v>Quick Ignition</x:v>
      </x:c>
      <x:c r="G236" s="38" t="str">
        <x:v>silver</x:v>
      </x:c>
      <x:c r="H236" s="38" t="str">
        <x:v>medium</x:v>
      </x:c>
      <x:c r="I236" s="38" t="str">
        <x:v>burnreference, haste</x:v>
      </x:c>
      <x:c r="J236" s="38" t="n">
        <x:v>6</x:v>
      </x:c>
      <x:c r="K236" s="38" t="str">
        <x:v>trainer_adira, trainer_argenta, trainer_malafang, trainer_nufu, trainer_orlin, trainer_zara</x:v>
      </x:c>
      <x:c r="L236" s="38" t="n">
        <x:v>6</x:v>
      </x:c>
      <x:c r="M236" s="38" t="str">
        <x:v>elem_水, elem_雷, elem_龙, elem_无, role_治疗, special_merchant</x:v>
      </x:c>
      <x:c r="N236" s="38" t="str">
        <x:v>Fiery</x:v>
      </x:c>
      <x:c r="O236" s="38" t="str">
        <x:v>pal_235</x:v>
      </x:c>
      <x:c r="P236" s="38" t="str">
        <x:v>朱鲭将</x:v>
      </x:c>
      <x:c r="Q236" s="38" t="str">
        <x:v>https://bazaar-builds.net/db/skills/quick-ignition.html</x:v>
      </x:c>
      <x:c r="R236" s="38" t="str">
        <x:v>the first time you use an item each fight, haste 1 / 2 / 3 burn item(s) for 2 seconds.</x:v>
      </x:c>
      <x:c r="S236" s="38" t="str">
        <x:v>一对一确认来源对象。</x:v>
      </x:c>
    </x:row>
    <x:row r="237">
      <x:c r="A237" s="38" t="str">
        <x:v>bz_van_236</x:v>
      </x:c>
      <x:c r="B237" s="38" t="n">
        <x:v>236</x:v>
      </x:c>
      <x:c r="C237" s="38" t="str">
        <x:v>skill</x:v>
      </x:c>
      <x:c r="D237" s="38" t="str">
        <x:v>confirmed</x:v>
      </x:c>
      <x:c r="E237" s="38" t="str">
        <x:v>re-tooled</x:v>
      </x:c>
      <x:c r="F237" s="38" t="str">
        <x:v>Re-Tooled</x:v>
      </x:c>
      <x:c r="G237" s="38" t="str">
        <x:v>diamond</x:v>
      </x:c>
      <x:c r="H237" s="38" t="str">
        <x:v>medium</x:v>
      </x:c>
      <x:c r="I237" s="38" t="str">
        <x:v>tool</x:v>
      </x:c>
      <x:c r="J237" s="38" t="n">
        <x:v>2</x:v>
      </x:c>
      <x:c r="K237" s="38" t="str">
        <x:v>trainer_adira, trainer_nufu</x:v>
      </x:c>
      <x:c r="L237" s="38" t="n">
        <x:v>2</x:v>
      </x:c>
      <x:c r="M237" s="38" t="str">
        <x:v>elem_水, elem_龙</x:v>
      </x:c>
      <x:c r="N237" s="38" t="str">
        <x:v>Shiny</x:v>
      </x:c>
      <x:c r="O237" s="38" t="str">
        <x:v>pal_236</x:v>
      </x:c>
      <x:c r="P237" s="38" t="str">
        <x:v>寒鹰祖</x:v>
      </x:c>
      <x:c r="Q237" s="38" t="str">
        <x:v>https://bazaar-builds.net/db/skills/re-tooled.html</x:v>
      </x:c>
      <x:c r="R237" s="38" t="str">
        <x:v>your leftmost tool has +1 multicast.</x:v>
      </x:c>
      <x:c r="S237" s="38" t="str">
        <x:v>一对一确认来源对象。</x:v>
      </x:c>
    </x:row>
    <x:row r="238">
      <x:c r="A238" s="38" t="str">
        <x:v>bz_van_237</x:v>
      </x:c>
      <x:c r="B238" s="38" t="n">
        <x:v>237</x:v>
      </x:c>
      <x:c r="C238" s="38" t="str">
        <x:v>skill</x:v>
      </x:c>
      <x:c r="D238" s="38" t="str">
        <x:v>confirmed</x:v>
      </x:c>
      <x:c r="E238" s="38" t="str">
        <x:v>reaching-the-summit</x:v>
      </x:c>
      <x:c r="F238" s="38" t="str">
        <x:v>Reaching the Summit</x:v>
      </x:c>
      <x:c r="G238" s="38" t="str">
        <x:v>gold</x:v>
      </x:c>
      <x:c r="H238" s="38" t="str">
        <x:v>medium</x:v>
      </x:c>
      <x:c r="I238" s="38" t="str">
        <x:v>freezereference, crit</x:v>
      </x:c>
      <x:c r="J238" s="38" t="n">
        <x:v>5</x:v>
      </x:c>
      <x:c r="K238" s="38" t="str">
        <x:v>trainer_adira, trainer_bjorn, trainer_nufu, trainer_orlin, trainer_vermir</x:v>
      </x:c>
      <x:c r="L238" s="38" t="n">
        <x:v>5</x:v>
      </x:c>
      <x:c r="M238" s="38" t="str">
        <x:v>elem_水, elem_龙, elem_无, role_召唤, role_控制</x:v>
      </x:c>
      <x:c r="N238" s="38" t="str">
        <x:v>Icy</x:v>
      </x:c>
      <x:c r="O238" s="38" t="str">
        <x:v>pal_237</x:v>
      </x:c>
      <x:c r="P238" s="38" t="str">
        <x:v>寒蝎尊</x:v>
      </x:c>
      <x:c r="Q238" s="38" t="str">
        <x:v>https://bazaar-builds.net/db/skills/reaching-the-summit.html</x:v>
      </x:c>
      <x:c r="R238" s="38" t="str">
        <x:v>when you freeze, your items gain +3 → 6% crit chance for the fight.</x:v>
      </x:c>
      <x:c r="S238" s="38" t="str">
        <x:v>一对一确认来源对象。</x:v>
      </x:c>
    </x:row>
    <x:row r="239">
      <x:c r="A239" s="38" t="str">
        <x:v>bz_van_238</x:v>
      </x:c>
      <x:c r="B239" s="38" t="n">
        <x:v>238</x:v>
      </x:c>
      <x:c r="C239" s="38" t="str">
        <x:v>skill</x:v>
      </x:c>
      <x:c r="D239" s="38" t="str">
        <x:v>confirmed</x:v>
      </x:c>
      <x:c r="E239" s="38" t="str">
        <x:v>rear-shielding</x:v>
      </x:c>
      <x:c r="F239" s="38" t="str">
        <x:v>Rear Shielding</x:v>
      </x:c>
      <x:c r="G239" s="38" t="str">
        <x:v>bronze</x:v>
      </x:c>
      <x:c r="H239" s="38" t="str">
        <x:v>medium</x:v>
      </x:c>
      <x:c r="I239" s="38" t="str">
        <x:v>shieldreference</x:v>
      </x:c>
      <x:c r="J239" s="38" t="n">
        <x:v>5</x:v>
      </x:c>
      <x:c r="K239" s="38" t="str">
        <x:v>trainer_adira, trainer_argenta, trainer_fortis, trainer_nufu, trainer_orlin</x:v>
      </x:c>
      <x:c r="L239" s="38" t="n">
        <x:v>5</x:v>
      </x:c>
      <x:c r="M239" s="38" t="str">
        <x:v>elem_水, elem_雷, elem_龙, elem_无, role_召唤铺场</x:v>
      </x:c>
      <x:c r="N239" s="38" t="str">
        <x:v>Shielded</x:v>
      </x:c>
      <x:c r="O239" s="38" t="str">
        <x:v>pal_238</x:v>
      </x:c>
      <x:c r="P239" s="38" t="str">
        <x:v>石甲兽</x:v>
      </x:c>
      <x:c r="Q239" s="38" t="str">
        <x:v>https://bazaar-builds.net/db/skills/rear-shielding.html</x:v>
      </x:c>
      <x:c r="R239" s="38" t="str">
        <x:v>your rightmost shield item has +10 / 20 / 30 / 40 shield.</x:v>
      </x:c>
      <x:c r="S239" s="38" t="str">
        <x:v>一对一确认来源对象。</x:v>
      </x:c>
    </x:row>
    <x:row r="240">
      <x:c r="A240" s="38" t="str">
        <x:v>bz_van_239</x:v>
      </x:c>
      <x:c r="B240" s="38" t="n">
        <x:v>239</x:v>
      </x:c>
      <x:c r="C240" s="38" t="str">
        <x:v>skill</x:v>
      </x:c>
      <x:c r="D240" s="38" t="str">
        <x:v>confirmed</x:v>
      </x:c>
      <x:c r="E240" s="38" t="str">
        <x:v>reel-em-in</x:v>
      </x:c>
      <x:c r="F240" s="38" t="str">
        <x:v>Reel 'Em In</x:v>
      </x:c>
      <x:c r="G240" s="38" t="str">
        <x:v>diamond</x:v>
      </x:c>
      <x:c r="H240" s="38" t="str">
        <x:v>medium</x:v>
      </x:c>
      <x:c r="I240" s="38" t="str">
        <x:v>cooldown</x:v>
      </x:c>
      <x:c r="J240" s="38" t="n">
        <x:v>3</x:v>
      </x:c>
      <x:c r="K240" s="38" t="str">
        <x:v>trainer_adira, trainer_nufu, trainer_old-zane</x:v>
      </x:c>
      <x:c r="L240" s="38" t="n">
        <x:v>3</x:v>
      </x:c>
      <x:c r="M240" s="38" t="str">
        <x:v>elem_水, elem_地, elem_龙</x:v>
      </x:c>
      <x:c r="N240" s="38" t="str">
        <x:v>Turbo</x:v>
      </x:c>
      <x:c r="O240" s="38" t="str">
        <x:v>pal_239</x:v>
      </x:c>
      <x:c r="P240" s="38" t="str">
        <x:v>沧鹤神</x:v>
      </x:c>
      <x:c r="Q240" s="38" t="str">
        <x:v>https://bazaar-builds.net/db/skills/reel-em-in.html</x:v>
      </x:c>
      <x:c r="R240" s="38" t="str">
        <x:v>the first time an enemy falls below half health each fight, your items' cooldowns are halved for the fight.</x:v>
      </x:c>
      <x:c r="S240" s="38" t="str">
        <x:v>一对一确认来源对象。</x:v>
      </x:c>
    </x:row>
    <x:row r="241">
      <x:c r="A241" s="38" t="str">
        <x:v>bz_van_240</x:v>
      </x:c>
      <x:c r="B241" s="38" t="n">
        <x:v>240</x:v>
      </x:c>
      <x:c r="C241" s="38" t="str">
        <x:v>skill</x:v>
      </x:c>
      <x:c r="D241" s="38" t="str">
        <x:v>confirmed</x:v>
      </x:c>
      <x:c r="E241" s="38" t="str">
        <x:v>regenerative</x:v>
      </x:c>
      <x:c r="F241" s="38" t="str">
        <x:v>Regenerative</x:v>
      </x:c>
      <x:c r="G241" s="38" t="str">
        <x:v>silver</x:v>
      </x:c>
      <x:c r="H241" s="38" t="str">
        <x:v>medium</x:v>
      </x:c>
      <x:c r="I241" s="38" t="str">
        <x:v>regen</x:v>
      </x:c>
      <x:c r="J241" s="38" t="n">
        <x:v>5</x:v>
      </x:c>
      <x:c r="K241" s="38" t="str">
        <x:v>trainer_adira, trainer_argenta, trainer_nufu, trainer_orlin, trainer_regenald</x:v>
      </x:c>
      <x:c r="L241" s="38" t="n">
        <x:v>5</x:v>
      </x:c>
      <x:c r="M241" s="38" t="str">
        <x:v>elem_水, elem_雷, elem_龙, elem_无, tier_pT2</x:v>
      </x:c>
      <x:c r="N241" s="38" t="str">
        <x:v>Mossy</x:v>
      </x:c>
      <x:c r="O241" s="38" t="str">
        <x:v>pal_240</x:v>
      </x:c>
      <x:c r="P241" s="38" t="str">
        <x:v>碧蚌将</x:v>
      </x:c>
      <x:c r="Q241" s="38" t="str">
        <x:v>https://bazaar-builds.net/db/skills/regenerative.html</x:v>
      </x:c>
      <x:c r="R241" s="38" t="str">
        <x:v>you have +10 / 20 / 30 regen.</x:v>
      </x:c>
      <x:c r="S241" s="38" t="str">
        <x:v>一对一确认来源对象。</x:v>
      </x:c>
    </x:row>
    <x:row r="242">
      <x:c r="A242" s="38" t="str">
        <x:v>bz_van_241</x:v>
      </x:c>
      <x:c r="B242" s="38" t="n">
        <x:v>241</x:v>
      </x:c>
      <x:c r="C242" s="38" t="str">
        <x:v>skill</x:v>
      </x:c>
      <x:c r="D242" s="38" t="str">
        <x:v>confirmed</x:v>
      </x:c>
      <x:c r="E242" s="38" t="str">
        <x:v>repair-mechanic</x:v>
      </x:c>
      <x:c r="F242" s="38" t="str">
        <x:v>Repair Mechanic</x:v>
      </x:c>
      <x:c r="G242" s="38" t="str">
        <x:v>gold</x:v>
      </x:c>
      <x:c r="H242" s="38" t="str">
        <x:v>medium</x:v>
      </x:c>
      <x:c r="I242" s="38" t="str"/>
      <x:c r="J242" s="38" t="n">
        <x:v>3</x:v>
      </x:c>
      <x:c r="K242" s="38" t="str">
        <x:v>trainer_adira, trainer_nufu, trainer_orlin</x:v>
      </x:c>
      <x:c r="L242" s="38" t="n">
        <x:v>3</x:v>
      </x:c>
      <x:c r="M242" s="38" t="str">
        <x:v>elem_水, elem_龙, elem_无</x:v>
      </x:c>
      <x:c r="N242" s="38" t="str">
        <x:v>Obsidian</x:v>
      </x:c>
      <x:c r="O242" s="38" t="str">
        <x:v>pal_241</x:v>
      </x:c>
      <x:c r="P242" s="38" t="str">
        <x:v>墨蝎王</x:v>
      </x:c>
      <x:c r="Q242" s="38" t="str">
        <x:v>https://bazaar-builds.net/db/skills/repair-mechanic.html</x:v>
      </x:c>
      <x:c r="R242" s="38" t="str">
        <x:v>the first 1 → 2 times one of your items is destroyed each fight, repair it.</x:v>
      </x:c>
      <x:c r="S242" s="38" t="str">
        <x:v>一对一确认来源对象。</x:v>
      </x:c>
    </x:row>
    <x:row r="243">
      <x:c r="A243" s="38" t="str">
        <x:v>bz_van_242</x:v>
      </x:c>
      <x:c r="B243" s="38" t="n">
        <x:v>242</x:v>
      </x:c>
      <x:c r="C243" s="38" t="str">
        <x:v>skill</x:v>
      </x:c>
      <x:c r="D243" s="38" t="str">
        <x:v>confirmed</x:v>
      </x:c>
      <x:c r="E243" s="38" t="str">
        <x:v>right-eye</x:v>
      </x:c>
      <x:c r="F243" s="38" t="str">
        <x:v>Right Eye</x:v>
      </x:c>
      <x:c r="G243" s="38" t="str">
        <x:v>bronze</x:v>
      </x:c>
      <x:c r="H243" s="38" t="str">
        <x:v>medium</x:v>
      </x:c>
      <x:c r="I243" s="38" t="str">
        <x:v>crit</x:v>
      </x:c>
      <x:c r="J243" s="38" t="n">
        <x:v>5</x:v>
      </x:c>
      <x:c r="K243" s="38" t="str">
        <x:v>trainer_adira, trainer_argenta, trainer_nufu, trainer_orlin, trainer_vermir</x:v>
      </x:c>
      <x:c r="L243" s="38" t="n">
        <x:v>5</x:v>
      </x:c>
      <x:c r="M243" s="38" t="str">
        <x:v>elem_水, elem_雷, elem_龙, elem_无, role_召唤</x:v>
      </x:c>
      <x:c r="N243" s="38" t="str">
        <x:v>Deadly</x:v>
      </x:c>
      <x:c r="O243" s="38" t="str">
        <x:v>pal_242</x:v>
      </x:c>
      <x:c r="P243" s="38" t="str">
        <x:v>鸣螳仔</x:v>
      </x:c>
      <x:c r="Q243" s="38" t="str">
        <x:v>https://bazaar-builds.net/db/skills/right-eye.html</x:v>
      </x:c>
      <x:c r="R243" s="38" t="str">
        <x:v>your rightmost item has +8 / 16 / 24 / 32% crit chance.</x:v>
      </x:c>
      <x:c r="S243" s="38" t="str">
        <x:v>一对一确认来源对象。</x:v>
      </x:c>
    </x:row>
    <x:row r="244">
      <x:c r="A244" s="38" t="str">
        <x:v>bz_van_243</x:v>
      </x:c>
      <x:c r="B244" s="38" t="n">
        <x:v>243</x:v>
      </x:c>
      <x:c r="C244" s="38" t="str">
        <x:v>skill</x:v>
      </x:c>
      <x:c r="D244" s="38" t="str">
        <x:v>confirmed</x:v>
      </x:c>
      <x:c r="E244" s="38" t="str">
        <x:v>right-handed</x:v>
      </x:c>
      <x:c r="F244" s="38" t="str">
        <x:v>Right-Handed</x:v>
      </x:c>
      <x:c r="G244" s="38" t="str">
        <x:v>bronze</x:v>
      </x:c>
      <x:c r="H244" s="38" t="str">
        <x:v>medium</x:v>
      </x:c>
      <x:c r="I244" s="38" t="str">
        <x:v>weapon, damagereference</x:v>
      </x:c>
      <x:c r="J244" s="38" t="n">
        <x:v>5</x:v>
      </x:c>
      <x:c r="K244" s="38" t="str">
        <x:v>trainer_adira, trainer_argenta, trainer_nufu, trainer_orlin, trainer_ryukon</x:v>
      </x:c>
      <x:c r="L244" s="38" t="n">
        <x:v>5</x:v>
      </x:c>
      <x:c r="M244" s="38" t="str">
        <x:v>elem_水, elem_雷, elem_龙, elem_无, role_坦克</x:v>
      </x:c>
      <x:c r="N244" s="38" t="str">
        <x:v>Deadly</x:v>
      </x:c>
      <x:c r="O244" s="38" t="str">
        <x:v>pal_243</x:v>
      </x:c>
      <x:c r="P244" s="38" t="str">
        <x:v>岩豹兽</x:v>
      </x:c>
      <x:c r="Q244" s="38" t="str">
        <x:v>https://bazaar-builds.net/db/skills/right-handed.html</x:v>
      </x:c>
      <x:c r="R244" s="38" t="str">
        <x:v>your rightmost weapon has +10 / 20 / 30 / 40 damage.</x:v>
      </x:c>
      <x:c r="S244" s="38" t="str">
        <x:v>一对一确认来源对象。</x:v>
      </x:c>
    </x:row>
    <x:row r="245">
      <x:c r="A245" s="38" t="str">
        <x:v>bz_van_244</x:v>
      </x:c>
      <x:c r="B245" s="38" t="n">
        <x:v>244</x:v>
      </x:c>
      <x:c r="C245" s="38" t="str">
        <x:v>skill</x:v>
      </x:c>
      <x:c r="D245" s="38" t="str">
        <x:v>confirmed</x:v>
      </x:c>
      <x:c r="E245" s="38" t="str">
        <x:v>righty-tighty</x:v>
      </x:c>
      <x:c r="F245" s="38" t="str">
        <x:v>Righty Tighty</x:v>
      </x:c>
      <x:c r="G245" s="38" t="str">
        <x:v>silver</x:v>
      </x:c>
      <x:c r="H245" s="38" t="str">
        <x:v>medium</x:v>
      </x:c>
      <x:c r="I245" s="38" t="str">
        <x:v>slowreference, charge</x:v>
      </x:c>
      <x:c r="J245" s="38" t="n">
        <x:v>6</x:v>
      </x:c>
      <x:c r="K245" s="38" t="str">
        <x:v>trainer_adira, trainer_argenta, trainer_nufu, trainer_orlin, trainer_slohmor-lumbra, trainer_zara</x:v>
      </x:c>
      <x:c r="L245" s="38" t="n">
        <x:v>6</x:v>
      </x:c>
      <x:c r="M245" s="38" t="str">
        <x:v>elem_水, elem_雷, elem_龙, elem_无, role_经济, special_merchant</x:v>
      </x:c>
      <x:c r="N245" s="38" t="str">
        <x:v>Icy</x:v>
      </x:c>
      <x:c r="O245" s="38" t="str">
        <x:v>pal_244</x:v>
      </x:c>
      <x:c r="P245" s="38" t="str">
        <x:v>雷蛛妖</x:v>
      </x:c>
      <x:c r="Q245" s="38" t="str">
        <x:v>https://bazaar-builds.net/db/skills/righty-tighty.html</x:v>
      </x:c>
      <x:c r="R245" s="38" t="str">
        <x:v>the first 3 / 6 / 9 times you use your rightmost item each fight, charge a slow item 1 second.</x:v>
      </x:c>
      <x:c r="S245" s="38" t="str">
        <x:v>一对一确认来源对象。</x:v>
      </x:c>
    </x:row>
    <x:row r="246">
      <x:c r="A246" s="38" t="str">
        <x:v>bz_van_245</x:v>
      </x:c>
      <x:c r="B246" s="38" t="n">
        <x:v>245</x:v>
      </x:c>
      <x:c r="C246" s="38" t="str">
        <x:v>skill</x:v>
      </x:c>
      <x:c r="D246" s="38" t="str">
        <x:v>confirmed</x:v>
      </x:c>
      <x:c r="E246" s="38" t="str">
        <x:v>sabotage</x:v>
      </x:c>
      <x:c r="F246" s="38" t="str">
        <x:v>Sabotage</x:v>
      </x:c>
      <x:c r="G246" s="38" t="str">
        <x:v>gold</x:v>
      </x:c>
      <x:c r="H246" s="38" t="str">
        <x:v>medium</x:v>
      </x:c>
      <x:c r="I246" s="38" t="str">
        <x:v>tool, slow</x:v>
      </x:c>
      <x:c r="J246" s="38" t="n">
        <x:v>4</x:v>
      </x:c>
      <x:c r="K246" s="38" t="str">
        <x:v>trainer_adira, trainer_nufu, trainer_orlin, trainer_slohmor-lumbra</x:v>
      </x:c>
      <x:c r="L246" s="38" t="n">
        <x:v>4</x:v>
      </x:c>
      <x:c r="M246" s="38" t="str">
        <x:v>elem_水, elem_龙, elem_无, role_经济</x:v>
      </x:c>
      <x:c r="N246" s="38" t="str">
        <x:v>Icy</x:v>
      </x:c>
      <x:c r="O246" s="38" t="str">
        <x:v>pal_245</x:v>
      </x:c>
      <x:c r="P246" s="38" t="str">
        <x:v>角蛙君</x:v>
      </x:c>
      <x:c r="Q246" s="38" t="str">
        <x:v>https://bazaar-builds.net/db/skills/sabotage.html</x:v>
      </x:c>
      <x:c r="R246" s="38" t="str">
        <x:v>the first 5 → 10 times you use a tool each fight, slow an item for 1 second.</x:v>
      </x:c>
      <x:c r="S246" s="38" t="str">
        <x:v>一对一确认来源对象。</x:v>
      </x:c>
    </x:row>
    <x:row r="247">
      <x:c r="A247" s="38" t="str">
        <x:v>bz_van_246</x:v>
      </x:c>
      <x:c r="B247" s="38" t="n">
        <x:v>246</x:v>
      </x:c>
      <x:c r="C247" s="38" t="str">
        <x:v>skill</x:v>
      </x:c>
      <x:c r="D247" s="38" t="str">
        <x:v>confirmed</x:v>
      </x:c>
      <x:c r="E247" s="38" t="str">
        <x:v>searing-flames</x:v>
      </x:c>
      <x:c r="F247" s="38" t="str">
        <x:v>Searing Flames</x:v>
      </x:c>
      <x:c r="G247" s="38" t="str">
        <x:v>silver</x:v>
      </x:c>
      <x:c r="H247" s="38" t="str">
        <x:v>medium</x:v>
      </x:c>
      <x:c r="I247" s="38" t="str">
        <x:v>burnreference, hastereference</x:v>
      </x:c>
      <x:c r="J247" s="38" t="n">
        <x:v>6</x:v>
      </x:c>
      <x:c r="K247" s="38" t="str">
        <x:v>trainer_adira, trainer_argenta, trainer_malafang, trainer_nufu, trainer_orlin, trainer_zara</x:v>
      </x:c>
      <x:c r="L247" s="38" t="n">
        <x:v>6</x:v>
      </x:c>
      <x:c r="M247" s="38" t="str">
        <x:v>elem_水, elem_雷, elem_龙, elem_无, role_治疗, special_merchant</x:v>
      </x:c>
      <x:c r="N247" s="38" t="str">
        <x:v>Fiery</x:v>
      </x:c>
      <x:c r="O247" s="38" t="str">
        <x:v>pal_246</x:v>
      </x:c>
      <x:c r="P247" s="38" t="str">
        <x:v>燎隼精</x:v>
      </x:c>
      <x:c r="Q247" s="38" t="str">
        <x:v>https://bazaar-builds.net/db/skills/searing-flames.html</x:v>
      </x:c>
      <x:c r="R247" s="38" t="str">
        <x:v>when one of your burn items is hasted, it gains 1 / 2 / 3 burn for the fight.</x:v>
      </x:c>
      <x:c r="S247" s="38" t="str">
        <x:v>一对一确认来源对象。</x:v>
      </x:c>
    </x:row>
    <x:row r="248">
      <x:c r="A248" s="38" t="str">
        <x:v>bz_van_247</x:v>
      </x:c>
      <x:c r="B248" s="38" t="n">
        <x:v>247</x:v>
      </x:c>
      <x:c r="C248" s="38" t="str">
        <x:v>skill</x:v>
      </x:c>
      <x:c r="D248" s="38" t="str">
        <x:v>confirmed</x:v>
      </x:c>
      <x:c r="E248" s="38" t="str">
        <x:v>second-wind</x:v>
      </x:c>
      <x:c r="F248" s="38" t="str">
        <x:v>Second Wind</x:v>
      </x:c>
      <x:c r="G248" s="38" t="str">
        <x:v>silver</x:v>
      </x:c>
      <x:c r="H248" s="38" t="str">
        <x:v>medium</x:v>
      </x:c>
      <x:c r="I248" s="38" t="str">
        <x:v>heal, healthreference</x:v>
      </x:c>
      <x:c r="J248" s="38" t="n">
        <x:v>5</x:v>
      </x:c>
      <x:c r="K248" s="38" t="str">
        <x:v>trainer_adira, trainer_argenta, trainer_nufu, trainer_orlin, trainer_regenald</x:v>
      </x:c>
      <x:c r="L248" s="38" t="n">
        <x:v>5</x:v>
      </x:c>
      <x:c r="M248" s="38" t="str">
        <x:v>elem_水, elem_雷, elem_龙, elem_无, tier_pT2</x:v>
      </x:c>
      <x:c r="N248" s="38" t="str">
        <x:v>Restorative</x:v>
      </x:c>
      <x:c r="O248" s="38" t="str">
        <x:v>pal_247</x:v>
      </x:c>
      <x:c r="P248" s="38" t="str">
        <x:v>潮羊卫</x:v>
      </x:c>
      <x:c r="Q248" s="38" t="str">
        <x:v>https://bazaar-builds.net/db/skills/second-wind.html</x:v>
      </x:c>
      <x:c r="R248" s="38" t="str">
        <x:v>the first time you use a large item each fight, heal equal to 20 / 40 / 60% of your max health.</x:v>
      </x:c>
      <x:c r="S248" s="38" t="str">
        <x:v>一对一确认来源对象。</x:v>
      </x:c>
    </x:row>
    <x:row r="249">
      <x:c r="A249" s="38" t="str">
        <x:v>bz_van_248</x:v>
      </x:c>
      <x:c r="B249" s="38" t="n">
        <x:v>248</x:v>
      </x:c>
      <x:c r="C249" s="38" t="str">
        <x:v>skill</x:v>
      </x:c>
      <x:c r="D249" s="38" t="str">
        <x:v>confirmed</x:v>
      </x:c>
      <x:c r="E249" s="38" t="str">
        <x:v>sharp-corners</x:v>
      </x:c>
      <x:c r="F249" s="38" t="str">
        <x:v>Sharp Corners</x:v>
      </x:c>
      <x:c r="G249" s="38" t="str">
        <x:v>silver</x:v>
      </x:c>
      <x:c r="H249" s="38" t="str">
        <x:v>medium</x:v>
      </x:c>
      <x:c r="I249" s="38" t="str">
        <x:v>weapon, shieldreference, damagereference</x:v>
      </x:c>
      <x:c r="J249" s="38" t="n">
        <x:v>6</x:v>
      </x:c>
      <x:c r="K249" s="38" t="str">
        <x:v>trainer_adira, trainer_argenta, trainer_fortis, trainer_nufu, trainer_orlin, trainer_ryukon</x:v>
      </x:c>
      <x:c r="L249" s="38" t="n">
        <x:v>6</x:v>
      </x:c>
      <x:c r="M249" s="38" t="str">
        <x:v>elem_水, elem_雷, elem_龙, elem_无, role_坦克, role_召唤铺场</x:v>
      </x:c>
      <x:c r="N249" s="38" t="str">
        <x:v>Shielded</x:v>
      </x:c>
      <x:c r="O249" s="38" t="str">
        <x:v>pal_248</x:v>
      </x:c>
      <x:c r="P249" s="38" t="str">
        <x:v>岳熊精</x:v>
      </x:c>
      <x:c r="Q249" s="38" t="str">
        <x:v>https://bazaar-builds.net/db/skills/sharp-corners.html</x:v>
      </x:c>
      <x:c r="R249" s="38" t="str">
        <x:v>when you shield, your weapons gain +2 / 4 / 6 damage for the fight.</x:v>
      </x:c>
      <x:c r="S249" s="38" t="str">
        <x:v>一对一确认来源对象。</x:v>
      </x:c>
    </x:row>
    <x:row r="250">
      <x:c r="A250" s="38" t="str">
        <x:v>bz_van_249</x:v>
      </x:c>
      <x:c r="B250" s="38" t="n">
        <x:v>249</x:v>
      </x:c>
      <x:c r="C250" s="38" t="str">
        <x:v>skill</x:v>
      </x:c>
      <x:c r="D250" s="38" t="str">
        <x:v>confirmed</x:v>
      </x:c>
      <x:c r="E250" s="38" t="str">
        <x:v>sharpshooter</x:v>
      </x:c>
      <x:c r="F250" s="38" t="str">
        <x:v>Sharpshooter</x:v>
      </x:c>
      <x:c r="G250" s="38" t="str">
        <x:v>diamond</x:v>
      </x:c>
      <x:c r="H250" s="38" t="str">
        <x:v>medium</x:v>
      </x:c>
      <x:c r="I250" s="38" t="str">
        <x:v>weapon, damagereference, crit</x:v>
      </x:c>
      <x:c r="J250" s="38" t="n">
        <x:v>4</x:v>
      </x:c>
      <x:c r="K250" s="38" t="str">
        <x:v>trainer_adira, trainer_nufu, trainer_ryukon, trainer_vermir</x:v>
      </x:c>
      <x:c r="L250" s="38" t="n">
        <x:v>4</x:v>
      </x:c>
      <x:c r="M250" s="38" t="str">
        <x:v>elem_水, elem_龙, role_召唤, role_坦克</x:v>
      </x:c>
      <x:c r="N250" s="38" t="str">
        <x:v>Deadly</x:v>
      </x:c>
      <x:c r="O250" s="38" t="str">
        <x:v>pal_249</x:v>
      </x:c>
      <x:c r="P250" s="38" t="str">
        <x:v>霆鲨皇</x:v>
      </x:c>
      <x:c r="Q250" s="38" t="str">
        <x:v>https://bazaar-builds.net/db/skills/sharpshooter.html</x:v>
      </x:c>
      <x:c r="R250" s="38" t="str">
        <x:v>your leftmost and rightmost weapons have +10% crit chance. if you only have one weapon, it deals double crit damage.</x:v>
      </x:c>
      <x:c r="S250" s="38" t="str">
        <x:v>一对一确认来源对象。</x:v>
      </x:c>
    </x:row>
    <x:row r="251">
      <x:c r="A251" s="38" t="str">
        <x:v>bz_van_250</x:v>
      </x:c>
      <x:c r="B251" s="38" t="n">
        <x:v>250</x:v>
      </x:c>
      <x:c r="C251" s="38" t="str">
        <x:v>skill</x:v>
      </x:c>
      <x:c r="D251" s="38" t="str">
        <x:v>confirmed</x:v>
      </x:c>
      <x:c r="E251" s="38" t="str">
        <x:v>shatter</x:v>
      </x:c>
      <x:c r="F251" s="38" t="str">
        <x:v>Shatter</x:v>
      </x:c>
      <x:c r="G251" s="38" t="str">
        <x:v>silver</x:v>
      </x:c>
      <x:c r="H251" s="38" t="str">
        <x:v>medium</x:v>
      </x:c>
      <x:c r="I251" s="38" t="str">
        <x:v>weapon, freezereference, damagereference</x:v>
      </x:c>
      <x:c r="J251" s="38" t="n">
        <x:v>6</x:v>
      </x:c>
      <x:c r="K251" s="38" t="str">
        <x:v>trainer_adira, trainer_argenta, trainer_bjorn, trainer_nufu, trainer_orlin, trainer_ryukon</x:v>
      </x:c>
      <x:c r="L251" s="38" t="n">
        <x:v>6</x:v>
      </x:c>
      <x:c r="M251" s="38" t="str">
        <x:v>elem_水, elem_雷, elem_龙, elem_无, role_坦克, role_控制</x:v>
      </x:c>
      <x:c r="N251" s="38" t="str">
        <x:v>Icy</x:v>
      </x:c>
      <x:c r="O251" s="38" t="str">
        <x:v>pal_250</x:v>
      </x:c>
      <x:c r="P251" s="38" t="str">
        <x:v>霜貂卫</x:v>
      </x:c>
      <x:c r="Q251" s="38" t="str">
        <x:v>https://bazaar-builds.net/db/skills/shatter.html</x:v>
      </x:c>
      <x:c r="R251" s="38" t="str">
        <x:v>when you freeze, your weapons gain +5 / 10 / 15 damage for the fight.</x:v>
      </x:c>
      <x:c r="S251" s="38" t="str">
        <x:v>一对一确认来源对象。</x:v>
      </x:c>
    </x:row>
    <x:row r="252">
      <x:c r="A252" s="38" t="str">
        <x:v>bz_van_251</x:v>
      </x:c>
      <x:c r="B252" s="38" t="n">
        <x:v>251</x:v>
      </x:c>
      <x:c r="C252" s="38" t="str">
        <x:v>skill</x:v>
      </x:c>
      <x:c r="D252" s="38" t="str">
        <x:v>confirmed</x:v>
      </x:c>
      <x:c r="E252" s="38" t="str">
        <x:v>shield-bash</x:v>
      </x:c>
      <x:c r="F252" s="38" t="str">
        <x:v>Shield Bash</x:v>
      </x:c>
      <x:c r="G252" s="38" t="str">
        <x:v>gold</x:v>
      </x:c>
      <x:c r="H252" s="38" t="str">
        <x:v>medium</x:v>
      </x:c>
      <x:c r="I252" s="38" t="str">
        <x:v>weapon, charge, damagereference</x:v>
      </x:c>
      <x:c r="J252" s="38" t="n">
        <x:v>5</x:v>
      </x:c>
      <x:c r="K252" s="38" t="str">
        <x:v>trainer_adira, trainer_nufu, trainer_orlin, trainer_ryukon, trainer_zara</x:v>
      </x:c>
      <x:c r="L252" s="38" t="n">
        <x:v>5</x:v>
      </x:c>
      <x:c r="M252" s="38" t="str">
        <x:v>elem_水, elem_龙, elem_无, role_坦克, special_merchant</x:v>
      </x:c>
      <x:c r="N252" s="38" t="str">
        <x:v>Turbo</x:v>
      </x:c>
      <x:c r="O252" s="38" t="str">
        <x:v>pal_251</x:v>
      </x:c>
      <x:c r="P252" s="38" t="str">
        <x:v>霆牦王</x:v>
      </x:c>
      <x:c r="Q252" s="38" t="str">
        <x:v>https://bazaar-builds.net/db/skills/shield-bash.html</x:v>
      </x:c>
      <x:c r="R252" s="38" t="str">
        <x:v>the first 4 → 8 times an enemy uses a non-weapon item each fight, charge a weapon 1 second.</x:v>
      </x:c>
      <x:c r="S252" s="38" t="str">
        <x:v>一对一确认来源对象。</x:v>
      </x:c>
    </x:row>
    <x:row r="253">
      <x:c r="A253" s="38" t="str">
        <x:v>bz_van_252</x:v>
      </x:c>
      <x:c r="B253" s="38" t="n">
        <x:v>252</x:v>
      </x:c>
      <x:c r="C253" s="38" t="str">
        <x:v>skill</x:v>
      </x:c>
      <x:c r="D253" s="38" t="str">
        <x:v>confirmed</x:v>
      </x:c>
      <x:c r="E253" s="38" t="str">
        <x:v>sick-burn</x:v>
      </x:c>
      <x:c r="F253" s="38" t="str">
        <x:v>Sick Burn</x:v>
      </x:c>
      <x:c r="G253" s="38" t="str">
        <x:v>gold</x:v>
      </x:c>
      <x:c r="H253" s="38" t="str">
        <x:v>medium</x:v>
      </x:c>
      <x:c r="I253" s="38" t="str">
        <x:v>charge, poisonreference, burnreference</x:v>
      </x:c>
      <x:c r="J253" s="38" t="n">
        <x:v>6</x:v>
      </x:c>
      <x:c r="K253" s="38" t="str">
        <x:v>trainer_adira, trainer_malafang, trainer_nufu, trainer_orlin, trainer_professor-riggle, trainer_zara</x:v>
      </x:c>
      <x:c r="L253" s="38" t="n">
        <x:v>6</x:v>
      </x:c>
      <x:c r="M253" s="38" t="str">
        <x:v>elem_水, elem_龙, elem_无, role_治疗, role_输出, special_merchant</x:v>
      </x:c>
      <x:c r="N253" s="38" t="str">
        <x:v>Fiery</x:v>
      </x:c>
      <x:c r="O253" s="38" t="str">
        <x:v>pal_252</x:v>
      </x:c>
      <x:c r="P253" s="38" t="str">
        <x:v>炎蛛尊</x:v>
      </x:c>
      <x:c r="Q253" s="38" t="str">
        <x:v>https://bazaar-builds.net/db/skills/sick-burn.html</x:v>
      </x:c>
      <x:c r="R253" s="38" t="str">
        <x:v>the first 4 → 8 times you poison each fight, charge a burn item 1 second.</x:v>
      </x:c>
      <x:c r="S253" s="38" t="str">
        <x:v>一对一确认来源对象。</x:v>
      </x:c>
    </x:row>
    <x:row r="254">
      <x:c r="A254" s="38" t="str">
        <x:v>bz_van_253</x:v>
      </x:c>
      <x:c r="B254" s="38" t="n">
        <x:v>253</x:v>
      </x:c>
      <x:c r="C254" s="38" t="str">
        <x:v>skill</x:v>
      </x:c>
      <x:c r="D254" s="38" t="str">
        <x:v>confirmed</x:v>
      </x:c>
      <x:c r="E254" s="38" t="str">
        <x:v>slow-and-steady</x:v>
      </x:c>
      <x:c r="F254" s="38" t="str">
        <x:v>Slow and Steady</x:v>
      </x:c>
      <x:c r="G254" s="38" t="str">
        <x:v>silver</x:v>
      </x:c>
      <x:c r="H254" s="38" t="str">
        <x:v>medium</x:v>
      </x:c>
      <x:c r="I254" s="38" t="str">
        <x:v>weapon, damagereference, slowreference</x:v>
      </x:c>
      <x:c r="J254" s="38" t="n">
        <x:v>6</x:v>
      </x:c>
      <x:c r="K254" s="38" t="str">
        <x:v>trainer_adira, trainer_argenta, trainer_nufu, trainer_orlin, trainer_ryukon, trainer_slohmor-lumbra</x:v>
      </x:c>
      <x:c r="L254" s="38" t="n">
        <x:v>6</x:v>
      </x:c>
      <x:c r="M254" s="38" t="str">
        <x:v>elem_水, elem_雷, elem_龙, elem_无, role_坦克, role_经济</x:v>
      </x:c>
      <x:c r="N254" s="38" t="str">
        <x:v>Icy</x:v>
      </x:c>
      <x:c r="O254" s="38" t="str">
        <x:v>pal_253</x:v>
      </x:c>
      <x:c r="P254" s="38" t="str">
        <x:v>炎鳗精</x:v>
      </x:c>
      <x:c r="Q254" s="38" t="str">
        <x:v>https://bazaar-builds.net/db/skills/slow-and-steady.html</x:v>
      </x:c>
      <x:c r="R254" s="38" t="str">
        <x:v>when you slow, your weapons gain 2 / 4 / 6 damage for the fight.</x:v>
      </x:c>
      <x:c r="S254" s="38" t="str">
        <x:v>一对一确认来源对象。</x:v>
      </x:c>
    </x:row>
    <x:row r="255">
      <x:c r="A255" s="38" t="str">
        <x:v>bz_van_254</x:v>
      </x:c>
      <x:c r="B255" s="38" t="n">
        <x:v>254</x:v>
      </x:c>
      <x:c r="C255" s="38" t="str">
        <x:v>skill</x:v>
      </x:c>
      <x:c r="D255" s="38" t="str">
        <x:v>confirmed</x:v>
      </x:c>
      <x:c r="E255" s="38" t="str">
        <x:v>slow-burn</x:v>
      </x:c>
      <x:c r="F255" s="38" t="str">
        <x:v>Slow Burn</x:v>
      </x:c>
      <x:c r="G255" s="38" t="str">
        <x:v>gold</x:v>
      </x:c>
      <x:c r="H255" s="38" t="str">
        <x:v>medium</x:v>
      </x:c>
      <x:c r="I255" s="38" t="str">
        <x:v>charge, burnreference, slowreference</x:v>
      </x:c>
      <x:c r="J255" s="38" t="n">
        <x:v>6</x:v>
      </x:c>
      <x:c r="K255" s="38" t="str">
        <x:v>trainer_adira, trainer_malafang, trainer_nufu, trainer_orlin, trainer_slohmor-lumbra, trainer_zara</x:v>
      </x:c>
      <x:c r="L255" s="38" t="n">
        <x:v>6</x:v>
      </x:c>
      <x:c r="M255" s="38" t="str">
        <x:v>elem_水, elem_龙, elem_无, role_治疗, role_经济, special_merchant</x:v>
      </x:c>
      <x:c r="N255" s="38" t="str">
        <x:v>Fiery</x:v>
      </x:c>
      <x:c r="O255" s="38" t="str">
        <x:v>pal_254</x:v>
      </x:c>
      <x:c r="P255" s="38" t="str">
        <x:v>赤蟒王</x:v>
      </x:c>
      <x:c r="Q255" s="38" t="str">
        <x:v>https://bazaar-builds.net/db/skills/slow-burn.html</x:v>
      </x:c>
      <x:c r="R255" s="38" t="str">
        <x:v>the first 4 → 8 times you slow each fight, charge a burn item 1 second.</x:v>
      </x:c>
      <x:c r="S255" s="38" t="str">
        <x:v>一对一确认来源对象。</x:v>
      </x:c>
    </x:row>
    <x:row r="256">
      <x:c r="A256" s="38" t="str">
        <x:v>bz_van_255</x:v>
      </x:c>
      <x:c r="B256" s="38" t="n">
        <x:v>255</x:v>
      </x:c>
      <x:c r="C256" s="38" t="str">
        <x:v>skill</x:v>
      </x:c>
      <x:c r="D256" s="38" t="str">
        <x:v>confirmed</x:v>
      </x:c>
      <x:c r="E256" s="38" t="str">
        <x:v>slowed-targets</x:v>
      </x:c>
      <x:c r="F256" s="38" t="str">
        <x:v>Slowed Targets</x:v>
      </x:c>
      <x:c r="G256" s="38" t="str">
        <x:v>silver</x:v>
      </x:c>
      <x:c r="H256" s="38" t="str">
        <x:v>medium</x:v>
      </x:c>
      <x:c r="I256" s="38" t="str">
        <x:v>slowreference, crit</x:v>
      </x:c>
      <x:c r="J256" s="38" t="n">
        <x:v>6</x:v>
      </x:c>
      <x:c r="K256" s="38" t="str">
        <x:v>trainer_adira, trainer_argenta, trainer_nufu, trainer_orlin, trainer_slohmor-lumbra, trainer_vermir</x:v>
      </x:c>
      <x:c r="L256" s="38" t="n">
        <x:v>6</x:v>
      </x:c>
      <x:c r="M256" s="38" t="str">
        <x:v>elem_水, elem_雷, elem_龙, elem_无, role_召唤, role_经济</x:v>
      </x:c>
      <x:c r="N256" s="38" t="str">
        <x:v>Icy</x:v>
      </x:c>
      <x:c r="O256" s="38" t="str">
        <x:v>pal_255</x:v>
      </x:c>
      <x:c r="P256" s="38" t="str">
        <x:v>电蟒精</x:v>
      </x:c>
      <x:c r="Q256" s="38" t="str">
        <x:v>https://bazaar-builds.net/db/skills/slowed-targets.html</x:v>
      </x:c>
      <x:c r="R256" s="38" t="str">
        <x:v>when you slow, your items gain +1 / 2 / 3% crit chance for the fight.</x:v>
      </x:c>
      <x:c r="S256" s="38" t="str">
        <x:v>一对一确认来源对象。</x:v>
      </x:c>
    </x:row>
    <x:row r="257">
      <x:c r="A257" s="38" t="str">
        <x:v>bz_van_256</x:v>
      </x:c>
      <x:c r="B257" s="38" t="n">
        <x:v>256</x:v>
      </x:c>
      <x:c r="C257" s="38" t="str">
        <x:v>skill</x:v>
      </x:c>
      <x:c r="D257" s="38" t="str">
        <x:v>confirmed</x:v>
      </x:c>
      <x:c r="E257" s="38" t="str">
        <x:v>static-acceleration</x:v>
      </x:c>
      <x:c r="F257" s="38" t="str">
        <x:v>Static Acceleration</x:v>
      </x:c>
      <x:c r="G257" s="38" t="str">
        <x:v>silver</x:v>
      </x:c>
      <x:c r="H257" s="38" t="str">
        <x:v>medium</x:v>
      </x:c>
      <x:c r="I257" s="38" t="str">
        <x:v>hastereference, crit</x:v>
      </x:c>
      <x:c r="J257" s="38" t="n">
        <x:v>6</x:v>
      </x:c>
      <x:c r="K257" s="38" t="str">
        <x:v>trainer_adira, trainer_argenta, trainer_nufu, trainer_orlin, trainer_vermir, trainer_zara</x:v>
      </x:c>
      <x:c r="L257" s="38" t="n">
        <x:v>6</x:v>
      </x:c>
      <x:c r="M257" s="38" t="str">
        <x:v>elem_水, elem_雷, elem_龙, elem_无, role_召唤, special_merchant</x:v>
      </x:c>
      <x:c r="N257" s="38" t="str">
        <x:v>Turbo</x:v>
      </x:c>
      <x:c r="O257" s="38" t="str">
        <x:v>pal_256</x:v>
      </x:c>
      <x:c r="P257" s="38" t="str">
        <x:v>震隼将</x:v>
      </x:c>
      <x:c r="Q257" s="38" t="str">
        <x:v>https://bazaar-builds.net/db/skills/static-acceleration.html</x:v>
      </x:c>
      <x:c r="R257" s="38" t="str">
        <x:v>when you haste, your items gain +1 / 2 / 3% crit chance for the fight.</x:v>
      </x:c>
      <x:c r="S257" s="38" t="str">
        <x:v>一对一确认来源对象。</x:v>
      </x:c>
    </x:row>
    <x:row r="258">
      <x:c r="A258" s="38" t="str">
        <x:v>bz_van_257</x:v>
      </x:c>
      <x:c r="B258" s="38" t="n">
        <x:v>257</x:v>
      </x:c>
      <x:c r="C258" s="38" t="str">
        <x:v>skill</x:v>
      </x:c>
      <x:c r="D258" s="38" t="str">
        <x:v>confirmed</x:v>
      </x:c>
      <x:c r="E258" s="38" t="str">
        <x:v>steelstorm</x:v>
      </x:c>
      <x:c r="F258" s="38" t="str">
        <x:v>Steelstorm</x:v>
      </x:c>
      <x:c r="G258" s="38" t="str">
        <x:v>silver</x:v>
      </x:c>
      <x:c r="H258" s="38" t="str">
        <x:v>medium</x:v>
      </x:c>
      <x:c r="I258" s="38" t="str">
        <x:v>weapon, damagereference</x:v>
      </x:c>
      <x:c r="J258" s="38" t="n">
        <x:v>6</x:v>
      </x:c>
      <x:c r="K258" s="38" t="str">
        <x:v>trainer_adira, trainer_argenta, trainer_nufu, trainer_old-zane, trainer_orlin, trainer_ryukon</x:v>
      </x:c>
      <x:c r="L258" s="38" t="n">
        <x:v>6</x:v>
      </x:c>
      <x:c r="M258" s="38" t="str">
        <x:v>elem_水, elem_雷, elem_地, elem_龙, elem_无, role_坦克</x:v>
      </x:c>
      <x:c r="N258" s="38" t="str">
        <x:v>Deadly</x:v>
      </x:c>
      <x:c r="O258" s="38" t="str">
        <x:v>pal_257</x:v>
      </x:c>
      <x:c r="P258" s="38" t="str">
        <x:v>翠隼将</x:v>
      </x:c>
      <x:c r="Q258" s="38" t="str">
        <x:v>https://bazaar-builds.net/db/skills/steelstorm.html</x:v>
      </x:c>
      <x:c r="R258" s="38" t="str">
        <x:v>your weapons have +4 / 6 / 8 damage for each weapon you have.</x:v>
      </x:c>
      <x:c r="S258" s="38" t="str">
        <x:v>一对一确认来源对象。</x:v>
      </x:c>
    </x:row>
    <x:row r="259">
      <x:c r="A259" s="38" t="str">
        <x:v>bz_van_258</x:v>
      </x:c>
      <x:c r="B259" s="38" t="n">
        <x:v>258</x:v>
      </x:c>
      <x:c r="C259" s="38" t="str">
        <x:v>skill</x:v>
      </x:c>
      <x:c r="D259" s="38" t="str">
        <x:v>confirmed</x:v>
      </x:c>
      <x:c r="E259" s="38" t="str">
        <x:v>stop-that</x:v>
      </x:c>
      <x:c r="F259" s="38" t="str">
        <x:v>Stop That!</x:v>
      </x:c>
      <x:c r="G259" s="38" t="str">
        <x:v>silver</x:v>
      </x:c>
      <x:c r="H259" s="38" t="str">
        <x:v>medium</x:v>
      </x:c>
      <x:c r="I259" s="38" t="str">
        <x:v>slow</x:v>
      </x:c>
      <x:c r="J259" s="38" t="n">
        <x:v>5</x:v>
      </x:c>
      <x:c r="K259" s="38" t="str">
        <x:v>trainer_adira, trainer_argenta, trainer_nufu, trainer_orlin, trainer_slohmor-lumbra</x:v>
      </x:c>
      <x:c r="L259" s="38" t="n">
        <x:v>5</x:v>
      </x:c>
      <x:c r="M259" s="38" t="str">
        <x:v>elem_水, elem_雷, elem_龙, elem_无, role_经济</x:v>
      </x:c>
      <x:c r="N259" s="38" t="str">
        <x:v>Icy</x:v>
      </x:c>
      <x:c r="O259" s="38" t="str">
        <x:v>pal_258</x:v>
      </x:c>
      <x:c r="P259" s="38" t="str">
        <x:v>汐蝶精</x:v>
      </x:c>
      <x:c r="Q259" s="38" t="str">
        <x:v>https://bazaar-builds.net/db/skills/stop-that.html</x:v>
      </x:c>
      <x:c r="R259" s="38" t="str">
        <x:v>the first time you fall below half health each fight, slow all enemy items for 1 / 2 / 3 seconds.</x:v>
      </x:c>
      <x:c r="S259" s="38" t="str">
        <x:v>一对一确认来源对象。</x:v>
      </x:c>
    </x:row>
    <x:row r="260">
      <x:c r="A260" s="38" t="str">
        <x:v>bz_van_259</x:v>
      </x:c>
      <x:c r="B260" s="38" t="n">
        <x:v>259</x:v>
      </x:c>
      <x:c r="C260" s="38" t="str">
        <x:v>skill</x:v>
      </x:c>
      <x:c r="D260" s="38" t="str">
        <x:v>confirmed</x:v>
      </x:c>
      <x:c r="E260" s="38" t="str">
        <x:v>streamline-weapon</x:v>
      </x:c>
      <x:c r="F260" s="38" t="str">
        <x:v>Streamline Weapon</x:v>
      </x:c>
      <x:c r="G260" s="38" t="str">
        <x:v>silver</x:v>
      </x:c>
      <x:c r="H260" s="38" t="str">
        <x:v>medium</x:v>
      </x:c>
      <x:c r="I260" s="38" t="str">
        <x:v>weapon, damagereference, hastereference</x:v>
      </x:c>
      <x:c r="J260" s="38" t="n">
        <x:v>6</x:v>
      </x:c>
      <x:c r="K260" s="38" t="str">
        <x:v>trainer_adira, trainer_argenta, trainer_nufu, trainer_orlin, trainer_ryukon, trainer_zara</x:v>
      </x:c>
      <x:c r="L260" s="38" t="n">
        <x:v>6</x:v>
      </x:c>
      <x:c r="M260" s="38" t="str">
        <x:v>elem_水, elem_雷, elem_龙, elem_无, role_坦克, special_merchant</x:v>
      </x:c>
      <x:c r="N260" s="38" t="str">
        <x:v>Turbo</x:v>
      </x:c>
      <x:c r="O260" s="38" t="str">
        <x:v>pal_259</x:v>
      </x:c>
      <x:c r="P260" s="38" t="str">
        <x:v>朱雀妖</x:v>
      </x:c>
      <x:c r="Q260" s="38" t="str">
        <x:v>https://bazaar-builds.net/db/skills/streamline-weapon.html</x:v>
      </x:c>
      <x:c r="R260" s="38" t="str">
        <x:v>when one of your weapons is hasted, it gains +5 / 10 / 15 damage.</x:v>
      </x:c>
      <x:c r="S260" s="38" t="str">
        <x:v>一对一确认来源对象。</x:v>
      </x:c>
    </x:row>
    <x:row r="261">
      <x:c r="A261" s="38" t="str">
        <x:v>bz_van_260</x:v>
      </x:c>
      <x:c r="B261" s="38" t="n">
        <x:v>260</x:v>
      </x:c>
      <x:c r="C261" s="38" t="str">
        <x:v>skill</x:v>
      </x:c>
      <x:c r="D261" s="38" t="str">
        <x:v>confirmed</x:v>
      </x:c>
      <x:c r="E261" s="38" t="str">
        <x:v>strength</x:v>
      </x:c>
      <x:c r="F261" s="38" t="str">
        <x:v>Strength</x:v>
      </x:c>
      <x:c r="G261" s="38" t="str">
        <x:v>bronze</x:v>
      </x:c>
      <x:c r="H261" s="38" t="str">
        <x:v>medium</x:v>
      </x:c>
      <x:c r="I261" s="38" t="str">
        <x:v>weapon, damagereference</x:v>
      </x:c>
      <x:c r="J261" s="38" t="n">
        <x:v>5</x:v>
      </x:c>
      <x:c r="K261" s="38" t="str">
        <x:v>trainer_adira, trainer_argenta, trainer_nufu, trainer_orlin, trainer_ryukon</x:v>
      </x:c>
      <x:c r="L261" s="38" t="n">
        <x:v>5</x:v>
      </x:c>
      <x:c r="M261" s="38" t="str">
        <x:v>elem_水, elem_雷, elem_龙, elem_无, role_坦克</x:v>
      </x:c>
      <x:c r="N261" s="38" t="str">
        <x:v>Deadly</x:v>
      </x:c>
      <x:c r="O261" s="38" t="str">
        <x:v>pal_260</x:v>
      </x:c>
      <x:c r="P261" s="38" t="str">
        <x:v>云隼兽</x:v>
      </x:c>
      <x:c r="Q261" s="38" t="str">
        <x:v>https://bazaar-builds.net/db/skills/strength.html</x:v>
      </x:c>
      <x:c r="R261" s="38" t="str">
        <x:v>your weapons deal +5 / 10 / 15 / 20 damage.</x:v>
      </x:c>
      <x:c r="S261" s="38" t="str">
        <x:v>一对一确认来源对象。</x:v>
      </x:c>
    </x:row>
    <x:row r="262">
      <x:c r="A262" s="38" t="str">
        <x:v>bz_van_261</x:v>
      </x:c>
      <x:c r="B262" s="38" t="n">
        <x:v>261</x:v>
      </x:c>
      <x:c r="C262" s="38" t="str">
        <x:v>skill</x:v>
      </x:c>
      <x:c r="D262" s="38" t="str">
        <x:v>confirmed</x:v>
      </x:c>
      <x:c r="E262" s="38" t="str">
        <x:v>stunning-strike</x:v>
      </x:c>
      <x:c r="F262" s="38" t="str">
        <x:v>Stunning Strike</x:v>
      </x:c>
      <x:c r="G262" s="38" t="str">
        <x:v>silver</x:v>
      </x:c>
      <x:c r="H262" s="38" t="str">
        <x:v>medium</x:v>
      </x:c>
      <x:c r="I262" s="38" t="str">
        <x:v>critreference, freeze</x:v>
      </x:c>
      <x:c r="J262" s="38" t="n">
        <x:v>6</x:v>
      </x:c>
      <x:c r="K262" s="38" t="str">
        <x:v>trainer_adira, trainer_argenta, trainer_bjorn, trainer_nufu, trainer_orlin, trainer_vermir</x:v>
      </x:c>
      <x:c r="L262" s="38" t="n">
        <x:v>6</x:v>
      </x:c>
      <x:c r="M262" s="38" t="str">
        <x:v>elem_水, elem_雷, elem_龙, elem_无, role_召唤, role_控制</x:v>
      </x:c>
      <x:c r="N262" s="38" t="str">
        <x:v>Icy</x:v>
      </x:c>
      <x:c r="O262" s="38" t="str">
        <x:v>pal_261</x:v>
      </x:c>
      <x:c r="P262" s="38" t="str">
        <x:v>寒貂卫</x:v>
      </x:c>
      <x:c r="Q262" s="38" t="str">
        <x:v>https://bazaar-builds.net/db/skills/stunning-strike.html</x:v>
      </x:c>
      <x:c r="R262" s="38" t="str">
        <x:v>the first time you crit each fight, freeze an item for 3 / 4 / 5 seconds.</x:v>
      </x:c>
      <x:c r="S262" s="38" t="str">
        <x:v>一对一确认来源对象。</x:v>
      </x:c>
    </x:row>
    <x:row r="263">
      <x:c r="A263" s="38" t="str">
        <x:v>bz_van_262</x:v>
      </x:c>
      <x:c r="B263" s="38" t="n">
        <x:v>262</x:v>
      </x:c>
      <x:c r="C263" s="38" t="str">
        <x:v>skill</x:v>
      </x:c>
      <x:c r="D263" s="38" t="str">
        <x:v>confirmed</x:v>
      </x:c>
      <x:c r="E263" s="38" t="str">
        <x:v>submerged</x:v>
      </x:c>
      <x:c r="F263" s="38" t="str">
        <x:v>Submerged</x:v>
      </x:c>
      <x:c r="G263" s="38" t="str">
        <x:v>silver</x:v>
      </x:c>
      <x:c r="H263" s="38" t="str">
        <x:v>medium</x:v>
      </x:c>
      <x:c r="I263" s="38" t="str">
        <x:v>weapon, aquatic, damagereference, shieldreference</x:v>
      </x:c>
      <x:c r="J263" s="38" t="n">
        <x:v>7</x:v>
      </x:c>
      <x:c r="K263" s="38" t="str">
        <x:v>trainer_adira, trainer_argenta, trainer_fortis, trainer_nufu, trainer_old-zane, trainer_orlin, trainer_ryukon</x:v>
      </x:c>
      <x:c r="L263" s="38" t="n">
        <x:v>7</x:v>
      </x:c>
      <x:c r="M263" s="38" t="str">
        <x:v>elem_水, elem_雷, elem_地, elem_龙, elem_无, role_坦克, role_召唤铺场</x:v>
      </x:c>
      <x:c r="N263" s="38" t="str">
        <x:v>Shielded</x:v>
      </x:c>
      <x:c r="O263" s="38" t="str">
        <x:v>pal_262</x:v>
      </x:c>
      <x:c r="P263" s="38" t="str">
        <x:v>澜象将</x:v>
      </x:c>
      <x:c r="Q263" s="38" t="str">
        <x:v>https://bazaar-builds.net/db/skills/submerged.html</x:v>
      </x:c>
      <x:c r="R263" s="38" t="str">
        <x:v>your weapons have +3 / 6 / 9 damage for each aquatic item you have. your shield items have +3 / 6 / 9 shield for each aquatic item you have.</x:v>
      </x:c>
      <x:c r="S263" s="38" t="str">
        <x:v>一对一确认来源对象。</x:v>
      </x:c>
    </x:row>
    <x:row r="264">
      <x:c r="A264" s="38" t="str">
        <x:v>bz_van_263</x:v>
      </x:c>
      <x:c r="B264" s="38" t="n">
        <x:v>263</x:v>
      </x:c>
      <x:c r="C264" s="38" t="str">
        <x:v>skill</x:v>
      </x:c>
      <x:c r="D264" s="38" t="str">
        <x:v>confirmed</x:v>
      </x:c>
      <x:c r="E264" s="38" t="str">
        <x:v>supply-cache</x:v>
      </x:c>
      <x:c r="F264" s="38" t="str">
        <x:v>Supply Cache</x:v>
      </x:c>
      <x:c r="G264" s="38" t="str">
        <x:v>bronze</x:v>
      </x:c>
      <x:c r="H264" s="38" t="str">
        <x:v>medium</x:v>
      </x:c>
      <x:c r="I264" s="38" t="str"/>
      <x:c r="J264" s="38" t="n">
        <x:v>4</x:v>
      </x:c>
      <x:c r="K264" s="38" t="str">
        <x:v>trainer_adira, trainer_argenta, trainer_nufu, trainer_orlin</x:v>
      </x:c>
      <x:c r="L264" s="38" t="n">
        <x:v>4</x:v>
      </x:c>
      <x:c r="M264" s="38" t="str">
        <x:v>elem_水, elem_雷, elem_龙, elem_无</x:v>
      </x:c>
      <x:c r="N264" s="38" t="str">
        <x:v>Heavy</x:v>
      </x:c>
      <x:c r="O264" s="38" t="str">
        <x:v>pal_263</x:v>
      </x:c>
      <x:c r="P264" s="38" t="str">
        <x:v>沙鹰仔</x:v>
      </x:c>
      <x:c r="Q264" s="38" t="str">
        <x:v>https://bazaar-builds.net/db/skills/supply-cache.html</x:v>
      </x:c>
      <x:c r="R264" s="38" t="str">
        <x:v>at the start of each day, get a loot item.</x:v>
      </x:c>
      <x:c r="S264" s="38" t="str">
        <x:v>一对一确认来源对象。</x:v>
      </x:c>
    </x:row>
    <x:row r="265">
      <x:c r="A265" s="38" t="str">
        <x:v>bz_van_264</x:v>
      </x:c>
      <x:c r="B265" s="38" t="n">
        <x:v>264</x:v>
      </x:c>
      <x:c r="C265" s="38" t="str">
        <x:v>skill</x:v>
      </x:c>
      <x:c r="D265" s="38" t="str">
        <x:v>confirmed</x:v>
      </x:c>
      <x:c r="E265" s="38" t="str">
        <x:v>tempering</x:v>
      </x:c>
      <x:c r="F265" s="38" t="str">
        <x:v>Tempering</x:v>
      </x:c>
      <x:c r="G265" s="38" t="str">
        <x:v>silver</x:v>
      </x:c>
      <x:c r="H265" s="38" t="str">
        <x:v>medium</x:v>
      </x:c>
      <x:c r="I265" s="38" t="str">
        <x:v>weapon, damagereference</x:v>
      </x:c>
      <x:c r="J265" s="38" t="n">
        <x:v>5</x:v>
      </x:c>
      <x:c r="K265" s="38" t="str">
        <x:v>trainer_adira, trainer_argenta, trainer_nufu, trainer_orlin, trainer_ryukon</x:v>
      </x:c>
      <x:c r="L265" s="38" t="n">
        <x:v>5</x:v>
      </x:c>
      <x:c r="M265" s="38" t="str">
        <x:v>elem_水, elem_雷, elem_龙, elem_无, role_坦克</x:v>
      </x:c>
      <x:c r="N265" s="38" t="str">
        <x:v>Deadly</x:v>
      </x:c>
      <x:c r="O265" s="38" t="str">
        <x:v>pal_264</x:v>
      </x:c>
      <x:c r="P265" s="38" t="str">
        <x:v>蛟鲨精</x:v>
      </x:c>
      <x:c r="Q265" s="38" t="str">
        <x:v>https://bazaar-builds.net/db/skills/tempering.html</x:v>
      </x:c>
      <x:c r="R265" s="38" t="str">
        <x:v>when you use a weapon, it gains +3 / 6 / 9 damage for the fight.</x:v>
      </x:c>
      <x:c r="S265" s="38" t="str">
        <x:v>一对一确认来源对象。</x:v>
      </x:c>
    </x:row>
    <x:row r="266">
      <x:c r="A266" s="38" t="str">
        <x:v>bz_van_265</x:v>
      </x:c>
      <x:c r="B266" s="38" t="n">
        <x:v>265</x:v>
      </x:c>
      <x:c r="C266" s="38" t="str">
        <x:v>skill</x:v>
      </x:c>
      <x:c r="D266" s="38" t="str">
        <x:v>confirmed</x:v>
      </x:c>
      <x:c r="E266" s="38" t="str">
        <x:v>temporal-strike</x:v>
      </x:c>
      <x:c r="F266" s="38" t="str">
        <x:v>Temporal Strike</x:v>
      </x:c>
      <x:c r="G266" s="38" t="str">
        <x:v>gold</x:v>
      </x:c>
      <x:c r="H266" s="38" t="str">
        <x:v>medium</x:v>
      </x:c>
      <x:c r="I266" s="38" t="str">
        <x:v>weapon, slowreference, charge</x:v>
      </x:c>
      <x:c r="J266" s="38" t="n">
        <x:v>6</x:v>
      </x:c>
      <x:c r="K266" s="38" t="str">
        <x:v>trainer_adira, trainer_nufu, trainer_orlin, trainer_ryukon, trainer_slohmor-lumbra, trainer_zara</x:v>
      </x:c>
      <x:c r="L266" s="38" t="n">
        <x:v>6</x:v>
      </x:c>
      <x:c r="M266" s="38" t="str">
        <x:v>elem_水, elem_龙, elem_无, role_坦克, role_经济, special_merchant</x:v>
      </x:c>
      <x:c r="N266" s="38" t="str">
        <x:v>Icy</x:v>
      </x:c>
      <x:c r="O266" s="38" t="str">
        <x:v>pal_265</x:v>
      </x:c>
      <x:c r="P266" s="38" t="str">
        <x:v>电狐王</x:v>
      </x:c>
      <x:c r="Q266" s="38" t="str">
        <x:v>https://bazaar-builds.net/db/skills/temporal-strike.html</x:v>
      </x:c>
      <x:c r="R266" s="38" t="str">
        <x:v>the first 4 → 8 times you slow each fight, charge a weapon 1 second.</x:v>
      </x:c>
      <x:c r="S266" s="38" t="str">
        <x:v>一对一确认来源对象。</x:v>
      </x:c>
    </x:row>
    <x:row r="267">
      <x:c r="A267" s="38" t="str">
        <x:v>bz_van_266</x:v>
      </x:c>
      <x:c r="B267" s="38" t="n">
        <x:v>266</x:v>
      </x:c>
      <x:c r="C267" s="38" t="str">
        <x:v>skill</x:v>
      </x:c>
      <x:c r="D267" s="38" t="str">
        <x:v>confirmed</x:v>
      </x:c>
      <x:c r="E267" s="38" t="str">
        <x:v>the-best-defense</x:v>
      </x:c>
      <x:c r="F267" s="38" t="str">
        <x:v>The Best Defense</x:v>
      </x:c>
      <x:c r="G267" s="38" t="str">
        <x:v>silver</x:v>
      </x:c>
      <x:c r="H267" s="38" t="str">
        <x:v>medium</x:v>
      </x:c>
      <x:c r="I267" s="38" t="str">
        <x:v>weapon, damagereference</x:v>
      </x:c>
      <x:c r="J267" s="38" t="n">
        <x:v>6</x:v>
      </x:c>
      <x:c r="K267" s="38" t="str">
        <x:v>trainer_adira, trainer_argenta, trainer_nufu, trainer_old-zane, trainer_orlin, trainer_ryukon</x:v>
      </x:c>
      <x:c r="L267" s="38" t="n">
        <x:v>6</x:v>
      </x:c>
      <x:c r="M267" s="38" t="str">
        <x:v>elem_水, elem_雷, elem_地, elem_龙, elem_无, role_坦克</x:v>
      </x:c>
      <x:c r="N267" s="38" t="str">
        <x:v>Deadly</x:v>
      </x:c>
      <x:c r="O267" s="38" t="str">
        <x:v>pal_266</x:v>
      </x:c>
      <x:c r="P267" s="38" t="str">
        <x:v>沧狮将</x:v>
      </x:c>
      <x:c r="Q267" s="38" t="str">
        <x:v>https://bazaar-builds.net/db/skills/the-best-defense.html</x:v>
      </x:c>
      <x:c r="R267" s="38" t="str">
        <x:v>when you use a weapon, weapons adjacent to it gain +3 / 6 / 9 damage for the fight.</x:v>
      </x:c>
      <x:c r="S267" s="38" t="str">
        <x:v>一对一确认来源对象。</x:v>
      </x:c>
    </x:row>
    <x:row r="268">
      <x:c r="A268" s="38" t="str">
        <x:v>bz_van_267</x:v>
      </x:c>
      <x:c r="B268" s="38" t="n">
        <x:v>267</x:v>
      </x:c>
      <x:c r="C268" s="38" t="str">
        <x:v>skill</x:v>
      </x:c>
      <x:c r="D268" s="38" t="str">
        <x:v>confirmed</x:v>
      </x:c>
      <x:c r="E268" s="38" t="str">
        <x:v>tiny-dancer</x:v>
      </x:c>
      <x:c r="F268" s="38" t="str">
        <x:v>Tiny Dancer</x:v>
      </x:c>
      <x:c r="G268" s="38" t="str">
        <x:v>gold</x:v>
      </x:c>
      <x:c r="H268" s="38" t="str">
        <x:v>medium</x:v>
      </x:c>
      <x:c r="I268" s="38" t="str">
        <x:v>cooldown</x:v>
      </x:c>
      <x:c r="J268" s="38" t="n">
        <x:v>3</x:v>
      </x:c>
      <x:c r="K268" s="38" t="str">
        <x:v>trainer_adira, trainer_nufu, trainer_orlin</x:v>
      </x:c>
      <x:c r="L268" s="38" t="n">
        <x:v>3</x:v>
      </x:c>
      <x:c r="M268" s="38" t="str">
        <x:v>elem_水, elem_龙, elem_无</x:v>
      </x:c>
      <x:c r="N268" s="38" t="str">
        <x:v>Turbo</x:v>
      </x:c>
      <x:c r="O268" s="38" t="str">
        <x:v>pal_267</x:v>
      </x:c>
      <x:c r="P268" s="38" t="str">
        <x:v>炎鲭侯</x:v>
      </x:c>
      <x:c r="Q268" s="38" t="str">
        <x:v>https://bazaar-builds.net/db/skills/tiny-dancer.html</x:v>
      </x:c>
      <x:c r="R268" s="38" t="str">
        <x:v>if you have at least 7 items, your items' cooldowns are reduced by 5 → 10%.</x:v>
      </x:c>
      <x:c r="S268" s="38" t="str">
        <x:v>一对一确认来源对象。</x:v>
      </x:c>
    </x:row>
    <x:row r="269">
      <x:c r="A269" s="38" t="str">
        <x:v>bz_van_268</x:v>
      </x:c>
      <x:c r="B269" s="38" t="n">
        <x:v>268</x:v>
      </x:c>
      <x:c r="C269" s="38" t="str">
        <x:v>skill</x:v>
      </x:c>
      <x:c r="D269" s="38" t="str">
        <x:v>confirmed</x:v>
      </x:c>
      <x:c r="E269" s="38" t="str">
        <x:v>toughness</x:v>
      </x:c>
      <x:c r="F269" s="38" t="str">
        <x:v>Toughness</x:v>
      </x:c>
      <x:c r="G269" s="38" t="str">
        <x:v>bronze</x:v>
      </x:c>
      <x:c r="H269" s="38" t="str">
        <x:v>medium</x:v>
      </x:c>
      <x:c r="I269" s="38" t="str">
        <x:v>shieldreference</x:v>
      </x:c>
      <x:c r="J269" s="38" t="n">
        <x:v>5</x:v>
      </x:c>
      <x:c r="K269" s="38" t="str">
        <x:v>trainer_adira, trainer_argenta, trainer_fortis, trainer_nufu, trainer_orlin</x:v>
      </x:c>
      <x:c r="L269" s="38" t="n">
        <x:v>5</x:v>
      </x:c>
      <x:c r="M269" s="38" t="str">
        <x:v>elem_水, elem_雷, elem_龙, elem_无, role_召唤铺场</x:v>
      </x:c>
      <x:c r="N269" s="38" t="str">
        <x:v>Shielded</x:v>
      </x:c>
      <x:c r="O269" s="38" t="str">
        <x:v>pal_268</x:v>
      </x:c>
      <x:c r="P269" s="38" t="str">
        <x:v>石牦灵</x:v>
      </x:c>
      <x:c r="Q269" s="38" t="str">
        <x:v>https://bazaar-builds.net/db/skills/toughness.html</x:v>
      </x:c>
      <x:c r="R269" s="38" t="str">
        <x:v>your shield items have +5 / 10 / 15 / 20 shield.</x:v>
      </x:c>
      <x:c r="S269" s="38" t="str">
        <x:v>一对一确认来源对象。</x:v>
      </x:c>
    </x:row>
    <x:row r="270">
      <x:c r="A270" s="38" t="str">
        <x:v>bz_van_269</x:v>
      </x:c>
      <x:c r="B270" s="38" t="n">
        <x:v>269</x:v>
      </x:c>
      <x:c r="C270" s="38" t="str">
        <x:v>skill</x:v>
      </x:c>
      <x:c r="D270" s="38" t="str">
        <x:v>confirmed</x:v>
      </x:c>
      <x:c r="E270" s="38" t="str">
        <x:v>toxic-flame</x:v>
      </x:c>
      <x:c r="F270" s="38" t="str">
        <x:v>Toxic Flame</x:v>
      </x:c>
      <x:c r="G270" s="38" t="str">
        <x:v>silver</x:v>
      </x:c>
      <x:c r="H270" s="38" t="str">
        <x:v>medium</x:v>
      </x:c>
      <x:c r="I270" s="38" t="str">
        <x:v>poisonreference, burnreference</x:v>
      </x:c>
      <x:c r="J270" s="38" t="n">
        <x:v>6</x:v>
      </x:c>
      <x:c r="K270" s="38" t="str">
        <x:v>trainer_adira, trainer_argenta, trainer_malafang, trainer_nufu, trainer_orlin, trainer_professor-riggle</x:v>
      </x:c>
      <x:c r="L270" s="38" t="n">
        <x:v>6</x:v>
      </x:c>
      <x:c r="M270" s="38" t="str">
        <x:v>elem_水, elem_雷, elem_龙, elem_无, role_治疗, role_输出</x:v>
      </x:c>
      <x:c r="N270" s="38" t="str">
        <x:v>Fiery</x:v>
      </x:c>
      <x:c r="O270" s="38" t="str">
        <x:v>pal_269</x:v>
      </x:c>
      <x:c r="P270" s="38" t="str">
        <x:v>焰蝎妖</x:v>
      </x:c>
      <x:c r="Q270" s="38" t="str">
        <x:v>https://bazaar-builds.net/db/skills/toxic-flame.html</x:v>
      </x:c>
      <x:c r="R270" s="38" t="str">
        <x:v>when you burn, your poison items gain +1 / 2 / 3 poison for the fight.</x:v>
      </x:c>
      <x:c r="S270" s="38" t="str">
        <x:v>一对一确认来源对象。</x:v>
      </x:c>
    </x:row>
    <x:row r="271">
      <x:c r="A271" s="38" t="str">
        <x:v>bz_van_270</x:v>
      </x:c>
      <x:c r="B271" s="38" t="n">
        <x:v>270</x:v>
      </x:c>
      <x:c r="C271" s="38" t="str">
        <x:v>skill</x:v>
      </x:c>
      <x:c r="D271" s="38" t="str">
        <x:v>confirmed</x:v>
      </x:c>
      <x:c r="E271" s="38" t="str">
        <x:v>toxic-weapons</x:v>
      </x:c>
      <x:c r="F271" s="38" t="str">
        <x:v>Toxic Weapons</x:v>
      </x:c>
      <x:c r="G271" s="38" t="str">
        <x:v>silver</x:v>
      </x:c>
      <x:c r="H271" s="38" t="str">
        <x:v>medium</x:v>
      </x:c>
      <x:c r="I271" s="38" t="str">
        <x:v>weapon, poisonreference</x:v>
      </x:c>
      <x:c r="J271" s="38" t="n">
        <x:v>6</x:v>
      </x:c>
      <x:c r="K271" s="38" t="str">
        <x:v>trainer_adira, trainer_argenta, trainer_nufu, trainer_orlin, trainer_professor-riggle, trainer_ryukon</x:v>
      </x:c>
      <x:c r="L271" s="38" t="n">
        <x:v>6</x:v>
      </x:c>
      <x:c r="M271" s="38" t="str">
        <x:v>elem_水, elem_雷, elem_龙, elem_无, role_坦克, role_输出</x:v>
      </x:c>
      <x:c r="N271" s="38" t="str">
        <x:v>Toxic</x:v>
      </x:c>
      <x:c r="O271" s="38" t="str">
        <x:v>pal_270</x:v>
      </x:c>
      <x:c r="P271" s="38" t="str">
        <x:v>芽蛛将</x:v>
      </x:c>
      <x:c r="Q271" s="38" t="str">
        <x:v>https://bazaar-builds.net/db/skills/toxic-weapons.html</x:v>
      </x:c>
      <x:c r="R271" s="38" t="str">
        <x:v>your poison items have +2 / 3 / 4 poison for each weapon you have.</x:v>
      </x:c>
      <x:c r="S271" s="38" t="str">
        <x:v>一对一确认来源对象。</x:v>
      </x:c>
    </x:row>
    <x:row r="272">
      <x:c r="A272" s="38" t="str">
        <x:v>bz_van_271</x:v>
      </x:c>
      <x:c r="B272" s="38" t="n">
        <x:v>271</x:v>
      </x:c>
      <x:c r="C272" s="38" t="str">
        <x:v>skill</x:v>
      </x:c>
      <x:c r="D272" s="38" t="str">
        <x:v>confirmed</x:v>
      </x:c>
      <x:c r="E272" s="38" t="str">
        <x:v>toxicity</x:v>
      </x:c>
      <x:c r="F272" s="38" t="str">
        <x:v>Toxicity</x:v>
      </x:c>
      <x:c r="G272" s="38" t="str">
        <x:v>silver</x:v>
      </x:c>
      <x:c r="H272" s="38" t="str">
        <x:v>medium</x:v>
      </x:c>
      <x:c r="I272" s="38" t="str">
        <x:v>damagereference, poisonreference</x:v>
      </x:c>
      <x:c r="J272" s="38" t="n">
        <x:v>5</x:v>
      </x:c>
      <x:c r="K272" s="38" t="str">
        <x:v>trainer_adira, trainer_argenta, trainer_nufu, trainer_orlin, trainer_professor-riggle</x:v>
      </x:c>
      <x:c r="L272" s="38" t="n">
        <x:v>5</x:v>
      </x:c>
      <x:c r="M272" s="38" t="str">
        <x:v>elem_水, elem_雷, elem_龙, elem_无, role_输出</x:v>
      </x:c>
      <x:c r="N272" s="38" t="str">
        <x:v>Toxic</x:v>
      </x:c>
      <x:c r="O272" s="38" t="str">
        <x:v>pal_271</x:v>
      </x:c>
      <x:c r="P272" s="38" t="str">
        <x:v>青蛇将</x:v>
      </x:c>
      <x:c r="Q272" s="38" t="str">
        <x:v>https://bazaar-builds.net/db/skills/toxicity.html</x:v>
      </x:c>
      <x:c r="R272" s="38" t="str">
        <x:v>when you poison, your weapons gain 2 / 4 / 6 damage for the fight.</x:v>
      </x:c>
      <x:c r="S272" s="38" t="str">
        <x:v>一对一确认来源对象。</x:v>
      </x:c>
    </x:row>
    <x:row r="273">
      <x:c r="A273" s="38" t="str">
        <x:v>bz_van_272</x:v>
      </x:c>
      <x:c r="B273" s="38" t="n">
        <x:v>272</x:v>
      </x:c>
      <x:c r="C273" s="38" t="str">
        <x:v>skill</x:v>
      </x:c>
      <x:c r="D273" s="38" t="str">
        <x:v>confirmed</x:v>
      </x:c>
      <x:c r="E273" s="38" t="str">
        <x:v>toxin-injector</x:v>
      </x:c>
      <x:c r="F273" s="38" t="str">
        <x:v>Toxin Injector</x:v>
      </x:c>
      <x:c r="G273" s="38" t="str">
        <x:v>silver</x:v>
      </x:c>
      <x:c r="H273" s="38" t="str">
        <x:v>medium</x:v>
      </x:c>
      <x:c r="I273" s="38" t="str">
        <x:v>poisonreference, haste</x:v>
      </x:c>
      <x:c r="J273" s="38" t="n">
        <x:v>6</x:v>
      </x:c>
      <x:c r="K273" s="38" t="str">
        <x:v>trainer_adira, trainer_argenta, trainer_nufu, trainer_orlin, trainer_professor-riggle, trainer_zara</x:v>
      </x:c>
      <x:c r="L273" s="38" t="n">
        <x:v>6</x:v>
      </x:c>
      <x:c r="M273" s="38" t="str">
        <x:v>elem_水, elem_雷, elem_龙, elem_无, role_输出, special_merchant</x:v>
      </x:c>
      <x:c r="N273" s="38" t="str">
        <x:v>Toxic</x:v>
      </x:c>
      <x:c r="O273" s="38" t="str">
        <x:v>pal_272</x:v>
      </x:c>
      <x:c r="P273" s="38" t="str">
        <x:v>芽貂卫</x:v>
      </x:c>
      <x:c r="Q273" s="38" t="str">
        <x:v>https://bazaar-builds.net/db/skills/toxin-injector.html</x:v>
      </x:c>
      <x:c r="R273" s="38" t="str">
        <x:v>the first time you use an item each fight, haste 1 / 2 / 3 poison item(s) for 2 seconds.</x:v>
      </x:c>
      <x:c r="S273" s="38" t="str">
        <x:v>一对一确认来源对象。</x:v>
      </x:c>
    </x:row>
    <x:row r="274">
      <x:c r="A274" s="38" t="str">
        <x:v>bz_van_273</x:v>
      </x:c>
      <x:c r="B274" s="38" t="n">
        <x:v>273</x:v>
      </x:c>
      <x:c r="C274" s="38" t="str">
        <x:v>skill</x:v>
      </x:c>
      <x:c r="D274" s="38" t="str">
        <x:v>confirmed</x:v>
      </x:c>
      <x:c r="E274" s="38" t="str">
        <x:v>tracer-fire</x:v>
      </x:c>
      <x:c r="F274" s="38" t="str">
        <x:v>Tracer Fire</x:v>
      </x:c>
      <x:c r="G274" s="38" t="str">
        <x:v>silver</x:v>
      </x:c>
      <x:c r="H274" s="38" t="str">
        <x:v>medium</x:v>
      </x:c>
      <x:c r="I274" s="38" t="str">
        <x:v>burnreference, crit</x:v>
      </x:c>
      <x:c r="J274" s="38" t="n">
        <x:v>6</x:v>
      </x:c>
      <x:c r="K274" s="38" t="str">
        <x:v>trainer_adira, trainer_argenta, trainer_malafang, trainer_nufu, trainer_orlin, trainer_vermir</x:v>
      </x:c>
      <x:c r="L274" s="38" t="n">
        <x:v>6</x:v>
      </x:c>
      <x:c r="M274" s="38" t="str">
        <x:v>elem_水, elem_雷, elem_龙, elem_无, role_召唤, role_治疗</x:v>
      </x:c>
      <x:c r="N274" s="38" t="str">
        <x:v>Fiery</x:v>
      </x:c>
      <x:c r="O274" s="38" t="str">
        <x:v>pal_273</x:v>
      </x:c>
      <x:c r="P274" s="38" t="str">
        <x:v>燎鹰卫</x:v>
      </x:c>
      <x:c r="Q274" s="38" t="str">
        <x:v>https://bazaar-builds.net/db/skills/tracer-fire.html</x:v>
      </x:c>
      <x:c r="R274" s="38" t="str">
        <x:v>when you burn, your items gain +1 / 2 / 3% crit chance for the fight.</x:v>
      </x:c>
      <x:c r="S274" s="38" t="str">
        <x:v>一对一确认来源对象。</x:v>
      </x:c>
    </x:row>
    <x:row r="275">
      <x:c r="A275" s="38" t="str">
        <x:v>bz_van_274</x:v>
      </x:c>
      <x:c r="B275" s="38" t="n">
        <x:v>274</x:v>
      </x:c>
      <x:c r="C275" s="38" t="str">
        <x:v>skill</x:v>
      </x:c>
      <x:c r="D275" s="38" t="str">
        <x:v>confirmed</x:v>
      </x:c>
      <x:c r="E275" s="38" t="str">
        <x:v>venomous-blade</x:v>
      </x:c>
      <x:c r="F275" s="38" t="str">
        <x:v>Venomous Blade</x:v>
      </x:c>
      <x:c r="G275" s="38" t="str">
        <x:v>gold</x:v>
      </x:c>
      <x:c r="H275" s="38" t="str">
        <x:v>medium</x:v>
      </x:c>
      <x:c r="I275" s="38" t="str">
        <x:v>weapon, charge, poisonreference, damagereference</x:v>
      </x:c>
      <x:c r="J275" s="38" t="n">
        <x:v>6</x:v>
      </x:c>
      <x:c r="K275" s="38" t="str">
        <x:v>trainer_adira, trainer_nufu, trainer_orlin, trainer_professor-riggle, trainer_ryukon, trainer_zara</x:v>
      </x:c>
      <x:c r="L275" s="38" t="n">
        <x:v>6</x:v>
      </x:c>
      <x:c r="M275" s="38" t="str">
        <x:v>elem_水, elem_龙, elem_无, role_坦克, role_输出, special_merchant</x:v>
      </x:c>
      <x:c r="N275" s="38" t="str">
        <x:v>Toxic</x:v>
      </x:c>
      <x:c r="O275" s="38" t="str">
        <x:v>pal_274</x:v>
      </x:c>
      <x:c r="P275" s="38" t="str">
        <x:v>苔貂王</x:v>
      </x:c>
      <x:c r="Q275" s="38" t="str">
        <x:v>https://bazaar-builds.net/db/skills/venomous-blade.html</x:v>
      </x:c>
      <x:c r="R275" s="38" t="str">
        <x:v>the first 4 → 8 times you use a weapon each fight, charge a poison item 1 second.</x:v>
      </x:c>
      <x:c r="S275" s="38" t="str">
        <x:v>一对一确认来源对象。</x:v>
      </x:c>
    </x:row>
    <x:row r="276">
      <x:c r="A276" s="38" t="str">
        <x:v>bz_van_275</x:v>
      </x:c>
      <x:c r="B276" s="38" t="n">
        <x:v>275</x:v>
      </x:c>
      <x:c r="C276" s="38" t="str">
        <x:v>skill</x:v>
      </x:c>
      <x:c r="D276" s="38" t="str">
        <x:v>confirmed</x:v>
      </x:c>
      <x:c r="E276" s="38" t="str">
        <x:v>venomous-vitality</x:v>
      </x:c>
      <x:c r="F276" s="38" t="str">
        <x:v>Venomous Vitality</x:v>
      </x:c>
      <x:c r="G276" s="38" t="str">
        <x:v>diamond</x:v>
      </x:c>
      <x:c r="H276" s="38" t="str">
        <x:v>medium</x:v>
      </x:c>
      <x:c r="I276" s="38" t="str">
        <x:v>regen, poisonreference</x:v>
      </x:c>
      <x:c r="J276" s="38" t="n">
        <x:v>4</x:v>
      </x:c>
      <x:c r="K276" s="38" t="str">
        <x:v>trainer_adira, trainer_nufu, trainer_professor-riggle, trainer_regenald</x:v>
      </x:c>
      <x:c r="L276" s="38" t="n">
        <x:v>4</x:v>
      </x:c>
      <x:c r="M276" s="38" t="str">
        <x:v>elem_水, elem_龙, role_输出, tier_pT2</x:v>
      </x:c>
      <x:c r="N276" s="38" t="str">
        <x:v>Toxic</x:v>
      </x:c>
      <x:c r="O276" s="38" t="str">
        <x:v>pal_275</x:v>
      </x:c>
      <x:c r="P276" s="38" t="str">
        <x:v>青鹿祖</x:v>
      </x:c>
      <x:c r="Q276" s="38" t="str">
        <x:v>https://bazaar-builds.net/db/skills/venomous-vitality.html</x:v>
      </x:c>
      <x:c r="R276" s="38" t="str">
        <x:v>you have +regen equal to half the poison on an enemy.</x:v>
      </x:c>
      <x:c r="S276" s="38" t="str">
        <x:v>一对一确认来源对象。</x:v>
      </x:c>
    </x:row>
    <x:row r="277">
      <x:c r="A277" s="38" t="str">
        <x:v>bz_van_276</x:v>
      </x:c>
      <x:c r="B277" s="38" t="n">
        <x:v>276</x:v>
      </x:c>
      <x:c r="C277" s="38" t="str">
        <x:v>skill</x:v>
      </x:c>
      <x:c r="D277" s="38" t="str">
        <x:v>confirmed</x:v>
      </x:c>
      <x:c r="E277" s="38" t="str">
        <x:v>warm-hugs</x:v>
      </x:c>
      <x:c r="F277" s="38" t="str">
        <x:v>Warm Hugs</x:v>
      </x:c>
      <x:c r="G277" s="38" t="str">
        <x:v>silver</x:v>
      </x:c>
      <x:c r="H277" s="38" t="str">
        <x:v>medium</x:v>
      </x:c>
      <x:c r="I277" s="38" t="str">
        <x:v>friend, burn</x:v>
      </x:c>
      <x:c r="J277" s="38" t="n">
        <x:v>5</x:v>
      </x:c>
      <x:c r="K277" s="38" t="str">
        <x:v>trainer_adira, trainer_argenta, trainer_malafang, trainer_nufu, trainer_orlin</x:v>
      </x:c>
      <x:c r="L277" s="38" t="n">
        <x:v>5</x:v>
      </x:c>
      <x:c r="M277" s="38" t="str">
        <x:v>elem_水, elem_雷, elem_龙, elem_无, role_治疗</x:v>
      </x:c>
      <x:c r="N277" s="38" t="str">
        <x:v>Fiery</x:v>
      </x:c>
      <x:c r="O277" s="38" t="str">
        <x:v>pal_276</x:v>
      </x:c>
      <x:c r="P277" s="38" t="str">
        <x:v>焰蟾卫</x:v>
      </x:c>
      <x:c r="Q277" s="38" t="str">
        <x:v>https://bazaar-builds.net/db/skills/warm-hugs.html</x:v>
      </x:c>
      <x:c r="R277" s="38" t="str">
        <x:v>the first 4 / 8 / 12 times you use a friend each fight, burn 5.</x:v>
      </x:c>
      <x:c r="S277" s="38" t="str">
        <x:v>一对一确认来源对象。</x:v>
      </x:c>
    </x:row>
    <x:row r="278">
      <x:c r="A278" s="38" t="str">
        <x:v>bz_van_277</x:v>
      </x:c>
      <x:c r="B278" s="38" t="n">
        <x:v>277</x:v>
      </x:c>
      <x:c r="C278" s="38" t="str">
        <x:v>merchant_package</x:v>
      </x:c>
      <x:c r="D278" s="38" t="str">
        <x:v>confirmed</x:v>
      </x:c>
      <x:c r="E278" s="38" t="str">
        <x:v>package-f218t3kc5j6h9jfksw0pwqlwhp</x:v>
      </x:c>
      <x:c r="F278" s="38" t="str">
        <x:v>Chronos' Package</x:v>
      </x:c>
      <x:c r="G278" s="38" t="str">
        <x:v>silver</x:v>
      </x:c>
      <x:c r="H278" s="38" t="str">
        <x:v>Large</x:v>
      </x:c>
      <x:c r="I278" s="38" t="str">
        <x:v>package, large, silver, chronos</x:v>
      </x:c>
      <x:c r="J278" s="38" t="n">
        <x:v>2</x:v>
      </x:c>
      <x:c r="K278" s="38" t="str">
        <x:v>merchant_chronos, merchant_silvia</x:v>
      </x:c>
      <x:c r="L278" s="38" t="n">
        <x:v>2</x:v>
      </x:c>
      <x:c r="M278" s="38" t="str">
        <x:v>role_经济, elite_high</x:v>
      </x:c>
      <x:c r="N278" s="38" t="str">
        <x:v>Turbo</x:v>
      </x:c>
      <x:c r="O278" s="38" t="str">
        <x:v>pal_277</x:v>
      </x:c>
      <x:c r="P278" s="38" t="str">
        <x:v>克诺大兽</x:v>
      </x:c>
      <x:c r="Q278" s="38" t="str">
        <x:v>https://bazaardb.gg/card/f218t3kc5j6h9jfksw0pwqlwhp/Chronos'-Package</x:v>
      </x:c>
      <x:c r="R278" s="38" t="str">
        <x:v>When you sell this to Chronos, get an Enchanted large Haste item and 3 XP</x:v>
      </x:c>
      <x:c r="S278" s="38" t="str">
        <x:v>BazaarDB Patch 16.2 商人包卡；归属 Chronos，品质 白银，占格 Large。</x:v>
      </x:c>
    </x:row>
    <x:row r="279">
      <x:c r="A279" s="38" t="str">
        <x:v>bz_van_278</x:v>
      </x:c>
      <x:c r="B279" s="38" t="n">
        <x:v>278</x:v>
      </x:c>
      <x:c r="C279" s="38" t="str">
        <x:v>merchant_package</x:v>
      </x:c>
      <x:c r="D279" s="38" t="str">
        <x:v>confirmed</x:v>
      </x:c>
      <x:c r="E279" s="38" t="str">
        <x:v>package-ncgf4n4q63560gx7hxcfn9c505</x:v>
      </x:c>
      <x:c r="F279" s="38" t="str">
        <x:v>Chronos' Package</x:v>
      </x:c>
      <x:c r="G279" s="38" t="str">
        <x:v>gold</x:v>
      </x:c>
      <x:c r="H279" s="38" t="str">
        <x:v>Medium</x:v>
      </x:c>
      <x:c r="I279" s="38" t="str">
        <x:v>package, medium, gold, chronos</x:v>
      </x:c>
      <x:c r="J279" s="38" t="n">
        <x:v>2</x:v>
      </x:c>
      <x:c r="K279" s="38" t="str">
        <x:v>merchant_chronos, merchant_goldie</x:v>
      </x:c>
      <x:c r="L279" s="38" t="n">
        <x:v>2</x:v>
      </x:c>
      <x:c r="M279" s="38" t="str">
        <x:v>role_坦克, elite_high</x:v>
      </x:c>
      <x:c r="N279" s="38" t="str">
        <x:v>Turbo</x:v>
      </x:c>
      <x:c r="O279" s="38" t="str">
        <x:v>pal_278</x:v>
      </x:c>
      <x:c r="P279" s="38" t="str">
        <x:v>克诺中兽</x:v>
      </x:c>
      <x:c r="Q279" s="38" t="str">
        <x:v>https://bazaardb.gg/card/ncgf4n4q63560gx7hxcfn9c505/Chronos'-Package</x:v>
      </x:c>
      <x:c r="R279" s="38" t="str">
        <x:v>When you sell this to Chronos, get an Enchanted medium Haste item and 3 XP</x:v>
      </x:c>
      <x:c r="S279" s="38" t="str">
        <x:v>BazaarDB Patch 16.2 商人包卡；归属 Chronos，品质 黄金，占格 Medium。</x:v>
      </x:c>
    </x:row>
    <x:row r="280">
      <x:c r="A280" s="38" t="str">
        <x:v>bz_van_279</x:v>
      </x:c>
      <x:c r="B280" s="38" t="n">
        <x:v>279</x:v>
      </x:c>
      <x:c r="C280" s="38" t="str">
        <x:v>merchant_package</x:v>
      </x:c>
      <x:c r="D280" s="38" t="str">
        <x:v>confirmed</x:v>
      </x:c>
      <x:c r="E280" s="38" t="str">
        <x:v>package-1830w2cgyw37txgy21hdzb83p8d</x:v>
      </x:c>
      <x:c r="F280" s="38" t="str">
        <x:v>Chronos' Package</x:v>
      </x:c>
      <x:c r="G280" s="38" t="str">
        <x:v>gold</x:v>
      </x:c>
      <x:c r="H280" s="38" t="str">
        <x:v>Small</x:v>
      </x:c>
      <x:c r="I280" s="38" t="str">
        <x:v>package, small, gold, chronos</x:v>
      </x:c>
      <x:c r="J280" s="38" t="n">
        <x:v>2</x:v>
      </x:c>
      <x:c r="K280" s="38" t="str">
        <x:v>merchant_chronos, merchant_goldie</x:v>
      </x:c>
      <x:c r="L280" s="38" t="n">
        <x:v>2</x:v>
      </x:c>
      <x:c r="M280" s="38" t="str">
        <x:v>role_坦克, elite_high</x:v>
      </x:c>
      <x:c r="N280" s="38" t="str">
        <x:v>Turbo</x:v>
      </x:c>
      <x:c r="O280" s="38" t="str">
        <x:v>pal_279</x:v>
      </x:c>
      <x:c r="P280" s="38" t="str">
        <x:v>克诺小兽</x:v>
      </x:c>
      <x:c r="Q280" s="38" t="str">
        <x:v>https://bazaardb.gg/card/1830w2cgyw37txgy21hdzb83p8d/Chronos'-Package</x:v>
      </x:c>
      <x:c r="R280" s="38" t="str">
        <x:v>When you sell this to Chronos, get an Enchanted small Haste item and 3 XP</x:v>
      </x:c>
      <x:c r="S280" s="38" t="str">
        <x:v>BazaarDB Patch 16.2 商人包卡；归属 Chronos，品质 黄金，占格 Small。</x:v>
      </x:c>
    </x:row>
    <x:row r="281">
      <x:c r="A281" s="38" t="str">
        <x:v>bz_van_280</x:v>
      </x:c>
      <x:c r="B281" s="38" t="n">
        <x:v>280</x:v>
      </x:c>
      <x:c r="C281" s="38" t="str">
        <x:v>merchant_package</x:v>
      </x:c>
      <x:c r="D281" s="38" t="str">
        <x:v>confirmed</x:v>
      </x:c>
      <x:c r="E281" s="38" t="str">
        <x:v>package-wfcd4scmx9j3pkbmlz6pc03370</x:v>
      </x:c>
      <x:c r="F281" s="38" t="str">
        <x:v>Cobweb's Package</x:v>
      </x:c>
      <x:c r="G281" s="38" t="str">
        <x:v>gold</x:v>
      </x:c>
      <x:c r="H281" s="38" t="str">
        <x:v>Small</x:v>
      </x:c>
      <x:c r="I281" s="38" t="str">
        <x:v>package, small, gold, cobweb</x:v>
      </x:c>
      <x:c r="J281" s="38" t="n">
        <x:v>2</x:v>
      </x:c>
      <x:c r="K281" s="38" t="str">
        <x:v>merchant_cobweb, merchant_goldie</x:v>
      </x:c>
      <x:c r="L281" s="38" t="n">
        <x:v>2</x:v>
      </x:c>
      <x:c r="M281" s="38" t="str">
        <x:v>role_坦克, role_召唤铺场</x:v>
      </x:c>
      <x:c r="N281" s="38" t="str">
        <x:v>Icy</x:v>
      </x:c>
      <x:c r="O281" s="38" t="str">
        <x:v>pal_280</x:v>
      </x:c>
      <x:c r="P281" s="38" t="str">
        <x:v>蛛婆小兽</x:v>
      </x:c>
      <x:c r="Q281" s="38" t="str">
        <x:v>https://bazaardb.gg/card/wfcd4scmx9j3pkbmlz6pc03370/Cobweb's-Package</x:v>
      </x:c>
      <x:c r="R281" s="38" t="str">
        <x:v>When you sell this to Cobweb, get an Enchanted small Slow item and 3 XP</x:v>
      </x:c>
      <x:c r="S281" s="38" t="str">
        <x:v>BazaarDB Patch 16.2 商人包卡；归属 Cobweb，品质 黄金，占格 Small。</x:v>
      </x:c>
    </x:row>
    <x:row r="282">
      <x:c r="A282" s="38" t="str">
        <x:v>bz_van_281</x:v>
      </x:c>
      <x:c r="B282" s="38" t="n">
        <x:v>281</x:v>
      </x:c>
      <x:c r="C282" s="38" t="str">
        <x:v>merchant_package</x:v>
      </x:c>
      <x:c r="D282" s="38" t="str">
        <x:v>confirmed</x:v>
      </x:c>
      <x:c r="E282" s="38" t="str">
        <x:v>package-159tfz2f4t0mdw54lfcj7x055dm</x:v>
      </x:c>
      <x:c r="F282" s="38" t="str">
        <x:v>Cobweb's Package</x:v>
      </x:c>
      <x:c r="G282" s="38" t="str">
        <x:v>silver</x:v>
      </x:c>
      <x:c r="H282" s="38" t="str">
        <x:v>Large</x:v>
      </x:c>
      <x:c r="I282" s="38" t="str">
        <x:v>package, large, silver, cobweb</x:v>
      </x:c>
      <x:c r="J282" s="38" t="n">
        <x:v>2</x:v>
      </x:c>
      <x:c r="K282" s="38" t="str">
        <x:v>merchant_cobweb, merchant_silvia</x:v>
      </x:c>
      <x:c r="L282" s="38" t="n">
        <x:v>2</x:v>
      </x:c>
      <x:c r="M282" s="38" t="str">
        <x:v>role_经济, role_召唤铺场</x:v>
      </x:c>
      <x:c r="N282" s="38" t="str">
        <x:v>Icy</x:v>
      </x:c>
      <x:c r="O282" s="38" t="str">
        <x:v>pal_281</x:v>
      </x:c>
      <x:c r="P282" s="38" t="str">
        <x:v>蛛婆大兽</x:v>
      </x:c>
      <x:c r="Q282" s="38" t="str">
        <x:v>https://bazaardb.gg/card/159tfz2f4t0mdw54lfcj7x055dm/Cobweb's-Package</x:v>
      </x:c>
      <x:c r="R282" s="38" t="str">
        <x:v>When you sell this to Cobweb, get an Enchanted large Slow item and 3 XP</x:v>
      </x:c>
      <x:c r="S282" s="38" t="str">
        <x:v>BazaarDB Patch 16.2 商人包卡；归属 Cobweb，品质 白银，占格 Large。</x:v>
      </x:c>
    </x:row>
    <x:row r="283">
      <x:c r="A283" s="38" t="str">
        <x:v>bz_van_282</x:v>
      </x:c>
      <x:c r="B283" s="38" t="n">
        <x:v>282</x:v>
      </x:c>
      <x:c r="C283" s="38" t="str">
        <x:v>merchant_package</x:v>
      </x:c>
      <x:c r="D283" s="38" t="str">
        <x:v>confirmed</x:v>
      </x:c>
      <x:c r="E283" s="38" t="str">
        <x:v>package-163g8y2315csbbykvsbtl7sf0nc</x:v>
      </x:c>
      <x:c r="F283" s="38" t="str">
        <x:v>Cobweb's Package</x:v>
      </x:c>
      <x:c r="G283" s="38" t="str">
        <x:v>gold</x:v>
      </x:c>
      <x:c r="H283" s="38" t="str">
        <x:v>Medium</x:v>
      </x:c>
      <x:c r="I283" s="38" t="str">
        <x:v>package, medium, gold, cobweb</x:v>
      </x:c>
      <x:c r="J283" s="38" t="n">
        <x:v>2</x:v>
      </x:c>
      <x:c r="K283" s="38" t="str">
        <x:v>merchant_cobweb, merchant_goldie</x:v>
      </x:c>
      <x:c r="L283" s="38" t="n">
        <x:v>2</x:v>
      </x:c>
      <x:c r="M283" s="38" t="str">
        <x:v>role_坦克, role_召唤铺场</x:v>
      </x:c>
      <x:c r="N283" s="38" t="str">
        <x:v>Icy</x:v>
      </x:c>
      <x:c r="O283" s="38" t="str">
        <x:v>pal_282</x:v>
      </x:c>
      <x:c r="P283" s="38" t="str">
        <x:v>蛛婆中兽</x:v>
      </x:c>
      <x:c r="Q283" s="38" t="str">
        <x:v>https://bazaardb.gg/card/163g8y2315csbbykvsbtl7sf0nc/Cobweb's-Package</x:v>
      </x:c>
      <x:c r="R283" s="38" t="str">
        <x:v>When you sell this to Cobweb, get an Enchanted medium Slow item and 3 XP</x:v>
      </x:c>
      <x:c r="S283" s="38" t="str">
        <x:v>BazaarDB Patch 16.2 商人包卡；归属 Cobweb，品质 黄金，占格 Medium。</x:v>
      </x:c>
    </x:row>
    <x:row r="284">
      <x:c r="A284" s="38" t="str">
        <x:v>bz_van_283</x:v>
      </x:c>
      <x:c r="B284" s="38" t="n">
        <x:v>283</x:v>
      </x:c>
      <x:c r="C284" s="38" t="str">
        <x:v>merchant_package</x:v>
      </x:c>
      <x:c r="D284" s="38" t="str">
        <x:v>confirmed</x:v>
      </x:c>
      <x:c r="E284" s="38" t="str">
        <x:v>package-7m1snlcjqqvcxj06vmy1f7l8s</x:v>
      </x:c>
      <x:c r="F284" s="38" t="str">
        <x:v>Freiya's Package</x:v>
      </x:c>
      <x:c r="G284" s="38" t="str">
        <x:v>gold</x:v>
      </x:c>
      <x:c r="H284" s="38" t="str">
        <x:v>Small</x:v>
      </x:c>
      <x:c r="I284" s="38" t="str">
        <x:v>package, small, gold, freiya</x:v>
      </x:c>
      <x:c r="J284" s="38" t="n">
        <x:v>2</x:v>
      </x:c>
      <x:c r="K284" s="38" t="str">
        <x:v>merchant_freiya, merchant_goldie</x:v>
      </x:c>
      <x:c r="L284" s="38" t="n">
        <x:v>2</x:v>
      </x:c>
      <x:c r="M284" s="38" t="str">
        <x:v>role_坦克, role_风系牵制</x:v>
      </x:c>
      <x:c r="N284" s="38" t="str">
        <x:v>Icy</x:v>
      </x:c>
      <x:c r="O284" s="38" t="str">
        <x:v>pal_283</x:v>
      </x:c>
      <x:c r="P284" s="38" t="str">
        <x:v>芙蕾小兽</x:v>
      </x:c>
      <x:c r="Q284" s="38" t="str">
        <x:v>https://bazaardb.gg/card/7m1snlcjqqvcxj06vmy1f7l8s/Freiya's-Package</x:v>
      </x:c>
      <x:c r="R284" s="38" t="str">
        <x:v>When you sell this to Freiya, get an Enchanted small Freeze item and 3 XP</x:v>
      </x:c>
      <x:c r="S284" s="38" t="str">
        <x:v>BazaarDB Patch 16.2 商人包卡；归属 Freiya，品质 黄金，占格 Small。</x:v>
      </x:c>
    </x:row>
    <x:row r="285">
      <x:c r="A285" s="38" t="str">
        <x:v>bz_van_284</x:v>
      </x:c>
      <x:c r="B285" s="38" t="n">
        <x:v>284</x:v>
      </x:c>
      <x:c r="C285" s="38" t="str">
        <x:v>merchant_package</x:v>
      </x:c>
      <x:c r="D285" s="38" t="str">
        <x:v>confirmed</x:v>
      </x:c>
      <x:c r="E285" s="38" t="str">
        <x:v>package-131c1qvbbsys7vfkd0f02mdgs2v</x:v>
      </x:c>
      <x:c r="F285" s="38" t="str">
        <x:v>Freiya's Package</x:v>
      </x:c>
      <x:c r="G285" s="38" t="str">
        <x:v>silver</x:v>
      </x:c>
      <x:c r="H285" s="38" t="str">
        <x:v>Large</x:v>
      </x:c>
      <x:c r="I285" s="38" t="str">
        <x:v>package, large, silver, freiya</x:v>
      </x:c>
      <x:c r="J285" s="38" t="n">
        <x:v>2</x:v>
      </x:c>
      <x:c r="K285" s="38" t="str">
        <x:v>merchant_freiya, merchant_silvia</x:v>
      </x:c>
      <x:c r="L285" s="38" t="n">
        <x:v>2</x:v>
      </x:c>
      <x:c r="M285" s="38" t="str">
        <x:v>role_经济, role_风系牵制</x:v>
      </x:c>
      <x:c r="N285" s="38" t="str">
        <x:v>Icy</x:v>
      </x:c>
      <x:c r="O285" s="38" t="str">
        <x:v>pal_284</x:v>
      </x:c>
      <x:c r="P285" s="38" t="str">
        <x:v>芙蕾大兽</x:v>
      </x:c>
      <x:c r="Q285" s="38" t="str">
        <x:v>https://bazaardb.gg/card/131c1qvbbsys7vfkd0f02mdgs2v/Freiya's-Package</x:v>
      </x:c>
      <x:c r="R285" s="38" t="str">
        <x:v>When you sell this to Freiya, get an Enchanted large Freeze item and 3 XP</x:v>
      </x:c>
      <x:c r="S285" s="38" t="str">
        <x:v>BazaarDB Patch 16.2 商人包卡；归属 Freiya，品质 白银，占格 Large。</x:v>
      </x:c>
    </x:row>
    <x:row r="286">
      <x:c r="A286" s="38" t="str">
        <x:v>bz_van_285</x:v>
      </x:c>
      <x:c r="B286" s="38" t="n">
        <x:v>285</x:v>
      </x:c>
      <x:c r="C286" s="38" t="str">
        <x:v>merchant_package</x:v>
      </x:c>
      <x:c r="D286" s="38" t="str">
        <x:v>confirmed</x:v>
      </x:c>
      <x:c r="E286" s="38" t="str">
        <x:v>package-173tq0djxk84lwtsnmhmgf5shv4</x:v>
      </x:c>
      <x:c r="F286" s="38" t="str">
        <x:v>Freiya's Package</x:v>
      </x:c>
      <x:c r="G286" s="38" t="str">
        <x:v>gold</x:v>
      </x:c>
      <x:c r="H286" s="38" t="str">
        <x:v>Medium</x:v>
      </x:c>
      <x:c r="I286" s="38" t="str">
        <x:v>package, medium, gold, freiya</x:v>
      </x:c>
      <x:c r="J286" s="38" t="n">
        <x:v>2</x:v>
      </x:c>
      <x:c r="K286" s="38" t="str">
        <x:v>merchant_freiya, merchant_goldie</x:v>
      </x:c>
      <x:c r="L286" s="38" t="n">
        <x:v>2</x:v>
      </x:c>
      <x:c r="M286" s="38" t="str">
        <x:v>role_坦克, role_风系牵制</x:v>
      </x:c>
      <x:c r="N286" s="38" t="str">
        <x:v>Icy</x:v>
      </x:c>
      <x:c r="O286" s="38" t="str">
        <x:v>pal_285</x:v>
      </x:c>
      <x:c r="P286" s="38" t="str">
        <x:v>芙蕾中兽</x:v>
      </x:c>
      <x:c r="Q286" s="38" t="str">
        <x:v>https://bazaardb.gg/card/173tq0djxk84lwtsnmhmgf5shv4/Freiya's-Package</x:v>
      </x:c>
      <x:c r="R286" s="38" t="str">
        <x:v>When you sell this to Freiya, get an Enchanted medium Freeze item and 3 XP</x:v>
      </x:c>
      <x:c r="S286" s="38" t="str">
        <x:v>BazaarDB Patch 16.2 商人包卡；归属 Freiya，品质 黄金，占格 Medium。</x:v>
      </x:c>
    </x:row>
    <x:row r="287">
      <x:c r="A287" s="38" t="str">
        <x:v>bz_van_286</x:v>
      </x:c>
      <x:c r="B287" s="38" t="n">
        <x:v>286</x:v>
      </x:c>
      <x:c r="C287" s="38" t="str">
        <x:v>merchant_package</x:v>
      </x:c>
      <x:c r="D287" s="38" t="str">
        <x:v>confirmed</x:v>
      </x:c>
      <x:c r="E287" s="38" t="str">
        <x:v>package-h712blm38cpyypfd2vz1h41033</x:v>
      </x:c>
      <x:c r="F287" s="38" t="str">
        <x:v>Hef's Package</x:v>
      </x:c>
      <x:c r="G287" s="38" t="str">
        <x:v>gold</x:v>
      </x:c>
      <x:c r="H287" s="38" t="str">
        <x:v>Small</x:v>
      </x:c>
      <x:c r="I287" s="38" t="str">
        <x:v>package, small, gold, hef</x:v>
      </x:c>
      <x:c r="J287" s="38" t="n">
        <x:v>2</x:v>
      </x:c>
      <x:c r="K287" s="38" t="str">
        <x:v>merchant_hef, merchant_goldie</x:v>
      </x:c>
      <x:c r="L287" s="38" t="n">
        <x:v>2</x:v>
      </x:c>
      <x:c r="M287" s="38" t="str">
        <x:v>role_坦克, tier_pT2</x:v>
      </x:c>
      <x:c r="N287" s="38" t="str">
        <x:v>Fiery</x:v>
      </x:c>
      <x:c r="O287" s="38" t="str">
        <x:v>pal_286</x:v>
      </x:c>
      <x:c r="P287" s="38" t="str">
        <x:v>赫夫小兽</x:v>
      </x:c>
      <x:c r="Q287" s="38" t="str">
        <x:v>https://bazaardb.gg/card/h712blm38cpyypfd2vz1h41033/Hef's-Package</x:v>
      </x:c>
      <x:c r="R287" s="38" t="str">
        <x:v>When you sell this to Hef, get an Enchanted small Burn item and 3 XP</x:v>
      </x:c>
      <x:c r="S287" s="38" t="str">
        <x:v>BazaarDB Patch 16.2 商人包卡；归属 Hef，品质 黄金，占格 Small。</x:v>
      </x:c>
    </x:row>
    <x:row r="288">
      <x:c r="A288" s="38" t="str">
        <x:v>bz_van_287</x:v>
      </x:c>
      <x:c r="B288" s="38" t="n">
        <x:v>287</x:v>
      </x:c>
      <x:c r="C288" s="38" t="str">
        <x:v>merchant_package</x:v>
      </x:c>
      <x:c r="D288" s="38" t="str">
        <x:v>confirmed</x:v>
      </x:c>
      <x:c r="E288" s="38" t="str">
        <x:v>package-sv9f3flz5w0n52y0vsc0wh9wng</x:v>
      </x:c>
      <x:c r="F288" s="38" t="str">
        <x:v>Hef's Package</x:v>
      </x:c>
      <x:c r="G288" s="38" t="str">
        <x:v>gold</x:v>
      </x:c>
      <x:c r="H288" s="38" t="str">
        <x:v>Medium</x:v>
      </x:c>
      <x:c r="I288" s="38" t="str">
        <x:v>package, medium, gold, hef</x:v>
      </x:c>
      <x:c r="J288" s="38" t="n">
        <x:v>2</x:v>
      </x:c>
      <x:c r="K288" s="38" t="str">
        <x:v>merchant_hef, merchant_goldie</x:v>
      </x:c>
      <x:c r="L288" s="38" t="n">
        <x:v>2</x:v>
      </x:c>
      <x:c r="M288" s="38" t="str">
        <x:v>role_坦克, tier_pT2</x:v>
      </x:c>
      <x:c r="N288" s="38" t="str">
        <x:v>Fiery</x:v>
      </x:c>
      <x:c r="O288" s="38" t="str">
        <x:v>pal_287</x:v>
      </x:c>
      <x:c r="P288" s="38" t="str">
        <x:v>赫夫中兽</x:v>
      </x:c>
      <x:c r="Q288" s="38" t="str">
        <x:v>https://bazaardb.gg/card/sv9f3flz5w0n52y0vsc0wh9wng/Hef's-Package</x:v>
      </x:c>
      <x:c r="R288" s="38" t="str">
        <x:v>When you sell this to Hef, get an Enchanted medium Burn item and 3 XP</x:v>
      </x:c>
      <x:c r="S288" s="38" t="str">
        <x:v>BazaarDB Patch 16.2 商人包卡；归属 Hef，品质 黄金，占格 Medium。</x:v>
      </x:c>
    </x:row>
    <x:row r="289">
      <x:c r="A289" s="38" t="str">
        <x:v>bz_van_288</x:v>
      </x:c>
      <x:c r="B289" s="38" t="n">
        <x:v>288</x:v>
      </x:c>
      <x:c r="C289" s="38" t="str">
        <x:v>merchant_package</x:v>
      </x:c>
      <x:c r="D289" s="38" t="str">
        <x:v>confirmed</x:v>
      </x:c>
      <x:c r="E289" s="38" t="str">
        <x:v>package-1248d5kqswqgq2vl3508qtb008m</x:v>
      </x:c>
      <x:c r="F289" s="38" t="str">
        <x:v>Hef's Package</x:v>
      </x:c>
      <x:c r="G289" s="38" t="str">
        <x:v>silver</x:v>
      </x:c>
      <x:c r="H289" s="38" t="str">
        <x:v>Large</x:v>
      </x:c>
      <x:c r="I289" s="38" t="str">
        <x:v>package, large, silver, hef</x:v>
      </x:c>
      <x:c r="J289" s="38" t="n">
        <x:v>2</x:v>
      </x:c>
      <x:c r="K289" s="38" t="str">
        <x:v>merchant_hef, merchant_silvia</x:v>
      </x:c>
      <x:c r="L289" s="38" t="n">
        <x:v>2</x:v>
      </x:c>
      <x:c r="M289" s="38" t="str">
        <x:v>role_经济, tier_pT2</x:v>
      </x:c>
      <x:c r="N289" s="38" t="str">
        <x:v>Fiery</x:v>
      </x:c>
      <x:c r="O289" s="38" t="str">
        <x:v>pal_288</x:v>
      </x:c>
      <x:c r="P289" s="38" t="str">
        <x:v>赫夫大兽</x:v>
      </x:c>
      <x:c r="Q289" s="38" t="str">
        <x:v>https://bazaardb.gg/card/1248d5kqswqgq2vl3508qtb008m/Hef's-Package</x:v>
      </x:c>
      <x:c r="R289" s="38" t="str">
        <x:v>When you sell this to Hef, get an Enchanted large Burn item and 3 XP</x:v>
      </x:c>
      <x:c r="S289" s="38" t="str">
        <x:v>BazaarDB Patch 16.2 商人包卡；归属 Hef，品质 白银，占格 Large。</x:v>
      </x:c>
    </x:row>
    <x:row r="290">
      <x:c r="A290" s="38" t="str">
        <x:v>bz_van_289</x:v>
      </x:c>
      <x:c r="B290" s="38" t="n">
        <x:v>289</x:v>
      </x:c>
      <x:c r="C290" s="38" t="str">
        <x:v>merchant_package</x:v>
      </x:c>
      <x:c r="D290" s="38" t="str">
        <x:v>confirmed</x:v>
      </x:c>
      <x:c r="E290" s="38" t="str">
        <x:v>package-j6qx837pfswxzqc4ww2dc8cn26</x:v>
      </x:c>
      <x:c r="F290" s="38" t="str">
        <x:v>Knightshade's Package</x:v>
      </x:c>
      <x:c r="G290" s="38" t="str">
        <x:v>silver</x:v>
      </x:c>
      <x:c r="H290" s="38" t="str">
        <x:v>Large</x:v>
      </x:c>
      <x:c r="I290" s="38" t="str">
        <x:v>package, large, silver, knightshade</x:v>
      </x:c>
      <x:c r="J290" s="38" t="n">
        <x:v>2</x:v>
      </x:c>
      <x:c r="K290" s="38" t="str">
        <x:v>merchant_knightshade, merchant_silvia</x:v>
      </x:c>
      <x:c r="L290" s="38" t="n">
        <x:v>2</x:v>
      </x:c>
      <x:c r="M290" s="38" t="str">
        <x:v>role_经济, role_火系压制</x:v>
      </x:c>
      <x:c r="N290" s="38" t="str">
        <x:v>Toxic</x:v>
      </x:c>
      <x:c r="O290" s="38" t="str">
        <x:v>pal_289</x:v>
      </x:c>
      <x:c r="P290" s="38" t="str">
        <x:v>夜爵大兽</x:v>
      </x:c>
      <x:c r="Q290" s="38" t="str">
        <x:v>https://bazaardb.gg/card/j6qx837pfswxzqc4ww2dc8cn26/Knightshade's-Package</x:v>
      </x:c>
      <x:c r="R290" s="38" t="str">
        <x:v>When you sell this to Knightshade, get an Enchanted large Poison item and 3 XP</x:v>
      </x:c>
      <x:c r="S290" s="38" t="str">
        <x:v>BazaarDB Patch 16.2 商人包卡；归属 Knightshade，品质 白银，占格 Large。</x:v>
      </x:c>
    </x:row>
    <x:row r="291">
      <x:c r="A291" s="38" t="str">
        <x:v>bz_van_290</x:v>
      </x:c>
      <x:c r="B291" s="38" t="n">
        <x:v>290</x:v>
      </x:c>
      <x:c r="C291" s="38" t="str">
        <x:v>merchant_package</x:v>
      </x:c>
      <x:c r="D291" s="38" t="str">
        <x:v>confirmed</x:v>
      </x:c>
      <x:c r="E291" s="38" t="str">
        <x:v>package-12nhmjmcp091f2ygsldzhmhz98s</x:v>
      </x:c>
      <x:c r="F291" s="38" t="str">
        <x:v>Knightshade's Package</x:v>
      </x:c>
      <x:c r="G291" s="38" t="str">
        <x:v>gold</x:v>
      </x:c>
      <x:c r="H291" s="38" t="str">
        <x:v>Small</x:v>
      </x:c>
      <x:c r="I291" s="38" t="str">
        <x:v>package, small, gold, knightshade</x:v>
      </x:c>
      <x:c r="J291" s="38" t="n">
        <x:v>2</x:v>
      </x:c>
      <x:c r="K291" s="38" t="str">
        <x:v>merchant_knightshade, merchant_goldie</x:v>
      </x:c>
      <x:c r="L291" s="38" t="n">
        <x:v>2</x:v>
      </x:c>
      <x:c r="M291" s="38" t="str">
        <x:v>role_坦克, role_火系压制</x:v>
      </x:c>
      <x:c r="N291" s="38" t="str">
        <x:v>Toxic</x:v>
      </x:c>
      <x:c r="O291" s="38" t="str">
        <x:v>pal_290</x:v>
      </x:c>
      <x:c r="P291" s="38" t="str">
        <x:v>夜爵小兽</x:v>
      </x:c>
      <x:c r="Q291" s="38" t="str">
        <x:v>https://bazaardb.gg/card/12nhmjmcp091f2ygsldzhmhz98s/Knightshade's-Package</x:v>
      </x:c>
      <x:c r="R291" s="38" t="str">
        <x:v>When you sell this to Knightshade, get an Enchanted small Poison item and 3 XP</x:v>
      </x:c>
      <x:c r="S291" s="38" t="str">
        <x:v>BazaarDB Patch 16.2 商人包卡；归属 Knightshade，品质 黄金，占格 Small。</x:v>
      </x:c>
    </x:row>
    <x:row r="292">
      <x:c r="A292" s="38" t="str">
        <x:v>bz_van_291</x:v>
      </x:c>
      <x:c r="B292" s="38" t="n">
        <x:v>291</x:v>
      </x:c>
      <x:c r="C292" s="38" t="str">
        <x:v>merchant_package</x:v>
      </x:c>
      <x:c r="D292" s="38" t="str">
        <x:v>confirmed</x:v>
      </x:c>
      <x:c r="E292" s="38" t="str">
        <x:v>package-16thw896fbtb1bbcgxdvdvyfjxj</x:v>
      </x:c>
      <x:c r="F292" s="38" t="str">
        <x:v>Knightshade's Package</x:v>
      </x:c>
      <x:c r="G292" s="38" t="str">
        <x:v>gold</x:v>
      </x:c>
      <x:c r="H292" s="38" t="str">
        <x:v>Medium</x:v>
      </x:c>
      <x:c r="I292" s="38" t="str">
        <x:v>package, medium, gold, knightshade</x:v>
      </x:c>
      <x:c r="J292" s="38" t="n">
        <x:v>2</x:v>
      </x:c>
      <x:c r="K292" s="38" t="str">
        <x:v>merchant_knightshade, merchant_goldie</x:v>
      </x:c>
      <x:c r="L292" s="38" t="n">
        <x:v>2</x:v>
      </x:c>
      <x:c r="M292" s="38" t="str">
        <x:v>role_坦克, role_火系压制</x:v>
      </x:c>
      <x:c r="N292" s="38" t="str">
        <x:v>Toxic</x:v>
      </x:c>
      <x:c r="O292" s="38" t="str">
        <x:v>pal_291</x:v>
      </x:c>
      <x:c r="P292" s="38" t="str">
        <x:v>夜爵中兽</x:v>
      </x:c>
      <x:c r="Q292" s="38" t="str">
        <x:v>https://bazaardb.gg/card/16thw896fbtb1bbcgxdvdvyfjxj/Knightshade's-Package</x:v>
      </x:c>
      <x:c r="R292" s="38" t="str">
        <x:v>When you sell this to Knightshade, get an Enchanted medium Poison item and 3 XP</x:v>
      </x:c>
      <x:c r="S292" s="38" t="str">
        <x:v>BazaarDB Patch 16.2 商人包卡；归属 Knightshade，品质 黄金，占格 Medium。</x:v>
      </x:c>
    </x:row>
    <x:row r="293">
      <x:c r="A293" s="38" t="str">
        <x:v>bz_van_292</x:v>
      </x:c>
      <x:c r="B293" s="38" t="n">
        <x:v>292</x:v>
      </x:c>
      <x:c r="C293" s="38" t="str">
        <x:v>merchant_package</x:v>
      </x:c>
      <x:c r="D293" s="38" t="str">
        <x:v>confirmed</x:v>
      </x:c>
      <x:c r="E293" s="38" t="str">
        <x:v>package-50gcjjwth8xgyj90vt55mkmgqd</x:v>
      </x:c>
      <x:c r="F293" s="38" t="str">
        <x:v>Serafina's Package</x:v>
      </x:c>
      <x:c r="G293" s="38" t="str">
        <x:v>gold</x:v>
      </x:c>
      <x:c r="H293" s="38" t="str">
        <x:v>Small</x:v>
      </x:c>
      <x:c r="I293" s="38" t="str">
        <x:v>package, small, gold, serafina</x:v>
      </x:c>
      <x:c r="J293" s="38" t="n">
        <x:v>2</x:v>
      </x:c>
      <x:c r="K293" s="38" t="str">
        <x:v>merchant_serafina, merchant_goldie</x:v>
      </x:c>
      <x:c r="L293" s="38" t="n">
        <x:v>2</x:v>
      </x:c>
      <x:c r="M293" s="38" t="str">
        <x:v>role_坦克, role_治疗</x:v>
      </x:c>
      <x:c r="N293" s="38" t="str">
        <x:v>Golden</x:v>
      </x:c>
      <x:c r="O293" s="38" t="str">
        <x:v>pal_292</x:v>
      </x:c>
      <x:c r="P293" s="38" t="str">
        <x:v>瑟菲小兽</x:v>
      </x:c>
      <x:c r="Q293" s="38" t="str">
        <x:v>https://bazaardb.gg/card/50gcjjwth8xgyj90vt55mkmgqd/Serafina's-Package</x:v>
      </x:c>
      <x:c r="R293" s="38" t="str">
        <x:v>When you sell this to Serafina, get an Enchanted small Enchanted item and 3 XP</x:v>
      </x:c>
      <x:c r="S293" s="38" t="str">
        <x:v>BazaarDB Patch 16.2 商人包卡；归属 Serafina，品质 黄金，占格 Small。</x:v>
      </x:c>
    </x:row>
    <x:row r="294">
      <x:c r="A294" s="38" t="str">
        <x:v>bz_van_293</x:v>
      </x:c>
      <x:c r="B294" s="38" t="n">
        <x:v>293</x:v>
      </x:c>
      <x:c r="C294" s="38" t="str">
        <x:v>merchant_package</x:v>
      </x:c>
      <x:c r="D294" s="38" t="str">
        <x:v>confirmed</x:v>
      </x:c>
      <x:c r="E294" s="38" t="str">
        <x:v>package-cy4hpgy1y2xnym63yvwg071mzw</x:v>
      </x:c>
      <x:c r="F294" s="38" t="str">
        <x:v>Serafina's Package</x:v>
      </x:c>
      <x:c r="G294" s="38" t="str">
        <x:v>silver</x:v>
      </x:c>
      <x:c r="H294" s="38" t="str">
        <x:v>Large</x:v>
      </x:c>
      <x:c r="I294" s="38" t="str">
        <x:v>package, large, silver, serafina</x:v>
      </x:c>
      <x:c r="J294" s="38" t="n">
        <x:v>2</x:v>
      </x:c>
      <x:c r="K294" s="38" t="str">
        <x:v>merchant_serafina, merchant_silvia</x:v>
      </x:c>
      <x:c r="L294" s="38" t="n">
        <x:v>2</x:v>
      </x:c>
      <x:c r="M294" s="38" t="str">
        <x:v>role_治疗, role_经济</x:v>
      </x:c>
      <x:c r="N294" s="38" t="str">
        <x:v>Golden</x:v>
      </x:c>
      <x:c r="O294" s="38" t="str">
        <x:v>pal_293</x:v>
      </x:c>
      <x:c r="P294" s="38" t="str">
        <x:v>瑟菲大兽</x:v>
      </x:c>
      <x:c r="Q294" s="38" t="str">
        <x:v>https://bazaardb.gg/card/cy4hpgy1y2xnym63yvwg071mzw/Serafina's-Package</x:v>
      </x:c>
      <x:c r="R294" s="38" t="str">
        <x:v>When you sell this to Serafina, get an Enchanted large Enchanted item and 3 XP</x:v>
      </x:c>
      <x:c r="S294" s="38" t="str">
        <x:v>BazaarDB Patch 16.2 商人包卡；归属 Serafina，品质 白银，占格 Large。</x:v>
      </x:c>
    </x:row>
    <x:row r="295">
      <x:c r="A295" s="38" t="str">
        <x:v>bz_van_294</x:v>
      </x:c>
      <x:c r="B295" s="38" t="n">
        <x:v>294</x:v>
      </x:c>
      <x:c r="C295" s="38" t="str">
        <x:v>merchant_package</x:v>
      </x:c>
      <x:c r="D295" s="38" t="str">
        <x:v>confirmed</x:v>
      </x:c>
      <x:c r="E295" s="38" t="str">
        <x:v>package-f6lwwcfwd4xqcvjv5px15lhq13</x:v>
      </x:c>
      <x:c r="F295" s="38" t="str">
        <x:v>Serafina's Package</x:v>
      </x:c>
      <x:c r="G295" s="38" t="str">
        <x:v>gold</x:v>
      </x:c>
      <x:c r="H295" s="38" t="str">
        <x:v>Medium</x:v>
      </x:c>
      <x:c r="I295" s="38" t="str">
        <x:v>package, medium, gold, serafina</x:v>
      </x:c>
      <x:c r="J295" s="38" t="n">
        <x:v>2</x:v>
      </x:c>
      <x:c r="K295" s="38" t="str">
        <x:v>merchant_serafina, merchant_goldie</x:v>
      </x:c>
      <x:c r="L295" s="38" t="n">
        <x:v>2</x:v>
      </x:c>
      <x:c r="M295" s="38" t="str">
        <x:v>role_坦克, role_治疗</x:v>
      </x:c>
      <x:c r="N295" s="38" t="str">
        <x:v>Golden</x:v>
      </x:c>
      <x:c r="O295" s="38" t="str">
        <x:v>pal_294</x:v>
      </x:c>
      <x:c r="P295" s="38" t="str">
        <x:v>瑟菲中兽</x:v>
      </x:c>
      <x:c r="Q295" s="38" t="str">
        <x:v>https://bazaardb.gg/card/f6lwwcfwd4xqcvjv5px15lhq13/Serafina's-Package</x:v>
      </x:c>
      <x:c r="R295" s="38" t="str">
        <x:v>When you sell this to Serafina, get an Enchanted medium Enchanted item and 3 XP</x:v>
      </x:c>
      <x:c r="S295" s="38" t="str">
        <x:v>BazaarDB Patch 16.2 商人包卡；归属 Serafina，品质 黄金，占格 Medium。</x:v>
      </x:c>
    </x:row>
    <x:row r="296">
      <x:c r="A296" s="38" t="str">
        <x:v>bz_van_295</x:v>
      </x:c>
      <x:c r="B296" s="38" t="n">
        <x:v>295</x:v>
      </x:c>
      <x:c r="C296" s="38" t="str">
        <x:v>merchant_package</x:v>
      </x:c>
      <x:c r="D296" s="38" t="str">
        <x:v>confirmed</x:v>
      </x:c>
      <x:c r="E296" s="38" t="str">
        <x:v>package-426bb3vg2yty1v7mymfp2ghb6m</x:v>
      </x:c>
      <x:c r="F296" s="38" t="str">
        <x:v>凯夫军械库的包裹</x:v>
      </x:c>
      <x:c r="G296" s="38" t="str">
        <x:v>bronze</x:v>
      </x:c>
      <x:c r="H296" s="38" t="str">
        <x:v>Medium</x:v>
      </x:c>
      <x:c r="I296" s="38" t="str">
        <x:v>package, medium, bronze, kev-s-armory</x:v>
      </x:c>
      <x:c r="J296" s="38" t="n">
        <x:v>2</x:v>
      </x:c>
      <x:c r="K296" s="38" t="str">
        <x:v>merchant_kev-s-armory, merchant_curio</x:v>
      </x:c>
      <x:c r="L296" s="38" t="n">
        <x:v>2</x:v>
      </x:c>
      <x:c r="M296" s="38" t="str">
        <x:v>elem_草, tier_pT3</x:v>
      </x:c>
      <x:c r="N296" s="38" t="str">
        <x:v>Shielded</x:v>
      </x:c>
      <x:c r="O296" s="38" t="str">
        <x:v>pal_295</x:v>
      </x:c>
      <x:c r="P296" s="38" t="str">
        <x:v>凯夫中兽</x:v>
      </x:c>
      <x:c r="Q296" s="38" t="str">
        <x:v>https://bazaardb.gg/card/426bb3vg2yty1v7mymfp2ghb6m/%E5%87%AF%E5%A4%AB%E5%86%9B%E6%A2%B0%E5%BA%93%E7%9A%84%E5%8C%85%E8%A3%B9</x:v>
      </x:c>
      <x:c r="R296" s="38" t="str">
        <x:v>当你将此物品出售给凯夫军械库时，获得一件附魔的中型生命值或护盾物品和1经验值</x:v>
      </x:c>
      <x:c r="S296" s="38" t="str">
        <x:v>BazaarDB Patch 16.2 商人包卡；归属 Kev's Armory，品质 青铜，占格 Medium。</x:v>
      </x:c>
    </x:row>
    <x:row r="297">
      <x:c r="A297" s="38" t="str">
        <x:v>bz_van_296</x:v>
      </x:c>
      <x:c r="B297" s="38" t="n">
        <x:v>296</x:v>
      </x:c>
      <x:c r="C297" s="38" t="str">
        <x:v>merchant_package</x:v>
      </x:c>
      <x:c r="D297" s="38" t="str">
        <x:v>confirmed</x:v>
      </x:c>
      <x:c r="E297" s="38" t="str">
        <x:v>package-w2ycn8hnjgst53zfv551lxg43c</x:v>
      </x:c>
      <x:c r="F297" s="38" t="str">
        <x:v>凯夫军械库的包裹</x:v>
      </x:c>
      <x:c r="G297" s="38" t="str">
        <x:v>bronze</x:v>
      </x:c>
      <x:c r="H297" s="38" t="str">
        <x:v>Small</x:v>
      </x:c>
      <x:c r="I297" s="38" t="str">
        <x:v>package, small, bronze, kev-s-armory</x:v>
      </x:c>
      <x:c r="J297" s="38" t="n">
        <x:v>2</x:v>
      </x:c>
      <x:c r="K297" s="38" t="str">
        <x:v>merchant_kev-s-armory, merchant_curio</x:v>
      </x:c>
      <x:c r="L297" s="38" t="n">
        <x:v>2</x:v>
      </x:c>
      <x:c r="M297" s="38" t="str">
        <x:v>elem_草, tier_pT3</x:v>
      </x:c>
      <x:c r="N297" s="38" t="str">
        <x:v>Shielded</x:v>
      </x:c>
      <x:c r="O297" s="38" t="str">
        <x:v>pal_296</x:v>
      </x:c>
      <x:c r="P297" s="38" t="str">
        <x:v>凯夫小兽</x:v>
      </x:c>
      <x:c r="Q297" s="38" t="str">
        <x:v>https://bazaardb.gg/card/w2ycn8hnjgst53zfv551lxg43c/%E5%87%AF%E5%A4%AB%E5%86%9B%E6%A2%B0%E5%BA%93%E7%9A%84%E5%8C%85%E8%A3%B9</x:v>
      </x:c>
      <x:c r="R297" s="38" t="str">
        <x:v>当你将此物品出售给凯夫军械库时，获得一件附魔小型生命值或护盾物品和1经验值</x:v>
      </x:c>
      <x:c r="S297" s="38" t="str">
        <x:v>BazaarDB Patch 16.2 商人包卡；归属 Kev's Armory，品质 青铜，占格 Small。</x:v>
      </x:c>
    </x:row>
    <x:row r="298">
      <x:c r="A298" s="38" t="str">
        <x:v>bz_van_297</x:v>
      </x:c>
      <x:c r="B298" s="38" t="n">
        <x:v>297</x:v>
      </x:c>
      <x:c r="C298" s="38" t="str">
        <x:v>merchant_package</x:v>
      </x:c>
      <x:c r="D298" s="38" t="str">
        <x:v>confirmed</x:v>
      </x:c>
      <x:c r="E298" s="38" t="str">
        <x:v>package-d0nwqszdh6pcpm8qgglzkdjd6t</x:v>
      </x:c>
      <x:c r="F298" s="38" t="str">
        <x:v>加瑟欧的包裹</x:v>
      </x:c>
      <x:c r="G298" s="38" t="str">
        <x:v>silver</x:v>
      </x:c>
      <x:c r="H298" s="38" t="str">
        <x:v>Medium</x:v>
      </x:c>
      <x:c r="I298" s="38" t="str">
        <x:v>package, medium, silver, gaseo</x:v>
      </x:c>
      <x:c r="J298" s="38" t="n">
        <x:v>2</x:v>
      </x:c>
      <x:c r="K298" s="38" t="str">
        <x:v>merchant_gaseo, merchant_silvia</x:v>
      </x:c>
      <x:c r="L298" s="38" t="n">
        <x:v>2</x:v>
      </x:c>
      <x:c r="M298" s="38" t="str">
        <x:v>role_经济, role_重甲抗压</x:v>
      </x:c>
      <x:c r="N298" s="38" t="str">
        <x:v>Heavy</x:v>
      </x:c>
      <x:c r="O298" s="38" t="str">
        <x:v>pal_297</x:v>
      </x:c>
      <x:c r="P298" s="38" t="str">
        <x:v>加瑟中兽</x:v>
      </x:c>
      <x:c r="Q298" s="38" t="str">
        <x:v>https://bazaardb.gg/card/d0nwqszdh6pcpm8qgglzkdjd6t/%E5%8A%A0%E7%91%9F%E6%AC%A7%E7%9A%84%E5%8C%85%E8%A3%B9</x:v>
      </x:c>
      <x:c r="R298" s="38" t="str">
        <x:v>当你将此物品出售给加瑟奥时，获得一件来自任意英雄的附魔中型服饰物品和2经验值</x:v>
      </x:c>
      <x:c r="S298" s="38" t="str">
        <x:v>BazaarDB Patch 16.2 商人包卡；归属 Gaseo，品质 白银，占格 Medium。</x:v>
      </x:c>
    </x:row>
    <x:row r="299">
      <x:c r="A299" s="38" t="str">
        <x:v>bz_van_298</x:v>
      </x:c>
      <x:c r="B299" s="38" t="n">
        <x:v>298</x:v>
      </x:c>
      <x:c r="C299" s="38" t="str">
        <x:v>merchant_package</x:v>
      </x:c>
      <x:c r="D299" s="38" t="str">
        <x:v>confirmed</x:v>
      </x:c>
      <x:c r="E299" s="38" t="str">
        <x:v>package-hqx14lgbby55nl3hfq0vtbw0s1</x:v>
      </x:c>
      <x:c r="F299" s="38" t="str">
        <x:v>加瑟欧的包裹</x:v>
      </x:c>
      <x:c r="G299" s="38" t="str">
        <x:v>silver</x:v>
      </x:c>
      <x:c r="H299" s="38" t="str">
        <x:v>Large</x:v>
      </x:c>
      <x:c r="I299" s="38" t="str">
        <x:v>package, large, silver, gaseo</x:v>
      </x:c>
      <x:c r="J299" s="38" t="n">
        <x:v>2</x:v>
      </x:c>
      <x:c r="K299" s="38" t="str">
        <x:v>merchant_gaseo, merchant_silvia</x:v>
      </x:c>
      <x:c r="L299" s="38" t="n">
        <x:v>2</x:v>
      </x:c>
      <x:c r="M299" s="38" t="str">
        <x:v>role_经济, role_重甲抗压</x:v>
      </x:c>
      <x:c r="N299" s="38" t="str">
        <x:v>Golden</x:v>
      </x:c>
      <x:c r="O299" s="38" t="str">
        <x:v>pal_298</x:v>
      </x:c>
      <x:c r="P299" s="38" t="str">
        <x:v>加瑟大兽</x:v>
      </x:c>
      <x:c r="Q299" s="38" t="str">
        <x:v>https://bazaardb.gg/card/hqx14lgbby55nl3hfq0vtbw0s1/%E5%8A%A0%E7%91%9F%E6%AC%A7%E7%9A%84%E5%8C%85%E8%A3%B9</x:v>
      </x:c>
      <x:c r="R299" s="38" t="str">
        <x:v>When you sell this to Gaseo, get an Enchanted large Apparel from any Hero item and 2 XP</x:v>
      </x:c>
      <x:c r="S299" s="38" t="str">
        <x:v>BazaarDB Patch 16.2 商人包卡；归属 Gaseo，品质 白银，占格 Large。</x:v>
      </x:c>
    </x:row>
    <x:row r="300">
      <x:c r="A300" s="38" t="str">
        <x:v>bz_van_299</x:v>
      </x:c>
      <x:c r="B300" s="38" t="n">
        <x:v>299</x:v>
      </x:c>
      <x:c r="C300" s="38" t="str">
        <x:v>merchant_package</x:v>
      </x:c>
      <x:c r="D300" s="38" t="str">
        <x:v>confirmed</x:v>
      </x:c>
      <x:c r="E300" s="38" t="str">
        <x:v>package-xlqj7p0yz2jqk3zmpzfcynlngv</x:v>
      </x:c>
      <x:c r="F300" s="38" t="str">
        <x:v>加瑟欧的包裹</x:v>
      </x:c>
      <x:c r="G300" s="38" t="str">
        <x:v>silver</x:v>
      </x:c>
      <x:c r="H300" s="38" t="str">
        <x:v>Small</x:v>
      </x:c>
      <x:c r="I300" s="38" t="str">
        <x:v>package, small, silver, gaseo</x:v>
      </x:c>
      <x:c r="J300" s="38" t="n">
        <x:v>2</x:v>
      </x:c>
      <x:c r="K300" s="38" t="str">
        <x:v>merchant_gaseo, merchant_silvia</x:v>
      </x:c>
      <x:c r="L300" s="38" t="n">
        <x:v>2</x:v>
      </x:c>
      <x:c r="M300" s="38" t="str">
        <x:v>role_经济, role_重甲抗压</x:v>
      </x:c>
      <x:c r="N300" s="38" t="str">
        <x:v>Shiny</x:v>
      </x:c>
      <x:c r="O300" s="38" t="str">
        <x:v>pal_299</x:v>
      </x:c>
      <x:c r="P300" s="38" t="str">
        <x:v>加瑟小兽</x:v>
      </x:c>
      <x:c r="Q300" s="38" t="str">
        <x:v>https://bazaardb.gg/card/xlqj7p0yz2jqk3zmpzfcynlngv/%E5%8A%A0%E7%91%9F%E6%AC%A7%E7%9A%84%E5%8C%85%E8%A3%B9</x:v>
      </x:c>
      <x:c r="R300" s="38" t="str">
        <x:v>当你将此物品出售给加瑟奥时，获得一件来自任意英雄的附魔小型服饰物品和2经验值</x:v>
      </x:c>
      <x:c r="S300" s="38" t="str">
        <x:v>BazaarDB Patch 16.2 商人包卡；归属 Gaseo，品质 白银，占格 Small。</x:v>
      </x:c>
    </x:row>
    <x:row r="301">
      <x:c r="A301" s="38" t="str">
        <x:v>bz_van_300</x:v>
      </x:c>
      <x:c r="B301" s="38" t="n">
        <x:v>300</x:v>
      </x:c>
      <x:c r="C301" s="38" t="str">
        <x:v>merchant_package</x:v>
      </x:c>
      <x:c r="D301" s="38" t="str">
        <x:v>confirmed</x:v>
      </x:c>
      <x:c r="E301" s="38" t="str">
        <x:v>package-9n0mmw727gx0lqxwc106vc3d56</x:v>
      </x:c>
      <x:c r="F301" s="38" t="str">
        <x:v>古董商的包裹</x:v>
      </x:c>
      <x:c r="G301" s="38" t="str">
        <x:v>silver</x:v>
      </x:c>
      <x:c r="H301" s="38" t="str">
        <x:v>Large</x:v>
      </x:c>
      <x:c r="I301" s="38" t="str">
        <x:v>package, large, silver, the-antiquarian</x:v>
      </x:c>
      <x:c r="J301" s="38" t="n">
        <x:v>2</x:v>
      </x:c>
      <x:c r="K301" s="38" t="str">
        <x:v>merchant_the-antiquarian, merchant_silvia</x:v>
      </x:c>
      <x:c r="L301" s="38" t="n">
        <x:v>2</x:v>
      </x:c>
      <x:c r="M301" s="38" t="str">
        <x:v>elem_冰, role_经济</x:v>
      </x:c>
      <x:c r="N301" s="38" t="str">
        <x:v>Shiny</x:v>
      </x:c>
      <x:c r="O301" s="38" t="str">
        <x:v>pal_300</x:v>
      </x:c>
      <x:c r="P301" s="38" t="str">
        <x:v>古董大兽</x:v>
      </x:c>
      <x:c r="Q301" s="38" t="str">
        <x:v>https://bazaardb.gg/card/9n0mmw727gx0lqxwc106vc3d56/%E5%8F%A4%E8%91%A3%E5%95%86%E7%9A%84%E5%8C%85%E8%A3%B9</x:v>
      </x:c>
      <x:c r="R301" s="38" t="str">
        <x:v>当你将此物品出售给古董商时，获得一件附魔的来自任意英雄的大型遗物物品和2经验值</x:v>
      </x:c>
      <x:c r="S301" s="38" t="str">
        <x:v>BazaarDB Patch 16.2 商人包卡；归属 The Antiquarian，品质 白银，占格 Large。</x:v>
      </x:c>
    </x:row>
    <x:row r="302">
      <x:c r="A302" s="38" t="str">
        <x:v>bz_van_301</x:v>
      </x:c>
      <x:c r="B302" s="38" t="n">
        <x:v>301</x:v>
      </x:c>
      <x:c r="C302" s="38" t="str">
        <x:v>merchant_package</x:v>
      </x:c>
      <x:c r="D302" s="38" t="str">
        <x:v>confirmed</x:v>
      </x:c>
      <x:c r="E302" s="38" t="str">
        <x:v>package-g4vvkglpx9tb8bsjpyf6bwv8wz</x:v>
      </x:c>
      <x:c r="F302" s="38" t="str">
        <x:v>古董商的包裹</x:v>
      </x:c>
      <x:c r="G302" s="38" t="str">
        <x:v>silver</x:v>
      </x:c>
      <x:c r="H302" s="38" t="str">
        <x:v>Medium</x:v>
      </x:c>
      <x:c r="I302" s="38" t="str">
        <x:v>package, medium, silver, the-antiquarian</x:v>
      </x:c>
      <x:c r="J302" s="38" t="n">
        <x:v>2</x:v>
      </x:c>
      <x:c r="K302" s="38" t="str">
        <x:v>merchant_the-antiquarian, merchant_silvia</x:v>
      </x:c>
      <x:c r="L302" s="38" t="n">
        <x:v>2</x:v>
      </x:c>
      <x:c r="M302" s="38" t="str">
        <x:v>elem_冰, role_经济</x:v>
      </x:c>
      <x:c r="N302" s="38" t="str">
        <x:v>Shiny</x:v>
      </x:c>
      <x:c r="O302" s="38" t="str">
        <x:v>pal_301</x:v>
      </x:c>
      <x:c r="P302" s="38" t="str">
        <x:v>古董中兽</x:v>
      </x:c>
      <x:c r="Q302" s="38" t="str">
        <x:v>https://bazaardb.gg/card/g4vvkglpx9tb8bsjpyf6bwv8wz/%E5%8F%A4%E8%91%A3%E5%95%86%E7%9A%84%E5%8C%85%E8%A3%B9</x:v>
      </x:c>
      <x:c r="R302" s="38" t="str">
        <x:v>当你将此物品出售给古董商时，获得一件附魔的来自任意英雄的中型遗物物品和2经验值</x:v>
      </x:c>
      <x:c r="S302" s="38" t="str">
        <x:v>BazaarDB Patch 16.2 商人包卡；归属 The Antiquarian，品质 白银，占格 Medium。</x:v>
      </x:c>
    </x:row>
    <x:row r="303">
      <x:c r="A303" s="38" t="str">
        <x:v>bz_van_302</x:v>
      </x:c>
      <x:c r="B303" s="38" t="n">
        <x:v>302</x:v>
      </x:c>
      <x:c r="C303" s="38" t="str">
        <x:v>merchant_package</x:v>
      </x:c>
      <x:c r="D303" s="38" t="str">
        <x:v>confirmed</x:v>
      </x:c>
      <x:c r="E303" s="38" t="str">
        <x:v>package-189qq1qtqht3wfq4c127lhxl7kl</x:v>
      </x:c>
      <x:c r="F303" s="38" t="str">
        <x:v>古董商的包裹</x:v>
      </x:c>
      <x:c r="G303" s="38" t="str">
        <x:v>silver</x:v>
      </x:c>
      <x:c r="H303" s="38" t="str">
        <x:v>Small</x:v>
      </x:c>
      <x:c r="I303" s="38" t="str">
        <x:v>package, small, silver, the-antiquarian</x:v>
      </x:c>
      <x:c r="J303" s="38" t="n">
        <x:v>2</x:v>
      </x:c>
      <x:c r="K303" s="38" t="str">
        <x:v>merchant_the-antiquarian, merchant_silvia</x:v>
      </x:c>
      <x:c r="L303" s="38" t="n">
        <x:v>2</x:v>
      </x:c>
      <x:c r="M303" s="38" t="str">
        <x:v>elem_冰, role_经济</x:v>
      </x:c>
      <x:c r="N303" s="38" t="str">
        <x:v>Heavy</x:v>
      </x:c>
      <x:c r="O303" s="38" t="str">
        <x:v>pal_302</x:v>
      </x:c>
      <x:c r="P303" s="38" t="str">
        <x:v>古董小兽</x:v>
      </x:c>
      <x:c r="Q303" s="38" t="str">
        <x:v>https://bazaardb.gg/card/189qq1qtqht3wfq4c127lhxl7kl/%E5%8F%A4%E8%91%A3%E5%95%86%E7%9A%84%E5%8C%85%E8%A3%B9</x:v>
      </x:c>
      <x:c r="R303" s="38" t="str">
        <x:v>当你将此物品出售给古董商时，获得一件来自任意英雄的附魔小型遗物物品和2经验值</x:v>
      </x:c>
      <x:c r="S303" s="38" t="str">
        <x:v>BazaarDB Patch 16.2 商人包卡；归属 The Antiquarian，品质 白银，占格 Small。</x:v>
      </x:c>
    </x:row>
    <x:row r="304">
      <x:c r="A304" s="38" t="str">
        <x:v>bz_van_303</x:v>
      </x:c>
      <x:c r="B304" s="38" t="n">
        <x:v>303</x:v>
      </x:c>
      <x:c r="C304" s="38" t="str">
        <x:v>merchant_package</x:v>
      </x:c>
      <x:c r="D304" s="38" t="str">
        <x:v>confirmed</x:v>
      </x:c>
      <x:c r="E304" s="38" t="str">
        <x:v>package-33g6mpvd8hzb4q8v9pl2mykw5b</x:v>
      </x:c>
      <x:c r="F304" s="38" t="str">
        <x:v>吉娜的包裹</x:v>
      </x:c>
      <x:c r="G304" s="38" t="str">
        <x:v>bronze</x:v>
      </x:c>
      <x:c r="H304" s="38" t="str">
        <x:v>Small</x:v>
      </x:c>
      <x:c r="I304" s="38" t="str">
        <x:v>package, small, bronze, kina</x:v>
      </x:c>
      <x:c r="J304" s="38" t="n">
        <x:v>2</x:v>
      </x:c>
      <x:c r="K304" s="38" t="str">
        <x:v>merchant_kina, merchant_curio</x:v>
      </x:c>
      <x:c r="L304" s="38" t="n">
        <x:v>2</x:v>
      </x:c>
      <x:c r="M304" s="38" t="str">
        <x:v>elem_草, elem_冰</x:v>
      </x:c>
      <x:c r="N304" s="38" t="str">
        <x:v>Heavy</x:v>
      </x:c>
      <x:c r="O304" s="38" t="str">
        <x:v>pal_303</x:v>
      </x:c>
      <x:c r="P304" s="38" t="str">
        <x:v>吉娜小兽</x:v>
      </x:c>
      <x:c r="Q304" s="38" t="str">
        <x:v>https://bazaardb.gg/card/33g6mpvd8hzb4q8v9pl2mykw5b/%E5%90%89%E5%A8%9C%E7%9A%84%E5%8C%85%E8%A3%B9</x:v>
      </x:c>
      <x:c r="R304" s="38" t="str">
        <x:v>当你将此物品出售给吉娜时，获得一件附魔的小型非武器物品和1经验值</x:v>
      </x:c>
      <x:c r="S304" s="38" t="str">
        <x:v>BazaarDB Patch 16.2 商人包卡；归属 Kina，品质 青铜，占格 Small。</x:v>
      </x:c>
    </x:row>
    <x:row r="305">
      <x:c r="A305" s="38" t="str">
        <x:v>bz_van_304</x:v>
      </x:c>
      <x:c r="B305" s="38" t="n">
        <x:v>304</x:v>
      </x:c>
      <x:c r="C305" s="38" t="str">
        <x:v>merchant_package</x:v>
      </x:c>
      <x:c r="D305" s="38" t="str">
        <x:v>confirmed</x:v>
      </x:c>
      <x:c r="E305" s="38" t="str">
        <x:v>package-fg7hq22jf8x8kxv1v4v45v2cbb</x:v>
      </x:c>
      <x:c r="F305" s="38" t="str">
        <x:v>吉娜的包裹</x:v>
      </x:c>
      <x:c r="G305" s="38" t="str">
        <x:v>silver</x:v>
      </x:c>
      <x:c r="H305" s="38" t="str">
        <x:v>Large</x:v>
      </x:c>
      <x:c r="I305" s="38" t="str">
        <x:v>package, large, silver, kina</x:v>
      </x:c>
      <x:c r="J305" s="38" t="n">
        <x:v>2</x:v>
      </x:c>
      <x:c r="K305" s="38" t="str">
        <x:v>merchant_kina, merchant_silvia</x:v>
      </x:c>
      <x:c r="L305" s="38" t="n">
        <x:v>2</x:v>
      </x:c>
      <x:c r="M305" s="38" t="str">
        <x:v>elem_冰, role_经济</x:v>
      </x:c>
      <x:c r="N305" s="38" t="str">
        <x:v>Heavy</x:v>
      </x:c>
      <x:c r="O305" s="38" t="str">
        <x:v>pal_304</x:v>
      </x:c>
      <x:c r="P305" s="38" t="str">
        <x:v>吉娜大兽</x:v>
      </x:c>
      <x:c r="Q305" s="38" t="str">
        <x:v>https://bazaardb.gg/card/fg7hq22jf8x8kxv1v4v45v2cbb/%E5%90%89%E5%A8%9C%E7%9A%84%E5%8C%85%E8%A3%B9</x:v>
      </x:c>
      <x:c r="R305" s="38" t="str">
        <x:v>当你将此物品出售给吉娜时，获得一件附魔大型非武器物品和1经验值</x:v>
      </x:c>
      <x:c r="S305" s="38" t="str">
        <x:v>BazaarDB Patch 16.2 商人包卡；归属 Kina，品质 白银，占格 Large。</x:v>
      </x:c>
    </x:row>
    <x:row r="306">
      <x:c r="A306" s="38" t="str">
        <x:v>bz_van_305</x:v>
      </x:c>
      <x:c r="B306" s="38" t="n">
        <x:v>305</x:v>
      </x:c>
      <x:c r="C306" s="38" t="str">
        <x:v>merchant_package</x:v>
      </x:c>
      <x:c r="D306" s="38" t="str">
        <x:v>confirmed</x:v>
      </x:c>
      <x:c r="E306" s="38" t="str">
        <x:v>package-zkvfkgt2s0lm5lnyv374g6g2zf</x:v>
      </x:c>
      <x:c r="F306" s="38" t="str">
        <x:v>吉娜的包裹</x:v>
      </x:c>
      <x:c r="G306" s="38" t="str">
        <x:v>bronze</x:v>
      </x:c>
      <x:c r="H306" s="38" t="str">
        <x:v>Medium</x:v>
      </x:c>
      <x:c r="I306" s="38" t="str">
        <x:v>package, medium, bronze, kina</x:v>
      </x:c>
      <x:c r="J306" s="38" t="n">
        <x:v>2</x:v>
      </x:c>
      <x:c r="K306" s="38" t="str">
        <x:v>merchant_kina, merchant_curio</x:v>
      </x:c>
      <x:c r="L306" s="38" t="n">
        <x:v>2</x:v>
      </x:c>
      <x:c r="M306" s="38" t="str">
        <x:v>elem_草, elem_冰</x:v>
      </x:c>
      <x:c r="N306" s="38" t="str">
        <x:v>Heavy</x:v>
      </x:c>
      <x:c r="O306" s="38" t="str">
        <x:v>pal_305</x:v>
      </x:c>
      <x:c r="P306" s="38" t="str">
        <x:v>吉娜中兽</x:v>
      </x:c>
      <x:c r="Q306" s="38" t="str">
        <x:v>https://bazaardb.gg/card/zkvfkgt2s0lm5lnyv374g6g2zf/%E5%90%89%E5%A8%9C%E7%9A%84%E5%8C%85%E8%A3%B9</x:v>
      </x:c>
      <x:c r="R306" s="38" t="str">
        <x:v>当你将此物品出售给吉娜时，获得一件附魔中型非武器物品和1经验值</x:v>
      </x:c>
      <x:c r="S306" s="38" t="str">
        <x:v>BazaarDB Patch 16.2 商人包卡；归属 Kina，品质 青铜，占格 Medium。</x:v>
      </x:c>
    </x:row>
    <x:row r="307">
      <x:c r="A307" s="38" t="str">
        <x:v>bz_van_306</x:v>
      </x:c>
      <x:c r="B307" s="38" t="n">
        <x:v>306</x:v>
      </x:c>
      <x:c r="C307" s="38" t="str">
        <x:v>merchant_package</x:v>
      </x:c>
      <x:c r="D307" s="38" t="str">
        <x:v>confirmed</x:v>
      </x:c>
      <x:c r="E307" s="38" t="str">
        <x:v>package-dkw1847l39701nps9b3t1kygvj</x:v>
      </x:c>
      <x:c r="F307" s="38" t="str">
        <x:v>塔季扬娜的包裹</x:v>
      </x:c>
      <x:c r="G307" s="38" t="str">
        <x:v>silver</x:v>
      </x:c>
      <x:c r="H307" s="38" t="str">
        <x:v>Medium</x:v>
      </x:c>
      <x:c r="I307" s="38" t="str">
        <x:v>package, medium, silver, tatiana</x:v>
      </x:c>
      <x:c r="J307" s="38" t="n">
        <x:v>2</x:v>
      </x:c>
      <x:c r="K307" s="38" t="str">
        <x:v>merchant_tatiana, merchant_silvia</x:v>
      </x:c>
      <x:c r="L307" s="38" t="n">
        <x:v>2</x:v>
      </x:c>
      <x:c r="M307" s="38" t="str">
        <x:v>role_经济, role_重甲抗压</x:v>
      </x:c>
      <x:c r="N307" s="38" t="str">
        <x:v>Heavy</x:v>
      </x:c>
      <x:c r="O307" s="38" t="str">
        <x:v>pal_306</x:v>
      </x:c>
      <x:c r="P307" s="38" t="str">
        <x:v>塔季中兽</x:v>
      </x:c>
      <x:c r="Q307" s="38" t="str">
        <x:v>https://bazaardb.gg/card/dkw1847l39701nps9b3t1kygvj/%E5%A1%94%E5%AD%A3%E6%89%AC%E5%A8%9C%E7%9A%84%E5%8C%85%E8%A3%B9</x:v>
      </x:c>
      <x:c r="R307" s="38" t="str">
        <x:v>当你将此物品出售给塔季扬娜时，获得一件来自任意英雄的附魔中型玩具物品和2经验值</x:v>
      </x:c>
      <x:c r="S307" s="38" t="str">
        <x:v>BazaarDB Patch 16.2 商人包卡；归属 Tatiana，品质 白银，占格 Medium。</x:v>
      </x:c>
    </x:row>
    <x:row r="308">
      <x:c r="A308" s="38" t="str">
        <x:v>bz_van_307</x:v>
      </x:c>
      <x:c r="B308" s="38" t="n">
        <x:v>307</x:v>
      </x:c>
      <x:c r="C308" s="38" t="str">
        <x:v>merchant_package</x:v>
      </x:c>
      <x:c r="D308" s="38" t="str">
        <x:v>confirmed</x:v>
      </x:c>
      <x:c r="E308" s="38" t="str">
        <x:v>package-nbv09z89wvw2883h5x77pljfgp</x:v>
      </x:c>
      <x:c r="F308" s="38" t="str">
        <x:v>塔季扬娜的包裹</x:v>
      </x:c>
      <x:c r="G308" s="38" t="str">
        <x:v>silver</x:v>
      </x:c>
      <x:c r="H308" s="38" t="str">
        <x:v>Large</x:v>
      </x:c>
      <x:c r="I308" s="38" t="str">
        <x:v>package, large, silver, tatiana</x:v>
      </x:c>
      <x:c r="J308" s="38" t="n">
        <x:v>2</x:v>
      </x:c>
      <x:c r="K308" s="38" t="str">
        <x:v>merchant_tatiana, merchant_silvia</x:v>
      </x:c>
      <x:c r="L308" s="38" t="n">
        <x:v>2</x:v>
      </x:c>
      <x:c r="M308" s="38" t="str">
        <x:v>role_经济, role_重甲抗压</x:v>
      </x:c>
      <x:c r="N308" s="38" t="str">
        <x:v>Golden</x:v>
      </x:c>
      <x:c r="O308" s="38" t="str">
        <x:v>pal_307</x:v>
      </x:c>
      <x:c r="P308" s="38" t="str">
        <x:v>塔季大兽</x:v>
      </x:c>
      <x:c r="Q308" s="38" t="str">
        <x:v>https://bazaardb.gg/card/nbv09z89wvw2883h5x77pljfgp/%E5%A1%94%E5%AD%A3%E6%89%AC%E5%A8%9C%E7%9A%84%E5%8C%85%E8%A3%B9</x:v>
      </x:c>
      <x:c r="R308" s="38" t="str">
        <x:v>When you sell this to Tatiana, get an Enchanted large Toy from any Hero item and 2 XP</x:v>
      </x:c>
      <x:c r="S308" s="38" t="str">
        <x:v>BazaarDB Patch 16.2 商人包卡；归属 Tatiana，品质 白银，占格 Large。</x:v>
      </x:c>
    </x:row>
    <x:row r="309">
      <x:c r="A309" s="38" t="str">
        <x:v>bz_van_308</x:v>
      </x:c>
      <x:c r="B309" s="38" t="n">
        <x:v>308</x:v>
      </x:c>
      <x:c r="C309" s="38" t="str">
        <x:v>merchant_package</x:v>
      </x:c>
      <x:c r="D309" s="38" t="str">
        <x:v>confirmed</x:v>
      </x:c>
      <x:c r="E309" s="38" t="str">
        <x:v>package-qkm34wg75xdg06cw6zy6bd0gxq</x:v>
      </x:c>
      <x:c r="F309" s="38" t="str">
        <x:v>塔季扬娜的包裹</x:v>
      </x:c>
      <x:c r="G309" s="38" t="str">
        <x:v>silver</x:v>
      </x:c>
      <x:c r="H309" s="38" t="str">
        <x:v>Small</x:v>
      </x:c>
      <x:c r="I309" s="38" t="str">
        <x:v>package, small, silver, tatiana</x:v>
      </x:c>
      <x:c r="J309" s="38" t="n">
        <x:v>2</x:v>
      </x:c>
      <x:c r="K309" s="38" t="str">
        <x:v>merchant_tatiana, merchant_silvia</x:v>
      </x:c>
      <x:c r="L309" s="38" t="n">
        <x:v>2</x:v>
      </x:c>
      <x:c r="M309" s="38" t="str">
        <x:v>role_经济, role_重甲抗压</x:v>
      </x:c>
      <x:c r="N309" s="38" t="str">
        <x:v>Shiny</x:v>
      </x:c>
      <x:c r="O309" s="38" t="str">
        <x:v>pal_308</x:v>
      </x:c>
      <x:c r="P309" s="38" t="str">
        <x:v>塔季小兽</x:v>
      </x:c>
      <x:c r="Q309" s="38" t="str">
        <x:v>https://bazaardb.gg/card/qkm34wg75xdg06cw6zy6bd0gxq/%E5%A1%94%E5%AD%A3%E6%89%AC%E5%A8%9C%E7%9A%84%E5%8C%85%E8%A3%B9</x:v>
      </x:c>
      <x:c r="R309" s="38" t="str">
        <x:v>当你将此物品出售给塔季扬娜时，获得一件来自任意英雄的附魔小型玩具物品和2经验值</x:v>
      </x:c>
      <x:c r="S309" s="38" t="str">
        <x:v>BazaarDB Patch 16.2 商人包卡；归属 Tatiana，品质 白银，占格 Small。</x:v>
      </x:c>
    </x:row>
    <x:row r="310">
      <x:c r="A310" s="38" t="str">
        <x:v>bz_van_309</x:v>
      </x:c>
      <x:c r="B310" s="38" t="n">
        <x:v>309</x:v>
      </x:c>
      <x:c r="C310" s="38" t="str">
        <x:v>merchant_package</x:v>
      </x:c>
      <x:c r="D310" s="38" t="str">
        <x:v>confirmed</x:v>
      </x:c>
      <x:c r="E310" s="38" t="str">
        <x:v>package-dfkspdnf3pqwszc2b806tdc6nb</x:v>
      </x:c>
      <x:c r="F310" s="38" t="str">
        <x:v>奥利恩的包裹</x:v>
      </x:c>
      <x:c r="G310" s="38" t="str">
        <x:v>bronze</x:v>
      </x:c>
      <x:c r="H310" s="38" t="str">
        <x:v>Medium</x:v>
      </x:c>
      <x:c r="I310" s="38" t="str">
        <x:v>package, medium, bronze, orion</x:v>
      </x:c>
      <x:c r="J310" s="38" t="n">
        <x:v>2</x:v>
      </x:c>
      <x:c r="K310" s="38" t="str">
        <x:v>merchant_orion, merchant_curio</x:v>
      </x:c>
      <x:c r="L310" s="38" t="n">
        <x:v>2</x:v>
      </x:c>
      <x:c r="M310" s="38" t="str">
        <x:v>elem_草, role_远点压制</x:v>
      </x:c>
      <x:c r="N310" s="38" t="str">
        <x:v>Shiny</x:v>
      </x:c>
      <x:c r="O310" s="38" t="str">
        <x:v>pal_309</x:v>
      </x:c>
      <x:c r="P310" s="38" t="str">
        <x:v>奥利中兽</x:v>
      </x:c>
      <x:c r="Q310" s="38" t="str">
        <x:v>https://bazaardb.gg/card/dfkspdnf3pqwszc2b806tdc6nb/%E5%A5%A5%E5%88%A9%E6%81%A9%E7%9A%84%E5%8C%85%E8%A3%B9</x:v>
      </x:c>
      <x:c r="R310" s="38" t="str">
        <x:v>当你将此物品出售给奥利恩时，获得一件附魔中型工具物品和1经验值</x:v>
      </x:c>
      <x:c r="S310" s="38" t="str">
        <x:v>BazaarDB Patch 16.2 商人包卡；归属 Orion，品质 青铜，占格 Medium。</x:v>
      </x:c>
    </x:row>
    <x:row r="311">
      <x:c r="A311" s="38" t="str">
        <x:v>bz_van_310</x:v>
      </x:c>
      <x:c r="B311" s="38" t="n">
        <x:v>310</x:v>
      </x:c>
      <x:c r="C311" s="38" t="str">
        <x:v>merchant_package</x:v>
      </x:c>
      <x:c r="D311" s="38" t="str">
        <x:v>confirmed</x:v>
      </x:c>
      <x:c r="E311" s="38" t="str">
        <x:v>package-17h0z69n2mqbczxptgnw7tl7pkq</x:v>
      </x:c>
      <x:c r="F311" s="38" t="str">
        <x:v>奥利恩的包裹</x:v>
      </x:c>
      <x:c r="G311" s="38" t="str">
        <x:v>bronze</x:v>
      </x:c>
      <x:c r="H311" s="38" t="str">
        <x:v>Small</x:v>
      </x:c>
      <x:c r="I311" s="38" t="str">
        <x:v>package, small, bronze, orion</x:v>
      </x:c>
      <x:c r="J311" s="38" t="n">
        <x:v>2</x:v>
      </x:c>
      <x:c r="K311" s="38" t="str">
        <x:v>merchant_orion, merchant_curio</x:v>
      </x:c>
      <x:c r="L311" s="38" t="n">
        <x:v>2</x:v>
      </x:c>
      <x:c r="M311" s="38" t="str">
        <x:v>elem_草, role_远点压制</x:v>
      </x:c>
      <x:c r="N311" s="38" t="str">
        <x:v>Shiny</x:v>
      </x:c>
      <x:c r="O311" s="38" t="str">
        <x:v>pal_310</x:v>
      </x:c>
      <x:c r="P311" s="38" t="str">
        <x:v>奥利小兽</x:v>
      </x:c>
      <x:c r="Q311" s="38" t="str">
        <x:v>https://bazaardb.gg/card/17h0z69n2mqbczxptgnw7tl7pkq/%E5%A5%A5%E5%88%A9%E6%81%A9%E7%9A%84%E5%8C%85%E8%A3%B9</x:v>
      </x:c>
      <x:c r="R311" s="38" t="str">
        <x:v>当你将此物品出售给奥利恩时，获得一件附魔小型工具物品和1经验值</x:v>
      </x:c>
      <x:c r="S311" s="38" t="str">
        <x:v>BazaarDB Patch 16.2 商人包卡；归属 Orion，品质 青铜，占格 Small。</x:v>
      </x:c>
    </x:row>
    <x:row r="312">
      <x:c r="A312" s="38" t="str">
        <x:v>bz_van_311</x:v>
      </x:c>
      <x:c r="B312" s="38" t="n">
        <x:v>311</x:v>
      </x:c>
      <x:c r="C312" s="38" t="str">
        <x:v>merchant_package</x:v>
      </x:c>
      <x:c r="D312" s="38" t="str">
        <x:v>confirmed</x:v>
      </x:c>
      <x:c r="E312" s="38" t="str">
        <x:v>package-dylnnqgn7f1nqzl8j6cd6lg1pd</x:v>
      </x:c>
      <x:c r="F312" s="38" t="str">
        <x:v>安德的包裹</x:v>
      </x:c>
      <x:c r="G312" s="38" t="str">
        <x:v>silver</x:v>
      </x:c>
      <x:c r="H312" s="38" t="str">
        <x:v>Large</x:v>
      </x:c>
      <x:c r="I312" s="38" t="str">
        <x:v>package, large, silver, ande</x:v>
      </x:c>
      <x:c r="J312" s="38" t="n">
        <x:v>2</x:v>
      </x:c>
      <x:c r="K312" s="38" t="str">
        <x:v>merchant_ande, merchant_silvia</x:v>
      </x:c>
      <x:c r="L312" s="38" t="n">
        <x:v>2</x:v>
      </x:c>
      <x:c r="M312" s="38" t="str">
        <x:v>elem_火, role_经济</x:v>
      </x:c>
      <x:c r="N312" s="38" t="str">
        <x:v>Heavy</x:v>
      </x:c>
      <x:c r="O312" s="38" t="str">
        <x:v>pal_311</x:v>
      </x:c>
      <x:c r="P312" s="38" t="str">
        <x:v>安德大兽</x:v>
      </x:c>
      <x:c r="Q312" s="38" t="str">
        <x:v>https://bazaardb.gg/card/dylnnqgn7f1nqzl8j6cd6lg1pd/%E5%AE%89%E5%BE%B7%E7%9A%84%E5%8C%85%E8%A3%B9</x:v>
      </x:c>
      <x:c r="R312" s="38" t="str">
        <x:v>当你将此物品出售给安德时，获得一件附魔小型物品和1经验值</x:v>
      </x:c>
      <x:c r="S312" s="38" t="str">
        <x:v>BazaarDB Patch 16.2 商人包卡；归属 Ande，品质 白银，占格 Large。</x:v>
      </x:c>
    </x:row>
    <x:row r="313">
      <x:c r="A313" s="38" t="str">
        <x:v>bz_van_312</x:v>
      </x:c>
      <x:c r="B313" s="38" t="n">
        <x:v>312</x:v>
      </x:c>
      <x:c r="C313" s="38" t="str">
        <x:v>merchant_package</x:v>
      </x:c>
      <x:c r="D313" s="38" t="str">
        <x:v>confirmed</x:v>
      </x:c>
      <x:c r="E313" s="38" t="str">
        <x:v>package-qd5w22vt5vwz5dffv220bkv62g</x:v>
      </x:c>
      <x:c r="F313" s="38" t="str">
        <x:v>安德的包裹</x:v>
      </x:c>
      <x:c r="G313" s="38" t="str">
        <x:v>bronze</x:v>
      </x:c>
      <x:c r="H313" s="38" t="str">
        <x:v>Small</x:v>
      </x:c>
      <x:c r="I313" s="38" t="str">
        <x:v>package, small, bronze, ande</x:v>
      </x:c>
      <x:c r="J313" s="38" t="n">
        <x:v>2</x:v>
      </x:c>
      <x:c r="K313" s="38" t="str">
        <x:v>merchant_ande, merchant_curio</x:v>
      </x:c>
      <x:c r="L313" s="38" t="n">
        <x:v>2</x:v>
      </x:c>
      <x:c r="M313" s="38" t="str">
        <x:v>elem_火, elem_草</x:v>
      </x:c>
      <x:c r="N313" s="38" t="str">
        <x:v>Shiny</x:v>
      </x:c>
      <x:c r="O313" s="38" t="str">
        <x:v>pal_312</x:v>
      </x:c>
      <x:c r="P313" s="38" t="str">
        <x:v>安德小兽</x:v>
      </x:c>
      <x:c r="Q313" s="38" t="str">
        <x:v>https://bazaardb.gg/card/qd5w22vt5vwz5dffv220bkv62g/%E5%AE%89%E5%BE%B7%E7%9A%84%E5%8C%85%E8%A3%B9</x:v>
      </x:c>
      <x:c r="R313" s="38" t="str">
        <x:v>当你将此物品出售给安德时，获得一件附魔小型物品和1经验值</x:v>
      </x:c>
      <x:c r="S313" s="38" t="str">
        <x:v>BazaarDB Patch 16.2 商人包卡；归属 Ande，品质 青铜，占格 Small。</x:v>
      </x:c>
    </x:row>
    <x:row r="314">
      <x:c r="A314" s="38" t="str">
        <x:v>bz_van_313</x:v>
      </x:c>
      <x:c r="B314" s="38" t="n">
        <x:v>313</x:v>
      </x:c>
      <x:c r="C314" s="38" t="str">
        <x:v>merchant_package</x:v>
      </x:c>
      <x:c r="D314" s="38" t="str">
        <x:v>confirmed</x:v>
      </x:c>
      <x:c r="E314" s="38" t="str">
        <x:v>package-zdc19wy9j399gqbx2vglkqn3sm</x:v>
      </x:c>
      <x:c r="F314" s="38" t="str">
        <x:v>安德的包裹</x:v>
      </x:c>
      <x:c r="G314" s="38" t="str">
        <x:v>bronze</x:v>
      </x:c>
      <x:c r="H314" s="38" t="str">
        <x:v>Medium</x:v>
      </x:c>
      <x:c r="I314" s="38" t="str">
        <x:v>package, medium, bronze, ande</x:v>
      </x:c>
      <x:c r="J314" s="38" t="n">
        <x:v>2</x:v>
      </x:c>
      <x:c r="K314" s="38" t="str">
        <x:v>merchant_ande, merchant_curio</x:v>
      </x:c>
      <x:c r="L314" s="38" t="n">
        <x:v>2</x:v>
      </x:c>
      <x:c r="M314" s="38" t="str">
        <x:v>elem_火, elem_草</x:v>
      </x:c>
      <x:c r="N314" s="38" t="str">
        <x:v>Heavy</x:v>
      </x:c>
      <x:c r="O314" s="38" t="str">
        <x:v>pal_313</x:v>
      </x:c>
      <x:c r="P314" s="38" t="str">
        <x:v>安德中兽</x:v>
      </x:c>
      <x:c r="Q314" s="38" t="str">
        <x:v>https://bazaardb.gg/card/zdc19wy9j399gqbx2vglkqn3sm/%E5%AE%89%E5%BE%B7%E7%9A%84%E5%8C%85%E8%A3%B9</x:v>
      </x:c>
      <x:c r="R314" s="38" t="str">
        <x:v>当你将此物品出售给安德时，获得一件附魔小型物品和1经验值</x:v>
      </x:c>
      <x:c r="S314" s="38" t="str">
        <x:v>BazaarDB Patch 16.2 商人包卡；归属 Ande，品质 青铜，占格 Medium。</x:v>
      </x:c>
    </x:row>
    <x:row r="315">
      <x:c r="A315" s="38" t="str">
        <x:v>bz_van_314</x:v>
      </x:c>
      <x:c r="B315" s="38" t="n">
        <x:v>314</x:v>
      </x:c>
      <x:c r="C315" s="38" t="str">
        <x:v>merchant_package</x:v>
      </x:c>
      <x:c r="D315" s="38" t="str">
        <x:v>confirmed</x:v>
      </x:c>
      <x:c r="E315" s="38" t="str">
        <x:v>package-9t7m49cvv0459n19tb0mwn0hj1</x:v>
      </x:c>
      <x:c r="F315" s="38" t="str">
        <x:v>寇特的包裹</x:v>
      </x:c>
      <x:c r="G315" s="38" t="str">
        <x:v>silver</x:v>
      </x:c>
      <x:c r="H315" s="38" t="str">
        <x:v>Large</x:v>
      </x:c>
      <x:c r="I315" s="38" t="str">
        <x:v>package, large, silver, colt</x:v>
      </x:c>
      <x:c r="J315" s="38" t="n">
        <x:v>2</x:v>
      </x:c>
      <x:c r="K315" s="38" t="str">
        <x:v>merchant_colt, merchant_silvia</x:v>
      </x:c>
      <x:c r="L315" s="38" t="n">
        <x:v>2</x:v>
      </x:c>
      <x:c r="M315" s="38" t="str">
        <x:v>role_经济, role_机动</x:v>
      </x:c>
      <x:c r="N315" s="38" t="str">
        <x:v>Shiny</x:v>
      </x:c>
      <x:c r="O315" s="38" t="str">
        <x:v>pal_314</x:v>
      </x:c>
      <x:c r="P315" s="38" t="str">
        <x:v>寇特大兽</x:v>
      </x:c>
      <x:c r="Q315" s="38" t="str">
        <x:v>https://bazaardb.gg/card/9t7m49cvv0459n19tb0mwn0hj1/%E5%AF%87%E7%89%B9%E7%9A%84%E5%8C%85%E8%A3%B9</x:v>
      </x:c>
      <x:c r="R315" s="38" t="str">
        <x:v>当你将此物品出售给寇特时，获得一件附魔的大型弹药物品和1经验值</x:v>
      </x:c>
      <x:c r="S315" s="38" t="str">
        <x:v>BazaarDB Patch 16.2 商人包卡；归属 Colt，品质 白银，占格 Large。</x:v>
      </x:c>
    </x:row>
    <x:row r="316">
      <x:c r="A316" s="38" t="str">
        <x:v>bz_van_315</x:v>
      </x:c>
      <x:c r="B316" s="38" t="n">
        <x:v>315</x:v>
      </x:c>
      <x:c r="C316" s="38" t="str">
        <x:v>merchant_package</x:v>
      </x:c>
      <x:c r="D316" s="38" t="str">
        <x:v>confirmed</x:v>
      </x:c>
      <x:c r="E316" s="38" t="str">
        <x:v>package-jl553m7s0ky15f5m5klcd7s4k3</x:v>
      </x:c>
      <x:c r="F316" s="38" t="str">
        <x:v>寇特的包裹</x:v>
      </x:c>
      <x:c r="G316" s="38" t="str">
        <x:v>bronze</x:v>
      </x:c>
      <x:c r="H316" s="38" t="str">
        <x:v>Small</x:v>
      </x:c>
      <x:c r="I316" s="38" t="str">
        <x:v>package, small, bronze, colt</x:v>
      </x:c>
      <x:c r="J316" s="38" t="n">
        <x:v>2</x:v>
      </x:c>
      <x:c r="K316" s="38" t="str">
        <x:v>merchant_colt, merchant_curio</x:v>
      </x:c>
      <x:c r="L316" s="38" t="n">
        <x:v>2</x:v>
      </x:c>
      <x:c r="M316" s="38" t="str">
        <x:v>elem_草, role_机动</x:v>
      </x:c>
      <x:c r="N316" s="38" t="str">
        <x:v>Heavy</x:v>
      </x:c>
      <x:c r="O316" s="38" t="str">
        <x:v>pal_315</x:v>
      </x:c>
      <x:c r="P316" s="38" t="str">
        <x:v>寇特小兽</x:v>
      </x:c>
      <x:c r="Q316" s="38" t="str">
        <x:v>https://bazaardb.gg/card/jl553m7s0ky15f5m5klcd7s4k3/%E5%AF%87%E7%89%B9%E7%9A%84%E5%8C%85%E8%A3%B9</x:v>
      </x:c>
      <x:c r="R316" s="38" t="str">
        <x:v>当你将此物品出售给寇特时，获得一件附魔的小型弹药物品和1经验值</x:v>
      </x:c>
      <x:c r="S316" s="38" t="str">
        <x:v>BazaarDB Patch 16.2 商人包卡；归属 Colt，品质 青铜，占格 Small。</x:v>
      </x:c>
    </x:row>
    <x:row r="317">
      <x:c r="A317" s="38" t="str">
        <x:v>bz_van_316</x:v>
      </x:c>
      <x:c r="B317" s="38" t="n">
        <x:v>316</x:v>
      </x:c>
      <x:c r="C317" s="38" t="str">
        <x:v>merchant_package</x:v>
      </x:c>
      <x:c r="D317" s="38" t="str">
        <x:v>confirmed</x:v>
      </x:c>
      <x:c r="E317" s="38" t="str">
        <x:v>package-vq31zvwb1bk8zwc8qw42k12z7g</x:v>
      </x:c>
      <x:c r="F317" s="38" t="str">
        <x:v>寇特的包裹</x:v>
      </x:c>
      <x:c r="G317" s="38" t="str">
        <x:v>bronze</x:v>
      </x:c>
      <x:c r="H317" s="38" t="str">
        <x:v>Medium</x:v>
      </x:c>
      <x:c r="I317" s="38" t="str">
        <x:v>package, medium, bronze, colt</x:v>
      </x:c>
      <x:c r="J317" s="38" t="n">
        <x:v>2</x:v>
      </x:c>
      <x:c r="K317" s="38" t="str">
        <x:v>merchant_colt, merchant_curio</x:v>
      </x:c>
      <x:c r="L317" s="38" t="n">
        <x:v>2</x:v>
      </x:c>
      <x:c r="M317" s="38" t="str">
        <x:v>elem_草, role_机动</x:v>
      </x:c>
      <x:c r="N317" s="38" t="str">
        <x:v>Shiny</x:v>
      </x:c>
      <x:c r="O317" s="38" t="str">
        <x:v>pal_316</x:v>
      </x:c>
      <x:c r="P317" s="38" t="str">
        <x:v>寇特中兽</x:v>
      </x:c>
      <x:c r="Q317" s="38" t="str">
        <x:v>https://bazaardb.gg/card/vq31zvwb1bk8zwc8qw42k12z7g/%E5%AF%87%E7%89%B9%E7%9A%84%E5%8C%85%E8%A3%B9</x:v>
      </x:c>
      <x:c r="R317" s="38" t="str">
        <x:v>当你将此物品出售给寇特时，获得一件附魔的中型弹药物品和1经验值</x:v>
      </x:c>
      <x:c r="S317" s="38" t="str">
        <x:v>BazaarDB Patch 16.2 商人包卡；归属 Colt，品质 青铜，占格 Medium。</x:v>
      </x:c>
    </x:row>
    <x:row r="318">
      <x:c r="A318" s="38" t="str">
        <x:v>bz_van_317</x:v>
      </x:c>
      <x:c r="B318" s="38" t="n">
        <x:v>317</x:v>
      </x:c>
      <x:c r="C318" s="38" t="str">
        <x:v>merchant_package</x:v>
      </x:c>
      <x:c r="D318" s="38" t="str">
        <x:v>confirmed</x:v>
      </x:c>
      <x:c r="E318" s="38" t="str">
        <x:v>package-m0s99bw7l6kf4hyq0xmbgvxh25</x:v>
      </x:c>
      <x:c r="F318" s="38" t="str">
        <x:v>库里欧的包裹</x:v>
      </x:c>
      <x:c r="G318" s="38" t="str">
        <x:v>bronze</x:v>
      </x:c>
      <x:c r="H318" s="38" t="str">
        <x:v>Medium</x:v>
      </x:c>
      <x:c r="I318" s="38" t="str">
        <x:v>package, medium, bronze, curio</x:v>
      </x:c>
      <x:c r="J318" s="38" t="n">
        <x:v>1</x:v>
      </x:c>
      <x:c r="K318" s="38" t="str">
        <x:v>merchant_curio</x:v>
      </x:c>
      <x:c r="L318" s="38" t="n">
        <x:v>1</x:v>
      </x:c>
      <x:c r="M318" s="38" t="str">
        <x:v>elem_草</x:v>
      </x:c>
      <x:c r="N318" s="38" t="str">
        <x:v>Shiny</x:v>
      </x:c>
      <x:c r="O318" s="38" t="str">
        <x:v>pal_317</x:v>
      </x:c>
      <x:c r="P318" s="38" t="str">
        <x:v>库里中兽</x:v>
      </x:c>
      <x:c r="Q318" s="38" t="str">
        <x:v>https://bazaardb.gg/card/m0s99bw7l6kf4hyq0xmbgvxh25/%E5%BA%93%E9%87%8C%E6%AC%A7%E7%9A%84%E5%8C%85%E8%A3%B9</x:v>
      </x:c>
      <x:c r="R318" s="38" t="str">
        <x:v>当你将此物品出售给库里欧时，获得一件附魔中型中立物品和1经验值</x:v>
      </x:c>
      <x:c r="S318" s="38" t="str">
        <x:v>BazaarDB Patch 16.2 商人包卡；归属 Curio，品质 青铜，占格 Medium。</x:v>
      </x:c>
    </x:row>
    <x:row r="319">
      <x:c r="A319" s="38" t="str">
        <x:v>bz_van_318</x:v>
      </x:c>
      <x:c r="B319" s="38" t="n">
        <x:v>318</x:v>
      </x:c>
      <x:c r="C319" s="38" t="str">
        <x:v>merchant_package</x:v>
      </x:c>
      <x:c r="D319" s="38" t="str">
        <x:v>confirmed</x:v>
      </x:c>
      <x:c r="E319" s="38" t="str">
        <x:v>package-nmw0xq330ln798gkddym9hhk2b</x:v>
      </x:c>
      <x:c r="F319" s="38" t="str">
        <x:v>库里欧的包裹</x:v>
      </x:c>
      <x:c r="G319" s="38" t="str">
        <x:v>bronze</x:v>
      </x:c>
      <x:c r="H319" s="38" t="str">
        <x:v>Small</x:v>
      </x:c>
      <x:c r="I319" s="38" t="str">
        <x:v>package, small, bronze, curio</x:v>
      </x:c>
      <x:c r="J319" s="38" t="n">
        <x:v>1</x:v>
      </x:c>
      <x:c r="K319" s="38" t="str">
        <x:v>merchant_curio</x:v>
      </x:c>
      <x:c r="L319" s="38" t="n">
        <x:v>1</x:v>
      </x:c>
      <x:c r="M319" s="38" t="str">
        <x:v>elem_草</x:v>
      </x:c>
      <x:c r="N319" s="38" t="str">
        <x:v>Heavy</x:v>
      </x:c>
      <x:c r="O319" s="38" t="str">
        <x:v>pal_318</x:v>
      </x:c>
      <x:c r="P319" s="38" t="str">
        <x:v>库里小兽</x:v>
      </x:c>
      <x:c r="Q319" s="38" t="str">
        <x:v>https://bazaardb.gg/card/nmw0xq330ln798gkddym9hhk2b/%E5%BA%93%E9%87%8C%E6%AC%A7%E7%9A%84%E5%8C%85%E8%A3%B9</x:v>
      </x:c>
      <x:c r="R319" s="38" t="str">
        <x:v>当你将此物品出售给库里欧时，获得一件附魔的小型中立物品和1经验值</x:v>
      </x:c>
      <x:c r="S319" s="38" t="str">
        <x:v>BazaarDB Patch 16.2 商人包卡；归属 Curio，品质 青铜，占格 Small。</x:v>
      </x:c>
    </x:row>
    <x:row r="320">
      <x:c r="A320" s="38" t="str">
        <x:v>bz_van_319</x:v>
      </x:c>
      <x:c r="B320" s="38" t="n">
        <x:v>319</x:v>
      </x:c>
      <x:c r="C320" s="38" t="str">
        <x:v>merchant_package</x:v>
      </x:c>
      <x:c r="D320" s="38" t="str">
        <x:v>confirmed</x:v>
      </x:c>
      <x:c r="E320" s="38" t="str">
        <x:v>package-18690zzzjb0wlm87ympm4c54pbt</x:v>
      </x:c>
      <x:c r="F320" s="38" t="str">
        <x:v>库里欧的包裹</x:v>
      </x:c>
      <x:c r="G320" s="38" t="str">
        <x:v>silver</x:v>
      </x:c>
      <x:c r="H320" s="38" t="str">
        <x:v>Large</x:v>
      </x:c>
      <x:c r="I320" s="38" t="str">
        <x:v>package, large, silver, curio</x:v>
      </x:c>
      <x:c r="J320" s="38" t="n">
        <x:v>2</x:v>
      </x:c>
      <x:c r="K320" s="38" t="str">
        <x:v>merchant_curio, merchant_silvia</x:v>
      </x:c>
      <x:c r="L320" s="38" t="n">
        <x:v>2</x:v>
      </x:c>
      <x:c r="M320" s="38" t="str">
        <x:v>elem_草, role_经济</x:v>
      </x:c>
      <x:c r="N320" s="38" t="str">
        <x:v>Shiny</x:v>
      </x:c>
      <x:c r="O320" s="38" t="str">
        <x:v>pal_319</x:v>
      </x:c>
      <x:c r="P320" s="38" t="str">
        <x:v>库里大兽</x:v>
      </x:c>
      <x:c r="Q320" s="38" t="str">
        <x:v>https://bazaardb.gg/card/18690zzzjb0wlm87ympm4c54pbt/%E5%BA%93%E9%87%8C%E6%AC%A7%E7%9A%84%E5%8C%85%E8%A3%B9</x:v>
      </x:c>
      <x:c r="R320" s="38" t="str">
        <x:v>当你将此物品出售给库里欧时，获得一件附魔的大型中立物品和1经验值</x:v>
      </x:c>
      <x:c r="S320" s="38" t="str">
        <x:v>BazaarDB Patch 16.2 商人包卡；归属 Curio，品质 白银，占格 Large。</x:v>
      </x:c>
    </x:row>
    <x:row r="321">
      <x:c r="A321" s="38" t="str">
        <x:v>bz_van_320</x:v>
      </x:c>
      <x:c r="B321" s="38" t="n">
        <x:v>320</x:v>
      </x:c>
      <x:c r="C321" s="38" t="str">
        <x:v>merchant_package</x:v>
      </x:c>
      <x:c r="D321" s="38" t="str">
        <x:v>confirmed</x:v>
      </x:c>
      <x:c r="E321" s="38" t="str">
        <x:v>package-2wc3wmj500bzmj5nz54308zmcw</x:v>
      </x:c>
      <x:c r="F321" s="38" t="str">
        <x:v>戈尔迪的包裹</x:v>
      </x:c>
      <x:c r="G321" s="38" t="str">
        <x:v>silver</x:v>
      </x:c>
      <x:c r="H321" s="38" t="str">
        <x:v>Small</x:v>
      </x:c>
      <x:c r="I321" s="38" t="str">
        <x:v>package, small, silver, goldie</x:v>
      </x:c>
      <x:c r="J321" s="38" t="n">
        <x:v>2</x:v>
      </x:c>
      <x:c r="K321" s="38" t="str">
        <x:v>merchant_goldie, merchant_silvia</x:v>
      </x:c>
      <x:c r="L321" s="38" t="n">
        <x:v>2</x:v>
      </x:c>
      <x:c r="M321" s="38" t="str">
        <x:v>role_坦克, role_经济</x:v>
      </x:c>
      <x:c r="N321" s="38" t="str">
        <x:v>Golden</x:v>
      </x:c>
      <x:c r="O321" s="38" t="str">
        <x:v>pal_320</x:v>
      </x:c>
      <x:c r="P321" s="38" t="str">
        <x:v>戈迪小兽</x:v>
      </x:c>
      <x:c r="Q321" s="38" t="str">
        <x:v>https://bazaardb.gg/card/2wc3wmj500bzmj5nz54308zmcw/%E6%88%88%E5%B0%94%E8%BF%AA%E7%9A%84%E5%8C%85%E8%A3%B9</x:v>
      </x:c>
      <x:c r="R321" s="38" t="str">
        <x:v>当你将此物品出售给戈尔迪时，获得一件附魔的小型物品和2经验值</x:v>
      </x:c>
      <x:c r="S321" s="38" t="str">
        <x:v>BazaarDB Patch 16.2 商人包卡；归属 Goldie，品质 白银，占格 Small。</x:v>
      </x:c>
    </x:row>
    <x:row r="322">
      <x:c r="A322" s="38" t="str">
        <x:v>bz_van_321</x:v>
      </x:c>
      <x:c r="B322" s="38" t="n">
        <x:v>321</x:v>
      </x:c>
      <x:c r="C322" s="38" t="str">
        <x:v>merchant_package</x:v>
      </x:c>
      <x:c r="D322" s="38" t="str">
        <x:v>confirmed</x:v>
      </x:c>
      <x:c r="E322" s="38" t="str">
        <x:v>package-j418542p7mncshc1j7bb3dmwcf</x:v>
      </x:c>
      <x:c r="F322" s="38" t="str">
        <x:v>戈尔迪的包裹</x:v>
      </x:c>
      <x:c r="G322" s="38" t="str">
        <x:v>silver</x:v>
      </x:c>
      <x:c r="H322" s="38" t="str">
        <x:v>Medium</x:v>
      </x:c>
      <x:c r="I322" s="38" t="str">
        <x:v>package, medium, silver, goldie</x:v>
      </x:c>
      <x:c r="J322" s="38" t="n">
        <x:v>2</x:v>
      </x:c>
      <x:c r="K322" s="38" t="str">
        <x:v>merchant_goldie, merchant_silvia</x:v>
      </x:c>
      <x:c r="L322" s="38" t="n">
        <x:v>2</x:v>
      </x:c>
      <x:c r="M322" s="38" t="str">
        <x:v>role_坦克, role_经济</x:v>
      </x:c>
      <x:c r="N322" s="38" t="str">
        <x:v>Golden</x:v>
      </x:c>
      <x:c r="O322" s="38" t="str">
        <x:v>pal_321</x:v>
      </x:c>
      <x:c r="P322" s="38" t="str">
        <x:v>戈迪中兽</x:v>
      </x:c>
      <x:c r="Q322" s="38" t="str">
        <x:v>https://bazaardb.gg/card/j418542p7mncshc1j7bb3dmwcf/%E6%88%88%E5%B0%94%E8%BF%AA%E7%9A%84%E5%8C%85%E8%A3%B9</x:v>
      </x:c>
      <x:c r="R322" s="38" t="str">
        <x:v>当你将此物品出售给戈尔迪时，获得一件附魔中型物品和2经验值</x:v>
      </x:c>
      <x:c r="S322" s="38" t="str">
        <x:v>BazaarDB Patch 16.2 商人包卡；归属 Goldie，品质 白银，占格 Medium。</x:v>
      </x:c>
    </x:row>
    <x:row r="323">
      <x:c r="A323" s="38" t="str">
        <x:v>bz_van_322</x:v>
      </x:c>
      <x:c r="B323" s="38" t="n">
        <x:v>322</x:v>
      </x:c>
      <x:c r="C323" s="38" t="str">
        <x:v>merchant_package</x:v>
      </x:c>
      <x:c r="D323" s="38" t="str">
        <x:v>confirmed</x:v>
      </x:c>
      <x:c r="E323" s="38" t="str">
        <x:v>package-snm7048qfswm25nbwwffy7349f</x:v>
      </x:c>
      <x:c r="F323" s="38" t="str">
        <x:v>戈尔迪的包裹</x:v>
      </x:c>
      <x:c r="G323" s="38" t="str">
        <x:v>silver</x:v>
      </x:c>
      <x:c r="H323" s="38" t="str">
        <x:v>Large</x:v>
      </x:c>
      <x:c r="I323" s="38" t="str">
        <x:v>package, large, silver, goldie</x:v>
      </x:c>
      <x:c r="J323" s="38" t="n">
        <x:v>2</x:v>
      </x:c>
      <x:c r="K323" s="38" t="str">
        <x:v>merchant_goldie, merchant_silvia</x:v>
      </x:c>
      <x:c r="L323" s="38" t="n">
        <x:v>2</x:v>
      </x:c>
      <x:c r="M323" s="38" t="str">
        <x:v>role_坦克, role_经济</x:v>
      </x:c>
      <x:c r="N323" s="38" t="str">
        <x:v>Golden</x:v>
      </x:c>
      <x:c r="O323" s="38" t="str">
        <x:v>pal_322</x:v>
      </x:c>
      <x:c r="P323" s="38" t="str">
        <x:v>戈迪大兽</x:v>
      </x:c>
      <x:c r="Q323" s="38" t="str">
        <x:v>https://bazaardb.gg/card/snm7048qfswm25nbwwffy7349f/%E6%88%88%E5%B0%94%E8%BF%AA%E7%9A%84%E5%8C%85%E8%A3%B9</x:v>
      </x:c>
      <x:c r="R323" s="38" t="str">
        <x:v>当你将此物品出售给戈尔迪时，获得一件附魔的大型物品和2经验值</x:v>
      </x:c>
      <x:c r="S323" s="38" t="str">
        <x:v>BazaarDB Patch 16.2 商人包卡；归属 Goldie，品质 白银，占格 Large。</x:v>
      </x:c>
    </x:row>
    <x:row r="324">
      <x:c r="A324" s="38" t="str">
        <x:v>bz_van_323</x:v>
      </x:c>
      <x:c r="B324" s="38" t="n">
        <x:v>323</x:v>
      </x:c>
      <x:c r="C324" s="38" t="str">
        <x:v>merchant_package</x:v>
      </x:c>
      <x:c r="D324" s="38" t="str">
        <x:v>confirmed</x:v>
      </x:c>
      <x:c r="E324" s="38" t="str">
        <x:v>package-38l7clzlwt1c07tk3qnh98585k</x:v>
      </x:c>
      <x:c r="F324" s="38" t="str">
        <x:v>托克钟表店的包裹</x:v>
      </x:c>
      <x:c r="G324" s="38" t="str">
        <x:v>silver</x:v>
      </x:c>
      <x:c r="H324" s="38" t="str">
        <x:v>Large</x:v>
      </x:c>
      <x:c r="I324" s="38" t="str">
        <x:v>package, large, silver, tok-s-clocks</x:v>
      </x:c>
      <x:c r="J324" s="38" t="n">
        <x:v>2</x:v>
      </x:c>
      <x:c r="K324" s="38" t="str">
        <x:v>merchant_tok-s-clocks, merchant_silvia</x:v>
      </x:c>
      <x:c r="L324" s="38" t="n">
        <x:v>2</x:v>
      </x:c>
      <x:c r="M324" s="38" t="str">
        <x:v>role_经济, special_merchant</x:v>
      </x:c>
      <x:c r="N324" s="38" t="str">
        <x:v>Shiny</x:v>
      </x:c>
      <x:c r="O324" s="38" t="str">
        <x:v>pal_323</x:v>
      </x:c>
      <x:c r="P324" s="38" t="str">
        <x:v>托克大兽</x:v>
      </x:c>
      <x:c r="Q324" s="38" t="str">
        <x:v>https://bazaardb.gg/card/38l7clzlwt1c07tk3qnh98585k/%E6%89%98%E5%85%8B%E9%92%9F%E8%A1%A8%E5%BA%97%E7%9A%84%E5%8C%85%E8%A3%B9</x:v>
      </x:c>
      <x:c r="R324" s="38" t="str">
        <x:v>当你将此物品出售给托克钟表店时，获得一件附魔的大型加速、减速或冷却物品和1经验值</x:v>
      </x:c>
      <x:c r="S324" s="38" t="str">
        <x:v>BazaarDB Patch 16.2 商人包卡；归属 Tok's Clocks，品质 白银，占格 Large。</x:v>
      </x:c>
    </x:row>
    <x:row r="325">
      <x:c r="A325" s="38" t="str">
        <x:v>bz_van_324</x:v>
      </x:c>
      <x:c r="B325" s="38" t="n">
        <x:v>324</x:v>
      </x:c>
      <x:c r="C325" s="38" t="str">
        <x:v>merchant_package</x:v>
      </x:c>
      <x:c r="D325" s="38" t="str">
        <x:v>confirmed</x:v>
      </x:c>
      <x:c r="E325" s="38" t="str">
        <x:v>package-gnzhy2f01jb2k4wgzf3bzx89vt</x:v>
      </x:c>
      <x:c r="F325" s="38" t="str">
        <x:v>托克钟表店的包裹</x:v>
      </x:c>
      <x:c r="G325" s="38" t="str">
        <x:v>silver</x:v>
      </x:c>
      <x:c r="H325" s="38" t="str">
        <x:v>Medium</x:v>
      </x:c>
      <x:c r="I325" s="38" t="str">
        <x:v>package, medium, silver, tok-s-clocks</x:v>
      </x:c>
      <x:c r="J325" s="38" t="n">
        <x:v>2</x:v>
      </x:c>
      <x:c r="K325" s="38" t="str">
        <x:v>merchant_tok-s-clocks, merchant_silvia</x:v>
      </x:c>
      <x:c r="L325" s="38" t="n">
        <x:v>2</x:v>
      </x:c>
      <x:c r="M325" s="38" t="str">
        <x:v>role_经济, special_merchant</x:v>
      </x:c>
      <x:c r="N325" s="38" t="str">
        <x:v>Shiny</x:v>
      </x:c>
      <x:c r="O325" s="38" t="str">
        <x:v>pal_324</x:v>
      </x:c>
      <x:c r="P325" s="38" t="str">
        <x:v>托克中兽</x:v>
      </x:c>
      <x:c r="Q325" s="38" t="str">
        <x:v>https://bazaardb.gg/card/gnzhy2f01jb2k4wgzf3bzx89vt/%E6%89%98%E5%85%8B%E9%92%9F%E8%A1%A8%E5%BA%97%E7%9A%84%E5%8C%85%E8%A3%B9</x:v>
      </x:c>
      <x:c r="R325" s="38" t="str">
        <x:v>当你将此物品出售给托克钟表店时，获得一件附魔的中型加速、减速或冷却物品和1经验值</x:v>
      </x:c>
      <x:c r="S325" s="38" t="str">
        <x:v>BazaarDB Patch 16.2 商人包卡；归属 Tok's Clocks，品质 白银，占格 Medium。</x:v>
      </x:c>
    </x:row>
    <x:row r="326">
      <x:c r="A326" s="38" t="str">
        <x:v>bz_van_325</x:v>
      </x:c>
      <x:c r="B326" s="38" t="n">
        <x:v>325</x:v>
      </x:c>
      <x:c r="C326" s="38" t="str">
        <x:v>merchant_package</x:v>
      </x:c>
      <x:c r="D326" s="38" t="str">
        <x:v>confirmed</x:v>
      </x:c>
      <x:c r="E326" s="38" t="str">
        <x:v>package-14j16462jssf1hl7pglgvnl71gb</x:v>
      </x:c>
      <x:c r="F326" s="38" t="str">
        <x:v>托克钟表店的包裹</x:v>
      </x:c>
      <x:c r="G326" s="38" t="str">
        <x:v>bronze</x:v>
      </x:c>
      <x:c r="H326" s="38" t="str">
        <x:v>Small</x:v>
      </x:c>
      <x:c r="I326" s="38" t="str">
        <x:v>package, small, bronze, tok-s-clocks</x:v>
      </x:c>
      <x:c r="J326" s="38" t="n">
        <x:v>2</x:v>
      </x:c>
      <x:c r="K326" s="38" t="str">
        <x:v>merchant_tok-s-clocks, merchant_curio</x:v>
      </x:c>
      <x:c r="L326" s="38" t="n">
        <x:v>2</x:v>
      </x:c>
      <x:c r="M326" s="38" t="str">
        <x:v>elem_草, special_merchant</x:v>
      </x:c>
      <x:c r="N326" s="38" t="str">
        <x:v>Heavy</x:v>
      </x:c>
      <x:c r="O326" s="38" t="str">
        <x:v>pal_325</x:v>
      </x:c>
      <x:c r="P326" s="38" t="str">
        <x:v>托克小兽</x:v>
      </x:c>
      <x:c r="Q326" s="38" t="str">
        <x:v>https://bazaardb.gg/card/14j16462jssf1hl7pglgvnl71gb/%E6%89%98%E5%85%8B%E9%92%9F%E8%A1%A8%E5%BA%97%E7%9A%84%E5%8C%85%E8%A3%B9</x:v>
      </x:c>
      <x:c r="R326" s="38" t="str">
        <x:v>当你将此物品出售给托克钟表店时，获得一件附魔小型加速、减速或冷却物品和1经验值</x:v>
      </x:c>
      <x:c r="S326" s="38" t="str">
        <x:v>BazaarDB Patch 16.2 商人包卡；归属 Tok's Clocks，品质 青铜，占格 Small。</x:v>
      </x:c>
    </x:row>
    <x:row r="327">
      <x:c r="A327" s="38" t="str">
        <x:v>bz_van_326</x:v>
      </x:c>
      <x:c r="B327" s="38" t="n">
        <x:v>326</x:v>
      </x:c>
      <x:c r="C327" s="38" t="str">
        <x:v>merchant_package</x:v>
      </x:c>
      <x:c r="D327" s="38" t="str">
        <x:v>confirmed</x:v>
      </x:c>
      <x:c r="E327" s="38" t="str">
        <x:v>package-12yzghm2dz443b3xgpscd7pqgl4</x:v>
      </x:c>
      <x:c r="F327" s="38" t="str">
        <x:v>收容所谢尔比的包裹</x:v>
      </x:c>
      <x:c r="G327" s="38" t="str">
        <x:v>bronze</x:v>
      </x:c>
      <x:c r="H327" s="38" t="str">
        <x:v>Small</x:v>
      </x:c>
      <x:c r="I327" s="38" t="str">
        <x:v>package, small, bronze, shelter-shelby</x:v>
      </x:c>
      <x:c r="J327" s="38" t="n">
        <x:v>2</x:v>
      </x:c>
      <x:c r="K327" s="38" t="str">
        <x:v>merchant_shelter-shelby, merchant_curio</x:v>
      </x:c>
      <x:c r="L327" s="38" t="n">
        <x:v>2</x:v>
      </x:c>
      <x:c r="M327" s="38" t="str">
        <x:v>elem_草, role_抗压承伤</x:v>
      </x:c>
      <x:c r="N327" s="38" t="str">
        <x:v>Shiny</x:v>
      </x:c>
      <x:c r="O327" s="38" t="str">
        <x:v>pal_326</x:v>
      </x:c>
      <x:c r="P327" s="38" t="str">
        <x:v>谢尔小兽</x:v>
      </x:c>
      <x:c r="Q327" s="38" t="str">
        <x:v>https://bazaardb.gg/card/12yzghm2dz443b3xgpscd7pqgl4/%E6%94%B6%E5%AE%B9%E6%89%80%E8%B0%A2%E5%B0%94%E6%AF%94%E7%9A%84%E5%8C%85%E8%A3%B9</x:v>
      </x:c>
      <x:c r="R327" s="38" t="str">
        <x:v>当你将此物品出售给收容所谢尔比时，获得一件附魔的小型伙伴物品和1经验值</x:v>
      </x:c>
      <x:c r="S327" s="38" t="str">
        <x:v>BazaarDB Patch 16.2 商人包卡；归属 Shelter Shelby，品质 青铜，占格 Small。</x:v>
      </x:c>
    </x:row>
    <x:row r="328">
      <x:c r="A328" s="38" t="str">
        <x:v>bz_van_327</x:v>
      </x:c>
      <x:c r="B328" s="38" t="n">
        <x:v>327</x:v>
      </x:c>
      <x:c r="C328" s="38" t="str">
        <x:v>merchant_package</x:v>
      </x:c>
      <x:c r="D328" s="38" t="str">
        <x:v>confirmed</x:v>
      </x:c>
      <x:c r="E328" s="38" t="str">
        <x:v>package-14g0fx52slgg3tn8mmd7cjy4dqy</x:v>
      </x:c>
      <x:c r="F328" s="38" t="str">
        <x:v>收容所谢尔比的包裹</x:v>
      </x:c>
      <x:c r="G328" s="38" t="str">
        <x:v>silver</x:v>
      </x:c>
      <x:c r="H328" s="38" t="str">
        <x:v>Medium</x:v>
      </x:c>
      <x:c r="I328" s="38" t="str">
        <x:v>package, medium, silver, shelter-shelby</x:v>
      </x:c>
      <x:c r="J328" s="38" t="n">
        <x:v>2</x:v>
      </x:c>
      <x:c r="K328" s="38" t="str">
        <x:v>merchant_shelter-shelby, merchant_silvia</x:v>
      </x:c>
      <x:c r="L328" s="38" t="n">
        <x:v>2</x:v>
      </x:c>
      <x:c r="M328" s="38" t="str">
        <x:v>role_经济, role_抗压承伤</x:v>
      </x:c>
      <x:c r="N328" s="38" t="str">
        <x:v>Shiny</x:v>
      </x:c>
      <x:c r="O328" s="38" t="str">
        <x:v>pal_327</x:v>
      </x:c>
      <x:c r="P328" s="38" t="str">
        <x:v>谢尔中兽</x:v>
      </x:c>
      <x:c r="Q328" s="38" t="str">
        <x:v>https://bazaardb.gg/card/14g0fx52slgg3tn8mmd7cjy4dqy/%E6%94%B6%E5%AE%B9%E6%89%80%E8%B0%A2%E5%B0%94%E6%AF%94%E7%9A%84%E5%8C%85%E8%A3%B9</x:v>
      </x:c>
      <x:c r="R328" s="38" t="str">
        <x:v>当你将此物品出售给收容所谢尔比时，获得一件附魔中型伙伴物品和1经验值</x:v>
      </x:c>
      <x:c r="S328" s="38" t="str">
        <x:v>BazaarDB Patch 16.2 商人包卡；归属 Shelter Shelby，品质 白银，占格 Medium。</x:v>
      </x:c>
    </x:row>
    <x:row r="329">
      <x:c r="A329" s="38" t="str">
        <x:v>bz_van_328</x:v>
      </x:c>
      <x:c r="B329" s="38" t="n">
        <x:v>328</x:v>
      </x:c>
      <x:c r="C329" s="38" t="str">
        <x:v>merchant_package</x:v>
      </x:c>
      <x:c r="D329" s="38" t="str">
        <x:v>confirmed</x:v>
      </x:c>
      <x:c r="E329" s="38" t="str">
        <x:v>package-1b05bgqqkcvwd6dkzkd8g10vlfy</x:v>
      </x:c>
      <x:c r="F329" s="38" t="str">
        <x:v>收容所谢尔比的包裹</x:v>
      </x:c>
      <x:c r="G329" s="38" t="str">
        <x:v>silver</x:v>
      </x:c>
      <x:c r="H329" s="38" t="str">
        <x:v>Large</x:v>
      </x:c>
      <x:c r="I329" s="38" t="str">
        <x:v>package, large, silver, shelter-shelby</x:v>
      </x:c>
      <x:c r="J329" s="38" t="n">
        <x:v>2</x:v>
      </x:c>
      <x:c r="K329" s="38" t="str">
        <x:v>merchant_shelter-shelby, merchant_silvia</x:v>
      </x:c>
      <x:c r="L329" s="38" t="n">
        <x:v>2</x:v>
      </x:c>
      <x:c r="M329" s="38" t="str">
        <x:v>role_经济, role_抗压承伤</x:v>
      </x:c>
      <x:c r="N329" s="38" t="str">
        <x:v>Golden</x:v>
      </x:c>
      <x:c r="O329" s="38" t="str">
        <x:v>pal_328</x:v>
      </x:c>
      <x:c r="P329" s="38" t="str">
        <x:v>谢尔大兽</x:v>
      </x:c>
      <x:c r="Q329" s="38" t="str">
        <x:v>https://bazaardb.gg/card/1b05bgqqkcvwd6dkzkd8g10vlfy/%E6%94%B6%E5%AE%B9%E6%89%80%E8%B0%A2%E5%B0%94%E6%AF%94%E7%9A%84%E5%8C%85%E8%A3%B9</x:v>
      </x:c>
      <x:c r="R329" s="38" t="str">
        <x:v>When you sell this to Shelter Shelby, get an Enchanted large Friend item and 1 XP</x:v>
      </x:c>
      <x:c r="S329" s="38" t="str">
        <x:v>BazaarDB Patch 16.2 商人包卡；归属 Shelter Shelby，品质 白银，占格 Large。</x:v>
      </x:c>
    </x:row>
    <x:row r="330">
      <x:c r="A330" s="38" t="str">
        <x:v>bz_van_329</x:v>
      </x:c>
      <x:c r="B330" s="38" t="n">
        <x:v>329</x:v>
      </x:c>
      <x:c r="C330" s="38" t="str">
        <x:v>merchant_package</x:v>
      </x:c>
      <x:c r="D330" s="38" t="str">
        <x:v>confirmed</x:v>
      </x:c>
      <x:c r="E330" s="38" t="str">
        <x:v>package-mc0xjbfm3syvtxhmt3m4gtv9zv</x:v>
      </x:c>
      <x:c r="F330" s="38" t="str">
        <x:v>杰杰的包裹</x:v>
      </x:c>
      <x:c r="G330" s="38" t="str">
        <x:v>silver</x:v>
      </x:c>
      <x:c r="H330" s="38" t="str">
        <x:v>Large</x:v>
      </x:c>
      <x:c r="I330" s="38" t="str">
        <x:v>package, large, silver, jay-jay</x:v>
      </x:c>
      <x:c r="J330" s="38" t="n">
        <x:v>2</x:v>
      </x:c>
      <x:c r="K330" s="38" t="str">
        <x:v>merchant_jay-jay, merchant_silvia</x:v>
      </x:c>
      <x:c r="L330" s="38" t="n">
        <x:v>2</x:v>
      </x:c>
      <x:c r="M330" s="38" t="str">
        <x:v>elem_雷, role_经济</x:v>
      </x:c>
      <x:c r="N330" s="38" t="str">
        <x:v>Heavy</x:v>
      </x:c>
      <x:c r="O330" s="38" t="str">
        <x:v>pal_329</x:v>
      </x:c>
      <x:c r="P330" s="38" t="str">
        <x:v>杰杰大兽</x:v>
      </x:c>
      <x:c r="Q330" s="38" t="str">
        <x:v>https://bazaardb.gg/card/mc0xjbfm3syvtxhmt3m4gtv9zv/%E6%9D%B0%E6%9D%B0%E7%9A%84%E5%8C%85%E8%A3%B9</x:v>
      </x:c>
      <x:c r="R330" s="38" t="str">
        <x:v>当你将此物品出售给杰杰时，获得一件附魔大型物品和1经验值</x:v>
      </x:c>
      <x:c r="S330" s="38" t="str">
        <x:v>BazaarDB Patch 16.2 商人包卡；归属 Jay Jay，品质 白银，占格 Large。</x:v>
      </x:c>
    </x:row>
    <x:row r="331">
      <x:c r="A331" s="38" t="str">
        <x:v>bz_van_330</x:v>
      </x:c>
      <x:c r="B331" s="38" t="n">
        <x:v>330</x:v>
      </x:c>
      <x:c r="C331" s="38" t="str">
        <x:v>merchant_package</x:v>
      </x:c>
      <x:c r="D331" s="38" t="str">
        <x:v>confirmed</x:v>
      </x:c>
      <x:c r="E331" s="38" t="str">
        <x:v>package-15nw844q3q0dvp7vydm2zkb2j4n</x:v>
      </x:c>
      <x:c r="F331" s="38" t="str">
        <x:v>杰杰的包裹</x:v>
      </x:c>
      <x:c r="G331" s="38" t="str">
        <x:v>bronze</x:v>
      </x:c>
      <x:c r="H331" s="38" t="str">
        <x:v>Medium</x:v>
      </x:c>
      <x:c r="I331" s="38" t="str">
        <x:v>package, medium, bronze, jay-jay</x:v>
      </x:c>
      <x:c r="J331" s="38" t="n">
        <x:v>2</x:v>
      </x:c>
      <x:c r="K331" s="38" t="str">
        <x:v>merchant_jay-jay, merchant_curio</x:v>
      </x:c>
      <x:c r="L331" s="38" t="n">
        <x:v>2</x:v>
      </x:c>
      <x:c r="M331" s="38" t="str">
        <x:v>elem_草, elem_雷</x:v>
      </x:c>
      <x:c r="N331" s="38" t="str">
        <x:v>Shiny</x:v>
      </x:c>
      <x:c r="O331" s="38" t="str">
        <x:v>pal_330</x:v>
      </x:c>
      <x:c r="P331" s="38" t="str">
        <x:v>杰杰中兽</x:v>
      </x:c>
      <x:c r="Q331" s="38" t="str">
        <x:v>https://bazaardb.gg/card/15nw844q3q0dvp7vydm2zkb2j4n/%E6%9D%B0%E6%9D%B0%E7%9A%84%E5%8C%85%E8%A3%B9</x:v>
      </x:c>
      <x:c r="R331" s="38" t="str">
        <x:v>当你将此物品出售给杰杰时，获得一件附魔中型物品和1经验值</x:v>
      </x:c>
      <x:c r="S331" s="38" t="str">
        <x:v>BazaarDB Patch 16.2 商人包卡；归属 Jay Jay，品质 青铜，占格 Medium。</x:v>
      </x:c>
    </x:row>
    <x:row r="332">
      <x:c r="A332" s="38" t="str">
        <x:v>bz_van_331</x:v>
      </x:c>
      <x:c r="B332" s="38" t="n">
        <x:v>331</x:v>
      </x:c>
      <x:c r="C332" s="38" t="str">
        <x:v>merchant_package</x:v>
      </x:c>
      <x:c r="D332" s="38" t="str">
        <x:v>confirmed</x:v>
      </x:c>
      <x:c r="E332" s="38" t="str">
        <x:v>package-16v803v2vjvhpkstfglw1zw1qgf</x:v>
      </x:c>
      <x:c r="F332" s="38" t="str">
        <x:v>橡树君的包裹</x:v>
      </x:c>
      <x:c r="G332" s="38" t="str">
        <x:v>silver</x:v>
      </x:c>
      <x:c r="H332" s="38" t="str">
        <x:v>Large</x:v>
      </x:c>
      <x:c r="I332" s="38" t="str">
        <x:v>package, large, silver, lord-oak</x:v>
      </x:c>
      <x:c r="J332" s="38" t="n">
        <x:v>2</x:v>
      </x:c>
      <x:c r="K332" s="38" t="str">
        <x:v>merchant_lord-oak, merchant_silvia</x:v>
      </x:c>
      <x:c r="L332" s="38" t="n">
        <x:v>2</x:v>
      </x:c>
      <x:c r="M332" s="38" t="str">
        <x:v>role_经济, role_机动压制</x:v>
      </x:c>
      <x:c r="N332" s="38" t="str">
        <x:v>Heavy</x:v>
      </x:c>
      <x:c r="O332" s="38" t="str">
        <x:v>pal_331</x:v>
      </x:c>
      <x:c r="P332" s="38" t="str">
        <x:v>橡君大兽</x:v>
      </x:c>
      <x:c r="Q332" s="38" t="str">
        <x:v>https://bazaardb.gg/card/16v803v2vjvhpkstfglw1zw1qgf/%E6%A9%A1%E6%A0%91%E5%90%9B%E7%9A%84%E5%8C%85%E8%A3%B9</x:v>
      </x:c>
      <x:c r="R332" s="38" t="str">
        <x:v>当你将此物品出售给橡树君，获得一件附魔的大型物品和1经验值</x:v>
      </x:c>
      <x:c r="S332" s="38" t="str">
        <x:v>BazaarDB Patch 16.2 商人包卡；归属 Lord Oak，品质 白银，占格 Large。</x:v>
      </x:c>
    </x:row>
    <x:row r="333">
      <x:c r="A333" s="38" t="str">
        <x:v>bz_van_332</x:v>
      </x:c>
      <x:c r="B333" s="38" t="n">
        <x:v>332</x:v>
      </x:c>
      <x:c r="C333" s="38" t="str">
        <x:v>merchant_package</x:v>
      </x:c>
      <x:c r="D333" s="38" t="str">
        <x:v>confirmed</x:v>
      </x:c>
      <x:c r="E333" s="38" t="str">
        <x:v>package-19fmmbt6wqh948l74h96y3h07hb</x:v>
      </x:c>
      <x:c r="F333" s="38" t="str">
        <x:v>橡树君的包裹</x:v>
      </x:c>
      <x:c r="G333" s="38" t="str">
        <x:v>bronze</x:v>
      </x:c>
      <x:c r="H333" s="38" t="str">
        <x:v>Small</x:v>
      </x:c>
      <x:c r="I333" s="38" t="str">
        <x:v>package, small, bronze, lord-oak</x:v>
      </x:c>
      <x:c r="J333" s="38" t="n">
        <x:v>2</x:v>
      </x:c>
      <x:c r="K333" s="38" t="str">
        <x:v>merchant_lord-oak, merchant_curio</x:v>
      </x:c>
      <x:c r="L333" s="38" t="n">
        <x:v>2</x:v>
      </x:c>
      <x:c r="M333" s="38" t="str">
        <x:v>elem_草, role_机动压制</x:v>
      </x:c>
      <x:c r="N333" s="38" t="str">
        <x:v>Shiny</x:v>
      </x:c>
      <x:c r="O333" s="38" t="str">
        <x:v>pal_332</x:v>
      </x:c>
      <x:c r="P333" s="38" t="str">
        <x:v>橡君小兽</x:v>
      </x:c>
      <x:c r="Q333" s="38" t="str">
        <x:v>https://bazaardb.gg/card/19fmmbt6wqh948l74h96y3h07hb/%E6%A9%A1%E6%A0%91%E5%90%9B%E7%9A%84%E5%8C%85%E8%A3%B9</x:v>
      </x:c>
      <x:c r="R333" s="38" t="str">
        <x:v>当你将此物品出售给橡树君时，获得一件附魔小型物品和1经验值</x:v>
      </x:c>
      <x:c r="S333" s="38" t="str">
        <x:v>BazaarDB Patch 16.2 商人包卡；归属 Lord Oak，品质 青铜，占格 Small。</x:v>
      </x:c>
    </x:row>
    <x:row r="334">
      <x:c r="A334" s="38" t="str">
        <x:v>bz_van_333</x:v>
      </x:c>
      <x:c r="B334" s="38" t="n">
        <x:v>333</x:v>
      </x:c>
      <x:c r="C334" s="38" t="str">
        <x:v>merchant_package</x:v>
      </x:c>
      <x:c r="D334" s="38" t="str">
        <x:v>confirmed</x:v>
      </x:c>
      <x:c r="E334" s="38" t="str">
        <x:v>package-19s391pk837stndc2l7f8p5406s</x:v>
      </x:c>
      <x:c r="F334" s="38" t="str">
        <x:v>橡树君的包裹</x:v>
      </x:c>
      <x:c r="G334" s="38" t="str">
        <x:v>bronze</x:v>
      </x:c>
      <x:c r="H334" s="38" t="str">
        <x:v>Medium</x:v>
      </x:c>
      <x:c r="I334" s="38" t="str">
        <x:v>package, medium, bronze, lord-oak</x:v>
      </x:c>
      <x:c r="J334" s="38" t="n">
        <x:v>2</x:v>
      </x:c>
      <x:c r="K334" s="38" t="str">
        <x:v>merchant_lord-oak, merchant_curio</x:v>
      </x:c>
      <x:c r="L334" s="38" t="n">
        <x:v>2</x:v>
      </x:c>
      <x:c r="M334" s="38" t="str">
        <x:v>elem_草, role_机动压制</x:v>
      </x:c>
      <x:c r="N334" s="38" t="str">
        <x:v>Shiny</x:v>
      </x:c>
      <x:c r="O334" s="38" t="str">
        <x:v>pal_333</x:v>
      </x:c>
      <x:c r="P334" s="38" t="str">
        <x:v>橡君中兽</x:v>
      </x:c>
      <x:c r="Q334" s="38" t="str">
        <x:v>https://bazaardb.gg/card/19s391pk837stndc2l7f8p5406s/%E6%A9%A1%E6%A0%91%E5%90%9B%E7%9A%84%E5%8C%85%E8%A3%B9</x:v>
      </x:c>
      <x:c r="R334" s="38" t="str">
        <x:v>当你将此物品出售给橡树君时，获得一件附魔中型物品和1经验值</x:v>
      </x:c>
      <x:c r="S334" s="38" t="str">
        <x:v>BazaarDB Patch 16.2 商人包卡；归属 Lord Oak，品质 青铜，占格 Medium。</x:v>
      </x:c>
    </x:row>
    <x:row r="335">
      <x:c r="A335" s="38" t="str">
        <x:v>bz_van_334</x:v>
      </x:c>
      <x:c r="B335" s="38" t="n">
        <x:v>334</x:v>
      </x:c>
      <x:c r="C335" s="38" t="str">
        <x:v>merchant_package</x:v>
      </x:c>
      <x:c r="D335" s="38" t="str">
        <x:v>confirmed</x:v>
      </x:c>
      <x:c r="E335" s="38" t="str">
        <x:v>package-2j6xzph63n1sw91p95qg2klskf</x:v>
      </x:c>
      <x:c r="F335" s="38" t="str">
        <x:v>波尔的包裹</x:v>
      </x:c>
      <x:c r="G335" s="38" t="str">
        <x:v>gold</x:v>
      </x:c>
      <x:c r="H335" s="38" t="str">
        <x:v>Small</x:v>
      </x:c>
      <x:c r="I335" s="38" t="str">
        <x:v>package, small, gold, pol</x:v>
      </x:c>
      <x:c r="J335" s="38" t="n">
        <x:v>2</x:v>
      </x:c>
      <x:c r="K335" s="38" t="str">
        <x:v>merchant_pol, merchant_goldie</x:v>
      </x:c>
      <x:c r="L335" s="38" t="n">
        <x:v>2</x:v>
      </x:c>
      <x:c r="M335" s="38" t="str">
        <x:v>role_坦克, role_风系铺场</x:v>
      </x:c>
      <x:c r="N335" s="38" t="str">
        <x:v>Golden</x:v>
      </x:c>
      <x:c r="O335" s="38" t="str">
        <x:v>pal_334</x:v>
      </x:c>
      <x:c r="P335" s="38" t="str">
        <x:v>波尔小兽</x:v>
      </x:c>
      <x:c r="Q335" s="38" t="str">
        <x:v>https://bazaardb.gg/card/2j6xzph63n1sw91p95qg2klskf/%E6%B3%A2%E5%B0%94%E7%9A%84%E5%8C%85%E8%A3%B9</x:v>
      </x:c>
      <x:c r="R335" s="38" t="str">
        <x:v>当你将此物品出售给波尔时，获得一件附魔大型物品和1经验值</x:v>
      </x:c>
      <x:c r="S335" s="38" t="str">
        <x:v>BazaarDB Patch 16.2 商人包卡；归属 Pol，品质 黄金，占格 Small。</x:v>
      </x:c>
    </x:row>
    <x:row r="336">
      <x:c r="A336" s="38" t="str">
        <x:v>bz_van_335</x:v>
      </x:c>
      <x:c r="B336" s="38" t="n">
        <x:v>335</x:v>
      </x:c>
      <x:c r="C336" s="38" t="str">
        <x:v>merchant_package</x:v>
      </x:c>
      <x:c r="D336" s="38" t="str">
        <x:v>confirmed</x:v>
      </x:c>
      <x:c r="E336" s="38" t="str">
        <x:v>package-b0yyljnl18vzqxy1wctst3pt63</x:v>
      </x:c>
      <x:c r="F336" s="38" t="str">
        <x:v>波尔的包裹</x:v>
      </x:c>
      <x:c r="G336" s="38" t="str">
        <x:v>silver</x:v>
      </x:c>
      <x:c r="H336" s="38" t="str">
        <x:v>Large</x:v>
      </x:c>
      <x:c r="I336" s="38" t="str">
        <x:v>package, large, silver, pol</x:v>
      </x:c>
      <x:c r="J336" s="38" t="n">
        <x:v>2</x:v>
      </x:c>
      <x:c r="K336" s="38" t="str">
        <x:v>merchant_pol, merchant_silvia</x:v>
      </x:c>
      <x:c r="L336" s="38" t="n">
        <x:v>2</x:v>
      </x:c>
      <x:c r="M336" s="38" t="str">
        <x:v>role_经济, role_风系铺场</x:v>
      </x:c>
      <x:c r="N336" s="38" t="str">
        <x:v>Heavy</x:v>
      </x:c>
      <x:c r="O336" s="38" t="str">
        <x:v>pal_335</x:v>
      </x:c>
      <x:c r="P336" s="38" t="str">
        <x:v>波尔大兽</x:v>
      </x:c>
      <x:c r="Q336" s="38" t="str">
        <x:v>https://bazaardb.gg/card/b0yyljnl18vzqxy1wctst3pt63/%E6%B3%A2%E5%B0%94%E7%9A%84%E5%8C%85%E8%A3%B9</x:v>
      </x:c>
      <x:c r="R336" s="38" t="str">
        <x:v>当你将此物品出售给波尔时，获得一件附魔大型物品和1经验值</x:v>
      </x:c>
      <x:c r="S336" s="38" t="str">
        <x:v>BazaarDB Patch 16.2 商人包卡；归属 Pol，品质 白银，占格 Large。</x:v>
      </x:c>
    </x:row>
    <x:row r="337">
      <x:c r="A337" s="38" t="str">
        <x:v>bz_van_336</x:v>
      </x:c>
      <x:c r="B337" s="38" t="n">
        <x:v>336</x:v>
      </x:c>
      <x:c r="C337" s="38" t="str">
        <x:v>merchant_package</x:v>
      </x:c>
      <x:c r="D337" s="38" t="str">
        <x:v>confirmed</x:v>
      </x:c>
      <x:c r="E337" s="38" t="str">
        <x:v>package-174dhgz1bmb6hk783sdwtv9b39z</x:v>
      </x:c>
      <x:c r="F337" s="38" t="str">
        <x:v>波尔的包裹</x:v>
      </x:c>
      <x:c r="G337" s="38" t="str">
        <x:v>gold</x:v>
      </x:c>
      <x:c r="H337" s="38" t="str">
        <x:v>Medium</x:v>
      </x:c>
      <x:c r="I337" s="38" t="str">
        <x:v>package, medium, gold, pol</x:v>
      </x:c>
      <x:c r="J337" s="38" t="n">
        <x:v>2</x:v>
      </x:c>
      <x:c r="K337" s="38" t="str">
        <x:v>merchant_pol, merchant_goldie</x:v>
      </x:c>
      <x:c r="L337" s="38" t="n">
        <x:v>2</x:v>
      </x:c>
      <x:c r="M337" s="38" t="str">
        <x:v>role_坦克, role_风系铺场</x:v>
      </x:c>
      <x:c r="N337" s="38" t="str">
        <x:v>Golden</x:v>
      </x:c>
      <x:c r="O337" s="38" t="str">
        <x:v>pal_336</x:v>
      </x:c>
      <x:c r="P337" s="38" t="str">
        <x:v>波尔中兽</x:v>
      </x:c>
      <x:c r="Q337" s="38" t="str">
        <x:v>https://bazaardb.gg/card/174dhgz1bmb6hk783sdwtv9b39z/%E6%B3%A2%E5%B0%94%E7%9A%84%E5%8C%85%E8%A3%B9</x:v>
      </x:c>
      <x:c r="R337" s="38" t="str">
        <x:v>当你将此物品出售给波尔时，获得一件附魔大型物品和1经验值</x:v>
      </x:c>
      <x:c r="S337" s="38" t="str">
        <x:v>BazaarDB Patch 16.2 商人包卡；归属 Pol，品质 黄金，占格 Medium。</x:v>
      </x:c>
    </x:row>
    <x:row r="338">
      <x:c r="A338" s="38" t="str">
        <x:v>bz_van_337</x:v>
      </x:c>
      <x:c r="B338" s="38" t="n">
        <x:v>337</x:v>
      </x:c>
      <x:c r="C338" s="38" t="str">
        <x:v>merchant_package</x:v>
      </x:c>
      <x:c r="D338" s="38" t="str">
        <x:v>confirmed</x:v>
      </x:c>
      <x:c r="E338" s="38" t="str">
        <x:v>package-kkc47vv82s0jx3q5f47ypdc1mx</x:v>
      </x:c>
      <x:c r="F338" s="38" t="str">
        <x:v>测试家的包裹</x:v>
      </x:c>
      <x:c r="G338" s="38" t="str">
        <x:v>silver</x:v>
      </x:c>
      <x:c r="H338" s="38" t="str">
        <x:v>Large</x:v>
      </x:c>
      <x:c r="I338" s="38" t="str">
        <x:v>package, large, silver, the-tester</x:v>
      </x:c>
      <x:c r="J338" s="38" t="n">
        <x:v>2</x:v>
      </x:c>
      <x:c r="K338" s="38" t="str">
        <x:v>merchant_the-tester, merchant_silvia</x:v>
      </x:c>
      <x:c r="L338" s="38" t="n">
        <x:v>2</x:v>
      </x:c>
      <x:c r="M338" s="38" t="str">
        <x:v>role_经济, role_抗压承伤</x:v>
      </x:c>
      <x:c r="N338" s="38" t="str">
        <x:v>Heavy</x:v>
      </x:c>
      <x:c r="O338" s="38" t="str">
        <x:v>pal_337</x:v>
      </x:c>
      <x:c r="P338" s="38" t="str">
        <x:v>试家大兽</x:v>
      </x:c>
      <x:c r="Q338" s="38" t="str">
        <x:v>https://bazaardb.gg/card/kkc47vv82s0jx3q5f47ypdc1mx/%E6%B5%8B%E8%AF%95%E5%AE%B6%E7%9A%84%E5%8C%85%E8%A3%B9</x:v>
      </x:c>
      <x:c r="R338" s="38" t="str">
        <x:v>当你将此物品出售给测试家时，获得一件来自任意英雄的附魔大型科技物品和1经验值</x:v>
      </x:c>
      <x:c r="S338" s="38" t="str">
        <x:v>BazaarDB Patch 16.2 商人包卡；归属 The Tester，品质 白银，占格 Large。</x:v>
      </x:c>
    </x:row>
    <x:row r="339">
      <x:c r="A339" s="38" t="str">
        <x:v>bz_van_338</x:v>
      </x:c>
      <x:c r="B339" s="38" t="n">
        <x:v>338</x:v>
      </x:c>
      <x:c r="C339" s="38" t="str">
        <x:v>merchant_package</x:v>
      </x:c>
      <x:c r="D339" s="38" t="str">
        <x:v>confirmed</x:v>
      </x:c>
      <x:c r="E339" s="38" t="str">
        <x:v>package-py84ttn8vk1ms2v131nlks36zf</x:v>
      </x:c>
      <x:c r="F339" s="38" t="str">
        <x:v>测试家的包裹</x:v>
      </x:c>
      <x:c r="G339" s="38" t="str">
        <x:v>silver</x:v>
      </x:c>
      <x:c r="H339" s="38" t="str">
        <x:v>Medium</x:v>
      </x:c>
      <x:c r="I339" s="38" t="str">
        <x:v>package, medium, silver, the-tester</x:v>
      </x:c>
      <x:c r="J339" s="38" t="n">
        <x:v>2</x:v>
      </x:c>
      <x:c r="K339" s="38" t="str">
        <x:v>merchant_the-tester, merchant_silvia</x:v>
      </x:c>
      <x:c r="L339" s="38" t="n">
        <x:v>2</x:v>
      </x:c>
      <x:c r="M339" s="38" t="str">
        <x:v>role_经济, role_抗压承伤</x:v>
      </x:c>
      <x:c r="N339" s="38" t="str">
        <x:v>Heavy</x:v>
      </x:c>
      <x:c r="O339" s="38" t="str">
        <x:v>pal_338</x:v>
      </x:c>
      <x:c r="P339" s="38" t="str">
        <x:v>试家中兽</x:v>
      </x:c>
      <x:c r="Q339" s="38" t="str">
        <x:v>https://bazaardb.gg/card/py84ttn8vk1ms2v131nlks36zf/%E6%B5%8B%E8%AF%95%E5%AE%B6%E7%9A%84%E5%8C%85%E8%A3%B9</x:v>
      </x:c>
      <x:c r="R339" s="38" t="str">
        <x:v>当你将此物品出售给测试家时，获得一件来自任意英雄的附魔中型科技物品和1经验值</x:v>
      </x:c>
      <x:c r="S339" s="38" t="str">
        <x:v>BazaarDB Patch 16.2 商人包卡；归属 The Tester，品质 白银，占格 Medium。</x:v>
      </x:c>
    </x:row>
    <x:row r="340">
      <x:c r="A340" s="38" t="str">
        <x:v>bz_van_339</x:v>
      </x:c>
      <x:c r="B340" s="38" t="n">
        <x:v>339</x:v>
      </x:c>
      <x:c r="C340" s="38" t="str">
        <x:v>merchant_package</x:v>
      </x:c>
      <x:c r="D340" s="38" t="str">
        <x:v>confirmed</x:v>
      </x:c>
      <x:c r="E340" s="38" t="str">
        <x:v>package-xl2ybm000cmcxj0y97pmlksbkl</x:v>
      </x:c>
      <x:c r="F340" s="38" t="str">
        <x:v>测试家的包裹</x:v>
      </x:c>
      <x:c r="G340" s="38" t="str">
        <x:v>silver</x:v>
      </x:c>
      <x:c r="H340" s="38" t="str">
        <x:v>Small</x:v>
      </x:c>
      <x:c r="I340" s="38" t="str">
        <x:v>package, small, silver, the-tester</x:v>
      </x:c>
      <x:c r="J340" s="38" t="n">
        <x:v>2</x:v>
      </x:c>
      <x:c r="K340" s="38" t="str">
        <x:v>merchant_the-tester, merchant_silvia</x:v>
      </x:c>
      <x:c r="L340" s="38" t="n">
        <x:v>2</x:v>
      </x:c>
      <x:c r="M340" s="38" t="str">
        <x:v>role_经济, role_抗压承伤</x:v>
      </x:c>
      <x:c r="N340" s="38" t="str">
        <x:v>Shiny</x:v>
      </x:c>
      <x:c r="O340" s="38" t="str">
        <x:v>pal_339</x:v>
      </x:c>
      <x:c r="P340" s="38" t="str">
        <x:v>试家小兽</x:v>
      </x:c>
      <x:c r="Q340" s="38" t="str">
        <x:v>https://bazaardb.gg/card/xl2ybm000cmcxj0y97pmlksbkl/%E6%B5%8B%E8%AF%95%E5%AE%B6%E7%9A%84%E5%8C%85%E8%A3%B9</x:v>
      </x:c>
      <x:c r="R340" s="38" t="str">
        <x:v>当你将此物品出售给测试家时，获得一件附魔的来自任意英雄的小型科技物品和1经验值</x:v>
      </x:c>
      <x:c r="S340" s="38" t="str">
        <x:v>BazaarDB Patch 16.2 商人包卡；归属 The Tester，品质 白银，占格 Small。</x:v>
      </x:c>
    </x:row>
    <x:row r="341">
      <x:c r="A341" s="38" t="str">
        <x:v>bz_van_340</x:v>
      </x:c>
      <x:c r="B341" s="38" t="n">
        <x:v>340</x:v>
      </x:c>
      <x:c r="C341" s="38" t="str">
        <x:v>merchant_package</x:v>
      </x:c>
      <x:c r="D341" s="38" t="str">
        <x:v>confirmed</x:v>
      </x:c>
      <x:c r="E341" s="38" t="str">
        <x:v>package-w3l38hs2syj5kjb09pjy47njgg</x:v>
      </x:c>
      <x:c r="F341" s="38" t="str">
        <x:v>爱伊拉的包裹</x:v>
      </x:c>
      <x:c r="G341" s="38" t="str">
        <x:v>bronze</x:v>
      </x:c>
      <x:c r="H341" s="38" t="str">
        <x:v>Medium</x:v>
      </x:c>
      <x:c r="I341" s="38" t="str">
        <x:v>package, medium, bronze, aila</x:v>
      </x:c>
      <x:c r="J341" s="38" t="n">
        <x:v>2</x:v>
      </x:c>
      <x:c r="K341" s="38" t="str">
        <x:v>merchant_aila, merchant_curio</x:v>
      </x:c>
      <x:c r="L341" s="38" t="n">
        <x:v>2</x:v>
      </x:c>
      <x:c r="M341" s="38" t="str">
        <x:v>night_base, elem_草</x:v>
      </x:c>
      <x:c r="N341" s="38" t="str">
        <x:v>Heavy</x:v>
      </x:c>
      <x:c r="O341" s="38" t="str">
        <x:v>pal_340</x:v>
      </x:c>
      <x:c r="P341" s="38" t="str">
        <x:v>爱拉中兽</x:v>
      </x:c>
      <x:c r="Q341" s="38" t="str">
        <x:v>https://bazaardb.gg/card/w3l38hs2syj5kjb09pjy47njgg/%E7%88%B1%E4%BC%8A%E6%8B%89%E7%9A%84%E5%8C%85%E8%A3%B9</x:v>
      </x:c>
      <x:c r="R341" s="38" t="str">
        <x:v>当你将此物品出售给爱伊拉时，获得一件附魔的中型武器和1经验值</x:v>
      </x:c>
      <x:c r="S341" s="38" t="str">
        <x:v>BazaarDB Patch 16.2 商人包卡；归属 Aila，品质 青铜，占格 Medium。</x:v>
      </x:c>
    </x:row>
    <x:row r="342">
      <x:c r="A342" s="38" t="str">
        <x:v>bz_van_341</x:v>
      </x:c>
      <x:c r="B342" s="38" t="n">
        <x:v>341</x:v>
      </x:c>
      <x:c r="C342" s="38" t="str">
        <x:v>merchant_package</x:v>
      </x:c>
      <x:c r="D342" s="38" t="str">
        <x:v>confirmed</x:v>
      </x:c>
      <x:c r="E342" s="38" t="str">
        <x:v>package-137xn23pd0d1dhn96yhhd85kkb7</x:v>
      </x:c>
      <x:c r="F342" s="38" t="str">
        <x:v>爱伊拉的包裹</x:v>
      </x:c>
      <x:c r="G342" s="38" t="str">
        <x:v>silver</x:v>
      </x:c>
      <x:c r="H342" s="38" t="str">
        <x:v>Large</x:v>
      </x:c>
      <x:c r="I342" s="38" t="str">
        <x:v>package, large, silver, aila</x:v>
      </x:c>
      <x:c r="J342" s="38" t="n">
        <x:v>2</x:v>
      </x:c>
      <x:c r="K342" s="38" t="str">
        <x:v>merchant_aila, merchant_silvia</x:v>
      </x:c>
      <x:c r="L342" s="38" t="n">
        <x:v>2</x:v>
      </x:c>
      <x:c r="M342" s="38" t="str">
        <x:v>night_base, role_经济</x:v>
      </x:c>
      <x:c r="N342" s="38" t="str">
        <x:v>Heavy</x:v>
      </x:c>
      <x:c r="O342" s="38" t="str">
        <x:v>pal_341</x:v>
      </x:c>
      <x:c r="P342" s="38" t="str">
        <x:v>爱拉大兽</x:v>
      </x:c>
      <x:c r="Q342" s="38" t="str">
        <x:v>https://bazaardb.gg/card/137xn23pd0d1dhn96yhhd85kkb7/%E7%88%B1%E4%BC%8A%E6%8B%89%E7%9A%84%E5%8C%85%E8%A3%B9</x:v>
      </x:c>
      <x:c r="R342" s="38" t="str">
        <x:v>当你将此物品出售给爱伊拉时，获得一件附魔的大型武器和1经验值</x:v>
      </x:c>
      <x:c r="S342" s="38" t="str">
        <x:v>BazaarDB Patch 16.2 商人包卡；归属 Aila，品质 白银，占格 Large。</x:v>
      </x:c>
    </x:row>
    <x:row r="343">
      <x:c r="A343" s="38" t="str">
        <x:v>bz_van_342</x:v>
      </x:c>
      <x:c r="B343" s="38" t="n">
        <x:v>342</x:v>
      </x:c>
      <x:c r="C343" s="38" t="str">
        <x:v>merchant_package</x:v>
      </x:c>
      <x:c r="D343" s="38" t="str">
        <x:v>confirmed</x:v>
      </x:c>
      <x:c r="E343" s="38" t="str">
        <x:v>package-17xx7t01vblxhp232x9sqhdt2m6</x:v>
      </x:c>
      <x:c r="F343" s="38" t="str">
        <x:v>爱伊拉的包裹</x:v>
      </x:c>
      <x:c r="G343" s="38" t="str">
        <x:v>bronze</x:v>
      </x:c>
      <x:c r="H343" s="38" t="str">
        <x:v>Small</x:v>
      </x:c>
      <x:c r="I343" s="38" t="str">
        <x:v>package, small, bronze, aila</x:v>
      </x:c>
      <x:c r="J343" s="38" t="n">
        <x:v>2</x:v>
      </x:c>
      <x:c r="K343" s="38" t="str">
        <x:v>merchant_aila, merchant_curio</x:v>
      </x:c>
      <x:c r="L343" s="38" t="n">
        <x:v>2</x:v>
      </x:c>
      <x:c r="M343" s="38" t="str">
        <x:v>night_base, elem_草</x:v>
      </x:c>
      <x:c r="N343" s="38" t="str">
        <x:v>Heavy</x:v>
      </x:c>
      <x:c r="O343" s="38" t="str">
        <x:v>pal_342</x:v>
      </x:c>
      <x:c r="P343" s="38" t="str">
        <x:v>爱拉小兽</x:v>
      </x:c>
      <x:c r="Q343" s="38" t="str">
        <x:v>https://bazaardb.gg/card/17xx7t01vblxhp232x9sqhdt2m6/%E7%88%B1%E4%BC%8A%E6%8B%89%E7%9A%84%E5%8C%85%E8%A3%B9</x:v>
      </x:c>
      <x:c r="R343" s="38" t="str">
        <x:v>当你将此物品出售给爱伊拉时，获得一件附魔小型武器和1经验值</x:v>
      </x:c>
      <x:c r="S343" s="38" t="str">
        <x:v>BazaarDB Patch 16.2 商人包卡；归属 Aila，品质 青铜，占格 Small。</x:v>
      </x:c>
    </x:row>
    <x:row r="344">
      <x:c r="A344" s="38" t="str">
        <x:v>bz_van_343</x:v>
      </x:c>
      <x:c r="B344" s="38" t="n">
        <x:v>343</x:v>
      </x:c>
      <x:c r="C344" s="38" t="str">
        <x:v>merchant_package</x:v>
      </x:c>
      <x:c r="D344" s="38" t="str">
        <x:v>confirmed</x:v>
      </x:c>
      <x:c r="E344" s="38" t="str">
        <x:v>package-f51kxgpgbyjq0zqtb2n43y2k3l</x:v>
      </x:c>
      <x:c r="F344" s="38" t="str">
        <x:v>瓦尔帕克的包裹</x:v>
      </x:c>
      <x:c r="G344" s="38" t="str">
        <x:v>silver</x:v>
      </x:c>
      <x:c r="H344" s="38" t="str">
        <x:v>Large</x:v>
      </x:c>
      <x:c r="I344" s="38" t="str">
        <x:v>package, large, silver, valpak</x:v>
      </x:c>
      <x:c r="J344" s="38" t="n">
        <x:v>2</x:v>
      </x:c>
      <x:c r="K344" s="38" t="str">
        <x:v>merchant_valpak, merchant_silvia</x:v>
      </x:c>
      <x:c r="L344" s="38" t="n">
        <x:v>2</x:v>
      </x:c>
      <x:c r="M344" s="38" t="str">
        <x:v>elem_暗, role_经济</x:v>
      </x:c>
      <x:c r="N344" s="38" t="str">
        <x:v>Shiny</x:v>
      </x:c>
      <x:c r="O344" s="38" t="str">
        <x:v>pal_343</x:v>
      </x:c>
      <x:c r="P344" s="38" t="str">
        <x:v>瓦尔大兽</x:v>
      </x:c>
      <x:c r="Q344" s="38" t="str">
        <x:v>https://bazaardb.gg/card/f51kxgpgbyjq0zqtb2n43y2k3l/%E7%93%A6%E5%B0%94%E5%B8%95%E5%85%8B%E7%9A%84%E5%8C%85%E8%A3%B9</x:v>
      </x:c>
      <x:c r="R344" s="38" t="str">
        <x:v>当你将此物品出售给瓦尔帕克时，获得一件附魔大型物品和1经验值</x:v>
      </x:c>
      <x:c r="S344" s="38" t="str">
        <x:v>BazaarDB Patch 16.2 商人包卡；归属 Valpak，品质 白银，占格 Large。</x:v>
      </x:c>
    </x:row>
    <x:row r="345">
      <x:c r="A345" s="38" t="str">
        <x:v>bz_van_344</x:v>
      </x:c>
      <x:c r="B345" s="38" t="n">
        <x:v>344</x:v>
      </x:c>
      <x:c r="C345" s="38" t="str">
        <x:v>merchant_package</x:v>
      </x:c>
      <x:c r="D345" s="38" t="str">
        <x:v>confirmed</x:v>
      </x:c>
      <x:c r="E345" s="38" t="str">
        <x:v>package-jqhjqfsl1x5pcp9j567jwv3d4d</x:v>
      </x:c>
      <x:c r="F345" s="38" t="str">
        <x:v>瓦尔帕克的包裹</x:v>
      </x:c>
      <x:c r="G345" s="38" t="str">
        <x:v>bronze</x:v>
      </x:c>
      <x:c r="H345" s="38" t="str">
        <x:v>Small</x:v>
      </x:c>
      <x:c r="I345" s="38" t="str">
        <x:v>package, small, bronze, valpak</x:v>
      </x:c>
      <x:c r="J345" s="38" t="n">
        <x:v>2</x:v>
      </x:c>
      <x:c r="K345" s="38" t="str">
        <x:v>merchant_valpak, merchant_curio</x:v>
      </x:c>
      <x:c r="L345" s="38" t="n">
        <x:v>2</x:v>
      </x:c>
      <x:c r="M345" s="38" t="str">
        <x:v>elem_草, elem_暗</x:v>
      </x:c>
      <x:c r="N345" s="38" t="str">
        <x:v>Heavy</x:v>
      </x:c>
      <x:c r="O345" s="38" t="str">
        <x:v>pal_344</x:v>
      </x:c>
      <x:c r="P345" s="38" t="str">
        <x:v>瓦尔小兽</x:v>
      </x:c>
      <x:c r="Q345" s="38" t="str">
        <x:v>https://bazaardb.gg/card/jqhjqfsl1x5pcp9j567jwv3d4d/%E7%93%A6%E5%B0%94%E5%B8%95%E5%85%8B%E7%9A%84%E5%8C%85%E8%A3%B9</x:v>
      </x:c>
      <x:c r="R345" s="38" t="str">
        <x:v>当你将此物品出售给瓦尔帕克时，获得一件附魔小型物品和1经验值</x:v>
      </x:c>
      <x:c r="S345" s="38" t="str">
        <x:v>BazaarDB Patch 16.2 商人包卡；归属 Valpak，品质 青铜，占格 Small。</x:v>
      </x:c>
    </x:row>
    <x:row r="346">
      <x:c r="A346" s="38" t="str">
        <x:v>bz_van_345</x:v>
      </x:c>
      <x:c r="B346" s="38" t="n">
        <x:v>345</x:v>
      </x:c>
      <x:c r="C346" s="38" t="str">
        <x:v>merchant_package</x:v>
      </x:c>
      <x:c r="D346" s="38" t="str">
        <x:v>confirmed</x:v>
      </x:c>
      <x:c r="E346" s="38" t="str">
        <x:v>package-v27h9bgs4bvx6y5ycytl729cqc</x:v>
      </x:c>
      <x:c r="F346" s="38" t="str">
        <x:v>瓦尔帕克的包裹</x:v>
      </x:c>
      <x:c r="G346" s="38" t="str">
        <x:v>bronze</x:v>
      </x:c>
      <x:c r="H346" s="38" t="str">
        <x:v>Medium</x:v>
      </x:c>
      <x:c r="I346" s="38" t="str">
        <x:v>package, medium, bronze, valpak</x:v>
      </x:c>
      <x:c r="J346" s="38" t="n">
        <x:v>2</x:v>
      </x:c>
      <x:c r="K346" s="38" t="str">
        <x:v>merchant_valpak, merchant_curio</x:v>
      </x:c>
      <x:c r="L346" s="38" t="n">
        <x:v>2</x:v>
      </x:c>
      <x:c r="M346" s="38" t="str">
        <x:v>elem_草, elem_暗</x:v>
      </x:c>
      <x:c r="N346" s="38" t="str">
        <x:v>Shiny</x:v>
      </x:c>
      <x:c r="O346" s="38" t="str">
        <x:v>pal_345</x:v>
      </x:c>
      <x:c r="P346" s="38" t="str">
        <x:v>瓦尔中兽</x:v>
      </x:c>
      <x:c r="Q346" s="38" t="str">
        <x:v>https://bazaardb.gg/card/v27h9bgs4bvx6y5ycytl729cqc/%E7%93%A6%E5%B0%94%E5%B8%95%E5%85%8B%E7%9A%84%E5%8C%85%E8%A3%B9</x:v>
      </x:c>
      <x:c r="R346" s="38" t="str">
        <x:v>当你将此物品出售给瓦尔帕克时，获得一件附魔中型物品和1经验值</x:v>
      </x:c>
      <x:c r="S346" s="38" t="str">
        <x:v>BazaarDB Patch 16.2 商人包卡；归属 Valpak，品质 青铜，占格 Medium。</x:v>
      </x:c>
    </x:row>
    <x:row r="347">
      <x:c r="A347" s="38" t="str">
        <x:v>bz_van_346</x:v>
      </x:c>
      <x:c r="B347" s="38" t="n">
        <x:v>346</x:v>
      </x:c>
      <x:c r="C347" s="38" t="str">
        <x:v>merchant_package</x:v>
      </x:c>
      <x:c r="D347" s="38" t="str">
        <x:v>confirmed</x:v>
      </x:c>
      <x:c r="E347" s="38" t="str">
        <x:v>package-p0ykjyxwkhnh56gddmjnctg3k</x:v>
      </x:c>
      <x:c r="F347" s="38" t="str">
        <x:v>米兹沃斯的包裹</x:v>
      </x:c>
      <x:c r="G347" s="38" t="str">
        <x:v>bronze</x:v>
      </x:c>
      <x:c r="H347" s="38" t="str">
        <x:v>Medium</x:v>
      </x:c>
      <x:c r="I347" s="38" t="str">
        <x:v>package, medium, bronze, midsworth</x:v>
      </x:c>
      <x:c r="J347" s="38" t="n">
        <x:v>2</x:v>
      </x:c>
      <x:c r="K347" s="38" t="str">
        <x:v>merchant_midsworth, merchant_curio</x:v>
      </x:c>
      <x:c r="L347" s="38" t="n">
        <x:v>2</x:v>
      </x:c>
      <x:c r="M347" s="38" t="str">
        <x:v>elem_草, elem_地</x:v>
      </x:c>
      <x:c r="N347" s="38" t="str">
        <x:v>Shiny</x:v>
      </x:c>
      <x:c r="O347" s="38" t="str">
        <x:v>pal_346</x:v>
      </x:c>
      <x:c r="P347" s="38" t="str">
        <x:v>米兹中兽</x:v>
      </x:c>
      <x:c r="Q347" s="38" t="str">
        <x:v>https://bazaardb.gg/card/p0ykjyxwkhnh56gddmjnctg3k/%E7%B1%B3%E5%85%B9%E6%B2%83%E6%96%AF%E7%9A%84%E5%8C%85%E8%A3%B9</x:v>
      </x:c>
      <x:c r="R347" s="38" t="str">
        <x:v>当你将此物品出售给米兹沃斯时，获得一件附魔中型物品和1经验值</x:v>
      </x:c>
      <x:c r="S347" s="38" t="str">
        <x:v>BazaarDB Patch 16.2 商人包卡；归属 Midsworth，品质 青铜，占格 Medium。</x:v>
      </x:c>
    </x:row>
    <x:row r="348">
      <x:c r="A348" s="38" t="str">
        <x:v>bz_van_347</x:v>
      </x:c>
      <x:c r="B348" s="38" t="n">
        <x:v>347</x:v>
      </x:c>
      <x:c r="C348" s="38" t="str">
        <x:v>merchant_package</x:v>
      </x:c>
      <x:c r="D348" s="38" t="str">
        <x:v>confirmed</x:v>
      </x:c>
      <x:c r="E348" s="38" t="str">
        <x:v>package-114kqm8799gnsqw2c55z2cs5s7n</x:v>
      </x:c>
      <x:c r="F348" s="38" t="str">
        <x:v>米兹沃斯的包裹</x:v>
      </x:c>
      <x:c r="G348" s="38" t="str">
        <x:v>silver</x:v>
      </x:c>
      <x:c r="H348" s="38" t="str">
        <x:v>Large</x:v>
      </x:c>
      <x:c r="I348" s="38" t="str">
        <x:v>package, large, silver, midsworth</x:v>
      </x:c>
      <x:c r="J348" s="38" t="n">
        <x:v>2</x:v>
      </x:c>
      <x:c r="K348" s="38" t="str">
        <x:v>merchant_midsworth, merchant_silvia</x:v>
      </x:c>
      <x:c r="L348" s="38" t="n">
        <x:v>2</x:v>
      </x:c>
      <x:c r="M348" s="38" t="str">
        <x:v>elem_地, role_经济</x:v>
      </x:c>
      <x:c r="N348" s="38" t="str">
        <x:v>Shiny</x:v>
      </x:c>
      <x:c r="O348" s="38" t="str">
        <x:v>pal_347</x:v>
      </x:c>
      <x:c r="P348" s="38" t="str">
        <x:v>米兹大兽</x:v>
      </x:c>
      <x:c r="Q348" s="38" t="str">
        <x:v>https://bazaardb.gg/card/114kqm8799gnsqw2c55z2cs5s7n/%E7%B1%B3%E5%85%B9%E6%B2%83%E6%96%AF%E7%9A%84%E5%8C%85%E8%A3%B9</x:v>
      </x:c>
      <x:c r="R348" s="38" t="str">
        <x:v>当你将此物品出售给米兹沃斯时，获得一件附魔大型物品和1经验值</x:v>
      </x:c>
      <x:c r="S348" s="38" t="str">
        <x:v>BazaarDB Patch 16.2 商人包卡；归属 Midsworth，品质 白银，占格 Large。</x:v>
      </x:c>
    </x:row>
    <x:row r="349">
      <x:c r="A349" s="38" t="str">
        <x:v>bz_van_348</x:v>
      </x:c>
      <x:c r="B349" s="38" t="n">
        <x:v>348</x:v>
      </x:c>
      <x:c r="C349" s="38" t="str">
        <x:v>merchant_package</x:v>
      </x:c>
      <x:c r="D349" s="38" t="str">
        <x:v>confirmed</x:v>
      </x:c>
      <x:c r="E349" s="38" t="str">
        <x:v>package-18ksh3y73l7qqvxqc9vgqghffwm</x:v>
      </x:c>
      <x:c r="F349" s="38" t="str">
        <x:v>米兹沃斯的包裹</x:v>
      </x:c>
      <x:c r="G349" s="38" t="str">
        <x:v>bronze</x:v>
      </x:c>
      <x:c r="H349" s="38" t="str">
        <x:v>Small</x:v>
      </x:c>
      <x:c r="I349" s="38" t="str">
        <x:v>package, small, bronze, midsworth</x:v>
      </x:c>
      <x:c r="J349" s="38" t="n">
        <x:v>2</x:v>
      </x:c>
      <x:c r="K349" s="38" t="str">
        <x:v>merchant_midsworth, merchant_curio</x:v>
      </x:c>
      <x:c r="L349" s="38" t="n">
        <x:v>2</x:v>
      </x:c>
      <x:c r="M349" s="38" t="str">
        <x:v>elem_草, elem_地</x:v>
      </x:c>
      <x:c r="N349" s="38" t="str">
        <x:v>Shiny</x:v>
      </x:c>
      <x:c r="O349" s="38" t="str">
        <x:v>pal_348</x:v>
      </x:c>
      <x:c r="P349" s="38" t="str">
        <x:v>米兹小兽</x:v>
      </x:c>
      <x:c r="Q349" s="38" t="str">
        <x:v>https://bazaardb.gg/card/18ksh3y73l7qqvxqc9vgqghffwm/%E7%B1%B3%E5%85%B9%E6%B2%83%E6%96%AF%E7%9A%84%E5%8C%85%E8%A3%B9</x:v>
      </x:c>
      <x:c r="R349" s="38" t="str">
        <x:v>当你将此物品出售给米兹沃斯时，获得一件附魔的小型物品和1经验值</x:v>
      </x:c>
      <x:c r="S349" s="38" t="str">
        <x:v>BazaarDB Patch 16.2 商人包卡；归属 Midsworth，品质 青铜，占格 Small。</x:v>
      </x:c>
    </x:row>
    <x:row r="350">
      <x:c r="A350" s="38" t="str">
        <x:v>bz_van_349</x:v>
      </x:c>
      <x:c r="B350" s="38" t="n">
        <x:v>349</x:v>
      </x:c>
      <x:c r="C350" s="38" t="str">
        <x:v>merchant_package</x:v>
      </x:c>
      <x:c r="D350" s="38" t="str">
        <x:v>confirmed</x:v>
      </x:c>
      <x:c r="E350" s="38" t="str">
        <x:v>package-d9z8by7j2d6cl3d2g395zvpb7</x:v>
      </x:c>
      <x:c r="F350" s="38" t="str">
        <x:v>米透的包裹</x:v>
      </x:c>
      <x:c r="G350" s="38" t="str">
        <x:v>bronze</x:v>
      </x:c>
      <x:c r="H350" s="38" t="str">
        <x:v>Small</x:v>
      </x:c>
      <x:c r="I350" s="38" t="str">
        <x:v>package, small, bronze, mittel</x:v>
      </x:c>
      <x:c r="J350" s="38" t="n">
        <x:v>2</x:v>
      </x:c>
      <x:c r="K350" s="38" t="str">
        <x:v>merchant_mittel, merchant_curio</x:v>
      </x:c>
      <x:c r="L350" s="38" t="n">
        <x:v>2</x:v>
      </x:c>
      <x:c r="M350" s="38" t="str">
        <x:v>elem_草, elem_无</x:v>
      </x:c>
      <x:c r="N350" s="38" t="str">
        <x:v>Shiny</x:v>
      </x:c>
      <x:c r="O350" s="38" t="str">
        <x:v>pal_349</x:v>
      </x:c>
      <x:c r="P350" s="38" t="str">
        <x:v>米透小兽</x:v>
      </x:c>
      <x:c r="Q350" s="38" t="str">
        <x:v>https://bazaardb.gg/card/d9z8by7j2d6cl3d2g395zvpb7/%E7%B1%B3%E9%80%8F%E7%9A%84%E5%8C%85%E8%A3%B9</x:v>
      </x:c>
      <x:c r="R350" s="38" t="str">
        <x:v>当你将此物品出售给米透时，获得一件附魔中型物品和1经验值</x:v>
      </x:c>
      <x:c r="S350" s="38" t="str">
        <x:v>BazaarDB Patch 16.2 商人包卡；归属 Mittel，品质 青铜，占格 Small。</x:v>
      </x:c>
    </x:row>
    <x:row r="351">
      <x:c r="A351" s="38" t="str">
        <x:v>bz_van_350</x:v>
      </x:c>
      <x:c r="B351" s="38" t="n">
        <x:v>350</x:v>
      </x:c>
      <x:c r="C351" s="38" t="str">
        <x:v>merchant_package</x:v>
      </x:c>
      <x:c r="D351" s="38" t="str">
        <x:v>confirmed</x:v>
      </x:c>
      <x:c r="E351" s="38" t="str">
        <x:v>package-qmhctzwqn6cn5q1wnqf1tcssnl</x:v>
      </x:c>
      <x:c r="F351" s="38" t="str">
        <x:v>米透的包裹</x:v>
      </x:c>
      <x:c r="G351" s="38" t="str">
        <x:v>silver</x:v>
      </x:c>
      <x:c r="H351" s="38" t="str">
        <x:v>Large</x:v>
      </x:c>
      <x:c r="I351" s="38" t="str">
        <x:v>package, large, silver, mittel</x:v>
      </x:c>
      <x:c r="J351" s="38" t="n">
        <x:v>2</x:v>
      </x:c>
      <x:c r="K351" s="38" t="str">
        <x:v>merchant_mittel, merchant_silvia</x:v>
      </x:c>
      <x:c r="L351" s="38" t="n">
        <x:v>2</x:v>
      </x:c>
      <x:c r="M351" s="38" t="str">
        <x:v>elem_无, role_经济</x:v>
      </x:c>
      <x:c r="N351" s="38" t="str">
        <x:v>Heavy</x:v>
      </x:c>
      <x:c r="O351" s="38" t="str">
        <x:v>pal_350</x:v>
      </x:c>
      <x:c r="P351" s="38" t="str">
        <x:v>米透大兽</x:v>
      </x:c>
      <x:c r="Q351" s="38" t="str">
        <x:v>https://bazaardb.gg/card/qmhctzwqn6cn5q1wnqf1tcssnl/%E7%B1%B3%E9%80%8F%E7%9A%84%E5%8C%85%E8%A3%B9</x:v>
      </x:c>
      <x:c r="R351" s="38" t="str">
        <x:v>当你将此物品出售给米透时，获得一件附魔中型物品和1经验值</x:v>
      </x:c>
      <x:c r="S351" s="38" t="str">
        <x:v>BazaarDB Patch 16.2 商人包卡；归属 Mittel，品质 白银，占格 Large。</x:v>
      </x:c>
    </x:row>
    <x:row r="352">
      <x:c r="A352" s="38" t="str">
        <x:v>bz_van_351</x:v>
      </x:c>
      <x:c r="B352" s="38" t="n">
        <x:v>351</x:v>
      </x:c>
      <x:c r="C352" s="38" t="str">
        <x:v>merchant_package</x:v>
      </x:c>
      <x:c r="D352" s="38" t="str">
        <x:v>confirmed</x:v>
      </x:c>
      <x:c r="E352" s="38" t="str">
        <x:v>package-17zzvtts157ggmxjpflhs2727qg</x:v>
      </x:c>
      <x:c r="F352" s="38" t="str">
        <x:v>米透的包裹</x:v>
      </x:c>
      <x:c r="G352" s="38" t="str">
        <x:v>silver</x:v>
      </x:c>
      <x:c r="H352" s="38" t="str">
        <x:v>Medium</x:v>
      </x:c>
      <x:c r="I352" s="38" t="str">
        <x:v>package, medium, silver, mittel</x:v>
      </x:c>
      <x:c r="J352" s="38" t="n">
        <x:v>2</x:v>
      </x:c>
      <x:c r="K352" s="38" t="str">
        <x:v>merchant_mittel, merchant_silvia</x:v>
      </x:c>
      <x:c r="L352" s="38" t="n">
        <x:v>2</x:v>
      </x:c>
      <x:c r="M352" s="38" t="str">
        <x:v>elem_无, role_经济</x:v>
      </x:c>
      <x:c r="N352" s="38" t="str">
        <x:v>Shiny</x:v>
      </x:c>
      <x:c r="O352" s="38" t="str">
        <x:v>pal_351</x:v>
      </x:c>
      <x:c r="P352" s="38" t="str">
        <x:v>米透中兽</x:v>
      </x:c>
      <x:c r="Q352" s="38" t="str">
        <x:v>https://bazaardb.gg/card/17zzvtts157ggmxjpflhs2727qg/%E7%B1%B3%E9%80%8F%E7%9A%84%E5%8C%85%E8%A3%B9</x:v>
      </x:c>
      <x:c r="R352" s="38" t="str">
        <x:v>当你将此物品出售给米透时，获得一件附魔中型物品和1经验值</x:v>
      </x:c>
      <x:c r="S352" s="38" t="str">
        <x:v>BazaarDB Patch 16.2 商人包卡；归属 Mittel，品质 白银，占格 Medium。</x:v>
      </x:c>
    </x:row>
    <x:row r="353">
      <x:c r="A353" s="38" t="str">
        <x:v>bz_van_352</x:v>
      </x:c>
      <x:c r="B353" s="38" t="n">
        <x:v>352</x:v>
      </x:c>
      <x:c r="C353" s="38" t="str">
        <x:v>merchant_package</x:v>
      </x:c>
      <x:c r="D353" s="38" t="str">
        <x:v>confirmed</x:v>
      </x:c>
      <x:c r="E353" s="38" t="str">
        <x:v>package-4kq80cqkylmz8qtfswvxxy98xx</x:v>
      </x:c>
      <x:c r="F353" s="38" t="str">
        <x:v>自瞄机的包裹</x:v>
      </x:c>
      <x:c r="G353" s="38" t="str">
        <x:v>silver</x:v>
      </x:c>
      <x:c r="H353" s="38" t="str">
        <x:v>Large</x:v>
      </x:c>
      <x:c r="I353" s="38" t="str">
        <x:v>package, large, silver, aimbot</x:v>
      </x:c>
      <x:c r="J353" s="38" t="n">
        <x:v>2</x:v>
      </x:c>
      <x:c r="K353" s="38" t="str">
        <x:v>merchant_aimbot, merchant_silvia</x:v>
      </x:c>
      <x:c r="L353" s="38" t="n">
        <x:v>2</x:v>
      </x:c>
      <x:c r="M353" s="38" t="str">
        <x:v>role_经济, tier_pT1</x:v>
      </x:c>
      <x:c r="N353" s="38" t="str">
        <x:v>Shiny</x:v>
      </x:c>
      <x:c r="O353" s="38" t="str">
        <x:v>pal_352</x:v>
      </x:c>
      <x:c r="P353" s="38" t="str">
        <x:v>自瞄大兽</x:v>
      </x:c>
      <x:c r="Q353" s="38" t="str">
        <x:v>https://bazaardb.gg/card/4kq80cqkylmz8qtfswvxxy98xx/%E8%87%AA%E7%9E%84%E6%9C%BA%E7%9A%84%E5%8C%85%E8%A3%B9</x:v>
      </x:c>
      <x:c r="R353" s="38" t="str">
        <x:v>当你将此物品出售给自瞄机时，获得一件附魔的来自任意英雄的大型暴击物品和2经验值</x:v>
      </x:c>
      <x:c r="S353" s="38" t="str">
        <x:v>BazaarDB Patch 16.2 商人包卡；归属 Aimbot，品质 白银，占格 Large。</x:v>
      </x:c>
    </x:row>
    <x:row r="354">
      <x:c r="A354" s="38" t="str">
        <x:v>bz_van_353</x:v>
      </x:c>
      <x:c r="B354" s="38" t="n">
        <x:v>353</x:v>
      </x:c>
      <x:c r="C354" s="38" t="str">
        <x:v>merchant_package</x:v>
      </x:c>
      <x:c r="D354" s="38" t="str">
        <x:v>confirmed</x:v>
      </x:c>
      <x:c r="E354" s="38" t="str">
        <x:v>package-bqt30mk772f84f0zymwv1l940m</x:v>
      </x:c>
      <x:c r="F354" s="38" t="str">
        <x:v>自瞄机的包裹</x:v>
      </x:c>
      <x:c r="G354" s="38" t="str">
        <x:v>silver</x:v>
      </x:c>
      <x:c r="H354" s="38" t="str">
        <x:v>Medium</x:v>
      </x:c>
      <x:c r="I354" s="38" t="str">
        <x:v>package, medium, silver, aimbot</x:v>
      </x:c>
      <x:c r="J354" s="38" t="n">
        <x:v>2</x:v>
      </x:c>
      <x:c r="K354" s="38" t="str">
        <x:v>merchant_aimbot, merchant_silvia</x:v>
      </x:c>
      <x:c r="L354" s="38" t="n">
        <x:v>2</x:v>
      </x:c>
      <x:c r="M354" s="38" t="str">
        <x:v>role_经济, tier_pT1</x:v>
      </x:c>
      <x:c r="N354" s="38" t="str">
        <x:v>Shiny</x:v>
      </x:c>
      <x:c r="O354" s="38" t="str">
        <x:v>pal_353</x:v>
      </x:c>
      <x:c r="P354" s="38" t="str">
        <x:v>自瞄中兽</x:v>
      </x:c>
      <x:c r="Q354" s="38" t="str">
        <x:v>https://bazaardb.gg/card/bqt30mk772f84f0zymwv1l940m/%E8%87%AA%E7%9E%84%E6%9C%BA%E7%9A%84%E5%8C%85%E8%A3%B9</x:v>
      </x:c>
      <x:c r="R354" s="38" t="str">
        <x:v>当你将此物品出售给自瞄机时，获得一件来自任意英雄的附魔中型暴击物品和2经验值</x:v>
      </x:c>
      <x:c r="S354" s="38" t="str">
        <x:v>BazaarDB Patch 16.2 商人包卡；归属 Aimbot，品质 白银，占格 Medium。</x:v>
      </x:c>
    </x:row>
    <x:row r="355">
      <x:c r="A355" s="38" t="str">
        <x:v>bz_van_354</x:v>
      </x:c>
      <x:c r="B355" s="38" t="n">
        <x:v>354</x:v>
      </x:c>
      <x:c r="C355" s="38" t="str">
        <x:v>merchant_package</x:v>
      </x:c>
      <x:c r="D355" s="38" t="str">
        <x:v>confirmed</x:v>
      </x:c>
      <x:c r="E355" s="38" t="str">
        <x:v>package-t6qqmk5w64m81c33l72ds7cvvx</x:v>
      </x:c>
      <x:c r="F355" s="38" t="str">
        <x:v>自瞄机的包裹</x:v>
      </x:c>
      <x:c r="G355" s="38" t="str">
        <x:v>silver</x:v>
      </x:c>
      <x:c r="H355" s="38" t="str">
        <x:v>Small</x:v>
      </x:c>
      <x:c r="I355" s="38" t="str">
        <x:v>package, small, silver, aimbot</x:v>
      </x:c>
      <x:c r="J355" s="38" t="n">
        <x:v>2</x:v>
      </x:c>
      <x:c r="K355" s="38" t="str">
        <x:v>merchant_aimbot, merchant_silvia</x:v>
      </x:c>
      <x:c r="L355" s="38" t="n">
        <x:v>2</x:v>
      </x:c>
      <x:c r="M355" s="38" t="str">
        <x:v>role_经济, tier_pT1</x:v>
      </x:c>
      <x:c r="N355" s="38" t="str">
        <x:v>Heavy</x:v>
      </x:c>
      <x:c r="O355" s="38" t="str">
        <x:v>pal_354</x:v>
      </x:c>
      <x:c r="P355" s="38" t="str">
        <x:v>自瞄小兽</x:v>
      </x:c>
      <x:c r="Q355" s="38" t="str">
        <x:v>https://bazaardb.gg/card/t6qqmk5w64m81c33l72ds7cvvx/%E8%87%AA%E7%9E%84%E6%9C%BA%E7%9A%84%E5%8C%85%E8%A3%B9</x:v>
      </x:c>
      <x:c r="R355" s="38" t="str">
        <x:v>当你将此物品出售给自瞄机时，获得一件来自任意英雄的附魔小型暴击物品和2经验值</x:v>
      </x:c>
      <x:c r="S355" s="38" t="str">
        <x:v>BazaarDB Patch 16.2 商人包卡；归属 Aimbot，品质 白银，占格 Small。</x:v>
      </x:c>
    </x:row>
    <x:row r="356">
      <x:c r="A356" s="38" t="str">
        <x:v>bz_van_355</x:v>
      </x:c>
      <x:c r="B356" s="38" t="n">
        <x:v>355</x:v>
      </x:c>
      <x:c r="C356" s="38" t="str">
        <x:v>merchant_package</x:v>
      </x:c>
      <x:c r="D356" s="38" t="str">
        <x:v>confirmed</x:v>
      </x:c>
      <x:c r="E356" s="38" t="str">
        <x:v>package-mcg4mld8fmdzg4nk615lh0295b</x:v>
      </x:c>
      <x:c r="F356" s="38" t="str">
        <x:v>葵仙子的包裹</x:v>
      </x:c>
      <x:c r="G356" s="38" t="str">
        <x:v>bronze</x:v>
      </x:c>
      <x:c r="H356" s="38" t="str">
        <x:v>Medium</x:v>
      </x:c>
      <x:c r="I356" s="38" t="str">
        <x:v>package, medium, bronze, dryad</x:v>
      </x:c>
      <x:c r="J356" s="38" t="n">
        <x:v>2</x:v>
      </x:c>
      <x:c r="K356" s="38" t="str">
        <x:v>merchant_dryad, merchant_curio</x:v>
      </x:c>
      <x:c r="L356" s="38" t="n">
        <x:v>2</x:v>
      </x:c>
      <x:c r="M356" s="38" t="str">
        <x:v>elem_草, role_机动压制</x:v>
      </x:c>
      <x:c r="N356" s="38" t="str">
        <x:v>Heavy</x:v>
      </x:c>
      <x:c r="O356" s="38" t="str">
        <x:v>pal_355</x:v>
      </x:c>
      <x:c r="P356" s="38" t="str">
        <x:v>葵仙中兽</x:v>
      </x:c>
      <x:c r="Q356" s="38" t="str">
        <x:v>https://bazaardb.gg/card/mcg4mld8fmdzg4nk615lh0295b/%E8%91%B5%E4%BB%99%E5%AD%90%E7%9A%84%E5%8C%85%E8%A3%B9</x:v>
      </x:c>
      <x:c r="R356" s="38" t="str">
        <x:v>当你将此物品出售给葵仙子时，获得一件附魔中型物品和1经验值</x:v>
      </x:c>
      <x:c r="S356" s="38" t="str">
        <x:v>BazaarDB Patch 16.2 商人包卡；归属 Dryad，品质 青铜，占格 Medium。</x:v>
      </x:c>
    </x:row>
    <x:row r="357">
      <x:c r="A357" s="38" t="str">
        <x:v>bz_van_356</x:v>
      </x:c>
      <x:c r="B357" s="38" t="n">
        <x:v>356</x:v>
      </x:c>
      <x:c r="C357" s="38" t="str">
        <x:v>merchant_package</x:v>
      </x:c>
      <x:c r="D357" s="38" t="str">
        <x:v>confirmed</x:v>
      </x:c>
      <x:c r="E357" s="38" t="str">
        <x:v>package-nwq2d6z8cxhphs49380dgykgkw</x:v>
      </x:c>
      <x:c r="F357" s="38" t="str">
        <x:v>葵仙子的包裹</x:v>
      </x:c>
      <x:c r="G357" s="38" t="str">
        <x:v>bronze</x:v>
      </x:c>
      <x:c r="H357" s="38" t="str">
        <x:v>Small</x:v>
      </x:c>
      <x:c r="I357" s="38" t="str">
        <x:v>package, small, bronze, dryad</x:v>
      </x:c>
      <x:c r="J357" s="38" t="n">
        <x:v>2</x:v>
      </x:c>
      <x:c r="K357" s="38" t="str">
        <x:v>merchant_dryad, merchant_curio</x:v>
      </x:c>
      <x:c r="L357" s="38" t="n">
        <x:v>2</x:v>
      </x:c>
      <x:c r="M357" s="38" t="str">
        <x:v>elem_草, role_机动压制</x:v>
      </x:c>
      <x:c r="N357" s="38" t="str">
        <x:v>Shiny</x:v>
      </x:c>
      <x:c r="O357" s="38" t="str">
        <x:v>pal_356</x:v>
      </x:c>
      <x:c r="P357" s="38" t="str">
        <x:v>葵仙小兽</x:v>
      </x:c>
      <x:c r="Q357" s="38" t="str">
        <x:v>https://bazaardb.gg/card/nwq2d6z8cxhphs49380dgykgkw/%E8%91%B5%E4%BB%99%E5%AD%90%E7%9A%84%E5%8C%85%E8%A3%B9</x:v>
      </x:c>
      <x:c r="R357" s="38" t="str">
        <x:v>当你将此物品出售给葵仙子时，获得一件附魔的小型物品和1经验值</x:v>
      </x:c>
      <x:c r="S357" s="38" t="str">
        <x:v>BazaarDB Patch 16.2 商人包卡；归属 Dryad，品质 青铜，占格 Small。</x:v>
      </x:c>
    </x:row>
    <x:row r="358">
      <x:c r="A358" s="38" t="str">
        <x:v>bz_van_357</x:v>
      </x:c>
      <x:c r="B358" s="38" t="n">
        <x:v>357</x:v>
      </x:c>
      <x:c r="C358" s="38" t="str">
        <x:v>merchant_package</x:v>
      </x:c>
      <x:c r="D358" s="38" t="str">
        <x:v>confirmed</x:v>
      </x:c>
      <x:c r="E358" s="38" t="str">
        <x:v>package-14mn4w4hfn2yfs6hfh6j1bm0tt4</x:v>
      </x:c>
      <x:c r="F358" s="38" t="str">
        <x:v>葵仙子的包裹</x:v>
      </x:c>
      <x:c r="G358" s="38" t="str">
        <x:v>silver</x:v>
      </x:c>
      <x:c r="H358" s="38" t="str">
        <x:v>Large</x:v>
      </x:c>
      <x:c r="I358" s="38" t="str">
        <x:v>package, large, silver, dryad</x:v>
      </x:c>
      <x:c r="J358" s="38" t="n">
        <x:v>2</x:v>
      </x:c>
      <x:c r="K358" s="38" t="str">
        <x:v>merchant_dryad, merchant_silvia</x:v>
      </x:c>
      <x:c r="L358" s="38" t="n">
        <x:v>2</x:v>
      </x:c>
      <x:c r="M358" s="38" t="str">
        <x:v>role_经济, role_机动压制</x:v>
      </x:c>
      <x:c r="N358" s="38" t="str">
        <x:v>Heavy</x:v>
      </x:c>
      <x:c r="O358" s="38" t="str">
        <x:v>pal_357</x:v>
      </x:c>
      <x:c r="P358" s="38" t="str">
        <x:v>葵仙大兽</x:v>
      </x:c>
      <x:c r="Q358" s="38" t="str">
        <x:v>https://bazaardb.gg/card/14mn4w4hfn2yfs6hfh6j1bm0tt4/%E8%91%B5%E4%BB%99%E5%AD%90%E7%9A%84%E5%8C%85%E8%A3%B9</x:v>
      </x:c>
      <x:c r="R358" s="38" t="str">
        <x:v>当你将此物品出售给葵仙子时，获得一件附魔大型物品和1经验值</x:v>
      </x:c>
      <x:c r="S358" s="38" t="str">
        <x:v>BazaarDB Patch 16.2 商人包卡；归属 Dryad，品质 白银，占格 Large。</x:v>
      </x:c>
    </x:row>
    <x:row r="359">
      <x:c r="A359" s="38" t="str">
        <x:v>bz_van_358</x:v>
      </x:c>
      <x:c r="B359" s="38" t="n">
        <x:v>358</x:v>
      </x:c>
      <x:c r="C359" s="38" t="str">
        <x:v>merchant_package</x:v>
      </x:c>
      <x:c r="D359" s="38" t="str">
        <x:v>confirmed</x:v>
      </x:c>
      <x:c r="E359" s="38" t="str">
        <x:v>package-58mdc4pwn54x2tsg1xqxm4zh9t</x:v>
      </x:c>
      <x:c r="F359" s="38" t="str">
        <x:v>西尔维娅的包裹</x:v>
      </x:c>
      <x:c r="G359" s="38" t="str">
        <x:v>bronze</x:v>
      </x:c>
      <x:c r="H359" s="38" t="str">
        <x:v>Small</x:v>
      </x:c>
      <x:c r="I359" s="38" t="str">
        <x:v>package, small, bronze, silvia</x:v>
      </x:c>
      <x:c r="J359" s="38" t="n">
        <x:v>2</x:v>
      </x:c>
      <x:c r="K359" s="38" t="str">
        <x:v>merchant_silvia, merchant_curio</x:v>
      </x:c>
      <x:c r="L359" s="38" t="n">
        <x:v>2</x:v>
      </x:c>
      <x:c r="M359" s="38" t="str">
        <x:v>elem_草, role_经济</x:v>
      </x:c>
      <x:c r="N359" s="38" t="str">
        <x:v>Heavy</x:v>
      </x:c>
      <x:c r="O359" s="38" t="str">
        <x:v>pal_358</x:v>
      </x:c>
      <x:c r="P359" s="38" t="str">
        <x:v>西尔小兽</x:v>
      </x:c>
      <x:c r="Q359" s="38" t="str">
        <x:v>https://bazaardb.gg/card/58mdc4pwn54x2tsg1xqxm4zh9t/%E8%A5%BF%E5%B0%94%E7%BB%B4%E5%A8%85%E7%9A%84%E5%8C%85%E8%A3%B9</x:v>
      </x:c>
      <x:c r="R359" s="38" t="str">
        <x:v>当你将此物品出售给西尔维娅时，获得一件附魔的小型物品和1经验值</x:v>
      </x:c>
      <x:c r="S359" s="38" t="str">
        <x:v>BazaarDB Patch 16.2 商人包卡；归属 Silvia，品质 青铜，占格 Small。</x:v>
      </x:c>
    </x:row>
    <x:row r="360">
      <x:c r="A360" s="38" t="str">
        <x:v>bz_van_359</x:v>
      </x:c>
      <x:c r="B360" s="38" t="n">
        <x:v>359</x:v>
      </x:c>
      <x:c r="C360" s="38" t="str">
        <x:v>merchant_package</x:v>
      </x:c>
      <x:c r="D360" s="38" t="str">
        <x:v>confirmed</x:v>
      </x:c>
      <x:c r="E360" s="38" t="str">
        <x:v>package-6lskvf05w4w201n6gtfxk1bs53</x:v>
      </x:c>
      <x:c r="F360" s="38" t="str">
        <x:v>西尔维娅的包裹</x:v>
      </x:c>
      <x:c r="G360" s="38" t="str">
        <x:v>silver</x:v>
      </x:c>
      <x:c r="H360" s="38" t="str">
        <x:v>Large</x:v>
      </x:c>
      <x:c r="I360" s="38" t="str">
        <x:v>package, large, silver, silvia</x:v>
      </x:c>
      <x:c r="J360" s="38" t="n">
        <x:v>1</x:v>
      </x:c>
      <x:c r="K360" s="38" t="str">
        <x:v>merchant_silvia</x:v>
      </x:c>
      <x:c r="L360" s="38" t="n">
        <x:v>1</x:v>
      </x:c>
      <x:c r="M360" s="38" t="str">
        <x:v>role_经济</x:v>
      </x:c>
      <x:c r="N360" s="38" t="str">
        <x:v>Shiny</x:v>
      </x:c>
      <x:c r="O360" s="38" t="str">
        <x:v>pal_359</x:v>
      </x:c>
      <x:c r="P360" s="38" t="str">
        <x:v>西尔大兽</x:v>
      </x:c>
      <x:c r="Q360" s="38" t="str">
        <x:v>https://bazaardb.gg/card/6lskvf05w4w201n6gtfxk1bs53/%E8%A5%BF%E5%B0%94%E7%BB%B4%E5%A8%85%E7%9A%84%E5%8C%85%E8%A3%B9</x:v>
      </x:c>
      <x:c r="R360" s="38" t="str">
        <x:v>当你将此物品出售给西尔维娅时，获得一件附魔大型物品和1经验值</x:v>
      </x:c>
      <x:c r="S360" s="38" t="str">
        <x:v>BazaarDB Patch 16.2 商人包卡；归属 Silvia，品质 白银，占格 Large。</x:v>
      </x:c>
    </x:row>
    <x:row r="361">
      <x:c r="A361" s="38" t="str">
        <x:v>bz_van_360</x:v>
      </x:c>
      <x:c r="B361" s="38" t="n">
        <x:v>360</x:v>
      </x:c>
      <x:c r="C361" s="38" t="str">
        <x:v>merchant_package</x:v>
      </x:c>
      <x:c r="D361" s="38" t="str">
        <x:v>confirmed</x:v>
      </x:c>
      <x:c r="E361" s="38" t="str">
        <x:v>package-bmcx6s5gf23hgb142n4gbhvg07</x:v>
      </x:c>
      <x:c r="F361" s="38" t="str">
        <x:v>西尔维娅的包裹</x:v>
      </x:c>
      <x:c r="G361" s="38" t="str">
        <x:v>bronze</x:v>
      </x:c>
      <x:c r="H361" s="38" t="str">
        <x:v>Medium</x:v>
      </x:c>
      <x:c r="I361" s="38" t="str">
        <x:v>package, medium, bronze, silvia</x:v>
      </x:c>
      <x:c r="J361" s="38" t="n">
        <x:v>2</x:v>
      </x:c>
      <x:c r="K361" s="38" t="str">
        <x:v>merchant_silvia, merchant_curio</x:v>
      </x:c>
      <x:c r="L361" s="38" t="n">
        <x:v>2</x:v>
      </x:c>
      <x:c r="M361" s="38" t="str">
        <x:v>elem_草, role_经济</x:v>
      </x:c>
      <x:c r="N361" s="38" t="str">
        <x:v>Heavy</x:v>
      </x:c>
      <x:c r="O361" s="38" t="str">
        <x:v>pal_360</x:v>
      </x:c>
      <x:c r="P361" s="38" t="str">
        <x:v>西尔中兽</x:v>
      </x:c>
      <x:c r="Q361" s="38" t="str">
        <x:v>https://bazaardb.gg/card/bmcx6s5gf23hgb142n4gbhvg07/%E8%A5%BF%E5%B0%94%E7%BB%B4%E5%A8%85%E7%9A%84%E5%8C%85%E8%A3%B9</x:v>
      </x:c>
      <x:c r="R361" s="38" t="str">
        <x:v>当你将此物品出售给西尔维娅时，获得一件附魔中型物品和1经验值</x:v>
      </x:c>
      <x:c r="S361" s="38" t="str">
        <x:v>BazaarDB Patch 16.2 商人包卡；归属 Silvia，品质 青铜，占格 Medium。</x:v>
      </x:c>
    </x:row>
    <x:row r="362">
      <x:c r="A362" s="38" t="str">
        <x:v>bz_van_361</x:v>
      </x:c>
      <x:c r="B362" s="38" t="n">
        <x:v>361</x:v>
      </x:c>
      <x:c r="C362" s="38" t="str">
        <x:v>merchant_package</x:v>
      </x:c>
      <x:c r="D362" s="38" t="str">
        <x:v>confirmed</x:v>
      </x:c>
      <x:c r="E362" s="38" t="str">
        <x:v>package-58jcldvmgngp1jpftj1wmsf7hq</x:v>
      </x:c>
      <x:c r="F362" s="38" t="str">
        <x:v>诺提卡的包裹</x:v>
      </x:c>
      <x:c r="G362" s="38" t="str">
        <x:v>bronze</x:v>
      </x:c>
      <x:c r="H362" s="38" t="str">
        <x:v>Medium</x:v>
      </x:c>
      <x:c r="I362" s="38" t="str">
        <x:v>package, medium, bronze, nautica</x:v>
      </x:c>
      <x:c r="J362" s="38" t="n">
        <x:v>2</x:v>
      </x:c>
      <x:c r="K362" s="38" t="str">
        <x:v>merchant_nautica, merchant_curio</x:v>
      </x:c>
      <x:c r="L362" s="38" t="n">
        <x:v>2</x:v>
      </x:c>
      <x:c r="M362" s="38" t="str">
        <x:v>elem_草, role_输出</x:v>
      </x:c>
      <x:c r="N362" s="38" t="str">
        <x:v>Shiny</x:v>
      </x:c>
      <x:c r="O362" s="38" t="str">
        <x:v>pal_361</x:v>
      </x:c>
      <x:c r="P362" s="38" t="str">
        <x:v>诺提中兽</x:v>
      </x:c>
      <x:c r="Q362" s="38" t="str">
        <x:v>https://bazaardb.gg/card/58jcldvmgngp1jpftj1wmsf7hq/%E8%AF%BA%E6%8F%90%E5%8D%A1%E7%9A%84%E5%8C%85%E8%A3%B9</x:v>
      </x:c>
      <x:c r="R362" s="38" t="str">
        <x:v>当你将此物品出售给诺提卡时，获得一件附魔的中型水系物品和1经验值</x:v>
      </x:c>
      <x:c r="S362" s="38" t="str">
        <x:v>BazaarDB Patch 16.2 商人包卡；归属 Nautica，品质 青铜，占格 Medium。</x:v>
      </x:c>
    </x:row>
    <x:row r="363">
      <x:c r="A363" s="38" t="str">
        <x:v>bz_van_362</x:v>
      </x:c>
      <x:c r="B363" s="38" t="n">
        <x:v>362</x:v>
      </x:c>
      <x:c r="C363" s="38" t="str">
        <x:v>merchant_package</x:v>
      </x:c>
      <x:c r="D363" s="38" t="str">
        <x:v>confirmed</x:v>
      </x:c>
      <x:c r="E363" s="38" t="str">
        <x:v>package-js2gc4sm139g77vszygs9pvqxn</x:v>
      </x:c>
      <x:c r="F363" s="38" t="str">
        <x:v>诺提卡的包裹</x:v>
      </x:c>
      <x:c r="G363" s="38" t="str">
        <x:v>bronze</x:v>
      </x:c>
      <x:c r="H363" s="38" t="str">
        <x:v>Small</x:v>
      </x:c>
      <x:c r="I363" s="38" t="str">
        <x:v>package, small, bronze, nautica</x:v>
      </x:c>
      <x:c r="J363" s="38" t="n">
        <x:v>2</x:v>
      </x:c>
      <x:c r="K363" s="38" t="str">
        <x:v>merchant_nautica, merchant_curio</x:v>
      </x:c>
      <x:c r="L363" s="38" t="n">
        <x:v>2</x:v>
      </x:c>
      <x:c r="M363" s="38" t="str">
        <x:v>elem_草, role_输出</x:v>
      </x:c>
      <x:c r="N363" s="38" t="str">
        <x:v>Heavy</x:v>
      </x:c>
      <x:c r="O363" s="38" t="str">
        <x:v>pal_362</x:v>
      </x:c>
      <x:c r="P363" s="38" t="str">
        <x:v>诺提小兽</x:v>
      </x:c>
      <x:c r="Q363" s="38" t="str">
        <x:v>https://bazaardb.gg/card/js2gc4sm139g77vszygs9pvqxn/%E8%AF%BA%E6%8F%90%E5%8D%A1%E7%9A%84%E5%8C%85%E8%A3%B9</x:v>
      </x:c>
      <x:c r="R363" s="38" t="str">
        <x:v>当你将此物品出售给诺提卡时，获得一件附魔小型水系物品和1经验值</x:v>
      </x:c>
      <x:c r="S363" s="38" t="str">
        <x:v>BazaarDB Patch 16.2 商人包卡；归属 Nautica，品质 青铜，占格 Small。</x:v>
      </x:c>
    </x:row>
    <x:row r="364">
      <x:c r="A364" s="38" t="str">
        <x:v>bz_van_363</x:v>
      </x:c>
      <x:c r="B364" s="38" t="n">
        <x:v>363</x:v>
      </x:c>
      <x:c r="C364" s="38" t="str">
        <x:v>merchant_package</x:v>
      </x:c>
      <x:c r="D364" s="38" t="str">
        <x:v>confirmed</x:v>
      </x:c>
      <x:c r="E364" s="38" t="str">
        <x:v>package-14g51cgnmnwhq41h141x33g1xqs</x:v>
      </x:c>
      <x:c r="F364" s="38" t="str">
        <x:v>诺提卡的包裹</x:v>
      </x:c>
      <x:c r="G364" s="38" t="str">
        <x:v>silver</x:v>
      </x:c>
      <x:c r="H364" s="38" t="str">
        <x:v>Large</x:v>
      </x:c>
      <x:c r="I364" s="38" t="str">
        <x:v>package, large, silver, nautica</x:v>
      </x:c>
      <x:c r="J364" s="38" t="n">
        <x:v>2</x:v>
      </x:c>
      <x:c r="K364" s="38" t="str">
        <x:v>merchant_nautica, merchant_silvia</x:v>
      </x:c>
      <x:c r="L364" s="38" t="n">
        <x:v>2</x:v>
      </x:c>
      <x:c r="M364" s="38" t="str">
        <x:v>role_输出, role_经济</x:v>
      </x:c>
      <x:c r="N364" s="38" t="str">
        <x:v>Shiny</x:v>
      </x:c>
      <x:c r="O364" s="38" t="str">
        <x:v>pal_363</x:v>
      </x:c>
      <x:c r="P364" s="38" t="str">
        <x:v>诺提大兽</x:v>
      </x:c>
      <x:c r="Q364" s="38" t="str">
        <x:v>https://bazaardb.gg/card/14g51cgnmnwhq41h141x33g1xqs/%E8%AF%BA%E6%8F%90%E5%8D%A1%E7%9A%84%E5%8C%85%E8%A3%B9</x:v>
      </x:c>
      <x:c r="R364" s="38" t="str">
        <x:v>当你将此物品出售给诺提卡时，获得一件附魔大型水系物品和1经验值</x:v>
      </x:c>
      <x:c r="S364" s="38" t="str">
        <x:v>BazaarDB Patch 16.2 商人包卡；归属 Nautica，品质 白银，占格 Large。</x:v>
      </x:c>
    </x:row>
    <x:row r="365">
      <x:c r="A365" s="38" t="str">
        <x:v>bz_van_364</x:v>
      </x:c>
      <x:c r="B365" s="38" t="n">
        <x:v>364</x:v>
      </x:c>
      <x:c r="C365" s="38" t="str">
        <x:v>merchant_package</x:v>
      </x:c>
      <x:c r="D365" s="38" t="str">
        <x:v>confirmed</x:v>
      </x:c>
      <x:c r="E365" s="38" t="str">
        <x:v>package-62ch5g44mjw6c76ym1wjwphxz6</x:v>
      </x:c>
      <x:c r="F365" s="38" t="str">
        <x:v>路克斯的包裹</x:v>
      </x:c>
      <x:c r="G365" s="38" t="str">
        <x:v>gold</x:v>
      </x:c>
      <x:c r="H365" s="38" t="str">
        <x:v>Small</x:v>
      </x:c>
      <x:c r="I365" s="38" t="str">
        <x:v>package, small, gold, luxe</x:v>
      </x:c>
      <x:c r="J365" s="38" t="n">
        <x:v>2</x:v>
      </x:c>
      <x:c r="K365" s="38" t="str">
        <x:v>merchant_luxe, merchant_goldie</x:v>
      </x:c>
      <x:c r="L365" s="38" t="n">
        <x:v>2</x:v>
      </x:c>
      <x:c r="M365" s="38" t="str">
        <x:v>role_坦克, role_控制</x:v>
      </x:c>
      <x:c r="N365" s="38" t="str">
        <x:v>Golden</x:v>
      </x:c>
      <x:c r="O365" s="38" t="str">
        <x:v>pal_364</x:v>
      </x:c>
      <x:c r="P365" s="38" t="str">
        <x:v>路克小兽</x:v>
      </x:c>
      <x:c r="Q365" s="38" t="str">
        <x:v>https://bazaardb.gg/card/62ch5g44mjw6c76ym1wjwphxz6/%E8%B7%AF%E5%85%8B%E6%96%AF%E7%9A%84%E5%8C%85%E8%A3%B9</x:v>
      </x:c>
      <x:c r="R365" s="38" t="str">
        <x:v>当你将此物品出售给路克斯时，获得一件附魔的小型物品和3经验值</x:v>
      </x:c>
      <x:c r="S365" s="38" t="str">
        <x:v>BazaarDB Patch 16.2 商人包卡；归属 Luxe，品质 黄金，占格 Small。</x:v>
      </x:c>
    </x:row>
    <x:row r="366">
      <x:c r="A366" s="38" t="str">
        <x:v>bz_van_365</x:v>
      </x:c>
      <x:c r="B366" s="38" t="n">
        <x:v>365</x:v>
      </x:c>
      <x:c r="C366" s="38" t="str">
        <x:v>merchant_package</x:v>
      </x:c>
      <x:c r="D366" s="38" t="str">
        <x:v>confirmed</x:v>
      </x:c>
      <x:c r="E366" s="38" t="str">
        <x:v>package-d3l9q20wj4b443q8zwfcypj1dl</x:v>
      </x:c>
      <x:c r="F366" s="38" t="str">
        <x:v>路克斯的包裹</x:v>
      </x:c>
      <x:c r="G366" s="38" t="str">
        <x:v>gold</x:v>
      </x:c>
      <x:c r="H366" s="38" t="str">
        <x:v>Medium</x:v>
      </x:c>
      <x:c r="I366" s="38" t="str">
        <x:v>package, medium, gold, luxe</x:v>
      </x:c>
      <x:c r="J366" s="38" t="n">
        <x:v>2</x:v>
      </x:c>
      <x:c r="K366" s="38" t="str">
        <x:v>merchant_luxe, merchant_goldie</x:v>
      </x:c>
      <x:c r="L366" s="38" t="n">
        <x:v>2</x:v>
      </x:c>
      <x:c r="M366" s="38" t="str">
        <x:v>role_坦克, role_控制</x:v>
      </x:c>
      <x:c r="N366" s="38" t="str">
        <x:v>Golden</x:v>
      </x:c>
      <x:c r="O366" s="38" t="str">
        <x:v>pal_365</x:v>
      </x:c>
      <x:c r="P366" s="38" t="str">
        <x:v>路克中兽</x:v>
      </x:c>
      <x:c r="Q366" s="38" t="str">
        <x:v>https://bazaardb.gg/card/d3l9q20wj4b443q8zwfcypj1dl/%E8%B7%AF%E5%85%8B%E6%96%AF%E7%9A%84%E5%8C%85%E8%A3%B9</x:v>
      </x:c>
      <x:c r="R366" s="38" t="str">
        <x:v>当你将此物品出售给路克斯时，获得一件附魔中型物品和3经验值</x:v>
      </x:c>
      <x:c r="S366" s="38" t="str">
        <x:v>BazaarDB Patch 16.2 商人包卡；归属 Luxe，品质 黄金，占格 Medium。</x:v>
      </x:c>
    </x:row>
    <x:row r="367">
      <x:c r="A367" s="38" t="str">
        <x:v>bz_van_366</x:v>
      </x:c>
      <x:c r="B367" s="38" t="n">
        <x:v>366</x:v>
      </x:c>
      <x:c r="C367" s="38" t="str">
        <x:v>merchant_package</x:v>
      </x:c>
      <x:c r="D367" s="38" t="str">
        <x:v>confirmed</x:v>
      </x:c>
      <x:c r="E367" s="38" t="str">
        <x:v>package-lsf7jdxfzd0w8y9h04hm62ktv1</x:v>
      </x:c>
      <x:c r="F367" s="38" t="str">
        <x:v>路克斯的包裹</x:v>
      </x:c>
      <x:c r="G367" s="38" t="str">
        <x:v>gold</x:v>
      </x:c>
      <x:c r="H367" s="38" t="str">
        <x:v>Large</x:v>
      </x:c>
      <x:c r="I367" s="38" t="str">
        <x:v>package, large, gold, luxe</x:v>
      </x:c>
      <x:c r="J367" s="38" t="n">
        <x:v>2</x:v>
      </x:c>
      <x:c r="K367" s="38" t="str">
        <x:v>merchant_luxe, merchant_goldie</x:v>
      </x:c>
      <x:c r="L367" s="38" t="n">
        <x:v>2</x:v>
      </x:c>
      <x:c r="M367" s="38" t="str">
        <x:v>role_坦克, role_控制</x:v>
      </x:c>
      <x:c r="N367" s="38" t="str">
        <x:v>Golden</x:v>
      </x:c>
      <x:c r="O367" s="38" t="str">
        <x:v>pal_366</x:v>
      </x:c>
      <x:c r="P367" s="38" t="str">
        <x:v>路克大兽</x:v>
      </x:c>
      <x:c r="Q367" s="38" t="str">
        <x:v>https://bazaardb.gg/card/lsf7jdxfzd0w8y9h04hm62ktv1/%E8%B7%AF%E5%85%8B%E6%96%AF%E7%9A%84%E5%8C%85%E8%A3%B9</x:v>
      </x:c>
      <x:c r="R367" s="38" t="str">
        <x:v>当你将此物品出售给路克斯时，获得一件附魔的大型物品和3经验值</x:v>
      </x:c>
      <x:c r="S367" s="38" t="str">
        <x:v>BazaarDB Patch 16.2 商人包卡；归属 Luxe，品质 黄金，占格 Large。</x:v>
      </x:c>
    </x:row>
    <x:row r="368">
      <x:c r="A368" s="38" t="str">
        <x:v>bz_van_367</x:v>
      </x:c>
      <x:c r="B368" s="38" t="n">
        <x:v>367</x:v>
      </x:c>
      <x:c r="C368" s="38" t="str">
        <x:v>merchant_package</x:v>
      </x:c>
      <x:c r="D368" s="38" t="str">
        <x:v>confirmed</x:v>
      </x:c>
      <x:c r="E368" s="38" t="str">
        <x:v>package-1bqc3jsnmlj66qybfnp13fqdzl</x:v>
      </x:c>
      <x:c r="F368" s="38" t="str">
        <x:v>针羽的包裹</x:v>
      </x:c>
      <x:c r="G368" s="38" t="str">
        <x:v>silver</x:v>
      </x:c>
      <x:c r="H368" s="38" t="str">
        <x:v>Large</x:v>
      </x:c>
      <x:c r="I368" s="38" t="str">
        <x:v>package, large, silver, pinfeather</x:v>
      </x:c>
      <x:c r="J368" s="38" t="n">
        <x:v>2</x:v>
      </x:c>
      <x:c r="K368" s="38" t="str">
        <x:v>merchant_pinfeather, merchant_silvia</x:v>
      </x:c>
      <x:c r="L368" s="38" t="n">
        <x:v>2</x:v>
      </x:c>
      <x:c r="M368" s="38" t="str">
        <x:v>elem_草, role_经济</x:v>
      </x:c>
      <x:c r="N368" s="38" t="str">
        <x:v>Heavy</x:v>
      </x:c>
      <x:c r="O368" s="38" t="str">
        <x:v>pal_367</x:v>
      </x:c>
      <x:c r="P368" s="38" t="str">
        <x:v>针羽大兽</x:v>
      </x:c>
      <x:c r="Q368" s="38" t="str">
        <x:v>https://bazaardb.gg/card/1bqc3jsnmlj66qybfnp13fqdzl/%E9%92%88%E7%BE%BD%E7%9A%84%E5%8C%85%E8%A3%B9</x:v>
      </x:c>
      <x:c r="R368" s="38" t="str">
        <x:v>当你将此物品出售给针羽时，获得一件附魔的来自任意英雄的大型飞行物品和2经验值</x:v>
      </x:c>
      <x:c r="S368" s="38" t="str">
        <x:v>BazaarDB Patch 16.2 商人包卡；归属 Pinfeather，品质 白银，占格 Large。</x:v>
      </x:c>
    </x:row>
    <x:row r="369">
      <x:c r="A369" s="38" t="str">
        <x:v>bz_van_368</x:v>
      </x:c>
      <x:c r="B369" s="38" t="n">
        <x:v>368</x:v>
      </x:c>
      <x:c r="C369" s="38" t="str">
        <x:v>merchant_package</x:v>
      </x:c>
      <x:c r="D369" s="38" t="str">
        <x:v>confirmed</x:v>
      </x:c>
      <x:c r="E369" s="38" t="str">
        <x:v>package-k83p060kvpshxcb5719vkn785p</x:v>
      </x:c>
      <x:c r="F369" s="38" t="str">
        <x:v>针羽的包裹</x:v>
      </x:c>
      <x:c r="G369" s="38" t="str">
        <x:v>silver</x:v>
      </x:c>
      <x:c r="H369" s="38" t="str">
        <x:v>Small</x:v>
      </x:c>
      <x:c r="I369" s="38" t="str">
        <x:v>package, small, silver, pinfeather</x:v>
      </x:c>
      <x:c r="J369" s="38" t="n">
        <x:v>2</x:v>
      </x:c>
      <x:c r="K369" s="38" t="str">
        <x:v>merchant_pinfeather, merchant_silvia</x:v>
      </x:c>
      <x:c r="L369" s="38" t="n">
        <x:v>2</x:v>
      </x:c>
      <x:c r="M369" s="38" t="str">
        <x:v>elem_草, role_经济</x:v>
      </x:c>
      <x:c r="N369" s="38" t="str">
        <x:v>Shiny</x:v>
      </x:c>
      <x:c r="O369" s="38" t="str">
        <x:v>pal_368</x:v>
      </x:c>
      <x:c r="P369" s="38" t="str">
        <x:v>针羽小兽</x:v>
      </x:c>
      <x:c r="Q369" s="38" t="str">
        <x:v>https://bazaardb.gg/card/k83p060kvpshxcb5719vkn785p/%E9%92%88%E7%BE%BD%E7%9A%84%E5%8C%85%E8%A3%B9</x:v>
      </x:c>
      <x:c r="R369" s="38" t="str">
        <x:v>当你将此物品出售给针羽时，获得一件来自任意英雄的附魔小型飞行物品和2经验值</x:v>
      </x:c>
      <x:c r="S369" s="38" t="str">
        <x:v>BazaarDB Patch 16.2 商人包卡；归属 Pinfeather，品质 白银，占格 Small。</x:v>
      </x:c>
    </x:row>
    <x:row r="370">
      <x:c r="A370" s="38" t="str">
        <x:v>bz_van_369</x:v>
      </x:c>
      <x:c r="B370" s="38" t="n">
        <x:v>369</x:v>
      </x:c>
      <x:c r="C370" s="38" t="str">
        <x:v>merchant_package</x:v>
      </x:c>
      <x:c r="D370" s="38" t="str">
        <x:v>confirmed</x:v>
      </x:c>
      <x:c r="E370" s="38" t="str">
        <x:v>package-qhxng08h41fzd30b491hb34747</x:v>
      </x:c>
      <x:c r="F370" s="38" t="str">
        <x:v>针羽的包裹</x:v>
      </x:c>
      <x:c r="G370" s="38" t="str">
        <x:v>silver</x:v>
      </x:c>
      <x:c r="H370" s="38" t="str">
        <x:v>Medium</x:v>
      </x:c>
      <x:c r="I370" s="38" t="str">
        <x:v>package, medium, silver, pinfeather</x:v>
      </x:c>
      <x:c r="J370" s="38" t="n">
        <x:v>2</x:v>
      </x:c>
      <x:c r="K370" s="38" t="str">
        <x:v>merchant_pinfeather, merchant_silvia</x:v>
      </x:c>
      <x:c r="L370" s="38" t="n">
        <x:v>2</x:v>
      </x:c>
      <x:c r="M370" s="38" t="str">
        <x:v>elem_草, role_经济</x:v>
      </x:c>
      <x:c r="N370" s="38" t="str">
        <x:v>Heavy</x:v>
      </x:c>
      <x:c r="O370" s="38" t="str">
        <x:v>pal_369</x:v>
      </x:c>
      <x:c r="P370" s="38" t="str">
        <x:v>针羽中兽</x:v>
      </x:c>
      <x:c r="Q370" s="38" t="str">
        <x:v>https://bazaardb.gg/card/qhxng08h41fzd30b491hb34747/%E9%92%88%E7%BE%BD%E7%9A%84%E5%8C%85%E8%A3%B9</x:v>
      </x:c>
      <x:c r="R370" s="38" t="str">
        <x:v>当你将此物品出售给针羽时，获得一件附魔的来自任意英雄的中型飞行物品和2经验值</x:v>
      </x:c>
      <x:c r="S370" s="38" t="str">
        <x:v>BazaarDB Patch 16.2 商人包卡；归属 Pinfeather，品质 白银，占格 Medium。</x:v>
      </x:c>
    </x:row>
  </x:sheetData>
  <x:pageMargins left="0.7" right="0.7" top="0.75" bottom="0.75" header="0.3" footer="0.3"/>
  <x:tableParts count="1">
    <x:tablePart xmlns:r="http://schemas.openxmlformats.org/officeDocument/2006/relationships" r:id="R5232e88d7ead418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48" hidden="0" customWidth="1"/>
    <x:col min="5" max="5" width="18" hidden="0" customWidth="1"/>
    <x:col min="6" max="6" width="3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  <x:col min="14" max="14" width="16" hidden="0" customWidth="1"/>
    <x:col min="15" max="15" width="18" hidden="0" customWidth="1"/>
    <x:col min="16" max="16" width="72" hidden="0" customWidth="1"/>
  </x:cols>
  <x:sheetData>
    <x:row r="1" ht="32" customHeight="1">
      <x:c r="A1" s="240" t="str">
        <x:v>source_node_type</x:v>
      </x:c>
      <x:c r="B1" s="240" t="str">
        <x:v>source_slug</x:v>
      </x:c>
      <x:c r="C1" s="240" t="str">
        <x:v>source_name</x:v>
      </x:c>
      <x:c r="D1" s="240" t="str">
        <x:v>source_rule</x:v>
      </x:c>
      <x:c r="E1" s="240" t="str">
        <x:v>source_object_count</x:v>
      </x:c>
      <x:c r="F1" s="240" t="str">
        <x:v>stall_id</x:v>
      </x:c>
      <x:c r="G1" s="240" t="str">
        <x:v>unlock_day</x:v>
      </x:c>
      <x:c r="H1" s="240" t="str">
        <x:v>close_day</x:v>
      </x:c>
      <x:c r="I1" s="240" t="str">
        <x:v>day1_status</x:v>
      </x:c>
      <x:c r="J1" s="240" t="str">
        <x:v>day2_status</x:v>
      </x:c>
      <x:c r="K1" s="240" t="str">
        <x:v>day3_status</x:v>
      </x:c>
      <x:c r="L1" s="240" t="str">
        <x:v>offer_slots</x:v>
      </x:c>
      <x:c r="M1" s="240" t="str">
        <x:v>free_rerolls</x:v>
      </x:c>
      <x:c r="N1" s="240" t="str">
        <x:v>local_shop_id</x:v>
      </x:c>
      <x:c r="O1" s="240" t="str">
        <x:v>local_shop_name</x:v>
      </x:c>
      <x:c r="P1" s="240" t="str">
        <x:v>mapping_rule</x:v>
      </x:c>
    </x:row>
    <x:row r="2">
      <x:c r="A2" s="38" t="str">
        <x:v>merchant</x:v>
      </x:c>
      <x:c r="B2" s="38" t="str">
        <x:v>aila</x:v>
      </x:c>
      <x:c r="C2" s="38" t="str">
        <x:v>Aila</x:v>
      </x:c>
      <x:c r="D2" s="38" t="str">
        <x:v>sells weapons</x:v>
      </x:c>
      <x:c r="E2" s="38" t="n">
        <x:v>64</x:v>
      </x:c>
      <x:c r="F2" s="38" t="str">
        <x:v>merchant_aila</x:v>
      </x:c>
      <x:c r="G2" s="38" t="n">
        <x:v>1</x:v>
      </x:c>
      <x:c r="H2" s="38" t="str"/>
      <x:c r="I2" s="38" t="str">
        <x:v>开放</x:v>
      </x:c>
      <x:c r="J2" s="38" t="str">
        <x:v>开放</x:v>
      </x:c>
      <x:c r="K2" s="38" t="str">
        <x:v>开放</x:v>
      </x:c>
      <x:c r="L2" s="38" t="n">
        <x:v>3</x:v>
      </x:c>
      <x:c r="M2" s="38" t="n">
        <x:v>1</x:v>
      </x:c>
      <x:c r="N2" s="38" t="str">
        <x:v>night_base</x:v>
      </x:c>
      <x:c r="O2" s="38" t="str">
        <x:v>寅将军</x:v>
      </x:c>
      <x:c r="P2" s="38" t="str">
        <x:v>先固定前三天来源摊位，再做冲突图着色；地点内各摊位独立抽取，不合并货池。</x:v>
      </x:c>
    </x:row>
    <x:row r="3">
      <x:c r="A3" s="38" t="str">
        <x:v>merchant</x:v>
      </x:c>
      <x:c r="B3" s="38" t="str">
        <x:v>herma</x:v>
      </x:c>
      <x:c r="C3" s="38" t="str">
        <x:v>Herma</x:v>
      </x:c>
      <x:c r="D3" s="38" t="str">
        <x:v>sells heal and regen items</x:v>
      </x:c>
      <x:c r="E3" s="38" t="n">
        <x:v>6</x:v>
      </x:c>
      <x:c r="F3" s="38" t="str">
        <x:v>merchant_herma</x:v>
      </x:c>
      <x:c r="G3" s="38" t="n">
        <x:v>4</x:v>
      </x:c>
      <x:c r="H3" s="38" t="str"/>
      <x:c r="I3" s="38" t="str">
        <x:v>未开放</x:v>
      </x:c>
      <x:c r="J3" s="38" t="str">
        <x:v>未开放</x:v>
      </x:c>
      <x:c r="K3" s="38" t="str">
        <x:v>未开放</x:v>
      </x:c>
      <x:c r="L3" s="38" t="n">
        <x:v>3</x:v>
      </x:c>
      <x:c r="M3" s="38" t="n">
        <x:v>1</x:v>
      </x:c>
      <x:c r="N3" s="38" t="str">
        <x:v>night_base</x:v>
      </x:c>
      <x:c r="O3" s="38" t="str">
        <x:v>寅将军</x:v>
      </x:c>
      <x:c r="P3" s="38" t="str">
        <x:v>先固定前三天来源摊位，再做冲突图着色；地点内各摊位独立抽取，不合并货池。</x:v>
      </x:c>
    </x:row>
    <x:row r="4">
      <x:c r="A4" s="38" t="str">
        <x:v>merchant</x:v>
      </x:c>
      <x:c r="B4" s="38" t="str">
        <x:v>aero</x:v>
      </x:c>
      <x:c r="C4" s="38" t="str">
        <x:v>Aero</x:v>
      </x:c>
      <x:c r="D4" s="38" t="str">
        <x:v>sells vehicles or drones</x:v>
      </x:c>
      <x:c r="E4" s="38" t="n">
        <x:v>9</x:v>
      </x:c>
      <x:c r="F4" s="38" t="str">
        <x:v>merchant_aero</x:v>
      </x:c>
      <x:c r="G4" s="38" t="n">
        <x:v>6</x:v>
      </x:c>
      <x:c r="H4" s="38" t="str"/>
      <x:c r="I4" s="38" t="str">
        <x:v>未开放</x:v>
      </x:c>
      <x:c r="J4" s="38" t="str">
        <x:v>未开放</x:v>
      </x:c>
      <x:c r="K4" s="38" t="str">
        <x:v>未开放</x:v>
      </x:c>
      <x:c r="L4" s="38" t="n">
        <x:v>3</x:v>
      </x:c>
      <x:c r="M4" s="38" t="n">
        <x:v>1</x:v>
      </x:c>
      <x:c r="N4" s="38" t="str">
        <x:v>elem_火</x:v>
      </x:c>
      <x:c r="O4" s="38" t="str">
        <x:v>熊山君</x:v>
      </x:c>
      <x:c r="P4" s="38" t="str">
        <x:v>先固定前三天来源摊位，再做冲突图着色；地点内各摊位独立抽取，不合并货池。</x:v>
      </x:c>
    </x:row>
    <x:row r="5">
      <x:c r="A5" s="38" t="str">
        <x:v>merchant</x:v>
      </x:c>
      <x:c r="B5" s="38" t="str">
        <x:v>ande</x:v>
      </x:c>
      <x:c r="C5" s="38" t="str">
        <x:v>Ande</x:v>
      </x:c>
      <x:c r="D5" s="38" t="str">
        <x:v>sells small items</x:v>
      </x:c>
      <x:c r="E5" s="38" t="n">
        <x:v>58</x:v>
      </x:c>
      <x:c r="F5" s="38" t="str">
        <x:v>merchant_ande</x:v>
      </x:c>
      <x:c r="G5" s="38" t="n">
        <x:v>1</x:v>
      </x:c>
      <x:c r="H5" s="38" t="str"/>
      <x:c r="I5" s="38" t="str">
        <x:v>开放</x:v>
      </x:c>
      <x:c r="J5" s="38" t="str">
        <x:v>开放</x:v>
      </x:c>
      <x:c r="K5" s="38" t="str">
        <x:v>开放</x:v>
      </x:c>
      <x:c r="L5" s="38" t="n">
        <x:v>3</x:v>
      </x:c>
      <x:c r="M5" s="38" t="n">
        <x:v>1</x:v>
      </x:c>
      <x:c r="N5" s="38" t="str">
        <x:v>elem_火</x:v>
      </x:c>
      <x:c r="O5" s="38" t="str">
        <x:v>熊山君</x:v>
      </x:c>
      <x:c r="P5" s="38" t="str">
        <x:v>先固定前三天来源摊位，再做冲突图着色；地点内各摊位独立抽取，不合并货池。</x:v>
      </x:c>
    </x:row>
    <x:row r="6">
      <x:c r="A6" s="38" t="str">
        <x:v>merchant</x:v>
      </x:c>
      <x:c r="B6" s="38" t="str">
        <x:v>barkun</x:v>
      </x:c>
      <x:c r="C6" s="38" t="str">
        <x:v>Barkun</x:v>
      </x:c>
      <x:c r="D6" s="38" t="str">
        <x:v>sells medium and large items. buys your small items at +1 value.</x:v>
      </x:c>
      <x:c r="E6" s="38" t="n">
        <x:v>80</x:v>
      </x:c>
      <x:c r="F6" s="38" t="str">
        <x:v>merchant_barkun</x:v>
      </x:c>
      <x:c r="G6" s="38" t="n">
        <x:v>1</x:v>
      </x:c>
      <x:c r="H6" s="38" t="str"/>
      <x:c r="I6" s="38" t="str">
        <x:v>开放</x:v>
      </x:c>
      <x:c r="J6" s="38" t="str">
        <x:v>开放</x:v>
      </x:c>
      <x:c r="K6" s="38" t="str">
        <x:v>开放</x:v>
      </x:c>
      <x:c r="L6" s="38" t="n">
        <x:v>3</x:v>
      </x:c>
      <x:c r="M6" s="38" t="n">
        <x:v>1</x:v>
      </x:c>
      <x:c r="N6" s="38" t="str">
        <x:v>elem_水</x:v>
      </x:c>
      <x:c r="O6" s="38" t="str">
        <x:v>特处士</x:v>
      </x:c>
      <x:c r="P6" s="38" t="str">
        <x:v>先固定前三天来源摊位，再做冲突图着色；地点内各摊位独立抽取，不合并货池。</x:v>
      </x:c>
    </x:row>
    <x:row r="7">
      <x:c r="A7" s="38" t="str">
        <x:v>trainer</x:v>
      </x:c>
      <x:c r="B7" s="38" t="str">
        <x:v>adira</x:v>
      </x:c>
      <x:c r="C7" s="38" t="str">
        <x:v>Adira</x:v>
      </x:c>
      <x:c r="D7" s="38" t="str">
        <x:v>teaches diamond-tier skills</x:v>
      </x:c>
      <x:c r="E7" s="38" t="n">
        <x:v>138</x:v>
      </x:c>
      <x:c r="F7" s="38" t="str">
        <x:v>trainer_adira</x:v>
      </x:c>
      <x:c r="G7" s="38" t="n">
        <x:v>5</x:v>
      </x:c>
      <x:c r="H7" s="38" t="str"/>
      <x:c r="I7" s="38" t="str">
        <x:v>未开放</x:v>
      </x:c>
      <x:c r="J7" s="38" t="str">
        <x:v>未开放</x:v>
      </x:c>
      <x:c r="K7" s="38" t="str">
        <x:v>未开放</x:v>
      </x:c>
      <x:c r="L7" s="38" t="n">
        <x:v>3</x:v>
      </x:c>
      <x:c r="M7" s="38" t="n">
        <x:v>1</x:v>
      </x:c>
      <x:c r="N7" s="38" t="str">
        <x:v>elem_水</x:v>
      </x:c>
      <x:c r="O7" s="38" t="str">
        <x:v>特处士</x:v>
      </x:c>
      <x:c r="P7" s="38" t="str">
        <x:v>先固定前三天来源摊位，再做冲突图着色；地点内各摊位独立抽取，不合并货池。</x:v>
      </x:c>
    </x:row>
    <x:row r="8">
      <x:c r="A8" s="38" t="str">
        <x:v>merchant</x:v>
      </x:c>
      <x:c r="B8" s="38" t="str">
        <x:v>curio</x:v>
      </x:c>
      <x:c r="C8" s="38" t="str">
        <x:v>Curio</x:v>
      </x:c>
      <x:c r="D8" s="38" t="str">
        <x:v>sells Bronze-tier Neutral items; pure-pet adaptation uses Bronze package pets</x:v>
      </x:c>
      <x:c r="E8" s="38" t="n">
        <x:v>31</x:v>
      </x:c>
      <x:c r="F8" s="38" t="str">
        <x:v>merchant_curio</x:v>
      </x:c>
      <x:c r="G8" s="38" t="n">
        <x:v>1</x:v>
      </x:c>
      <x:c r="H8" s="38" t="str"/>
      <x:c r="I8" s="38" t="str">
        <x:v>开放</x:v>
      </x:c>
      <x:c r="J8" s="38" t="str">
        <x:v>开放</x:v>
      </x:c>
      <x:c r="K8" s="38" t="str">
        <x:v>开放</x:v>
      </x:c>
      <x:c r="L8" s="38" t="n">
        <x:v>10</x:v>
      </x:c>
      <x:c r="M8" s="38" t="n">
        <x:v>1</x:v>
      </x:c>
      <x:c r="N8" s="38" t="str">
        <x:v>elem_草</x:v>
      </x:c>
      <x:c r="O8" s="38" t="str">
        <x:v>刘伯钦</x:v>
      </x:c>
      <x:c r="P8" s="38" t="str">
        <x:v>先固定前三天来源摊位，再做冲突图着色；地点内各摊位独立抽取，不合并货池。</x:v>
      </x:c>
    </x:row>
    <x:row r="9">
      <x:c r="A9" s="38" t="str">
        <x:v>merchant</x:v>
      </x:c>
      <x:c r="B9" s="38" t="str">
        <x:v>pinfeather</x:v>
      </x:c>
      <x:c r="C9" s="38" t="str">
        <x:v>Pinfeather</x:v>
      </x:c>
      <x:c r="D9" s="38" t="str">
        <x:v>sells flying items from any hero</x:v>
      </x:c>
      <x:c r="E9" s="38" t="n">
        <x:v>9</x:v>
      </x:c>
      <x:c r="F9" s="38" t="str">
        <x:v>merchant_pinfeather</x:v>
      </x:c>
      <x:c r="G9" s="38" t="n">
        <x:v>6</x:v>
      </x:c>
      <x:c r="H9" s="38" t="str"/>
      <x:c r="I9" s="38" t="str">
        <x:v>未开放</x:v>
      </x:c>
      <x:c r="J9" s="38" t="str">
        <x:v>未开放</x:v>
      </x:c>
      <x:c r="K9" s="38" t="str">
        <x:v>未开放</x:v>
      </x:c>
      <x:c r="L9" s="38" t="n">
        <x:v>3</x:v>
      </x:c>
      <x:c r="M9" s="38" t="n">
        <x:v>1</x:v>
      </x:c>
      <x:c r="N9" s="38" t="str">
        <x:v>elem_草</x:v>
      </x:c>
      <x:c r="O9" s="38" t="str">
        <x:v>刘伯钦</x:v>
      </x:c>
      <x:c r="P9" s="38" t="str">
        <x:v>先固定前三天来源摊位，再做冲突图着色；地点内各摊位独立抽取，不合并货池。</x:v>
      </x:c>
    </x:row>
    <x:row r="10">
      <x:c r="A10" s="38" t="str">
        <x:v>merchant</x:v>
      </x:c>
      <x:c r="B10" s="38" t="str">
        <x:v>jay-jay</x:v>
      </x:c>
      <x:c r="C10" s="38" t="str">
        <x:v>Jay Jay</x:v>
      </x:c>
      <x:c r="D10" s="38" t="str">
        <x:v>sells items.</x:v>
      </x:c>
      <x:c r="E10" s="38" t="n">
        <x:v>137</x:v>
      </x:c>
      <x:c r="F10" s="38" t="str">
        <x:v>merchant_jay-jay</x:v>
      </x:c>
      <x:c r="G10" s="38" t="n">
        <x:v>1</x:v>
      </x:c>
      <x:c r="H10" s="38" t="str"/>
      <x:c r="I10" s="38" t="str">
        <x:v>开放</x:v>
      </x:c>
      <x:c r="J10" s="38" t="str">
        <x:v>开放</x:v>
      </x:c>
      <x:c r="K10" s="38" t="str">
        <x:v>开放</x:v>
      </x:c>
      <x:c r="L10" s="38" t="n">
        <x:v>3</x:v>
      </x:c>
      <x:c r="M10" s="38" t="n">
        <x:v>1</x:v>
      </x:c>
      <x:c r="N10" s="38" t="str">
        <x:v>elem_雷</x:v>
      </x:c>
      <x:c r="O10" s="38" t="str">
        <x:v>孙悟空</x:v>
      </x:c>
      <x:c r="P10" s="38" t="str">
        <x:v>先固定前三天来源摊位，再做冲突图着色；地点内各摊位独立抽取，不合并货池。</x:v>
      </x:c>
    </x:row>
    <x:row r="11">
      <x:c r="A11" s="38" t="str">
        <x:v>trainer</x:v>
      </x:c>
      <x:c r="B11" s="38" t="str">
        <x:v>argenta</x:v>
      </x:c>
      <x:c r="C11" s="38" t="str">
        <x:v>Argenta</x:v>
      </x:c>
      <x:c r="D11" s="38" t="str">
        <x:v>teaches silver-tier skills</x:v>
      </x:c>
      <x:c r="E11" s="38" t="n">
        <x:v>88</x:v>
      </x:c>
      <x:c r="F11" s="38" t="str">
        <x:v>trainer_argenta</x:v>
      </x:c>
      <x:c r="G11" s="38" t="n">
        <x:v>5</x:v>
      </x:c>
      <x:c r="H11" s="38" t="str"/>
      <x:c r="I11" s="38" t="str">
        <x:v>未开放</x:v>
      </x:c>
      <x:c r="J11" s="38" t="str">
        <x:v>未开放</x:v>
      </x:c>
      <x:c r="K11" s="38" t="str">
        <x:v>未开放</x:v>
      </x:c>
      <x:c r="L11" s="38" t="n">
        <x:v>3</x:v>
      </x:c>
      <x:c r="M11" s="38" t="n">
        <x:v>1</x:v>
      </x:c>
      <x:c r="N11" s="38" t="str">
        <x:v>elem_雷</x:v>
      </x:c>
      <x:c r="O11" s="38" t="str">
        <x:v>孙悟空</x:v>
      </x:c>
      <x:c r="P11" s="38" t="str">
        <x:v>先固定前三天来源摊位，再做冲突图着色；地点内各摊位独立抽取，不合并货池。</x:v>
      </x:c>
    </x:row>
    <x:row r="12">
      <x:c r="A12" s="38" t="str">
        <x:v>merchant</x:v>
      </x:c>
      <x:c r="B12" s="38" t="str">
        <x:v>kina</x:v>
      </x:c>
      <x:c r="C12" s="38" t="str">
        <x:v>Kina</x:v>
      </x:c>
      <x:c r="D12" s="38" t="str">
        <x:v>sells non-weapon items.</x:v>
      </x:c>
      <x:c r="E12" s="38" t="n">
        <x:v>77</x:v>
      </x:c>
      <x:c r="F12" s="38" t="str">
        <x:v>merchant_kina</x:v>
      </x:c>
      <x:c r="G12" s="38" t="n">
        <x:v>1</x:v>
      </x:c>
      <x:c r="H12" s="38" t="n">
        <x:v>1</x:v>
      </x:c>
      <x:c r="I12" s="38" t="str">
        <x:v>开放</x:v>
      </x:c>
      <x:c r="J12" s="38" t="str">
        <x:v>已离场</x:v>
      </x:c>
      <x:c r="K12" s="38" t="str">
        <x:v>已离场</x:v>
      </x:c>
      <x:c r="L12" s="38" t="n">
        <x:v>3</x:v>
      </x:c>
      <x:c r="M12" s="38" t="n">
        <x:v>1</x:v>
      </x:c>
      <x:c r="N12" s="38" t="str">
        <x:v>elem_冰</x:v>
      </x:c>
      <x:c r="O12" s="38" t="str">
        <x:v>小白龙</x:v>
      </x:c>
      <x:c r="P12" s="38" t="str">
        <x:v>先固定前三天来源摊位，再做冲突图着色；地点内各摊位独立抽取，不合并货池。</x:v>
      </x:c>
    </x:row>
    <x:row r="13">
      <x:c r="A13" s="38" t="str">
        <x:v>merchant</x:v>
      </x:c>
      <x:c r="B13" s="38" t="str">
        <x:v>the-antiquarian</x:v>
      </x:c>
      <x:c r="C13" s="38" t="str">
        <x:v>The Antiquarian</x:v>
      </x:c>
      <x:c r="D13" s="38" t="str">
        <x:v>sells relics from any hero</x:v>
      </x:c>
      <x:c r="E13" s="38" t="n">
        <x:v>6</x:v>
      </x:c>
      <x:c r="F13" s="38" t="str">
        <x:v>merchant_the-antiquarian</x:v>
      </x:c>
      <x:c r="G13" s="38" t="n">
        <x:v>5</x:v>
      </x:c>
      <x:c r="H13" s="38" t="str"/>
      <x:c r="I13" s="38" t="str">
        <x:v>未开放</x:v>
      </x:c>
      <x:c r="J13" s="38" t="str">
        <x:v>未开放</x:v>
      </x:c>
      <x:c r="K13" s="38" t="str">
        <x:v>未开放</x:v>
      </x:c>
      <x:c r="L13" s="38" t="n">
        <x:v>3</x:v>
      </x:c>
      <x:c r="M13" s="38" t="n">
        <x:v>1</x:v>
      </x:c>
      <x:c r="N13" s="38" t="str">
        <x:v>elem_冰</x:v>
      </x:c>
      <x:c r="O13" s="38" t="str">
        <x:v>小白龙</x:v>
      </x:c>
      <x:c r="P13" s="38" t="str">
        <x:v>先固定前三天来源摊位，再做冲突图着色；地点内各摊位独立抽取，不合并货池。</x:v>
      </x:c>
    </x:row>
    <x:row r="14">
      <x:c r="A14" s="38" t="str">
        <x:v>merchant</x:v>
      </x:c>
      <x:c r="B14" s="38" t="str">
        <x:v>midsworth</x:v>
      </x:c>
      <x:c r="C14" s="38" t="str">
        <x:v>Midsworth</x:v>
      </x:c>
      <x:c r="D14" s="38" t="str">
        <x:v>sells small and large items. buys your medium items at +2 value.</x:v>
      </x:c>
      <x:c r="E14" s="38" t="n">
        <x:v>67</x:v>
      </x:c>
      <x:c r="F14" s="38" t="str">
        <x:v>merchant_midsworth</x:v>
      </x:c>
      <x:c r="G14" s="38" t="n">
        <x:v>1</x:v>
      </x:c>
      <x:c r="H14" s="38" t="str"/>
      <x:c r="I14" s="38" t="str">
        <x:v>开放</x:v>
      </x:c>
      <x:c r="J14" s="38" t="str">
        <x:v>开放</x:v>
      </x:c>
      <x:c r="K14" s="38" t="str">
        <x:v>开放</x:v>
      </x:c>
      <x:c r="L14" s="38" t="n">
        <x:v>3</x:v>
      </x:c>
      <x:c r="M14" s="38" t="n">
        <x:v>1</x:v>
      </x:c>
      <x:c r="N14" s="38" t="str">
        <x:v>elem_地</x:v>
      </x:c>
      <x:c r="O14" s="38" t="str">
        <x:v>金池长老</x:v>
      </x:c>
      <x:c r="P14" s="38" t="str">
        <x:v>先固定前三天来源摊位，再做冲突图着色；地点内各摊位独立抽取，不合并货池。</x:v>
      </x:c>
    </x:row>
    <x:row r="15">
      <x:c r="A15" s="38" t="str">
        <x:v>trainer</x:v>
      </x:c>
      <x:c r="B15" s="38" t="str">
        <x:v>old-zane</x:v>
      </x:c>
      <x:c r="C15" s="38" t="str">
        <x:v>Old Zane</x:v>
      </x:c>
      <x:c r="D15" s="38" t="str">
        <x:v>teaches skills unique to vanessa</x:v>
      </x:c>
      <x:c r="E15" s="38" t="n">
        <x:v>22</x:v>
      </x:c>
      <x:c r="F15" s="38" t="str">
        <x:v>trainer_old-zane</x:v>
      </x:c>
      <x:c r="G15" s="38" t="n">
        <x:v>4</x:v>
      </x:c>
      <x:c r="H15" s="38" t="str"/>
      <x:c r="I15" s="38" t="str">
        <x:v>未开放</x:v>
      </x:c>
      <x:c r="J15" s="38" t="str">
        <x:v>未开放</x:v>
      </x:c>
      <x:c r="K15" s="38" t="str">
        <x:v>未开放</x:v>
      </x:c>
      <x:c r="L15" s="38" t="n">
        <x:v>3</x:v>
      </x:c>
      <x:c r="M15" s="38" t="n">
        <x:v>1</x:v>
      </x:c>
      <x:c r="N15" s="38" t="str">
        <x:v>elem_地</x:v>
      </x:c>
      <x:c r="O15" s="38" t="str">
        <x:v>金池长老</x:v>
      </x:c>
      <x:c r="P15" s="38" t="str">
        <x:v>先固定前三天来源摊位，再做冲突图着色；地点内各摊位独立抽取，不合并货池。</x:v>
      </x:c>
    </x:row>
    <x:row r="16">
      <x:c r="A16" s="38" t="str">
        <x:v>merchant</x:v>
      </x:c>
      <x:c r="B16" s="38" t="str">
        <x:v>mr-morland</x:v>
      </x:c>
      <x:c r="C16" s="38" t="str">
        <x:v>Mr. Morland</x:v>
      </x:c>
      <x:c r="D16" s="38" t="str">
        <x:v>sells property items</x:v>
      </x:c>
      <x:c r="E16" s="38" t="n">
        <x:v>6</x:v>
      </x:c>
      <x:c r="F16" s="38" t="str">
        <x:v>merchant_mr-morland</x:v>
      </x:c>
      <x:c r="G16" s="38" t="n">
        <x:v>5</x:v>
      </x:c>
      <x:c r="H16" s="38" t="str"/>
      <x:c r="I16" s="38" t="str">
        <x:v>未开放</x:v>
      </x:c>
      <x:c r="J16" s="38" t="str">
        <x:v>未开放</x:v>
      </x:c>
      <x:c r="K16" s="38" t="str">
        <x:v>未开放</x:v>
      </x:c>
      <x:c r="L16" s="38" t="n">
        <x:v>3</x:v>
      </x:c>
      <x:c r="M16" s="38" t="n">
        <x:v>1</x:v>
      </x:c>
      <x:c r="N16" s="38" t="str">
        <x:v>elem_暗</x:v>
      </x:c>
      <x:c r="O16" s="38" t="str">
        <x:v>黑熊精</x:v>
      </x:c>
      <x:c r="P16" s="38" t="str">
        <x:v>先固定前三天来源摊位，再做冲突图着色；地点内各摊位独立抽取，不合并货池。</x:v>
      </x:c>
    </x:row>
    <x:row r="17">
      <x:c r="A17" s="38" t="str">
        <x:v>merchant</x:v>
      </x:c>
      <x:c r="B17" s="38" t="str">
        <x:v>valpak</x:v>
      </x:c>
      <x:c r="C17" s="38" t="str">
        <x:v>Valpak</x:v>
      </x:c>
      <x:c r="D17" s="38" t="str">
        <x:v>sells items. always sells discounted items.</x:v>
      </x:c>
      <x:c r="E17" s="38" t="n">
        <x:v>14</x:v>
      </x:c>
      <x:c r="F17" s="38" t="str">
        <x:v>merchant_valpak</x:v>
      </x:c>
      <x:c r="G17" s="38" t="n">
        <x:v>1</x:v>
      </x:c>
      <x:c r="H17" s="38" t="str"/>
      <x:c r="I17" s="38" t="str">
        <x:v>开放</x:v>
      </x:c>
      <x:c r="J17" s="38" t="str">
        <x:v>开放</x:v>
      </x:c>
      <x:c r="K17" s="38" t="str">
        <x:v>开放</x:v>
      </x:c>
      <x:c r="L17" s="38" t="n">
        <x:v>3</x:v>
      </x:c>
      <x:c r="M17" s="38" t="n">
        <x:v>1</x:v>
      </x:c>
      <x:c r="N17" s="38" t="str">
        <x:v>elem_暗</x:v>
      </x:c>
      <x:c r="O17" s="38" t="str">
        <x:v>黑熊精</x:v>
      </x:c>
      <x:c r="P17" s="38" t="str">
        <x:v>先固定前三天来源摊位，再做冲突图着色；地点内各摊位独立抽取，不合并货池。</x:v>
      </x:c>
    </x:row>
    <x:row r="18">
      <x:c r="A18" s="38" t="str">
        <x:v>merchant</x:v>
      </x:c>
      <x:c r="B18" s="38" t="str">
        <x:v>proteus</x:v>
      </x:c>
      <x:c r="C18" s="38" t="str">
        <x:v>Proteus</x:v>
      </x:c>
      <x:c r="D18" s="38" t="str">
        <x:v>Sells Shield items</x:v>
      </x:c>
      <x:c r="E18" s="38" t="n">
        <x:v>7</x:v>
      </x:c>
      <x:c r="F18" s="38" t="str">
        <x:v>merchant_proteus</x:v>
      </x:c>
      <x:c r="G18" s="38" t="n">
        <x:v>4</x:v>
      </x:c>
      <x:c r="H18" s="38" t="str"/>
      <x:c r="I18" s="38" t="str">
        <x:v>未开放</x:v>
      </x:c>
      <x:c r="J18" s="38" t="str">
        <x:v>未开放</x:v>
      </x:c>
      <x:c r="K18" s="38" t="str">
        <x:v>未开放</x:v>
      </x:c>
      <x:c r="L18" s="38" t="n">
        <x:v>3</x:v>
      </x:c>
      <x:c r="M18" s="38" t="n">
        <x:v>1</x:v>
      </x:c>
      <x:c r="N18" s="38" t="str">
        <x:v>elem_龙</x:v>
      </x:c>
      <x:c r="O18" s="38" t="str">
        <x:v>凌虚子</x:v>
      </x:c>
      <x:c r="P18" s="38" t="str">
        <x:v>先固定前三天来源摊位，再做冲突图着色；地点内各摊位独立抽取，不合并货池。</x:v>
      </x:c>
    </x:row>
    <x:row r="19">
      <x:c r="A19" s="38" t="str">
        <x:v>trainer</x:v>
      </x:c>
      <x:c r="B19" s="38" t="str">
        <x:v>nufu</x:v>
      </x:c>
      <x:c r="C19" s="38" t="str">
        <x:v>Nufu</x:v>
      </x:c>
      <x:c r="D19" s="38" t="str">
        <x:v>sells skills</x:v>
      </x:c>
      <x:c r="E19" s="38" t="n">
        <x:v>138</x:v>
      </x:c>
      <x:c r="F19" s="38" t="str">
        <x:v>trainer_nufu</x:v>
      </x:c>
      <x:c r="G19" s="38" t="n">
        <x:v>1</x:v>
      </x:c>
      <x:c r="H19" s="38" t="str"/>
      <x:c r="I19" s="38" t="str">
        <x:v>开放</x:v>
      </x:c>
      <x:c r="J19" s="38" t="str">
        <x:v>开放</x:v>
      </x:c>
      <x:c r="K19" s="38" t="str">
        <x:v>开放</x:v>
      </x:c>
      <x:c r="L19" s="38" t="n">
        <x:v>3</x:v>
      </x:c>
      <x:c r="M19" s="38" t="n">
        <x:v>1</x:v>
      </x:c>
      <x:c r="N19" s="38" t="str">
        <x:v>elem_龙</x:v>
      </x:c>
      <x:c r="O19" s="38" t="str">
        <x:v>凌虚子</x:v>
      </x:c>
      <x:c r="P19" s="38" t="str">
        <x:v>先固定前三天来源摊位，再做冲突图着色；地点内各摊位独立抽取，不合并货池。</x:v>
      </x:c>
    </x:row>
    <x:row r="20">
      <x:c r="A20" s="38" t="str">
        <x:v>merchant</x:v>
      </x:c>
      <x:c r="B20" s="38" t="str">
        <x:v>mittel</x:v>
      </x:c>
      <x:c r="C20" s="38" t="str">
        <x:v>Mittel</x:v>
      </x:c>
      <x:c r="D20" s="38" t="str">
        <x:v>sells medium items</x:v>
      </x:c>
      <x:c r="E20" s="38" t="n">
        <x:v>56</x:v>
      </x:c>
      <x:c r="F20" s="38" t="str">
        <x:v>merchant_mittel</x:v>
      </x:c>
      <x:c r="G20" s="38" t="n">
        <x:v>2</x:v>
      </x:c>
      <x:c r="H20" s="38" t="str"/>
      <x:c r="I20" s="38" t="str">
        <x:v>未开放</x:v>
      </x:c>
      <x:c r="J20" s="38" t="str">
        <x:v>开放</x:v>
      </x:c>
      <x:c r="K20" s="38" t="str">
        <x:v>开放</x:v>
      </x:c>
      <x:c r="L20" s="38" t="n">
        <x:v>3</x:v>
      </x:c>
      <x:c r="M20" s="38" t="n">
        <x:v>1</x:v>
      </x:c>
      <x:c r="N20" s="38" t="str">
        <x:v>elem_无</x:v>
      </x:c>
      <x:c r="O20" s="38" t="str">
        <x:v>苍狼精</x:v>
      </x:c>
      <x:c r="P20" s="38" t="str">
        <x:v>先固定前三天来源摊位，再做冲突图着色；地点内各摊位独立抽取，不合并货池。</x:v>
      </x:c>
    </x:row>
    <x:row r="21">
      <x:c r="A21" s="38" t="str">
        <x:v>trainer</x:v>
      </x:c>
      <x:c r="B21" s="38" t="str">
        <x:v>orlin</x:v>
      </x:c>
      <x:c r="C21" s="38" t="str">
        <x:v>Orlin</x:v>
      </x:c>
      <x:c r="D21" s="38" t="str">
        <x:v>teaches gold-tier skills</x:v>
      </x:c>
      <x:c r="E21" s="38" t="n">
        <x:v>121</x:v>
      </x:c>
      <x:c r="F21" s="38" t="str">
        <x:v>trainer_orlin</x:v>
      </x:c>
      <x:c r="G21" s="38" t="n">
        <x:v>5</x:v>
      </x:c>
      <x:c r="H21" s="38" t="str"/>
      <x:c r="I21" s="38" t="str">
        <x:v>未开放</x:v>
      </x:c>
      <x:c r="J21" s="38" t="str">
        <x:v>未开放</x:v>
      </x:c>
      <x:c r="K21" s="38" t="str">
        <x:v>未开放</x:v>
      </x:c>
      <x:c r="L21" s="38" t="n">
        <x:v>3</x:v>
      </x:c>
      <x:c r="M21" s="38" t="n">
        <x:v>1</x:v>
      </x:c>
      <x:c r="N21" s="38" t="str">
        <x:v>elem_无</x:v>
      </x:c>
      <x:c r="O21" s="38" t="str">
        <x:v>苍狼精</x:v>
      </x:c>
      <x:c r="P21" s="38" t="str">
        <x:v>先固定前三天来源摊位，再做冲突图着色；地点内各摊位独立抽取，不合并货池。</x:v>
      </x:c>
    </x:row>
    <x:row r="22">
      <x:c r="A22" s="38" t="str">
        <x:v>merchant</x:v>
      </x:c>
      <x:c r="B22" s="38" t="str">
        <x:v>quixel</x:v>
      </x:c>
      <x:c r="C22" s="38" t="str">
        <x:v>Quixel</x:v>
      </x:c>
      <x:c r="D22" s="38" t="str">
        <x:v>sells small and medium items. buys your large items at +3 value.</x:v>
      </x:c>
      <x:c r="E22" s="38" t="n">
        <x:v>78</x:v>
      </x:c>
      <x:c r="F22" s="38" t="str">
        <x:v>merchant_quixel</x:v>
      </x:c>
      <x:c r="G22" s="38" t="n">
        <x:v>2</x:v>
      </x:c>
      <x:c r="H22" s="38" t="str"/>
      <x:c r="I22" s="38" t="str">
        <x:v>未开放</x:v>
      </x:c>
      <x:c r="J22" s="38" t="str">
        <x:v>开放</x:v>
      </x:c>
      <x:c r="K22" s="38" t="str">
        <x:v>开放</x:v>
      </x:c>
      <x:c r="L22" s="38" t="n">
        <x:v>3</x:v>
      </x:c>
      <x:c r="M22" s="38" t="n">
        <x:v>1</x:v>
      </x:c>
      <x:c r="N22" s="38" t="str">
        <x:v>role_召唤</x:v>
      </x:c>
      <x:c r="O22" s="38" t="str">
        <x:v>猪八戒</x:v>
      </x:c>
      <x:c r="P22" s="38" t="str">
        <x:v>先固定前三天来源摊位，再做冲突图着色；地点内各摊位独立抽取，不合并货池。</x:v>
      </x:c>
    </x:row>
    <x:row r="23">
      <x:c r="A23" s="38" t="str">
        <x:v>trainer</x:v>
      </x:c>
      <x:c r="B23" s="38" t="str">
        <x:v>vermir</x:v>
      </x:c>
      <x:c r="C23" s="38" t="str">
        <x:v>Vermir</x:v>
      </x:c>
      <x:c r="D23" s="38" t="str">
        <x:v>teaches crit skills</x:v>
      </x:c>
      <x:c r="E23" s="38" t="n">
        <x:v>33</x:v>
      </x:c>
      <x:c r="F23" s="38" t="str">
        <x:v>trainer_vermir</x:v>
      </x:c>
      <x:c r="G23" s="38" t="n">
        <x:v>6</x:v>
      </x:c>
      <x:c r="H23" s="38" t="str"/>
      <x:c r="I23" s="38" t="str">
        <x:v>未开放</x:v>
      </x:c>
      <x:c r="J23" s="38" t="str">
        <x:v>未开放</x:v>
      </x:c>
      <x:c r="K23" s="38" t="str">
        <x:v>未开放</x:v>
      </x:c>
      <x:c r="L23" s="38" t="n">
        <x:v>3</x:v>
      </x:c>
      <x:c r="M23" s="38" t="n">
        <x:v>1</x:v>
      </x:c>
      <x:c r="N23" s="38" t="str">
        <x:v>role_召唤</x:v>
      </x:c>
      <x:c r="O23" s="38" t="str">
        <x:v>猪八戒</x:v>
      </x:c>
      <x:c r="P23" s="38" t="str">
        <x:v>先固定前三天来源摊位，再做冲突图着色；地点内各摊位独立抽取，不合并货池。</x:v>
      </x:c>
    </x:row>
    <x:row r="24">
      <x:c r="A24" s="38" t="str">
        <x:v>merchant</x:v>
      </x:c>
      <x:c r="B24" s="38" t="str">
        <x:v>goldie</x:v>
      </x:c>
      <x:c r="C24" s="38" t="str">
        <x:v>Goldie</x:v>
      </x:c>
      <x:c r="D24" s="38" t="str">
        <x:v>sells gold-tier items</x:v>
      </x:c>
      <x:c r="E24" s="38" t="n">
        <x:v>153</x:v>
      </x:c>
      <x:c r="F24" s="38" t="str">
        <x:v>merchant_goldie</x:v>
      </x:c>
      <x:c r="G24" s="38" t="n">
        <x:v>4</x:v>
      </x:c>
      <x:c r="H24" s="38" t="str"/>
      <x:c r="I24" s="38" t="str">
        <x:v>未开放</x:v>
      </x:c>
      <x:c r="J24" s="38" t="str">
        <x:v>未开放</x:v>
      </x:c>
      <x:c r="K24" s="38" t="str">
        <x:v>未开放</x:v>
      </x:c>
      <x:c r="L24" s="38" t="n">
        <x:v>3</x:v>
      </x:c>
      <x:c r="M24" s="38" t="n">
        <x:v>1</x:v>
      </x:c>
      <x:c r="N24" s="38" t="str">
        <x:v>role_坦克</x:v>
      </x:c>
      <x:c r="O24" s="38" t="str">
        <x:v>黄风怪</x:v>
      </x:c>
      <x:c r="P24" s="38" t="str">
        <x:v>先固定前三天来源摊位，再做冲突图着色；地点内各摊位独立抽取，不合并货池。</x:v>
      </x:c>
    </x:row>
    <x:row r="25">
      <x:c r="A25" s="38" t="str">
        <x:v>trainer</x:v>
      </x:c>
      <x:c r="B25" s="38" t="str">
        <x:v>ryukon</x:v>
      </x:c>
      <x:c r="C25" s="38" t="str">
        <x:v>Ryukon</x:v>
      </x:c>
      <x:c r="D25" s="38" t="str">
        <x:v>teaches weapon skills</x:v>
      </x:c>
      <x:c r="E25" s="38" t="n">
        <x:v>39</x:v>
      </x:c>
      <x:c r="F25" s="38" t="str">
        <x:v>trainer_ryukon</x:v>
      </x:c>
      <x:c r="G25" s="38" t="n">
        <x:v>5</x:v>
      </x:c>
      <x:c r="H25" s="38" t="str"/>
      <x:c r="I25" s="38" t="str">
        <x:v>未开放</x:v>
      </x:c>
      <x:c r="J25" s="38" t="str">
        <x:v>未开放</x:v>
      </x:c>
      <x:c r="K25" s="38" t="str">
        <x:v>未开放</x:v>
      </x:c>
      <x:c r="L25" s="38" t="n">
        <x:v>3</x:v>
      </x:c>
      <x:c r="M25" s="38" t="n">
        <x:v>1</x:v>
      </x:c>
      <x:c r="N25" s="38" t="str">
        <x:v>role_坦克</x:v>
      </x:c>
      <x:c r="O25" s="38" t="str">
        <x:v>黄风怪</x:v>
      </x:c>
      <x:c r="P25" s="38" t="str">
        <x:v>先固定前三天来源摊位，再做冲突图着色；地点内各摊位独立抽取，不合并货池。</x:v>
      </x:c>
    </x:row>
    <x:row r="26">
      <x:c r="A26" s="38" t="str">
        <x:v>merchant</x:v>
      </x:c>
      <x:c r="B26" s="38" t="str">
        <x:v>luxe</x:v>
      </x:c>
      <x:c r="C26" s="38" t="str">
        <x:v>Luxe</x:v>
      </x:c>
      <x:c r="D26" s="38" t="str">
        <x:v>sells diamond-tier items</x:v>
      </x:c>
      <x:c r="E26" s="38" t="n">
        <x:v>135</x:v>
      </x:c>
      <x:c r="F26" s="38" t="str">
        <x:v>merchant_luxe</x:v>
      </x:c>
      <x:c r="G26" s="38" t="n">
        <x:v>4</x:v>
      </x:c>
      <x:c r="H26" s="38" t="str"/>
      <x:c r="I26" s="38" t="str">
        <x:v>未开放</x:v>
      </x:c>
      <x:c r="J26" s="38" t="str">
        <x:v>未开放</x:v>
      </x:c>
      <x:c r="K26" s="38" t="str">
        <x:v>未开放</x:v>
      </x:c>
      <x:c r="L26" s="38" t="n">
        <x:v>3</x:v>
      </x:c>
      <x:c r="M26" s="38" t="n">
        <x:v>1</x:v>
      </x:c>
      <x:c r="N26" s="38" t="str">
        <x:v>role_控制</x:v>
      </x:c>
      <x:c r="O26" s="38" t="str">
        <x:v>灵吉菩萨</x:v>
      </x:c>
      <x:c r="P26" s="38" t="str">
        <x:v>先固定前三天来源摊位，再做冲突图着色；地点内各摊位独立抽取，不合并货池。</x:v>
      </x:c>
    </x:row>
    <x:row r="27">
      <x:c r="A27" s="38" t="str">
        <x:v>trainer</x:v>
      </x:c>
      <x:c r="B27" s="38" t="str">
        <x:v>bjorn</x:v>
      </x:c>
      <x:c r="C27" s="38" t="str">
        <x:v>Bjorn</x:v>
      </x:c>
      <x:c r="D27" s="38" t="str">
        <x:v>teaches freeze skills</x:v>
      </x:c>
      <x:c r="E27" s="38" t="n">
        <x:v>10</x:v>
      </x:c>
      <x:c r="F27" s="38" t="str">
        <x:v>trainer_bjorn</x:v>
      </x:c>
      <x:c r="G27" s="38" t="n">
        <x:v>6</x:v>
      </x:c>
      <x:c r="H27" s="38" t="str"/>
      <x:c r="I27" s="38" t="str">
        <x:v>未开放</x:v>
      </x:c>
      <x:c r="J27" s="38" t="str">
        <x:v>未开放</x:v>
      </x:c>
      <x:c r="K27" s="38" t="str">
        <x:v>未开放</x:v>
      </x:c>
      <x:c r="L27" s="38" t="n">
        <x:v>3</x:v>
      </x:c>
      <x:c r="M27" s="38" t="n">
        <x:v>1</x:v>
      </x:c>
      <x:c r="N27" s="38" t="str">
        <x:v>role_控制</x:v>
      </x:c>
      <x:c r="O27" s="38" t="str">
        <x:v>灵吉菩萨</x:v>
      </x:c>
      <x:c r="P27" s="38" t="str">
        <x:v>先固定前三天来源摊位，再做冲突图着色；地点内各摊位独立抽取，不合并货池。</x:v>
      </x:c>
    </x:row>
    <x:row r="28">
      <x:c r="A28" s="38" t="str">
        <x:v>merchant</x:v>
      </x:c>
      <x:c r="B28" s="38" t="str">
        <x:v>serafina</x:v>
      </x:c>
      <x:c r="C28" s="38" t="str">
        <x:v>Serafina</x:v>
      </x:c>
      <x:c r="D28" s="38" t="str">
        <x:v>sells enchanted items</x:v>
      </x:c>
      <x:c r="E28" s="38" t="n">
        <x:v>66</x:v>
      </x:c>
      <x:c r="F28" s="38" t="str">
        <x:v>merchant_serafina</x:v>
      </x:c>
      <x:c r="G28" s="38" t="n">
        <x:v>5</x:v>
      </x:c>
      <x:c r="H28" s="38" t="str"/>
      <x:c r="I28" s="38" t="str">
        <x:v>未开放</x:v>
      </x:c>
      <x:c r="J28" s="38" t="str">
        <x:v>未开放</x:v>
      </x:c>
      <x:c r="K28" s="38" t="str">
        <x:v>未开放</x:v>
      </x:c>
      <x:c r="L28" s="38" t="n">
        <x:v>3</x:v>
      </x:c>
      <x:c r="M28" s="38" t="n">
        <x:v>1</x:v>
      </x:c>
      <x:c r="N28" s="38" t="str">
        <x:v>role_治疗</x:v>
      </x:c>
      <x:c r="O28" s="38" t="str">
        <x:v>沙悟净</x:v>
      </x:c>
      <x:c r="P28" s="38" t="str">
        <x:v>先固定前三天来源摊位，再做冲突图着色；地点内各摊位独立抽取，不合并货池。</x:v>
      </x:c>
    </x:row>
    <x:row r="29">
      <x:c r="A29" s="38" t="str">
        <x:v>trainer</x:v>
      </x:c>
      <x:c r="B29" s="38" t="str">
        <x:v>malafang</x:v>
      </x:c>
      <x:c r="C29" s="38" t="str">
        <x:v>Malafang</x:v>
      </x:c>
      <x:c r="D29" s="38" t="str">
        <x:v>teaches burn skills</x:v>
      </x:c>
      <x:c r="E29" s="38" t="n">
        <x:v>21</x:v>
      </x:c>
      <x:c r="F29" s="38" t="str">
        <x:v>trainer_malafang</x:v>
      </x:c>
      <x:c r="G29" s="38" t="n">
        <x:v>5</x:v>
      </x:c>
      <x:c r="H29" s="38" t="str"/>
      <x:c r="I29" s="38" t="str">
        <x:v>未开放</x:v>
      </x:c>
      <x:c r="J29" s="38" t="str">
        <x:v>未开放</x:v>
      </x:c>
      <x:c r="K29" s="38" t="str">
        <x:v>未开放</x:v>
      </x:c>
      <x:c r="L29" s="38" t="n">
        <x:v>3</x:v>
      </x:c>
      <x:c r="M29" s="38" t="n">
        <x:v>1</x:v>
      </x:c>
      <x:c r="N29" s="38" t="str">
        <x:v>role_治疗</x:v>
      </x:c>
      <x:c r="O29" s="38" t="str">
        <x:v>沙悟净</x:v>
      </x:c>
      <x:c r="P29" s="38" t="str">
        <x:v>先固定前三天来源摊位，再做冲突图着色；地点内各摊位独立抽取，不合并货池。</x:v>
      </x:c>
    </x:row>
    <x:row r="30">
      <x:c r="A30" s="38" t="str">
        <x:v>merchant</x:v>
      </x:c>
      <x:c r="B30" s="38" t="str">
        <x:v>nautica</x:v>
      </x:c>
      <x:c r="C30" s="38" t="str">
        <x:v>Nautica</x:v>
      </x:c>
      <x:c r="D30" s="38" t="str">
        <x:v>sells aquatic items</x:v>
      </x:c>
      <x:c r="E30" s="38" t="n">
        <x:v>64</x:v>
      </x:c>
      <x:c r="F30" s="38" t="str">
        <x:v>merchant_nautica</x:v>
      </x:c>
      <x:c r="G30" s="38" t="n">
        <x:v>6</x:v>
      </x:c>
      <x:c r="H30" s="38" t="str"/>
      <x:c r="I30" s="38" t="str">
        <x:v>未开放</x:v>
      </x:c>
      <x:c r="J30" s="38" t="str">
        <x:v>未开放</x:v>
      </x:c>
      <x:c r="K30" s="38" t="str">
        <x:v>未开放</x:v>
      </x:c>
      <x:c r="L30" s="38" t="n">
        <x:v>3</x:v>
      </x:c>
      <x:c r="M30" s="38" t="n">
        <x:v>1</x:v>
      </x:c>
      <x:c r="N30" s="38" t="str">
        <x:v>role_输出</x:v>
      </x:c>
      <x:c r="O30" s="38" t="str">
        <x:v>沙僧</x:v>
      </x:c>
      <x:c r="P30" s="38" t="str">
        <x:v>先固定前三天来源摊位，再做冲突图着色；地点内各摊位独立抽取，不合并货池。</x:v>
      </x:c>
    </x:row>
    <x:row r="31">
      <x:c r="A31" s="38" t="str">
        <x:v>trainer</x:v>
      </x:c>
      <x:c r="B31" s="38" t="str">
        <x:v>professor-riggle</x:v>
      </x:c>
      <x:c r="C31" s="38" t="str">
        <x:v>Professor Riggle</x:v>
      </x:c>
      <x:c r="D31" s="38" t="str">
        <x:v>teaches poison skills</x:v>
      </x:c>
      <x:c r="E31" s="38" t="n">
        <x:v>17</x:v>
      </x:c>
      <x:c r="F31" s="38" t="str">
        <x:v>trainer_professor-riggle</x:v>
      </x:c>
      <x:c r="G31" s="38" t="n">
        <x:v>6</x:v>
      </x:c>
      <x:c r="H31" s="38" t="str"/>
      <x:c r="I31" s="38" t="str">
        <x:v>未开放</x:v>
      </x:c>
      <x:c r="J31" s="38" t="str">
        <x:v>未开放</x:v>
      </x:c>
      <x:c r="K31" s="38" t="str">
        <x:v>未开放</x:v>
      </x:c>
      <x:c r="L31" s="38" t="n">
        <x:v>3</x:v>
      </x:c>
      <x:c r="M31" s="38" t="n">
        <x:v>1</x:v>
      </x:c>
      <x:c r="N31" s="38" t="str">
        <x:v>role_输出</x:v>
      </x:c>
      <x:c r="O31" s="38" t="str">
        <x:v>沙僧</x:v>
      </x:c>
      <x:c r="P31" s="38" t="str">
        <x:v>先固定前三天来源摊位，再做冲突图着色；地点内各摊位独立抽取，不合并货池。</x:v>
      </x:c>
    </x:row>
    <x:row r="32">
      <x:c r="A32" s="38" t="str">
        <x:v>merchant</x:v>
      </x:c>
      <x:c r="B32" s="38" t="str">
        <x:v>silvia</x:v>
      </x:c>
      <x:c r="C32" s="38" t="str">
        <x:v>Silvia</x:v>
      </x:c>
      <x:c r="D32" s="38" t="str">
        <x:v>sells silver-tier items</x:v>
      </x:c>
      <x:c r="E32" s="38" t="n">
        <x:v>71</x:v>
      </x:c>
      <x:c r="F32" s="38" t="str">
        <x:v>merchant_silvia</x:v>
      </x:c>
      <x:c r="G32" s="38" t="n">
        <x:v>6</x:v>
      </x:c>
      <x:c r="H32" s="38" t="str"/>
      <x:c r="I32" s="38" t="str">
        <x:v>未开放</x:v>
      </x:c>
      <x:c r="J32" s="38" t="str">
        <x:v>未开放</x:v>
      </x:c>
      <x:c r="K32" s="38" t="str">
        <x:v>未开放</x:v>
      </x:c>
      <x:c r="L32" s="38" t="n">
        <x:v>3</x:v>
      </x:c>
      <x:c r="M32" s="38" t="n">
        <x:v>1</x:v>
      </x:c>
      <x:c r="N32" s="38" t="str">
        <x:v>role_经济</x:v>
      </x:c>
      <x:c r="O32" s="38" t="str">
        <x:v>黎山老母</x:v>
      </x:c>
      <x:c r="P32" s="38" t="str">
        <x:v>先固定前三天来源摊位，再做冲突图着色；地点内各摊位独立抽取，不合并货池。</x:v>
      </x:c>
    </x:row>
    <x:row r="33">
      <x:c r="A33" s="38" t="str">
        <x:v>trainer</x:v>
      </x:c>
      <x:c r="B33" s="38" t="str">
        <x:v>slohmor-lumbra</x:v>
      </x:c>
      <x:c r="C33" s="38" t="str">
        <x:v>Slohmor Lumbra</x:v>
      </x:c>
      <x:c r="D33" s="38" t="str">
        <x:v>teaches slow skills</x:v>
      </x:c>
      <x:c r="E33" s="38" t="n">
        <x:v>12</x:v>
      </x:c>
      <x:c r="F33" s="38" t="str">
        <x:v>trainer_slohmor-lumbra</x:v>
      </x:c>
      <x:c r="G33" s="38" t="n">
        <x:v>5</x:v>
      </x:c>
      <x:c r="H33" s="38" t="str"/>
      <x:c r="I33" s="38" t="str">
        <x:v>未开放</x:v>
      </x:c>
      <x:c r="J33" s="38" t="str">
        <x:v>未开放</x:v>
      </x:c>
      <x:c r="K33" s="38" t="str">
        <x:v>未开放</x:v>
      </x:c>
      <x:c r="L33" s="38" t="n">
        <x:v>3</x:v>
      </x:c>
      <x:c r="M33" s="38" t="n">
        <x:v>1</x:v>
      </x:c>
      <x:c r="N33" s="38" t="str">
        <x:v>role_经济</x:v>
      </x:c>
      <x:c r="O33" s="38" t="str">
        <x:v>黎山老母</x:v>
      </x:c>
      <x:c r="P33" s="38" t="str">
        <x:v>先固定前三天来源摊位，再做冲突图着色；地点内各摊位独立抽取，不合并货池。</x:v>
      </x:c>
    </x:row>
    <x:row r="34">
      <x:c r="A34" s="38" t="str">
        <x:v>merchant</x:v>
      </x:c>
      <x:c r="B34" s="38" t="str">
        <x:v>colt</x:v>
      </x:c>
      <x:c r="C34" s="38" t="str">
        <x:v>Colt</x:v>
      </x:c>
      <x:c r="D34" s="38" t="str">
        <x:v>sells ammo items</x:v>
      </x:c>
      <x:c r="E34" s="38" t="n">
        <x:v>33</x:v>
      </x:c>
      <x:c r="F34" s="38" t="str">
        <x:v>merchant_colt</x:v>
      </x:c>
      <x:c r="G34" s="38" t="n">
        <x:v>6</x:v>
      </x:c>
      <x:c r="H34" s="38" t="str"/>
      <x:c r="I34" s="38" t="str">
        <x:v>未开放</x:v>
      </x:c>
      <x:c r="J34" s="38" t="str">
        <x:v>未开放</x:v>
      </x:c>
      <x:c r="K34" s="38" t="str">
        <x:v>未开放</x:v>
      </x:c>
      <x:c r="L34" s="38" t="n">
        <x:v>3</x:v>
      </x:c>
      <x:c r="M34" s="38" t="n">
        <x:v>1</x:v>
      </x:c>
      <x:c r="N34" s="38" t="str">
        <x:v>role_机动</x:v>
      </x:c>
      <x:c r="O34" s="38" t="str">
        <x:v>观音</x:v>
      </x:c>
      <x:c r="P34" s="38" t="str">
        <x:v>先固定前三天来源摊位，再做冲突图着色；地点内各摊位独立抽取，不合并货池。</x:v>
      </x:c>
    </x:row>
    <x:row r="35">
      <x:c r="A35" s="38" t="str">
        <x:v>merchant</x:v>
      </x:c>
      <x:c r="B35" s="38" t="str">
        <x:v>prospero</x:v>
      </x:c>
      <x:c r="C35" s="38" t="str">
        <x:v>Prospero</x:v>
      </x:c>
      <x:c r="D35" s="38" t="str">
        <x:v>sells economic items from any hero</x:v>
      </x:c>
      <x:c r="E35" s="38" t="n">
        <x:v>3</x:v>
      </x:c>
      <x:c r="F35" s="38" t="str">
        <x:v>merchant_prospero</x:v>
      </x:c>
      <x:c r="G35" s="38" t="n">
        <x:v>6</x:v>
      </x:c>
      <x:c r="H35" s="38" t="str"/>
      <x:c r="I35" s="38" t="str">
        <x:v>未开放</x:v>
      </x:c>
      <x:c r="J35" s="38" t="str">
        <x:v>未开放</x:v>
      </x:c>
      <x:c r="K35" s="38" t="str">
        <x:v>未开放</x:v>
      </x:c>
      <x:c r="L35" s="38" t="n">
        <x:v>3</x:v>
      </x:c>
      <x:c r="M35" s="38" t="n">
        <x:v>1</x:v>
      </x:c>
      <x:c r="N35" s="38" t="str">
        <x:v>role_机动</x:v>
      </x:c>
      <x:c r="O35" s="38" t="str">
        <x:v>观音</x:v>
      </x:c>
      <x:c r="P35" s="38" t="str">
        <x:v>先固定前三天来源摊位，再做冲突图着色；地点内各摊位独立抽取，不合并货池。</x:v>
      </x:c>
    </x:row>
    <x:row r="36">
      <x:c r="A36" s="38" t="str">
        <x:v>merchant</x:v>
      </x:c>
      <x:c r="B36" s="38" t="str">
        <x:v>tok-s-clocks</x:v>
      </x:c>
      <x:c r="C36" s="38" t="str">
        <x:v>Tok's Clocks</x:v>
      </x:c>
      <x:c r="D36" s="38" t="str">
        <x:v>sells haste, slow and cooldown items.</x:v>
      </x:c>
      <x:c r="E36" s="38" t="n">
        <x:v>55</x:v>
      </x:c>
      <x:c r="F36" s="38" t="str">
        <x:v>merchant_tok-s-clocks</x:v>
      </x:c>
      <x:c r="G36" s="38" t="n">
        <x:v>4</x:v>
      </x:c>
      <x:c r="H36" s="38" t="str"/>
      <x:c r="I36" s="38" t="str">
        <x:v>未开放</x:v>
      </x:c>
      <x:c r="J36" s="38" t="str">
        <x:v>未开放</x:v>
      </x:c>
      <x:c r="K36" s="38" t="str">
        <x:v>未开放</x:v>
      </x:c>
      <x:c r="L36" s="38" t="n">
        <x:v>3</x:v>
      </x:c>
      <x:c r="M36" s="38" t="n">
        <x:v>1</x:v>
      </x:c>
      <x:c r="N36" s="38" t="str">
        <x:v>special_merchant</x:v>
      </x:c>
      <x:c r="O36" s="38" t="str">
        <x:v>普贤</x:v>
      </x:c>
      <x:c r="P36" s="38" t="str">
        <x:v>先固定前三天来源摊位，再做冲突图着色；地点内各摊位独立抽取，不合并货池。</x:v>
      </x:c>
    </x:row>
    <x:row r="37">
      <x:c r="A37" s="38" t="str">
        <x:v>trainer</x:v>
      </x:c>
      <x:c r="B37" s="38" t="str">
        <x:v>zara</x:v>
      </x:c>
      <x:c r="C37" s="38" t="str">
        <x:v>Zara</x:v>
      </x:c>
      <x:c r="D37" s="38" t="str">
        <x:v>teaches haste and charge skills</x:v>
      </x:c>
      <x:c r="E37" s="38" t="n">
        <x:v>25</x:v>
      </x:c>
      <x:c r="F37" s="38" t="str">
        <x:v>trainer_zara</x:v>
      </x:c>
      <x:c r="G37" s="38" t="n">
        <x:v>5</x:v>
      </x:c>
      <x:c r="H37" s="38" t="str"/>
      <x:c r="I37" s="38" t="str">
        <x:v>未开放</x:v>
      </x:c>
      <x:c r="J37" s="38" t="str">
        <x:v>未开放</x:v>
      </x:c>
      <x:c r="K37" s="38" t="str">
        <x:v>未开放</x:v>
      </x:c>
      <x:c r="L37" s="38" t="n">
        <x:v>3</x:v>
      </x:c>
      <x:c r="M37" s="38" t="n">
        <x:v>1</x:v>
      </x:c>
      <x:c r="N37" s="38" t="str">
        <x:v>special_merchant</x:v>
      </x:c>
      <x:c r="O37" s="38" t="str">
        <x:v>普贤</x:v>
      </x:c>
      <x:c r="P37" s="38" t="str">
        <x:v>先固定前三天来源摊位，再做冲突图着色；地点内各摊位独立抽取，不合并货池。</x:v>
      </x:c>
    </x:row>
    <x:row r="38">
      <x:c r="A38" s="38" t="str">
        <x:v>merchant</x:v>
      </x:c>
      <x:c r="B38" s="38" t="str">
        <x:v>chronos</x:v>
      </x:c>
      <x:c r="C38" s="38" t="str">
        <x:v>Chronos</x:v>
      </x:c>
      <x:c r="D38" s="38" t="str">
        <x:v>sells haste items.</x:v>
      </x:c>
      <x:c r="E38" s="38" t="n">
        <x:v>32</x:v>
      </x:c>
      <x:c r="F38" s="38" t="str">
        <x:v>merchant_chronos</x:v>
      </x:c>
      <x:c r="G38" s="38" t="n">
        <x:v>6</x:v>
      </x:c>
      <x:c r="H38" s="38" t="str"/>
      <x:c r="I38" s="38" t="str">
        <x:v>未开放</x:v>
      </x:c>
      <x:c r="J38" s="38" t="str">
        <x:v>未开放</x:v>
      </x:c>
      <x:c r="K38" s="38" t="str">
        <x:v>未开放</x:v>
      </x:c>
      <x:c r="L38" s="38" t="n">
        <x:v>3</x:v>
      </x:c>
      <x:c r="M38" s="38" t="n">
        <x:v>1</x:v>
      </x:c>
      <x:c r="N38" s="38" t="str">
        <x:v>elite_high</x:v>
      </x:c>
      <x:c r="O38" s="38" t="str">
        <x:v>文殊</x:v>
      </x:c>
      <x:c r="P38" s="38" t="str">
        <x:v>先固定前三天来源摊位，再做冲突图着色；地点内各摊位独立抽取，不合并货池。</x:v>
      </x:c>
    </x:row>
    <x:row r="39">
      <x:c r="A39" s="38" t="str">
        <x:v>merchant</x:v>
      </x:c>
      <x:c r="B39" s="38" t="str">
        <x:v>vanessa</x:v>
      </x:c>
      <x:c r="C39" s="38" t="str">
        <x:v>Vanessa</x:v>
      </x:c>
      <x:c r="D39" s="38" t="str">
        <x:v>sells items from this hero</x:v>
      </x:c>
      <x:c r="E39" s="38" t="n">
        <x:v>5</x:v>
      </x:c>
      <x:c r="F39" s="38" t="str">
        <x:v>merchant_vanessa</x:v>
      </x:c>
      <x:c r="G39" s="38" t="n">
        <x:v>4</x:v>
      </x:c>
      <x:c r="H39" s="38" t="str"/>
      <x:c r="I39" s="38" t="str">
        <x:v>未开放</x:v>
      </x:c>
      <x:c r="J39" s="38" t="str">
        <x:v>未开放</x:v>
      </x:c>
      <x:c r="K39" s="38" t="str">
        <x:v>未开放</x:v>
      </x:c>
      <x:c r="L39" s="38" t="n">
        <x:v>3</x:v>
      </x:c>
      <x:c r="M39" s="38" t="n">
        <x:v>1</x:v>
      </x:c>
      <x:c r="N39" s="38" t="str">
        <x:v>elite_high</x:v>
      </x:c>
      <x:c r="O39" s="38" t="str">
        <x:v>文殊</x:v>
      </x:c>
      <x:c r="P39" s="38" t="str">
        <x:v>先固定前三天来源摊位，再做冲突图着色；地点内各摊位独立抽取，不合并货池。</x:v>
      </x:c>
    </x:row>
    <x:row r="40">
      <x:c r="A40" s="38" t="str">
        <x:v>merchant</x:v>
      </x:c>
      <x:c r="B40" s="38" t="str">
        <x:v>aimbot</x:v>
      </x:c>
      <x:c r="C40" s="38" t="str">
        <x:v>Aimbot</x:v>
      </x:c>
      <x:c r="D40" s="38" t="str">
        <x:v>sells crit items from any hero</x:v>
      </x:c>
      <x:c r="E40" s="38" t="n">
        <x:v>24</x:v>
      </x:c>
      <x:c r="F40" s="38" t="str">
        <x:v>merchant_aimbot</x:v>
      </x:c>
      <x:c r="G40" s="38" t="n">
        <x:v>5</x:v>
      </x:c>
      <x:c r="H40" s="38" t="str"/>
      <x:c r="I40" s="38" t="str">
        <x:v>未开放</x:v>
      </x:c>
      <x:c r="J40" s="38" t="str">
        <x:v>未开放</x:v>
      </x:c>
      <x:c r="K40" s="38" t="str">
        <x:v>未开放</x:v>
      </x:c>
      <x:c r="L40" s="38" t="n">
        <x:v>3</x:v>
      </x:c>
      <x:c r="M40" s="38" t="n">
        <x:v>1</x:v>
      </x:c>
      <x:c r="N40" s="38" t="str">
        <x:v>tier_pT1</x:v>
      </x:c>
      <x:c r="O40" s="38" t="str">
        <x:v>镇元大仙</x:v>
      </x:c>
      <x:c r="P40" s="38" t="str">
        <x:v>先固定前三天来源摊位，再做冲突图着色；地点内各摊位独立抽取，不合并货池。</x:v>
      </x:c>
    </x:row>
    <x:row r="41">
      <x:c r="A41" s="38" t="str">
        <x:v>trainer</x:v>
      </x:c>
      <x:c r="B41" s="38" t="str">
        <x:v>c4</x:v>
      </x:c>
      <x:c r="C41" s="38" t="str">
        <x:v>C4</x:v>
      </x:c>
      <x:c r="D41" s="38" t="str">
        <x:v>teaches ammo skills</x:v>
      </x:c>
      <x:c r="E41" s="38" t="n">
        <x:v>10</x:v>
      </x:c>
      <x:c r="F41" s="38" t="str">
        <x:v>trainer_c4</x:v>
      </x:c>
      <x:c r="G41" s="38" t="n">
        <x:v>4</x:v>
      </x:c>
      <x:c r="H41" s="38" t="str"/>
      <x:c r="I41" s="38" t="str">
        <x:v>未开放</x:v>
      </x:c>
      <x:c r="J41" s="38" t="str">
        <x:v>未开放</x:v>
      </x:c>
      <x:c r="K41" s="38" t="str">
        <x:v>未开放</x:v>
      </x:c>
      <x:c r="L41" s="38" t="n">
        <x:v>3</x:v>
      </x:c>
      <x:c r="M41" s="38" t="n">
        <x:v>1</x:v>
      </x:c>
      <x:c r="N41" s="38" t="str">
        <x:v>tier_pT1</x:v>
      </x:c>
      <x:c r="O41" s="38" t="str">
        <x:v>镇元大仙</x:v>
      </x:c>
      <x:c r="P41" s="38" t="str">
        <x:v>先固定前三天来源摊位，再做冲突图着色；地点内各摊位独立抽取，不合并货池。</x:v>
      </x:c>
    </x:row>
    <x:row r="42">
      <x:c r="A42" s="38" t="str">
        <x:v>merchant</x:v>
      </x:c>
      <x:c r="B42" s="38" t="str">
        <x:v>hef</x:v>
      </x:c>
      <x:c r="C42" s="38" t="str">
        <x:v>Hef</x:v>
      </x:c>
      <x:c r="D42" s="38" t="str">
        <x:v>sells burn items.</x:v>
      </x:c>
      <x:c r="E42" s="38" t="n">
        <x:v>23</x:v>
      </x:c>
      <x:c r="F42" s="38" t="str">
        <x:v>merchant_hef</x:v>
      </x:c>
      <x:c r="G42" s="38" t="n">
        <x:v>4</x:v>
      </x:c>
      <x:c r="H42" s="38" t="str"/>
      <x:c r="I42" s="38" t="str">
        <x:v>未开放</x:v>
      </x:c>
      <x:c r="J42" s="38" t="str">
        <x:v>未开放</x:v>
      </x:c>
      <x:c r="K42" s="38" t="str">
        <x:v>未开放</x:v>
      </x:c>
      <x:c r="L42" s="38" t="n">
        <x:v>3</x:v>
      </x:c>
      <x:c r="M42" s="38" t="n">
        <x:v>1</x:v>
      </x:c>
      <x:c r="N42" s="38" t="str">
        <x:v>tier_pT2</x:v>
      </x:c>
      <x:c r="O42" s="38" t="str">
        <x:v>观音菩萨</x:v>
      </x:c>
      <x:c r="P42" s="38" t="str">
        <x:v>先固定前三天来源摊位，再做冲突图着色；地点内各摊位独立抽取，不合并货池。</x:v>
      </x:c>
    </x:row>
    <x:row r="43">
      <x:c r="A43" s="38" t="str">
        <x:v>trainer</x:v>
      </x:c>
      <x:c r="B43" s="38" t="str">
        <x:v>regenald</x:v>
      </x:c>
      <x:c r="C43" s="38" t="str">
        <x:v>Regenald</x:v>
      </x:c>
      <x:c r="D43" s="38" t="str">
        <x:v>teaches health, heal and regen skills</x:v>
      </x:c>
      <x:c r="E43" s="38" t="n">
        <x:v>9</x:v>
      </x:c>
      <x:c r="F43" s="38" t="str">
        <x:v>trainer_regenald</x:v>
      </x:c>
      <x:c r="G43" s="38" t="n">
        <x:v>5</x:v>
      </x:c>
      <x:c r="H43" s="38" t="str"/>
      <x:c r="I43" s="38" t="str">
        <x:v>未开放</x:v>
      </x:c>
      <x:c r="J43" s="38" t="str">
        <x:v>未开放</x:v>
      </x:c>
      <x:c r="K43" s="38" t="str">
        <x:v>未开放</x:v>
      </x:c>
      <x:c r="L43" s="38" t="n">
        <x:v>3</x:v>
      </x:c>
      <x:c r="M43" s="38" t="n">
        <x:v>1</x:v>
      </x:c>
      <x:c r="N43" s="38" t="str">
        <x:v>tier_pT2</x:v>
      </x:c>
      <x:c r="O43" s="38" t="str">
        <x:v>观音菩萨</x:v>
      </x:c>
      <x:c r="P43" s="38" t="str">
        <x:v>先固定前三天来源摊位，再做冲突图着色；地点内各摊位独立抽取，不合并货池。</x:v>
      </x:c>
    </x:row>
    <x:row r="44">
      <x:c r="A44" s="38" t="str">
        <x:v>merchant</x:v>
      </x:c>
      <x:c r="B44" s="38" t="str">
        <x:v>gastro</x:v>
      </x:c>
      <x:c r="C44" s="38" t="str">
        <x:v>Gastro</x:v>
      </x:c>
      <x:c r="D44" s="38" t="str">
        <x:v>sells foods</x:v>
      </x:c>
      <x:c r="E44" s="38" t="n">
        <x:v>1</x:v>
      </x:c>
      <x:c r="F44" s="38" t="str">
        <x:v>merchant_gastro</x:v>
      </x:c>
      <x:c r="G44" s="38" t="n">
        <x:v>5</x:v>
      </x:c>
      <x:c r="H44" s="38" t="str"/>
      <x:c r="I44" s="38" t="str">
        <x:v>未开放</x:v>
      </x:c>
      <x:c r="J44" s="38" t="str">
        <x:v>未开放</x:v>
      </x:c>
      <x:c r="K44" s="38" t="str">
        <x:v>未开放</x:v>
      </x:c>
      <x:c r="L44" s="38" t="n">
        <x:v>3</x:v>
      </x:c>
      <x:c r="M44" s="38" t="n">
        <x:v>1</x:v>
      </x:c>
      <x:c r="N44" s="38" t="str">
        <x:v>tier_pT3</x:v>
      </x:c>
      <x:c r="O44" s="38" t="str">
        <x:v>白骨精</x:v>
      </x:c>
      <x:c r="P44" s="38" t="str">
        <x:v>先固定前三天来源摊位，再做冲突图着色；地点内各摊位独立抽取，不合并货池。</x:v>
      </x:c>
    </x:row>
    <x:row r="45">
      <x:c r="A45" s="38" t="str">
        <x:v>merchant</x:v>
      </x:c>
      <x:c r="B45" s="38" t="str">
        <x:v>kev-s-armory</x:v>
      </x:c>
      <x:c r="C45" s="38" t="str">
        <x:v>Kev's Armory</x:v>
      </x:c>
      <x:c r="D45" s="38" t="str">
        <x:v>sells health and shield items</x:v>
      </x:c>
      <x:c r="E45" s="38" t="n">
        <x:v>16</x:v>
      </x:c>
      <x:c r="F45" s="38" t="str">
        <x:v>merchant_kev-s-armory</x:v>
      </x:c>
      <x:c r="G45" s="38" t="n">
        <x:v>6</x:v>
      </x:c>
      <x:c r="H45" s="38" t="str"/>
      <x:c r="I45" s="38" t="str">
        <x:v>未开放</x:v>
      </x:c>
      <x:c r="J45" s="38" t="str">
        <x:v>未开放</x:v>
      </x:c>
      <x:c r="K45" s="38" t="str">
        <x:v>未开放</x:v>
      </x:c>
      <x:c r="L45" s="38" t="n">
        <x:v>3</x:v>
      </x:c>
      <x:c r="M45" s="38" t="n">
        <x:v>1</x:v>
      </x:c>
      <x:c r="N45" s="38" t="str">
        <x:v>tier_pT3</x:v>
      </x:c>
      <x:c r="O45" s="38" t="str">
        <x:v>白骨精</x:v>
      </x:c>
      <x:c r="P45" s="38" t="str">
        <x:v>先固定前三天来源摊位，再做冲突图着色；地点内各摊位独立抽取，不合并货池。</x:v>
      </x:c>
    </x:row>
    <x:row r="46">
      <x:c r="A46" s="38" t="str">
        <x:v>merchant</x:v>
      </x:c>
      <x:c r="B46" s="38" t="str">
        <x:v>cobweb</x:v>
      </x:c>
      <x:c r="C46" s="38" t="str">
        <x:v>Cobweb</x:v>
      </x:c>
      <x:c r="D46" s="38" t="str">
        <x:v>sells slow items.</x:v>
      </x:c>
      <x:c r="E46" s="38" t="n">
        <x:v>27</x:v>
      </x:c>
      <x:c r="F46" s="38" t="str">
        <x:v>merchant_cobweb</x:v>
      </x:c>
      <x:c r="G46" s="38" t="n">
        <x:v>4</x:v>
      </x:c>
      <x:c r="H46" s="38" t="str"/>
      <x:c r="I46" s="38" t="str">
        <x:v>未开放</x:v>
      </x:c>
      <x:c r="J46" s="38" t="str">
        <x:v>未开放</x:v>
      </x:c>
      <x:c r="K46" s="38" t="str">
        <x:v>未开放</x:v>
      </x:c>
      <x:c r="L46" s="38" t="n">
        <x:v>3</x:v>
      </x:c>
      <x:c r="M46" s="38" t="n">
        <x:v>1</x:v>
      </x:c>
      <x:c r="N46" s="38" t="str">
        <x:v>role_召唤铺场</x:v>
      </x:c>
      <x:c r="O46" s="38" t="str">
        <x:v>黄袍怪</x:v>
      </x:c>
      <x:c r="P46" s="38" t="str">
        <x:v>先固定前三天来源摊位，再做冲突图着色；地点内各摊位独立抽取，不合并货池。</x:v>
      </x:c>
    </x:row>
    <x:row r="47">
      <x:c r="A47" s="38" t="str">
        <x:v>trainer</x:v>
      </x:c>
      <x:c r="B47" s="38" t="str">
        <x:v>fortis</x:v>
      </x:c>
      <x:c r="C47" s="38" t="str">
        <x:v>Fortis</x:v>
      </x:c>
      <x:c r="D47" s="38" t="str">
        <x:v>teaches shield skills</x:v>
      </x:c>
      <x:c r="E47" s="38" t="n">
        <x:v>10</x:v>
      </x:c>
      <x:c r="F47" s="38" t="str">
        <x:v>trainer_fortis</x:v>
      </x:c>
      <x:c r="G47" s="38" t="n">
        <x:v>6</x:v>
      </x:c>
      <x:c r="H47" s="38" t="str"/>
      <x:c r="I47" s="38" t="str">
        <x:v>未开放</x:v>
      </x:c>
      <x:c r="J47" s="38" t="str">
        <x:v>未开放</x:v>
      </x:c>
      <x:c r="K47" s="38" t="str">
        <x:v>未开放</x:v>
      </x:c>
      <x:c r="L47" s="38" t="n">
        <x:v>3</x:v>
      </x:c>
      <x:c r="M47" s="38" t="n">
        <x:v>1</x:v>
      </x:c>
      <x:c r="N47" s="38" t="str">
        <x:v>role_召唤铺场</x:v>
      </x:c>
      <x:c r="O47" s="38" t="str">
        <x:v>黄袍怪</x:v>
      </x:c>
      <x:c r="P47" s="38" t="str">
        <x:v>先固定前三天来源摊位，再做冲突图着色；地点内各摊位独立抽取，不合并货池。</x:v>
      </x:c>
    </x:row>
    <x:row r="48">
      <x:c r="A48" s="38" t="str">
        <x:v>merchant</x:v>
      </x:c>
      <x:c r="B48" s="38" t="str">
        <x:v>dryad</x:v>
      </x:c>
      <x:c r="C48" s="38" t="str">
        <x:v>Dryad</x:v>
      </x:c>
      <x:c r="D48" s="38" t="str">
        <x:v>sells friend items</x:v>
      </x:c>
      <x:c r="E48" s="38" t="n">
        <x:v>27</x:v>
      </x:c>
      <x:c r="F48" s="38" t="str">
        <x:v>merchant_dryad</x:v>
      </x:c>
      <x:c r="G48" s="38" t="n">
        <x:v>6</x:v>
      </x:c>
      <x:c r="H48" s="38" t="str"/>
      <x:c r="I48" s="38" t="str">
        <x:v>未开放</x:v>
      </x:c>
      <x:c r="J48" s="38" t="str">
        <x:v>未开放</x:v>
      </x:c>
      <x:c r="K48" s="38" t="str">
        <x:v>未开放</x:v>
      </x:c>
      <x:c r="L48" s="38" t="n">
        <x:v>3</x:v>
      </x:c>
      <x:c r="M48" s="38" t="n">
        <x:v>1</x:v>
      </x:c>
      <x:c r="N48" s="38" t="str">
        <x:v>role_机动压制</x:v>
      </x:c>
      <x:c r="O48" s="38" t="str">
        <x:v>百花羞</x:v>
      </x:c>
      <x:c r="P48" s="38" t="str">
        <x:v>先固定前三天来源摊位，再做冲突图着色；地点内各摊位独立抽取，不合并货池。</x:v>
      </x:c>
    </x:row>
    <x:row r="49">
      <x:c r="A49" s="38" t="str">
        <x:v>merchant</x:v>
      </x:c>
      <x:c r="B49" s="38" t="str">
        <x:v>lord-oak</x:v>
      </x:c>
      <x:c r="C49" s="38" t="str">
        <x:v>Lord Oak</x:v>
      </x:c>
      <x:c r="D49" s="38" t="str">
        <x:v>receives Lord Oak package items</x:v>
      </x:c>
      <x:c r="E49" s="38" t="n">
        <x:v>3</x:v>
      </x:c>
      <x:c r="F49" s="38" t="str">
        <x:v>merchant_lord-oak</x:v>
      </x:c>
      <x:c r="G49" s="38" t="n">
        <x:v>4</x:v>
      </x:c>
      <x:c r="H49" s="38" t="str"/>
      <x:c r="I49" s="38" t="str">
        <x:v>未开放</x:v>
      </x:c>
      <x:c r="J49" s="38" t="str">
        <x:v>未开放</x:v>
      </x:c>
      <x:c r="K49" s="38" t="str">
        <x:v>未开放</x:v>
      </x:c>
      <x:c r="L49" s="38" t="n">
        <x:v>3</x:v>
      </x:c>
      <x:c r="M49" s="38" t="n">
        <x:v>1</x:v>
      </x:c>
      <x:c r="N49" s="38" t="str">
        <x:v>role_机动压制</x:v>
      </x:c>
      <x:c r="O49" s="38" t="str">
        <x:v>百花羞</x:v>
      </x:c>
      <x:c r="P49" s="38" t="str">
        <x:v>先固定前三天来源摊位，再做冲突图着色；地点内各摊位独立抽取，不合并货池。</x:v>
      </x:c>
    </x:row>
    <x:row r="50">
      <x:c r="A50" s="38" t="str">
        <x:v>merchant</x:v>
      </x:c>
      <x:c r="B50" s="38" t="str">
        <x:v>shelter-shelby</x:v>
      </x:c>
      <x:c r="C50" s="38" t="str">
        <x:v>Shelter Shelby</x:v>
      </x:c>
      <x:c r="D50" s="38" t="str">
        <x:v>receives Shelter Shelby package items</x:v>
      </x:c>
      <x:c r="E50" s="38" t="n">
        <x:v>3</x:v>
      </x:c>
      <x:c r="F50" s="38" t="str">
        <x:v>merchant_shelter-shelby</x:v>
      </x:c>
      <x:c r="G50" s="38" t="n">
        <x:v>5</x:v>
      </x:c>
      <x:c r="H50" s="38" t="str"/>
      <x:c r="I50" s="38" t="str">
        <x:v>未开放</x:v>
      </x:c>
      <x:c r="J50" s="38" t="str">
        <x:v>未开放</x:v>
      </x:c>
      <x:c r="K50" s="38" t="str">
        <x:v>未开放</x:v>
      </x:c>
      <x:c r="L50" s="38" t="n">
        <x:v>3</x:v>
      </x:c>
      <x:c r="M50" s="38" t="n">
        <x:v>1</x:v>
      </x:c>
      <x:c r="N50" s="38" t="str">
        <x:v>role_抗压承伤</x:v>
      </x:c>
      <x:c r="O50" s="38" t="str">
        <x:v>宝象国国王</x:v>
      </x:c>
      <x:c r="P50" s="38" t="str">
        <x:v>先固定前三天来源摊位，再做冲突图着色；地点内各摊位独立抽取，不合并货池。</x:v>
      </x:c>
    </x:row>
    <x:row r="51">
      <x:c r="A51" s="38" t="str">
        <x:v>merchant</x:v>
      </x:c>
      <x:c r="B51" s="38" t="str">
        <x:v>the-tester</x:v>
      </x:c>
      <x:c r="C51" s="38" t="str">
        <x:v>The Tester</x:v>
      </x:c>
      <x:c r="D51" s="38" t="str">
        <x:v>sells tech items from any hero</x:v>
      </x:c>
      <x:c r="E51" s="38" t="n">
        <x:v>18</x:v>
      </x:c>
      <x:c r="F51" s="38" t="str">
        <x:v>merchant_the-tester</x:v>
      </x:c>
      <x:c r="G51" s="38" t="n">
        <x:v>4</x:v>
      </x:c>
      <x:c r="H51" s="38" t="str"/>
      <x:c r="I51" s="38" t="str">
        <x:v>未开放</x:v>
      </x:c>
      <x:c r="J51" s="38" t="str">
        <x:v>未开放</x:v>
      </x:c>
      <x:c r="K51" s="38" t="str">
        <x:v>未开放</x:v>
      </x:c>
      <x:c r="L51" s="38" t="n">
        <x:v>3</x:v>
      </x:c>
      <x:c r="M51" s="38" t="n">
        <x:v>1</x:v>
      </x:c>
      <x:c r="N51" s="38" t="str">
        <x:v>role_抗压承伤</x:v>
      </x:c>
      <x:c r="O51" s="38" t="str">
        <x:v>宝象国国王</x:v>
      </x:c>
      <x:c r="P51" s="38" t="str">
        <x:v>先固定前三天来源摊位，再做冲突图着色；地点内各摊位独立抽取，不合并货池。</x:v>
      </x:c>
    </x:row>
    <x:row r="52">
      <x:c r="A52" s="38" t="str">
        <x:v>merchant</x:v>
      </x:c>
      <x:c r="B52" s="38" t="str">
        <x:v>gaseo</x:v>
      </x:c>
      <x:c r="C52" s="38" t="str">
        <x:v>Gaseo</x:v>
      </x:c>
      <x:c r="D52" s="38" t="str">
        <x:v>sells apparel from any hero</x:v>
      </x:c>
      <x:c r="E52" s="38" t="n">
        <x:v>14</x:v>
      </x:c>
      <x:c r="F52" s="38" t="str">
        <x:v>merchant_gaseo</x:v>
      </x:c>
      <x:c r="G52" s="38" t="n">
        <x:v>4</x:v>
      </x:c>
      <x:c r="H52" s="38" t="str"/>
      <x:c r="I52" s="38" t="str">
        <x:v>未开放</x:v>
      </x:c>
      <x:c r="J52" s="38" t="str">
        <x:v>未开放</x:v>
      </x:c>
      <x:c r="K52" s="38" t="str">
        <x:v>未开放</x:v>
      </x:c>
      <x:c r="L52" s="38" t="n">
        <x:v>3</x:v>
      </x:c>
      <x:c r="M52" s="38" t="n">
        <x:v>1</x:v>
      </x:c>
      <x:c r="N52" s="38" t="str">
        <x:v>role_重甲抗压</x:v>
      </x:c>
      <x:c r="O52" s="38" t="str">
        <x:v>金角大王</x:v>
      </x:c>
      <x:c r="P52" s="38" t="str">
        <x:v>先固定前三天来源摊位，再做冲突图着色；地点内各摊位独立抽取，不合并货池。</x:v>
      </x:c>
    </x:row>
    <x:row r="53">
      <x:c r="A53" s="38" t="str">
        <x:v>merchant</x:v>
      </x:c>
      <x:c r="B53" s="38" t="str">
        <x:v>tatiana</x:v>
      </x:c>
      <x:c r="C53" s="38" t="str">
        <x:v>Tatiana</x:v>
      </x:c>
      <x:c r="D53" s="38" t="str">
        <x:v>receives Tatiana package items</x:v>
      </x:c>
      <x:c r="E53" s="38" t="n">
        <x:v>3</x:v>
      </x:c>
      <x:c r="F53" s="38" t="str">
        <x:v>merchant_tatiana</x:v>
      </x:c>
      <x:c r="G53" s="38" t="n">
        <x:v>6</x:v>
      </x:c>
      <x:c r="H53" s="38" t="str"/>
      <x:c r="I53" s="38" t="str">
        <x:v>未开放</x:v>
      </x:c>
      <x:c r="J53" s="38" t="str">
        <x:v>未开放</x:v>
      </x:c>
      <x:c r="K53" s="38" t="str">
        <x:v>未开放</x:v>
      </x:c>
      <x:c r="L53" s="38" t="n">
        <x:v>3</x:v>
      </x:c>
      <x:c r="M53" s="38" t="n">
        <x:v>1</x:v>
      </x:c>
      <x:c r="N53" s="38" t="str">
        <x:v>role_重甲抗压</x:v>
      </x:c>
      <x:c r="O53" s="38" t="str">
        <x:v>金角大王</x:v>
      </x:c>
      <x:c r="P53" s="38" t="str">
        <x:v>先固定前三天来源摊位，再做冲突图着色；地点内各摊位独立抽取，不合并货池。</x:v>
      </x:c>
    </x:row>
    <x:row r="54">
      <x:c r="A54" s="38" t="str">
        <x:v>merchant</x:v>
      </x:c>
      <x:c r="B54" s="38" t="str">
        <x:v>orion</x:v>
      </x:c>
      <x:c r="C54" s="38" t="str">
        <x:v>Orion</x:v>
      </x:c>
      <x:c r="D54" s="38" t="str">
        <x:v>sells tools</x:v>
      </x:c>
      <x:c r="E54" s="38" t="n">
        <x:v>18</x:v>
      </x:c>
      <x:c r="F54" s="38" t="str">
        <x:v>merchant_orion</x:v>
      </x:c>
      <x:c r="G54" s="38" t="n">
        <x:v>6</x:v>
      </x:c>
      <x:c r="H54" s="38" t="str"/>
      <x:c r="I54" s="38" t="str">
        <x:v>未开放</x:v>
      </x:c>
      <x:c r="J54" s="38" t="str">
        <x:v>未开放</x:v>
      </x:c>
      <x:c r="K54" s="38" t="str">
        <x:v>未开放</x:v>
      </x:c>
      <x:c r="L54" s="38" t="n">
        <x:v>3</x:v>
      </x:c>
      <x:c r="M54" s="38" t="n">
        <x:v>1</x:v>
      </x:c>
      <x:c r="N54" s="38" t="str">
        <x:v>role_远点压制</x:v>
      </x:c>
      <x:c r="O54" s="38" t="str">
        <x:v>银角大王</x:v>
      </x:c>
      <x:c r="P54" s="38" t="str">
        <x:v>先固定前三天来源摊位，再做冲突图着色；地点内各摊位独立抽取，不合并货池。</x:v>
      </x:c>
    </x:row>
    <x:row r="55">
      <x:c r="A55" s="38" t="str">
        <x:v>merchant</x:v>
      </x:c>
      <x:c r="B55" s="38" t="str">
        <x:v>pol</x:v>
      </x:c>
      <x:c r="C55" s="38" t="str">
        <x:v>Pol</x:v>
      </x:c>
      <x:c r="D55" s="38" t="str">
        <x:v>sells large items</x:v>
      </x:c>
      <x:c r="E55" s="38" t="n">
        <x:v>14</x:v>
      </x:c>
      <x:c r="F55" s="38" t="str">
        <x:v>merchant_pol</x:v>
      </x:c>
      <x:c r="G55" s="38" t="n">
        <x:v>5</x:v>
      </x:c>
      <x:c r="H55" s="38" t="str"/>
      <x:c r="I55" s="38" t="str">
        <x:v>未开放</x:v>
      </x:c>
      <x:c r="J55" s="38" t="str">
        <x:v>未开放</x:v>
      </x:c>
      <x:c r="K55" s="38" t="str">
        <x:v>未开放</x:v>
      </x:c>
      <x:c r="L55" s="38" t="n">
        <x:v>3</x:v>
      </x:c>
      <x:c r="M55" s="38" t="n">
        <x:v>1</x:v>
      </x:c>
      <x:c r="N55" s="38" t="str">
        <x:v>role_风系铺场</x:v>
      </x:c>
      <x:c r="O55" s="38" t="str">
        <x:v>九尾狐</x:v>
      </x:c>
      <x:c r="P55" s="38" t="str">
        <x:v>先固定前三天来源摊位，再做冲突图着色；地点内各摊位独立抽取，不合并货池。</x:v>
      </x:c>
    </x:row>
    <x:row r="56">
      <x:c r="A56" s="38" t="str">
        <x:v>merchant</x:v>
      </x:c>
      <x:c r="B56" s="38" t="str">
        <x:v>freiya</x:v>
      </x:c>
      <x:c r="C56" s="38" t="str">
        <x:v>Freiya</x:v>
      </x:c>
      <x:c r="D56" s="38" t="str">
        <x:v>sells freeze items.</x:v>
      </x:c>
      <x:c r="E56" s="38" t="n">
        <x:v>9</x:v>
      </x:c>
      <x:c r="F56" s="38" t="str">
        <x:v>merchant_freiya</x:v>
      </x:c>
      <x:c r="G56" s="38" t="n">
        <x:v>4</x:v>
      </x:c>
      <x:c r="H56" s="38" t="str"/>
      <x:c r="I56" s="38" t="str">
        <x:v>未开放</x:v>
      </x:c>
      <x:c r="J56" s="38" t="str">
        <x:v>未开放</x:v>
      </x:c>
      <x:c r="K56" s="38" t="str">
        <x:v>未开放</x:v>
      </x:c>
      <x:c r="L56" s="38" t="n">
        <x:v>3</x:v>
      </x:c>
      <x:c r="M56" s="38" t="n">
        <x:v>1</x:v>
      </x:c>
      <x:c r="N56" s="38" t="str">
        <x:v>role_风系牵制</x:v>
      </x:c>
      <x:c r="O56" s="38" t="str">
        <x:v>狐阿七</x:v>
      </x:c>
      <x:c r="P56" s="38" t="str">
        <x:v>先固定前三天来源摊位，再做冲突图着色；地点内各摊位独立抽取，不合并货池。</x:v>
      </x:c>
    </x:row>
    <x:row r="57">
      <x:c r="A57" s="38" t="str">
        <x:v>merchant</x:v>
      </x:c>
      <x:c r="B57" s="38" t="str">
        <x:v>knightshade</x:v>
      </x:c>
      <x:c r="C57" s="38" t="str">
        <x:v>Knightshade</x:v>
      </x:c>
      <x:c r="D57" s="38" t="str">
        <x:v>sells poison items.</x:v>
      </x:c>
      <x:c r="E57" s="38" t="n">
        <x:v>14</x:v>
      </x:c>
      <x:c r="F57" s="38" t="str">
        <x:v>merchant_knightshade</x:v>
      </x:c>
      <x:c r="G57" s="38" t="n">
        <x:v>6</x:v>
      </x:c>
      <x:c r="H57" s="38" t="str"/>
      <x:c r="I57" s="38" t="str">
        <x:v>未开放</x:v>
      </x:c>
      <x:c r="J57" s="38" t="str">
        <x:v>未开放</x:v>
      </x:c>
      <x:c r="K57" s="38" t="str">
        <x:v>未开放</x:v>
      </x:c>
      <x:c r="L57" s="38" t="n">
        <x:v>3</x:v>
      </x:c>
      <x:c r="M57" s="38" t="n">
        <x:v>1</x:v>
      </x:c>
      <x:c r="N57" s="38" t="str">
        <x:v>role_火系压制</x:v>
      </x:c>
      <x:c r="O57" s="38" t="str">
        <x:v>狮猁王</x:v>
      </x:c>
      <x:c r="P57" s="38" t="str">
        <x:v>先固定前三天来源摊位，再做冲突图着色；地点内各摊位独立抽取，不合并货池。</x:v>
      </x:c>
    </x:row>
  </x:sheetData>
  <x:pageMargins left="0.7" right="0.7" top="0.75" bottom="0.75" header="0.3" footer="0.3"/>
  <x:tableParts count="1">
    <x:tablePart xmlns:r="http://schemas.openxmlformats.org/officeDocument/2006/relationships" r:id="Rff68e42a71cf482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28" hidden="0" customWidth="1"/>
    <x:col min="5" max="5" width="28" hidden="0" customWidth="1"/>
    <x:col min="6" max="6" width="28" hidden="0" customWidth="1"/>
    <x:col min="7" max="7" width="40" hidden="0" customWidth="1"/>
    <x:col min="8" max="8" width="34" hidden="0" customWidth="1"/>
  </x:cols>
  <x:sheetData>
    <x:row r="1" ht="32" customHeight="1">
      <x:c r="A1" s="240" t="str">
        <x:v>enchant_id</x:v>
      </x:c>
      <x:c r="B1" s="240" t="str">
        <x:v>name_zh</x:v>
      </x:c>
      <x:c r="C1" s="240" t="str">
        <x:v>class</x:v>
      </x:c>
      <x:c r="D1" s="240" t="str">
        <x:v>bronze_effect</x:v>
      </x:c>
      <x:c r="E1" s="240" t="str">
        <x:v>silver_effect</x:v>
      </x:c>
      <x:c r="F1" s="240" t="str">
        <x:v>gold_effect</x:v>
      </x:c>
      <x:c r="G1" s="240" t="str">
        <x:v>diamond_effect</x:v>
      </x:c>
      <x:c r="H1" s="240" t="str">
        <x:v>recommended_for</x:v>
      </x:c>
    </x:row>
    <x:row r="2">
      <x:c r="A2" s="38" t="str">
        <x:v>Deadly</x:v>
      </x:c>
      <x:c r="B2" s="38" t="str">
        <x:v>致命</x:v>
      </x:c>
      <x:c r="C2" s="38" t="str">
        <x:v>输出</x:v>
      </x:c>
      <x:c r="D2" s="38" t="str">
        <x:v>攻击+10%</x:v>
      </x:c>
      <x:c r="E2" s="38" t="str">
        <x:v>攻击+20%</x:v>
      </x:c>
      <x:c r="F2" s="38" t="str">
        <x:v>攻击+30%</x:v>
      </x:c>
      <x:c r="G2" s="38" t="str">
        <x:v>攻击+40%，首击额外结算1次</x:v>
      </x:c>
      <x:c r="H2" s="38" t="str">
        <x:v>武器、暴击、伤害型宠物</x:v>
      </x:c>
    </x:row>
    <x:row r="3">
      <x:c r="A3" s="38" t="str">
        <x:v>Fiery</x:v>
      </x:c>
      <x:c r="B3" s="38" t="str">
        <x:v>烈焰</x:v>
      </x:c>
      <x:c r="C3" s="38" t="str">
        <x:v>火系</x:v>
      </x:c>
      <x:c r="D3" s="38" t="str">
        <x:v>命中附1层火</x:v>
      </x:c>
      <x:c r="E3" s="38" t="str">
        <x:v>命中附2层火</x:v>
      </x:c>
      <x:c r="F3" s="38" t="str">
        <x:v>命中附3层火</x:v>
      </x:c>
      <x:c r="G3" s="38" t="str">
        <x:v>命中附4层火并引燃</x:v>
      </x:c>
      <x:c r="H3" s="38" t="str">
        <x:v>灼烧、爆炸、火系宠物</x:v>
      </x:c>
    </x:row>
    <x:row r="4">
      <x:c r="A4" s="38" t="str">
        <x:v>Golden</x:v>
      </x:c>
      <x:c r="B4" s="38" t="str">
        <x:v>点金</x:v>
      </x:c>
      <x:c r="C4" s="38" t="str">
        <x:v>经济</x:v>
      </x:c>
      <x:c r="D4" s="38" t="str">
        <x:v>出售价值+1</x:v>
      </x:c>
      <x:c r="E4" s="38" t="str">
        <x:v>出售价值+2</x:v>
      </x:c>
      <x:c r="F4" s="38" t="str">
        <x:v>出售价值+3</x:v>
      </x:c>
      <x:c r="G4" s="38" t="str">
        <x:v>出售价值+4，胜利额外+1金币</x:v>
      </x:c>
      <x:c r="H4" s="38" t="str">
        <x:v>价值、金币、购买型宠物</x:v>
      </x:c>
    </x:row>
    <x:row r="5">
      <x:c r="A5" s="38" t="str">
        <x:v>Heavy</x:v>
      </x:c>
      <x:c r="B5" s="38" t="str">
        <x:v>沉重</x:v>
      </x:c>
      <x:c r="C5" s="38" t="str">
        <x:v>坦克</x:v>
      </x:c>
      <x:c r="D5" s="38" t="str">
        <x:v>最大生命+6</x:v>
      </x:c>
      <x:c r="E5" s="38" t="str">
        <x:v>最大生命+12</x:v>
      </x:c>
      <x:c r="F5" s="38" t="str">
        <x:v>最大生命+18</x:v>
      </x:c>
      <x:c r="G5" s="38" t="str">
        <x:v>最大生命+24且受击首次减半</x:v>
      </x:c>
      <x:c r="H5" s="38" t="str">
        <x:v>生命、重型、前排宠物</x:v>
      </x:c>
    </x:row>
    <x:row r="6">
      <x:c r="A6" s="38" t="str">
        <x:v>Icy</x:v>
      </x:c>
      <x:c r="B6" s="38" t="str">
        <x:v>冰霜</x:v>
      </x:c>
      <x:c r="C6" s="38" t="str">
        <x:v>控制</x:v>
      </x:c>
      <x:c r="D6" s="38" t="str">
        <x:v>命中附1层冰</x:v>
      </x:c>
      <x:c r="E6" s="38" t="str">
        <x:v>命中附2层冰</x:v>
      </x:c>
      <x:c r="F6" s="38" t="str">
        <x:v>命中附3层冰</x:v>
      </x:c>
      <x:c r="G6" s="38" t="str">
        <x:v>命中附4层冰并使目标行动-1</x:v>
      </x:c>
      <x:c r="H6" s="38" t="str">
        <x:v>冻结、减速、冰系宠物</x:v>
      </x:c>
    </x:row>
    <x:row r="7">
      <x:c r="A7" s="38" t="str">
        <x:v>Mossy</x:v>
      </x:c>
      <x:c r="B7" s="38" t="str">
        <x:v>苔生</x:v>
      </x:c>
      <x:c r="C7" s="38" t="str">
        <x:v>续航</x:v>
      </x:c>
      <x:c r="D7" s="38" t="str">
        <x:v>回合开始恢复2</x:v>
      </x:c>
      <x:c r="E7" s="38" t="str">
        <x:v>回合开始恢复4</x:v>
      </x:c>
      <x:c r="F7" s="38" t="str">
        <x:v>回合开始恢复6</x:v>
      </x:c>
      <x:c r="G7" s="38" t="str">
        <x:v>回合开始恢复8并获得4盾</x:v>
      </x:c>
      <x:c r="H7" s="38" t="str">
        <x:v>再生、植物、持续型宠物</x:v>
      </x:c>
    </x:row>
    <x:row r="8">
      <x:c r="A8" s="38" t="str">
        <x:v>Obsidian</x:v>
      </x:c>
      <x:c r="B8" s="38" t="str">
        <x:v>黑曜</x:v>
      </x:c>
      <x:c r="C8" s="38" t="str">
        <x:v>破坏</x:v>
      </x:c>
      <x:c r="D8" s="38" t="str">
        <x:v>破盾伤害+10%</x:v>
      </x:c>
      <x:c r="E8" s="38" t="str">
        <x:v>破盾伤害+20%</x:v>
      </x:c>
      <x:c r="F8" s="38" t="str">
        <x:v>破盾伤害+30%</x:v>
      </x:c>
      <x:c r="G8" s="38" t="str">
        <x:v>破盾伤害+40%且击破时溅射</x:v>
      </x:c>
      <x:c r="H8" s="38" t="str">
        <x:v>摧毁、死亡、诅咒型宠物</x:v>
      </x:c>
    </x:row>
    <x:row r="9">
      <x:c r="A9" s="38" t="str">
        <x:v>Radiant</x:v>
      </x:c>
      <x:c r="B9" s="38" t="str">
        <x:v>辉光</x:v>
      </x:c>
      <x:c r="C9" s="38" t="str">
        <x:v>团队</x:v>
      </x:c>
      <x:c r="D9" s="38" t="str">
        <x:v>相邻友军攻击+1</x:v>
      </x:c>
      <x:c r="E9" s="38" t="str">
        <x:v>相邻友军攻击+2</x:v>
      </x:c>
      <x:c r="F9" s="38" t="str">
        <x:v>相邻友军攻击+3</x:v>
      </x:c>
      <x:c r="G9" s="38" t="str">
        <x:v>相邻友军攻击+4且首次阵亡免疫</x:v>
      </x:c>
      <x:c r="H9" s="38" t="str">
        <x:v>友军、召唤、圣物型宠物</x:v>
      </x:c>
    </x:row>
    <x:row r="10">
      <x:c r="A10" s="38" t="str">
        <x:v>Restorative</x:v>
      </x:c>
      <x:c r="B10" s="38" t="str">
        <x:v>回春</x:v>
      </x:c>
      <x:c r="C10" s="38" t="str">
        <x:v>治疗</x:v>
      </x:c>
      <x:c r="D10" s="38" t="str">
        <x:v>治疗量+10%</x:v>
      </x:c>
      <x:c r="E10" s="38" t="str">
        <x:v>治疗量+20%</x:v>
      </x:c>
      <x:c r="F10" s="38" t="str">
        <x:v>治疗量+30%</x:v>
      </x:c>
      <x:c r="G10" s="38" t="str">
        <x:v>治疗量+40%且溢出转护盾</x:v>
      </x:c>
      <x:c r="H10" s="38" t="str">
        <x:v>治疗、恢复型宠物</x:v>
      </x:c>
    </x:row>
    <x:row r="11">
      <x:c r="A11" s="38" t="str">
        <x:v>Shielded</x:v>
      </x:c>
      <x:c r="B11" s="38" t="str">
        <x:v>护体</x:v>
      </x:c>
      <x:c r="C11" s="38" t="str">
        <x:v>护盾</x:v>
      </x:c>
      <x:c r="D11" s="38" t="str">
        <x:v>开战获得6盾</x:v>
      </x:c>
      <x:c r="E11" s="38" t="str">
        <x:v>开战获得12盾</x:v>
      </x:c>
      <x:c r="F11" s="38" t="str">
        <x:v>开战获得18盾</x:v>
      </x:c>
      <x:c r="G11" s="38" t="str">
        <x:v>开战获得24盾且每5回合补6盾</x:v>
      </x:c>
      <x:c r="H11" s="38" t="str">
        <x:v>护盾、护甲型宠物</x:v>
      </x:c>
    </x:row>
    <x:row r="12">
      <x:c r="A12" s="38" t="str">
        <x:v>Shiny</x:v>
      </x:c>
      <x:c r="B12" s="38" t="str">
        <x:v>闪耀</x:v>
      </x:c>
      <x:c r="C12" s="38" t="str">
        <x:v>奖励</x:v>
      </x:c>
      <x:c r="D12" s="38" t="str">
        <x:v>奖励权重+5%</x:v>
      </x:c>
      <x:c r="E12" s="38" t="str">
        <x:v>奖励权重+10%</x:v>
      </x:c>
      <x:c r="F12" s="38" t="str">
        <x:v>奖励权重+15%</x:v>
      </x:c>
      <x:c r="G12" s="38" t="str">
        <x:v>奖励权重+20%且商店刷新+1次</x:v>
      </x:c>
      <x:c r="H12" s="38" t="str">
        <x:v>通用、奖励、稀有型宠物</x:v>
      </x:c>
    </x:row>
    <x:row r="13">
      <x:c r="A13" s="38" t="str">
        <x:v>Toxic</x:v>
      </x:c>
      <x:c r="B13" s="38" t="str">
        <x:v>剧毒</x:v>
      </x:c>
      <x:c r="C13" s="38" t="str">
        <x:v>草系</x:v>
      </x:c>
      <x:c r="D13" s="38" t="str">
        <x:v>命中附1层毒</x:v>
      </x:c>
      <x:c r="E13" s="38" t="str">
        <x:v>命中附2层毒</x:v>
      </x:c>
      <x:c r="F13" s="38" t="str">
        <x:v>命中附3层毒</x:v>
      </x:c>
      <x:c r="G13" s="38" t="str">
        <x:v>命中附4层毒且每层额外伤害+1</x:v>
      </x:c>
      <x:c r="H13" s="38" t="str">
        <x:v>中毒、药剂、草系宠物</x:v>
      </x:c>
    </x:row>
    <x:row r="14">
      <x:c r="A14" s="38" t="str">
        <x:v>Turbo</x:v>
      </x:c>
      <x:c r="B14" s="38" t="str">
        <x:v>迅捷</x:v>
      </x:c>
      <x:c r="C14" s="38" t="str">
        <x:v>机动</x:v>
      </x:c>
      <x:c r="D14" s="38" t="str">
        <x:v>移动力+1</x:v>
      </x:c>
      <x:c r="E14" s="38" t="str">
        <x:v>移动力+1且行动+1</x:v>
      </x:c>
      <x:c r="F14" s="38" t="str">
        <x:v>移动力+2且行动+1</x:v>
      </x:c>
      <x:c r="G14" s="38" t="str">
        <x:v>移动力+2且行动+2，首次行动提前</x:v>
      </x:c>
      <x:c r="H14" s="38" t="str">
        <x:v>加速、充能、机动型宠物</x:v>
      </x:c>
    </x:row>
  </x:sheetData>
  <x:pageMargins left="0.7" right="0.7" top="0.75" bottom="0.75" header="0.3" footer="0.3"/>
  <x:tableParts count="1">
    <x:tablePart xmlns:r="http://schemas.openxmlformats.org/officeDocument/2006/relationships" r:id="Re99e9780898b481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18" hidden="0" customWidth="1"/>
    <x:col min="5" max="5" width="20" hidden="0" customWidth="1"/>
    <x:col min="6" max="6" width="100" hidden="0" customWidth="1"/>
    <x:col min="7" max="7" width="56" hidden="0" customWidth="1"/>
  </x:cols>
  <x:sheetData>
    <x:row r="1" ht="32" customHeight="1">
      <x:c r="A1" s="240" t="str">
        <x:v>pet_id</x:v>
      </x:c>
      <x:c r="B1" s="240" t="str">
        <x:v>pet_name</x:v>
      </x:c>
      <x:c r="C1" s="240" t="str">
        <x:v>source_object_id</x:v>
      </x:c>
      <x:c r="D1" s="240" t="str">
        <x:v>primary_enchant</x:v>
      </x:c>
      <x:c r="E1" s="240" t="str">
        <x:v>eligible_enchant_count</x:v>
      </x:c>
      <x:c r="F1" s="240" t="str">
        <x:v>eligible_enchants</x:v>
      </x:c>
      <x:c r="G1" s="240" t="str">
        <x:v>classification_reason</x:v>
      </x:c>
    </x:row>
    <x:row r="2">
      <x:c r="A2" s="38" t="str">
        <x:v>pal_001</x:v>
      </x:c>
      <x:c r="B2" s="38" t="str">
        <x:v>棉角羊</x:v>
      </x:c>
      <x:c r="C2" s="38" t="str">
        <x:v>bz_van_001</x:v>
      </x:c>
      <x:c r="D2" s="38" t="str">
        <x:v>Restorative</x:v>
      </x:c>
      <x:c r="E2" s="38" t="n">
        <x:v>13</x:v>
      </x:c>
      <x:c r="F2" s="38" t="str">
        <x:v>Restorative, Mossy, Radiant, Deadly, Fiery, Golden, Heavy, Icy, Obsidian, Shielded, Shiny, Toxic, Turbo</x:v>
      </x:c>
      <x:c r="G2" s="38" t="str">
        <x:v>治疗/水、龙；来源标签 aquatic, relic, economyreference, value, heal</x:v>
      </x:c>
    </x:row>
    <x:row r="3">
      <x:c r="A3" s="38" t="str">
        <x:v>pal_002</x:v>
      </x:c>
      <x:c r="B3" s="38" t="str">
        <x:v>灰尾狸</x:v>
      </x:c>
      <x:c r="C3" s="38" t="str">
        <x:v>bz_van_002</x:v>
      </x:c>
      <x:c r="D3" s="38" t="str">
        <x:v>Turbo</x:v>
      </x:c>
      <x:c r="E3" s="38" t="n">
        <x:v>13</x:v>
      </x:c>
      <x:c r="F3" s="38" t="str">
        <x:v>Turbo, Restorative, Mossy, Radiant, Deadly, Fiery, Golden, Heavy, Icy, Obsidian, Shielded, Shiny, Toxic</x:v>
      </x:c>
      <x:c r="G3" s="38" t="str">
        <x:v>治疗/水、地；来源标签 aquatic, weapon, tool, damage, haste</x:v>
      </x:c>
    </x:row>
    <x:row r="4">
      <x:c r="A4" s="38" t="str">
        <x:v>pal_003</x:v>
      </x:c>
      <x:c r="B4" s="38" t="str">
        <x:v>芦花鸡</x:v>
      </x:c>
      <x:c r="C4" s="38" t="str">
        <x:v>bz_van_003</x:v>
      </x:c>
      <x:c r="D4" s="38" t="str">
        <x:v>Turbo</x:v>
      </x:c>
      <x:c r="E4" s="38" t="n">
        <x:v>13</x:v>
      </x:c>
      <x:c r="F4" s="38" t="str">
        <x:v>Turbo, Deadly, Shiny, Fiery, Golden, Heavy, Icy, Mossy, Obsidian, Radiant, Restorative, Shielded, Toxic</x:v>
      </x:c>
      <x:c r="G4" s="38" t="str">
        <x:v>机动/雷；来源标签 weapon, damage, ammo, hastereference</x:v>
      </x:c>
    </x:row>
    <x:row r="5">
      <x:c r="A5" s="38" t="str">
        <x:v>pal_004</x:v>
      </x:c>
      <x:c r="B5" s="38" t="str">
        <x:v>青藤鼠</x:v>
      </x:c>
      <x:c r="C5" s="38" t="str">
        <x:v>bz_van_004</x:v>
      </x:c>
      <x:c r="D5" s="38" t="str">
        <x:v>Turbo</x:v>
      </x:c>
      <x:c r="E5" s="38" t="n">
        <x:v>13</x:v>
      </x:c>
      <x:c r="F5" s="38" t="str">
        <x:v>Turbo, Deadly, Shiny, Fiery, Golden, Heavy, Icy, Mossy, Obsidian, Radiant, Restorative, Shielded, Toxic</x:v>
      </x:c>
      <x:c r="G5" s="38" t="str">
        <x:v>机动/雷；来源标签 tool, haste</x:v>
      </x:c>
    </x:row>
    <x:row r="6">
      <x:c r="A6" s="38" t="str">
        <x:v>pal_005</x:v>
      </x:c>
      <x:c r="B6" s="38" t="str">
        <x:v>赤尾狐</x:v>
      </x:c>
      <x:c r="C6" s="38" t="str">
        <x:v>bz_van_005</x:v>
      </x:c>
      <x:c r="D6" s="38" t="str">
        <x:v>Deadly</x:v>
      </x:c>
      <x:c r="E6" s="38" t="n">
        <x:v>13</x:v>
      </x:c>
      <x:c r="F6" s="38" t="str">
        <x:v>Deadly, Fiery, Obsidian, Golden, Heavy, Icy, Mossy, Radiant, Restorative, Shielded, Shiny, Toxic, Turbo</x:v>
      </x:c>
      <x:c r="G6" s="38" t="str">
        <x:v>输出/雷；来源标签 weapon, damage, ammo</x:v>
      </x:c>
    </x:row>
    <x:row r="7">
      <x:c r="A7" s="38" t="str">
        <x:v>pal_006</x:v>
      </x:c>
      <x:c r="B7" s="38" t="str">
        <x:v>碧水鸭</x:v>
      </x:c>
      <x:c r="C7" s="38" t="str">
        <x:v>bz_van_006</x:v>
      </x:c>
      <x:c r="D7" s="38" t="str">
        <x:v>Shielded</x:v>
      </x:c>
      <x:c r="E7" s="38" t="n">
        <x:v>13</x:v>
      </x:c>
      <x:c r="F7" s="38" t="str">
        <x:v>Shielded, Heavy, Mossy, Deadly, Fiery, Golden, Icy, Obsidian, Radiant, Restorative, Shiny, Toxic, Turbo</x:v>
      </x:c>
      <x:c r="G7" s="38" t="str">
        <x:v>坦克/地；来源标签 shield</x:v>
      </x:c>
    </x:row>
    <x:row r="8">
      <x:c r="A8" s="38" t="str">
        <x:v>pal_007</x:v>
      </x:c>
      <x:c r="B8" s="38" t="str">
        <x:v>雷须猫</x:v>
      </x:c>
      <x:c r="C8" s="38" t="str">
        <x:v>bz_van_007</x:v>
      </x:c>
      <x:c r="D8" s="38" t="str">
        <x:v>Deadly</x:v>
      </x:c>
      <x:c r="E8" s="38" t="n">
        <x:v>13</x:v>
      </x:c>
      <x:c r="F8" s="38" t="str">
        <x:v>Deadly, Fiery, Obsidian, Golden, Heavy, Icy, Mossy, Radiant, Restorative, Shielded, Shiny, Toxic, Turbo</x:v>
      </x:c>
      <x:c r="G8" s="38" t="str">
        <x:v>输出/地；来源标签 weapon, damage</x:v>
      </x:c>
    </x:row>
    <x:row r="9">
      <x:c r="A9" s="38" t="str">
        <x:v>pal_008</x:v>
      </x:c>
      <x:c r="B9" s="38" t="str">
        <x:v>藤甲猿</x:v>
      </x:c>
      <x:c r="C9" s="38" t="str">
        <x:v>bz_van_008</x:v>
      </x:c>
      <x:c r="D9" s="38" t="str">
        <x:v>Turbo</x:v>
      </x:c>
      <x:c r="E9" s="38" t="n">
        <x:v>13</x:v>
      </x:c>
      <x:c r="F9" s="38" t="str">
        <x:v>Turbo, Deadly, Shiny, Fiery, Golden, Heavy, Icy, Mossy, Obsidian, Radiant, Restorative, Shielded, Toxic</x:v>
      </x:c>
      <x:c r="G9" s="38" t="str">
        <x:v>机动/水；来源标签 aquatic, toy, haste</x:v>
      </x:c>
    </x:row>
    <x:row r="10">
      <x:c r="A10" s="38" t="str">
        <x:v>pal_009</x:v>
      </x:c>
      <x:c r="B10" s="38" t="str">
        <x:v>火角鹿</x:v>
      </x:c>
      <x:c r="C10" s="38" t="str">
        <x:v>bz_van_009</x:v>
      </x:c>
      <x:c r="D10" s="38" t="str">
        <x:v>Deadly</x:v>
      </x:c>
      <x:c r="E10" s="38" t="n">
        <x:v>13</x:v>
      </x:c>
      <x:c r="F10" s="38" t="str">
        <x:v>Deadly, Fiery, Obsidian, Golden, Heavy, Icy, Mossy, Radiant, Restorative, Shielded, Shiny, Toxic, Turbo</x:v>
      </x:c>
      <x:c r="G10" s="38" t="str">
        <x:v>输出/水；来源标签 weapon, aquatic, damage</x:v>
      </x:c>
    </x:row>
    <x:row r="11">
      <x:c r="A11" s="38" t="str">
        <x:v>pal_010</x:v>
      </x:c>
      <x:c r="B11" s="38" t="str">
        <x:v>霜羽鹭</x:v>
      </x:c>
      <x:c r="C11" s="38" t="str">
        <x:v>bz_van_010</x:v>
      </x:c>
      <x:c r="D11" s="38" t="str">
        <x:v>Deadly</x:v>
      </x:c>
      <x:c r="E11" s="38" t="n">
        <x:v>13</x:v>
      </x:c>
      <x:c r="F11" s="38" t="str">
        <x:v>Deadly, Turbo, Shiny, Fiery, Golden, Heavy, Icy, Mossy, Obsidian, Radiant, Restorative, Shielded, Toxic</x:v>
      </x:c>
      <x:c r="G11" s="38" t="str">
        <x:v>机动/水、龙；来源标签 weapon, tech, aquatic, vehicle, damage, flying</x:v>
      </x:c>
    </x:row>
    <x:row r="12">
      <x:c r="A12" s="38" t="str">
        <x:v>pal_011</x:v>
      </x:c>
      <x:c r="B12" s="38" t="str">
        <x:v>冰背獭</x:v>
      </x:c>
      <x:c r="C12" s="38" t="str">
        <x:v>bz_van_011</x:v>
      </x:c>
      <x:c r="D12" s="38" t="str">
        <x:v>Toxic</x:v>
      </x:c>
      <x:c r="E12" s="38" t="n">
        <x:v>13</x:v>
      </x:c>
      <x:c r="F12" s="38" t="str">
        <x:v>Toxic, Icy, Obsidian, Deadly, Fiery, Golden, Heavy, Mossy, Radiant, Restorative, Shielded, Shiny, Turbo</x:v>
      </x:c>
      <x:c r="G12" s="38" t="str">
        <x:v>控制/草、龙；来源标签 weapon, relic, damage, poison</x:v>
      </x:c>
    </x:row>
    <x:row r="13">
      <x:c r="A13" s="38" t="str">
        <x:v>pal_012</x:v>
      </x:c>
      <x:c r="B13" s="38" t="str">
        <x:v>电棘鼠</x:v>
      </x:c>
      <x:c r="C13" s="38" t="str">
        <x:v>bz_van_012</x:v>
      </x:c>
      <x:c r="D13" s="38" t="str">
        <x:v>Fiery</x:v>
      </x:c>
      <x:c r="E13" s="38" t="n">
        <x:v>13</x:v>
      </x:c>
      <x:c r="F13" s="38" t="str">
        <x:v>Fiery, Deadly, Obsidian, Golden, Heavy, Icy, Mossy, Radiant, Restorative, Shielded, Shiny, Toxic, Turbo</x:v>
      </x:c>
      <x:c r="G13" s="38" t="str">
        <x:v>输出/火、雷；来源标签 weapon, damage, ammo, burnreference</x:v>
      </x:c>
    </x:row>
    <x:row r="14">
      <x:c r="A14" s="38" t="str">
        <x:v>pal_013</x:v>
      </x:c>
      <x:c r="B14" s="38" t="str">
        <x:v>苔甲龟</x:v>
      </x:c>
      <x:c r="C14" s="38" t="str">
        <x:v>bz_van_013</x:v>
      </x:c>
      <x:c r="D14" s="38" t="str">
        <x:v>Icy</x:v>
      </x:c>
      <x:c r="E14" s="38" t="n">
        <x:v>13</x:v>
      </x:c>
      <x:c r="F14" s="38" t="str">
        <x:v>Icy, Toxic, Obsidian, Deadly, Fiery, Golden, Heavy, Mossy, Radiant, Restorative, Shielded, Shiny, Turbo</x:v>
      </x:c>
      <x:c r="G14" s="38" t="str">
        <x:v>控制/雷；来源标签 weapon, damage, ammo, slow</x:v>
      </x:c>
    </x:row>
    <x:row r="15">
      <x:c r="A15" s="38" t="str">
        <x:v>pal_014</x:v>
      </x:c>
      <x:c r="B15" s="38" t="str">
        <x:v>金钱狸</x:v>
      </x:c>
      <x:c r="C15" s="38" t="str">
        <x:v>bz_van_014</x:v>
      </x:c>
      <x:c r="D15" s="38" t="str">
        <x:v>Fiery</x:v>
      </x:c>
      <x:c r="E15" s="38" t="n">
        <x:v>13</x:v>
      </x:c>
      <x:c r="F15" s="38" t="str">
        <x:v>Fiery, Turbo, Deadly, Shiny, Golden, Heavy, Icy, Mossy, Obsidian, Radiant, Restorative, Shielded, Toxic</x:v>
      </x:c>
      <x:c r="G15" s="38" t="str">
        <x:v>机动/火；来源标签 burn, haste</x:v>
      </x:c>
    </x:row>
    <x:row r="16">
      <x:c r="A16" s="38" t="str">
        <x:v>pal_015</x:v>
      </x:c>
      <x:c r="B16" s="38" t="str">
        <x:v>黑甲猪</x:v>
      </x:c>
      <x:c r="C16" s="38" t="str">
        <x:v>bz_van_015</x:v>
      </x:c>
      <x:c r="D16" s="38" t="str">
        <x:v>Deadly</x:v>
      </x:c>
      <x:c r="E16" s="38" t="n">
        <x:v>13</x:v>
      </x:c>
      <x:c r="F16" s="38" t="str">
        <x:v>Deadly, Fiery, Obsidian, Golden, Heavy, Icy, Mossy, Radiant, Restorative, Shielded, Shiny, Toxic, Turbo</x:v>
      </x:c>
      <x:c r="G16" s="38" t="str">
        <x:v>输出/水；来源标签 weapon, damage</x:v>
      </x:c>
    </x:row>
    <x:row r="17">
      <x:c r="A17" s="38" t="str">
        <x:v>pal_016</x:v>
      </x:c>
      <x:c r="B17" s="38" t="str">
        <x:v>涧水象</x:v>
      </x:c>
      <x:c r="C17" s="38" t="str">
        <x:v>bz_van_016</x:v>
      </x:c>
      <x:c r="D17" s="38" t="str">
        <x:v>Deadly</x:v>
      </x:c>
      <x:c r="E17" s="38" t="n">
        <x:v>13</x:v>
      </x:c>
      <x:c r="F17" s="38" t="str">
        <x:v>Deadly, Radiant, Mossy, Shielded, Fiery, Golden, Heavy, Icy, Obsidian, Restorative, Shiny, Toxic, Turbo</x:v>
      </x:c>
      <x:c r="G17" s="38" t="str">
        <x:v>召唤/雷、龙；来源标签 friend, weapon, damage, critreference</x:v>
      </x:c>
    </x:row>
    <x:row r="18">
      <x:c r="A18" s="38" t="str">
        <x:v>pal_017</x:v>
      </x:c>
      <x:c r="B18" s="38" t="str">
        <x:v>黑角犀</x:v>
      </x:c>
      <x:c r="C18" s="38" t="str">
        <x:v>bz_van_017</x:v>
      </x:c>
      <x:c r="D18" s="38" t="str">
        <x:v>Fiery</x:v>
      </x:c>
      <x:c r="E18" s="38" t="n">
        <x:v>13</x:v>
      </x:c>
      <x:c r="F18" s="38" t="str">
        <x:v>Fiery, Deadly, Obsidian, Golden, Heavy, Icy, Mossy, Radiant, Restorative, Shielded, Shiny, Toxic, Turbo</x:v>
      </x:c>
      <x:c r="G18" s="38" t="str">
        <x:v>输出/火、雷；来源标签 weapon, damage, ammo, burn</x:v>
      </x:c>
    </x:row>
    <x:row r="19">
      <x:c r="A19" s="38" t="str">
        <x:v>pal_018</x:v>
      </x:c>
      <x:c r="B19" s="38" t="str">
        <x:v>竹囊鼠</x:v>
      </x:c>
      <x:c r="C19" s="38" t="str">
        <x:v>bz_van_018</x:v>
      </x:c>
      <x:c r="D19" s="38" t="str">
        <x:v>Turbo</x:v>
      </x:c>
      <x:c r="E19" s="38" t="n">
        <x:v>13</x:v>
      </x:c>
      <x:c r="F19" s="38" t="str">
        <x:v>Turbo, Deadly, Shiny, Fiery, Golden, Heavy, Icy, Mossy, Obsidian, Radiant, Restorative, Shielded, Toxic</x:v>
      </x:c>
      <x:c r="G19" s="38" t="str">
        <x:v>机动/雷；来源标签 weapon, damage</x:v>
      </x:c>
    </x:row>
    <x:row r="20">
      <x:c r="A20" s="38" t="str">
        <x:v>pal_019</x:v>
      </x:c>
      <x:c r="B20" s="38" t="str">
        <x:v>夜穴鼹</x:v>
      </x:c>
      <x:c r="C20" s="38" t="str">
        <x:v>bz_van_019</x:v>
      </x:c>
      <x:c r="D20" s="38" t="str">
        <x:v>Deadly</x:v>
      </x:c>
      <x:c r="E20" s="38" t="n">
        <x:v>13</x:v>
      </x:c>
      <x:c r="F20" s="38" t="str">
        <x:v>Deadly, Fiery, Obsidian, Golden, Heavy, Icy, Mossy, Radiant, Restorative, Shielded, Shiny, Toxic, Turbo</x:v>
      </x:c>
      <x:c r="G20" s="38" t="str">
        <x:v>输出/雷；来源标签 ammoreference</x:v>
      </x:c>
    </x:row>
    <x:row r="21">
      <x:c r="A21" s="38" t="str">
        <x:v>pal_020</x:v>
      </x:c>
      <x:c r="B21" s="38" t="str">
        <x:v>沙鬃猪</x:v>
      </x:c>
      <x:c r="C21" s="38" t="str">
        <x:v>bz_van_020</x:v>
      </x:c>
      <x:c r="D21" s="38" t="str">
        <x:v>Turbo</x:v>
      </x:c>
      <x:c r="E21" s="38" t="n">
        <x:v>13</x:v>
      </x:c>
      <x:c r="F21" s="38" t="str">
        <x:v>Turbo, Deadly, Shiny, Fiery, Golden, Heavy, Icy, Mossy, Obsidian, Radiant, Restorative, Shielded, Toxic</x:v>
      </x:c>
      <x:c r="G21" s="38" t="str">
        <x:v>机动/水、雷；来源标签 aquatic, property, haste, damagereference, ammoreference</x:v>
      </x:c>
    </x:row>
    <x:row r="22">
      <x:c r="A22" s="38" t="str">
        <x:v>pal_021</x:v>
      </x:c>
      <x:c r="B22" s="38" t="str">
        <x:v>暮羽鸦</x:v>
      </x:c>
      <x:c r="C22" s="38" t="str">
        <x:v>bz_van_021</x:v>
      </x:c>
      <x:c r="D22" s="38" t="str">
        <x:v>Turbo</x:v>
      </x:c>
      <x:c r="E22" s="38" t="n">
        <x:v>13</x:v>
      </x:c>
      <x:c r="F22" s="38" t="str">
        <x:v>Turbo, Deadly, Shiny, Fiery, Golden, Heavy, Icy, Mossy, Obsidian, Radiant, Restorative, Shielded, Toxic</x:v>
      </x:c>
      <x:c r="G22" s="38" t="str">
        <x:v>机动/水、龙；来源标签 aquatic, tool, haste</x:v>
      </x:c>
    </x:row>
    <x:row r="23">
      <x:c r="A23" s="38" t="str">
        <x:v>pal_022</x:v>
      </x:c>
      <x:c r="B23" s="38" t="str">
        <x:v>岩爪鼹</x:v>
      </x:c>
      <x:c r="C23" s="38" t="str">
        <x:v>bz_van_022</x:v>
      </x:c>
      <x:c r="D23" s="38" t="str">
        <x:v>Turbo</x:v>
      </x:c>
      <x:c r="E23" s="38" t="n">
        <x:v>13</x:v>
      </x:c>
      <x:c r="F23" s="38" t="str">
        <x:v>Turbo, Deadly, Shiny, Fiery, Golden, Heavy, Icy, Mossy, Obsidian, Radiant, Restorative, Shielded, Toxic</x:v>
      </x:c>
      <x:c r="G23" s="38" t="str">
        <x:v>机动/龙；来源标签 无</x:v>
      </x:c>
    </x:row>
    <x:row r="24">
      <x:c r="A24" s="38" t="str">
        <x:v>pal_023</x:v>
      </x:c>
      <x:c r="B24" s="38" t="str">
        <x:v>墨潭鲵</x:v>
      </x:c>
      <x:c r="C24" s="38" t="str">
        <x:v>bz_van_023</x:v>
      </x:c>
      <x:c r="D24" s="38" t="str">
        <x:v>Toxic</x:v>
      </x:c>
      <x:c r="E24" s="38" t="n">
        <x:v>13</x:v>
      </x:c>
      <x:c r="F24" s="38" t="str">
        <x:v>Toxic, Icy, Obsidian, Deadly, Fiery, Golden, Heavy, Mossy, Radiant, Restorative, Shielded, Shiny, Turbo</x:v>
      </x:c>
      <x:c r="G24" s="38" t="str">
        <x:v>控制/草、水；来源标签 aquatic, friend, poison, hastereference</x:v>
      </x:c>
    </x:row>
    <x:row r="25">
      <x:c r="A25" s="38" t="str">
        <x:v>pal_024</x:v>
      </x:c>
      <x:c r="B25" s="38" t="str">
        <x:v>幽纹猫</x:v>
      </x:c>
      <x:c r="C25" s="38" t="str">
        <x:v>bz_van_024</x:v>
      </x:c>
      <x:c r="D25" s="38" t="str">
        <x:v>Fiery</x:v>
      </x:c>
      <x:c r="E25" s="38" t="n">
        <x:v>13</x:v>
      </x:c>
      <x:c r="F25" s="38" t="str">
        <x:v>Fiery, Icy, Toxic, Obsidian, Deadly, Golden, Heavy, Mossy, Radiant, Restorative, Shielded, Shiny, Turbo</x:v>
      </x:c>
      <x:c r="G25" s="38" t="str">
        <x:v>控制/火；来源标签 weapon, tech, damage, burn</x:v>
      </x:c>
    </x:row>
    <x:row r="26">
      <x:c r="A26" s="38" t="str">
        <x:v>pal_025</x:v>
      </x:c>
      <x:c r="B26" s="38" t="str">
        <x:v>泉须鲶</x:v>
      </x:c>
      <x:c r="C26" s="38" t="str">
        <x:v>bz_van_025</x:v>
      </x:c>
      <x:c r="D26" s="38" t="str">
        <x:v>Golden</x:v>
      </x:c>
      <x:c r="E26" s="38" t="n">
        <x:v>13</x:v>
      </x:c>
      <x:c r="F26" s="38" t="str">
        <x:v>Golden, Shiny, Radiant, Deadly, Fiery, Heavy, Icy, Mossy, Obsidian, Restorative, Shielded, Toxic, Turbo</x:v>
      </x:c>
      <x:c r="G26" s="38" t="str">
        <x:v>经济/草、水；来源标签 aquatic, food, crit</x:v>
      </x:c>
    </x:row>
    <x:row r="27">
      <x:c r="A27" s="38" t="str">
        <x:v>pal_026</x:v>
      </x:c>
      <x:c r="B27" s="38" t="str">
        <x:v>疾风狼</x:v>
      </x:c>
      <x:c r="C27" s="38" t="str">
        <x:v>bz_van_026</x:v>
      </x:c>
      <x:c r="D27" s="38" t="str">
        <x:v>Icy</x:v>
      </x:c>
      <x:c r="E27" s="38" t="n">
        <x:v>13</x:v>
      </x:c>
      <x:c r="F27" s="38" t="str">
        <x:v>Icy, Toxic, Obsidian, Deadly, Fiery, Golden, Heavy, Mossy, Radiant, Restorative, Shielded, Shiny, Turbo</x:v>
      </x:c>
      <x:c r="G27" s="38" t="str">
        <x:v>控制/水；来源标签 aquatic, slow</x:v>
      </x:c>
    </x:row>
    <x:row r="28">
      <x:c r="A28" s="38" t="str">
        <x:v>pal_027</x:v>
      </x:c>
      <x:c r="B28" s="38" t="str">
        <x:v>惊羽雀</x:v>
      </x:c>
      <x:c r="C28" s="38" t="str">
        <x:v>bz_van_027</x:v>
      </x:c>
      <x:c r="D28" s="38" t="str">
        <x:v>Turbo</x:v>
      </x:c>
      <x:c r="E28" s="38" t="n">
        <x:v>13</x:v>
      </x:c>
      <x:c r="F28" s="38" t="str">
        <x:v>Turbo, Deadly, Shiny, Fiery, Golden, Heavy, Icy, Mossy, Obsidian, Radiant, Restorative, Shielded, Toxic</x:v>
      </x:c>
      <x:c r="G28" s="38" t="str">
        <x:v>机动/地；来源标签 weapon, damage, gold, haste</x:v>
      </x:c>
    </x:row>
    <x:row r="29">
      <x:c r="A29" s="38" t="str">
        <x:v>pal_028</x:v>
      </x:c>
      <x:c r="B29" s="38" t="str">
        <x:v>药草兔</x:v>
      </x:c>
      <x:c r="C29" s="38" t="str">
        <x:v>bz_van_028</x:v>
      </x:c>
      <x:c r="D29" s="38" t="str">
        <x:v>Restorative</x:v>
      </x:c>
      <x:c r="E29" s="38" t="n">
        <x:v>13</x:v>
      </x:c>
      <x:c r="F29" s="38" t="str">
        <x:v>Restorative, Mossy, Radiant, Deadly, Fiery, Golden, Heavy, Icy, Obsidian, Shielded, Shiny, Toxic, Turbo</x:v>
      </x:c>
      <x:c r="G29" s="38" t="str">
        <x:v>治疗/水、龙；来源标签 aquatic, relic, heal</x:v>
      </x:c>
    </x:row>
    <x:row r="30">
      <x:c r="A30" s="38" t="str">
        <x:v>pal_029</x:v>
      </x:c>
      <x:c r="B30" s="38" t="str">
        <x:v>黄背牛</x:v>
      </x:c>
      <x:c r="C30" s="38" t="str">
        <x:v>bz_van_029</x:v>
      </x:c>
      <x:c r="D30" s="38" t="str">
        <x:v>Shielded</x:v>
      </x:c>
      <x:c r="E30" s="38" t="n">
        <x:v>13</x:v>
      </x:c>
      <x:c r="F30" s="38" t="str">
        <x:v>Shielded, Heavy, Mossy, Deadly, Fiery, Golden, Icy, Obsidian, Radiant, Restorative, Shiny, Toxic, Turbo</x:v>
      </x:c>
      <x:c r="G30" s="38" t="str">
        <x:v>坦克/水、地；来源标签 aquatic, apparel, relic, shield</x:v>
      </x:c>
    </x:row>
    <x:row r="31">
      <x:c r="A31" s="38" t="str">
        <x:v>pal_030</x:v>
      </x:c>
      <x:c r="B31" s="38" t="str">
        <x:v>花刺蛛</x:v>
      </x:c>
      <x:c r="C31" s="38" t="str">
        <x:v>bz_van_030</x:v>
      </x:c>
      <x:c r="D31" s="38" t="str">
        <x:v>Shielded</x:v>
      </x:c>
      <x:c r="E31" s="38" t="n">
        <x:v>13</x:v>
      </x:c>
      <x:c r="F31" s="38" t="str">
        <x:v>Shielded, Heavy, Mossy, Deadly, Fiery, Golden, Icy, Obsidian, Radiant, Restorative, Shiny, Toxic, Turbo</x:v>
      </x:c>
      <x:c r="G31" s="38" t="str">
        <x:v>坦克/水、地；来源标签 aquatic, property, shield, value, economyreference</x:v>
      </x:c>
    </x:row>
    <x:row r="32">
      <x:c r="A32" s="38" t="str">
        <x:v>pal_031</x:v>
      </x:c>
      <x:c r="B32" s="38" t="str">
        <x:v>青背鲵</x:v>
      </x:c>
      <x:c r="C32" s="38" t="str">
        <x:v>bz_van_031</x:v>
      </x:c>
      <x:c r="D32" s="38" t="str">
        <x:v>Icy</x:v>
      </x:c>
      <x:c r="E32" s="38" t="n">
        <x:v>13</x:v>
      </x:c>
      <x:c r="F32" s="38" t="str">
        <x:v>Icy, Restorative, Mossy, Radiant, Deadly, Fiery, Golden, Heavy, Obsidian, Shielded, Shiny, Toxic, Turbo</x:v>
      </x:c>
      <x:c r="G32" s="38" t="str">
        <x:v>治疗/水、雷；来源标签 property, aquatic, crit</x:v>
      </x:c>
    </x:row>
    <x:row r="33">
      <x:c r="A33" s="38" t="str">
        <x:v>pal_032</x:v>
      </x:c>
      <x:c r="B33" s="38" t="str">
        <x:v>石甲鲮</x:v>
      </x:c>
      <x:c r="C33" s="38" t="str">
        <x:v>bz_van_032</x:v>
      </x:c>
      <x:c r="D33" s="38" t="str">
        <x:v>Turbo</x:v>
      </x:c>
      <x:c r="E33" s="38" t="n">
        <x:v>13</x:v>
      </x:c>
      <x:c r="F33" s="38" t="str">
        <x:v>Turbo, Deadly, Shiny, Fiery, Golden, Heavy, Icy, Mossy, Obsidian, Radiant, Restorative, Shielded, Toxic</x:v>
      </x:c>
      <x:c r="G33" s="38" t="str">
        <x:v>机动/雷；来源标签 tech, crit, charge</x:v>
      </x:c>
    </x:row>
    <x:row r="34">
      <x:c r="A34" s="38" t="str">
        <x:v>pal_033</x:v>
      </x:c>
      <x:c r="B34" s="38" t="str">
        <x:v>芭蕉熊</x:v>
      </x:c>
      <x:c r="C34" s="38" t="str">
        <x:v>bz_van_033</x:v>
      </x:c>
      <x:c r="D34" s="38" t="str">
        <x:v>Icy</x:v>
      </x:c>
      <x:c r="E34" s="38" t="n">
        <x:v>13</x:v>
      </x:c>
      <x:c r="F34" s="38" t="str">
        <x:v>Icy, Toxic, Obsidian, Deadly, Fiery, Golden, Heavy, Mossy, Radiant, Restorative, Shielded, Shiny, Turbo</x:v>
      </x:c>
      <x:c r="G34" s="38" t="str">
        <x:v>控制/雷；来源标签 weapon, damage, critreference</x:v>
      </x:c>
    </x:row>
    <x:row r="35">
      <x:c r="A35" s="38" t="str">
        <x:v>pal_034</x:v>
      </x:c>
      <x:c r="B35" s="38" t="str">
        <x:v>蜜纹獾</x:v>
      </x:c>
      <x:c r="C35" s="38" t="str">
        <x:v>bz_van_034</x:v>
      </x:c>
      <x:c r="D35" s="38" t="str">
        <x:v>Deadly</x:v>
      </x:c>
      <x:c r="E35" s="38" t="n">
        <x:v>13</x:v>
      </x:c>
      <x:c r="F35" s="38" t="str">
        <x:v>Deadly, Fiery, Obsidian, Golden, Heavy, Icy, Mossy, Radiant, Restorative, Shielded, Shiny, Toxic, Turbo</x:v>
      </x:c>
      <x:c r="G35" s="38" t="str">
        <x:v>输出/雷；来源标签 weapon, tech, damage, critreference</x:v>
      </x:c>
    </x:row>
    <x:row r="36">
      <x:c r="A36" s="38" t="str">
        <x:v>pal_035</x:v>
      </x:c>
      <x:c r="B36" s="38" t="str">
        <x:v>藤巢蜂</x:v>
      </x:c>
      <x:c r="C36" s="38" t="str">
        <x:v>bz_van_035</x:v>
      </x:c>
      <x:c r="D36" s="38" t="str">
        <x:v>Turbo</x:v>
      </x:c>
      <x:c r="E36" s="38" t="n">
        <x:v>13</x:v>
      </x:c>
      <x:c r="F36" s="38" t="str">
        <x:v>Turbo, Icy, Toxic, Obsidian, Deadly, Fiery, Golden, Heavy, Mossy, Radiant, Restorative, Shielded, Shiny</x:v>
      </x:c>
      <x:c r="G36" s="38" t="str">
        <x:v>控制/水、雷；来源标签 aquatic, property</x:v>
      </x:c>
    </x:row>
    <x:row r="37">
      <x:c r="A37" s="38" t="str">
        <x:v>pal_036</x:v>
      </x:c>
      <x:c r="B37" s="38" t="str">
        <x:v>云纹巨驼</x:v>
      </x:c>
      <x:c r="C37" s="38" t="str">
        <x:v>bz_van_036</x:v>
      </x:c>
      <x:c r="D37" s="38" t="str">
        <x:v>Fiery</x:v>
      </x:c>
      <x:c r="E37" s="38" t="n">
        <x:v>13</x:v>
      </x:c>
      <x:c r="F37" s="38" t="str">
        <x:v>Fiery, Icy, Toxic, Obsidian, Deadly, Golden, Heavy, Mossy, Radiant, Restorative, Shielded, Shiny, Turbo</x:v>
      </x:c>
      <x:c r="G37" s="38" t="str">
        <x:v>控制/火、水；来源标签 friend, aquatic, burn, slowreference</x:v>
      </x:c>
    </x:row>
    <x:row r="38">
      <x:c r="A38" s="38" t="str">
        <x:v>pal_037</x:v>
      </x:c>
      <x:c r="B38" s="38" t="str">
        <x:v>月角白鹿</x:v>
      </x:c>
      <x:c r="C38" s="38" t="str">
        <x:v>bz_van_037</x:v>
      </x:c>
      <x:c r="D38" s="38" t="str">
        <x:v>Icy</x:v>
      </x:c>
      <x:c r="E38" s="38" t="n">
        <x:v>13</x:v>
      </x:c>
      <x:c r="F38" s="38" t="str">
        <x:v>Icy, Toxic, Obsidian, Deadly, Fiery, Golden, Heavy, Mossy, Radiant, Restorative, Shielded, Shiny, Turbo</x:v>
      </x:c>
      <x:c r="G38" s="38" t="str">
        <x:v>控制/草；来源标签 weapon, tech, damage, slow, poison</x:v>
      </x:c>
    </x:row>
    <x:row r="39">
      <x:c r="A39" s="38" t="str">
        <x:v>pal_038</x:v>
      </x:c>
      <x:c r="B39" s="38" t="str">
        <x:v>疾风苍鹰</x:v>
      </x:c>
      <x:c r="C39" s="38" t="str">
        <x:v>bz_van_038</x:v>
      </x:c>
      <x:c r="D39" s="38" t="str">
        <x:v>Turbo</x:v>
      </x:c>
      <x:c r="E39" s="38" t="n">
        <x:v>13</x:v>
      </x:c>
      <x:c r="F39" s="38" t="str">
        <x:v>Turbo, Deadly, Shiny, Fiery, Golden, Heavy, Icy, Mossy, Obsidian, Radiant, Restorative, Shielded, Toxic</x:v>
      </x:c>
      <x:c r="G39" s="38" t="str">
        <x:v>机动/雷；来源标签 apparel, charge</x:v>
      </x:c>
    </x:row>
    <x:row r="40">
      <x:c r="A40" s="38" t="str">
        <x:v>pal_039</x:v>
      </x:c>
      <x:c r="B40" s="38" t="str">
        <x:v>银背巨兔</x:v>
      </x:c>
      <x:c r="C40" s="38" t="str">
        <x:v>bz_van_039</x:v>
      </x:c>
      <x:c r="D40" s="38" t="str">
        <x:v>Turbo</x:v>
      </x:c>
      <x:c r="E40" s="38" t="n">
        <x:v>13</x:v>
      </x:c>
      <x:c r="F40" s="38" t="str">
        <x:v>Turbo, Deadly, Shiny, Fiery, Golden, Heavy, Icy, Mossy, Obsidian, Radiant, Restorative, Shielded, Toxic</x:v>
      </x:c>
      <x:c r="G40" s="38" t="str">
        <x:v>机动/水、雷；来源标签 aquatic, tool, apparel, haste, ammo</x:v>
      </x:c>
    </x:row>
    <x:row r="41">
      <x:c r="A41" s="38" t="str">
        <x:v>pal_040</x:v>
      </x:c>
      <x:c r="B41" s="38" t="str">
        <x:v>炎角黑羊</x:v>
      </x:c>
      <x:c r="C41" s="38" t="str">
        <x:v>bz_van_040</x:v>
      </x:c>
      <x:c r="D41" s="38" t="str">
        <x:v>Turbo</x:v>
      </x:c>
      <x:c r="E41" s="38" t="n">
        <x:v>13</x:v>
      </x:c>
      <x:c r="F41" s="38" t="str">
        <x:v>Turbo, Heavy, Shielded, Mossy, Deadly, Fiery, Golden, Icy, Obsidian, Radiant, Restorative, Shiny, Toxic</x:v>
      </x:c>
      <x:c r="G41" s="38" t="str">
        <x:v>坦克/水、雷；来源标签 aquatic, tool, apparel, shield, charge</x:v>
      </x:c>
    </x:row>
    <x:row r="42">
      <x:c r="A42" s="38" t="str">
        <x:v>pal_041</x:v>
      </x:c>
      <x:c r="B42" s="38" t="str">
        <x:v>回春彩蝶</x:v>
      </x:c>
      <x:c r="C42" s="38" t="str">
        <x:v>bz_van_041</x:v>
      </x:c>
      <x:c r="D42" s="38" t="str">
        <x:v>Icy</x:v>
      </x:c>
      <x:c r="E42" s="38" t="n">
        <x:v>13</x:v>
      </x:c>
      <x:c r="F42" s="38" t="str">
        <x:v>Icy, Toxic, Obsidian, Deadly, Fiery, Golden, Heavy, Mossy, Radiant, Restorative, Shielded, Shiny, Turbo</x:v>
      </x:c>
      <x:c r="G42" s="38" t="str">
        <x:v>控制/水；来源标签 tool, aquatic, slow</x:v>
      </x:c>
    </x:row>
    <x:row r="43">
      <x:c r="A43" s="38" t="str">
        <x:v>pal_042</x:v>
      </x:c>
      <x:c r="B43" s="38" t="str">
        <x:v>赤焰蛮牛</x:v>
      </x:c>
      <x:c r="C43" s="38" t="str">
        <x:v>bz_van_042</x:v>
      </x:c>
      <x:c r="D43" s="38" t="str">
        <x:v>Deadly</x:v>
      </x:c>
      <x:c r="E43" s="38" t="n">
        <x:v>13</x:v>
      </x:c>
      <x:c r="F43" s="38" t="str">
        <x:v>Deadly, Fiery, Obsidian, Golden, Heavy, Icy, Mossy, Radiant, Restorative, Shielded, Shiny, Toxic, Turbo</x:v>
      </x:c>
      <x:c r="G43" s="38" t="str">
        <x:v>输出/雷；来源标签 weapon, damage, ammo</x:v>
      </x:c>
    </x:row>
    <x:row r="44">
      <x:c r="A44" s="38" t="str">
        <x:v>pal_043</x:v>
      </x:c>
      <x:c r="B44" s="38" t="str">
        <x:v>泥甲巨鲶</x:v>
      </x:c>
      <x:c r="C44" s="38" t="str">
        <x:v>bz_van_043</x:v>
      </x:c>
      <x:c r="D44" s="38" t="str">
        <x:v>Icy</x:v>
      </x:c>
      <x:c r="E44" s="38" t="n">
        <x:v>13</x:v>
      </x:c>
      <x:c r="F44" s="38" t="str">
        <x:v>Icy, Toxic, Obsidian, Deadly, Fiery, Golden, Heavy, Mossy, Radiant, Restorative, Shielded, Shiny, Turbo</x:v>
      </x:c>
      <x:c r="G44" s="38" t="str">
        <x:v>控制/水、雷；来源标签 aquatic, weapon, friend, damage, slow</x:v>
      </x:c>
    </x:row>
    <x:row r="45">
      <x:c r="A45" s="38" t="str">
        <x:v>pal_044</x:v>
      </x:c>
      <x:c r="B45" s="38" t="str">
        <x:v>夜羽巨鸦</x:v>
      </x:c>
      <x:c r="C45" s="38" t="str">
        <x:v>bz_van_044</x:v>
      </x:c>
      <x:c r="D45" s="38" t="str">
        <x:v>Fiery</x:v>
      </x:c>
      <x:c r="E45" s="38" t="n">
        <x:v>13</x:v>
      </x:c>
      <x:c r="F45" s="38" t="str">
        <x:v>Fiery, Icy, Toxic, Obsidian, Deadly, Golden, Heavy, Mossy, Radiant, Restorative, Shielded, Shiny, Turbo</x:v>
      </x:c>
      <x:c r="G45" s="38" t="str">
        <x:v>控制/火、冰；来源标签 aquatic, tech, trap, burn, poison, freeze, ammo</x:v>
      </x:c>
    </x:row>
    <x:row r="46">
      <x:c r="A46" s="38" t="str">
        <x:v>pal_045</x:v>
      </x:c>
      <x:c r="B46" s="38" t="str">
        <x:v>墨鳞巨蜥</x:v>
      </x:c>
      <x:c r="C46" s="38" t="str">
        <x:v>bz_van_045</x:v>
      </x:c>
      <x:c r="D46" s="38" t="str">
        <x:v>Turbo</x:v>
      </x:c>
      <x:c r="E46" s="38" t="n">
        <x:v>13</x:v>
      </x:c>
      <x:c r="F46" s="38" t="str">
        <x:v>Turbo, Deadly, Shiny, Fiery, Golden, Heavy, Icy, Mossy, Obsidian, Radiant, Restorative, Shielded, Toxic</x:v>
      </x:c>
      <x:c r="G46" s="38" t="str">
        <x:v>机动/水、龙；来源标签 aquatic, relic, damagereference, cooldown</x:v>
      </x:c>
    </x:row>
    <x:row r="47">
      <x:c r="A47" s="38" t="str">
        <x:v>pal_046</x:v>
      </x:c>
      <x:c r="B47" s="38" t="str">
        <x:v>月镰螳螂</x:v>
      </x:c>
      <x:c r="C47" s="38" t="str">
        <x:v>bz_van_046</x:v>
      </x:c>
      <x:c r="D47" s="38" t="str">
        <x:v>Icy</x:v>
      </x:c>
      <x:c r="E47" s="38" t="n">
        <x:v>13</x:v>
      </x:c>
      <x:c r="F47" s="38" t="str">
        <x:v>Icy, Toxic, Obsidian, Deadly, Fiery, Golden, Heavy, Mossy, Radiant, Restorative, Shielded, Shiny, Turbo</x:v>
      </x:c>
      <x:c r="G47" s="38" t="str">
        <x:v>控制/水；来源标签 aquatic, tool, slow, economyreference</x:v>
      </x:c>
    </x:row>
    <x:row r="48">
      <x:c r="A48" s="38" t="str">
        <x:v>pal_047</x:v>
      </x:c>
      <x:c r="B48" s="38" t="str">
        <x:v>裂空苍鹰</x:v>
      </x:c>
      <x:c r="C48" s="38" t="str">
        <x:v>bz_van_047</x:v>
      </x:c>
      <x:c r="D48" s="38" t="str">
        <x:v>Turbo</x:v>
      </x:c>
      <x:c r="E48" s="38" t="n">
        <x:v>13</x:v>
      </x:c>
      <x:c r="F48" s="38" t="str">
        <x:v>Turbo, Deadly, Shiny, Fiery, Golden, Heavy, Icy, Mossy, Obsidian, Radiant, Restorative, Shielded, Toxic</x:v>
      </x:c>
      <x:c r="G48" s="38" t="str">
        <x:v>机动/水；来源标签 aquatic, tool, haste</x:v>
      </x:c>
    </x:row>
    <x:row r="49">
      <x:c r="A49" s="38" t="str">
        <x:v>pal_048</x:v>
      </x:c>
      <x:c r="B49" s="38" t="str">
        <x:v>木刺豪猪</x:v>
      </x:c>
      <x:c r="C49" s="38" t="str">
        <x:v>bz_van_048</x:v>
      </x:c>
      <x:c r="D49" s="38" t="str">
        <x:v>Deadly</x:v>
      </x:c>
      <x:c r="E49" s="38" t="n">
        <x:v>13</x:v>
      </x:c>
      <x:c r="F49" s="38" t="str">
        <x:v>Deadly, Radiant, Mossy, Shielded, Fiery, Golden, Heavy, Icy, Obsidian, Restorative, Shiny, Toxic, Turbo</x:v>
      </x:c>
      <x:c r="G49" s="38" t="str">
        <x:v>召唤/水、雷；来源标签 aquatic, vehicle, weapon, damage, ammoreference</x:v>
      </x:c>
    </x:row>
    <x:row r="50">
      <x:c r="A50" s="38" t="str">
        <x:v>pal_049</x:v>
      </x:c>
      <x:c r="B50" s="38" t="str">
        <x:v>铁臂黑猿</x:v>
      </x:c>
      <x:c r="C50" s="38" t="str">
        <x:v>bz_van_049</x:v>
      </x:c>
      <x:c r="D50" s="38" t="str">
        <x:v>Turbo</x:v>
      </x:c>
      <x:c r="E50" s="38" t="n">
        <x:v>13</x:v>
      </x:c>
      <x:c r="F50" s="38" t="str">
        <x:v>Turbo, Deadly, Shiny, Fiery, Golden, Heavy, Icy, Mossy, Obsidian, Radiant, Restorative, Shielded, Toxic</x:v>
      </x:c>
      <x:c r="G50" s="38" t="str">
        <x:v>机动/水、龙；来源标签 aquatic, friend, weapon, haste, flying</x:v>
      </x:c>
    </x:row>
    <x:row r="51">
      <x:c r="A51" s="38" t="str">
        <x:v>pal_050</x:v>
      </x:c>
      <x:c r="B51" s="38" t="str">
        <x:v>金甲蜂群</x:v>
      </x:c>
      <x:c r="C51" s="38" t="str">
        <x:v>bz_van_050</x:v>
      </x:c>
      <x:c r="D51" s="38" t="str">
        <x:v>Deadly</x:v>
      </x:c>
      <x:c r="E51" s="38" t="n">
        <x:v>13</x:v>
      </x:c>
      <x:c r="F51" s="38" t="str">
        <x:v>Deadly, Fiery, Obsidian, Golden, Heavy, Icy, Mossy, Radiant, Restorative, Shielded, Shiny, Toxic, Turbo</x:v>
      </x:c>
      <x:c r="G51" s="38" t="str">
        <x:v>输出/雷；来源标签 weapon, damage, ammo</x:v>
      </x:c>
    </x:row>
    <x:row r="52">
      <x:c r="A52" s="38" t="str">
        <x:v>pal_051</x:v>
      </x:c>
      <x:c r="B52" s="38" t="str">
        <x:v>百花巨蜂</x:v>
      </x:c>
      <x:c r="C52" s="38" t="str">
        <x:v>bz_van_051</x:v>
      </x:c>
      <x:c r="D52" s="38" t="str">
        <x:v>Icy</x:v>
      </x:c>
      <x:c r="E52" s="38" t="n">
        <x:v>13</x:v>
      </x:c>
      <x:c r="F52" s="38" t="str">
        <x:v>Icy, Toxic, Obsidian, Deadly, Fiery, Golden, Heavy, Mossy, Radiant, Restorative, Shielded, Shiny, Turbo</x:v>
      </x:c>
      <x:c r="G52" s="38" t="str">
        <x:v>控制/暗；来源标签 weapon, tool, damage, slow</x:v>
      </x:c>
    </x:row>
    <x:row r="53">
      <x:c r="A53" s="38" t="str">
        <x:v>pal_052</x:v>
      </x:c>
      <x:c r="B53" s="38" t="str">
        <x:v>笑面山猫</x:v>
      </x:c>
      <x:c r="C53" s="38" t="str">
        <x:v>bz_van_052</x:v>
      </x:c>
      <x:c r="D53" s="38" t="str">
        <x:v>Deadly</x:v>
      </x:c>
      <x:c r="E53" s="38" t="n">
        <x:v>13</x:v>
      </x:c>
      <x:c r="F53" s="38" t="str">
        <x:v>Deadly, Fiery, Obsidian, Golden, Heavy, Icy, Mossy, Radiant, Restorative, Shielded, Shiny, Toxic, Turbo</x:v>
      </x:c>
      <x:c r="G53" s="38" t="str">
        <x:v>输出/雷；来源标签 weapon, damage, ammo</x:v>
      </x:c>
    </x:row>
    <x:row r="54">
      <x:c r="A54" s="38" t="str">
        <x:v>pal_053</x:v>
      </x:c>
      <x:c r="B54" s="38" t="str">
        <x:v>霜尾雪貂</x:v>
      </x:c>
      <x:c r="C54" s="38" t="str">
        <x:v>bz_van_053</x:v>
      </x:c>
      <x:c r="D54" s="38" t="str">
        <x:v>Deadly</x:v>
      </x:c>
      <x:c r="E54" s="38" t="n">
        <x:v>13</x:v>
      </x:c>
      <x:c r="F54" s="38" t="str">
        <x:v>Deadly, Fiery, Obsidian, Golden, Heavy, Icy, Mossy, Radiant, Restorative, Shielded, Shiny, Toxic, Turbo</x:v>
      </x:c>
      <x:c r="G54" s="38" t="str">
        <x:v>输出/无；来源标签 weapon, damage</x:v>
      </x:c>
    </x:row>
    <x:row r="55">
      <x:c r="A55" s="38" t="str">
        <x:v>pal_054</x:v>
      </x:c>
      <x:c r="B55" s="38" t="str">
        <x:v>白眉雪猿</x:v>
      </x:c>
      <x:c r="C55" s="38" t="str">
        <x:v>bz_van_054</x:v>
      </x:c>
      <x:c r="D55" s="38" t="str">
        <x:v>Obsidian</x:v>
      </x:c>
      <x:c r="E55" s="38" t="n">
        <x:v>13</x:v>
      </x:c>
      <x:c r="F55" s="38" t="str">
        <x:v>Obsidian, Icy, Toxic, Deadly, Fiery, Golden, Heavy, Mossy, Radiant, Restorative, Shielded, Shiny, Turbo</x:v>
      </x:c>
      <x:c r="G55" s="38" t="str">
        <x:v>控制/水、雷；来源标签 aquatic, ammo</x:v>
      </x:c>
    </x:row>
    <x:row r="56">
      <x:c r="A56" s="38" t="str">
        <x:v>pal_055</x:v>
      </x:c>
      <x:c r="B56" s="38" t="str">
        <x:v>寒风幼螭</x:v>
      </x:c>
      <x:c r="C56" s="38" t="str">
        <x:v>bz_van_055</x:v>
      </x:c>
      <x:c r="D56" s="38" t="str">
        <x:v>Turbo</x:v>
      </x:c>
      <x:c r="E56" s="38" t="n">
        <x:v>13</x:v>
      </x:c>
      <x:c r="F56" s="38" t="str">
        <x:v>Turbo, Deadly, Shiny, Fiery, Golden, Heavy, Icy, Mossy, Obsidian, Radiant, Restorative, Shielded, Toxic</x:v>
      </x:c>
      <x:c r="G56" s="38" t="str">
        <x:v>机动/火；来源标签 apparel, haste</x:v>
      </x:c>
    </x:row>
    <x:row r="57">
      <x:c r="A57" s="38" t="str">
        <x:v>pal_056</x:v>
      </x:c>
      <x:c r="B57" s="38" t="str">
        <x:v>震角雷牛</x:v>
      </x:c>
      <x:c r="C57" s="38" t="str">
        <x:v>bz_van_056</x:v>
      </x:c>
      <x:c r="D57" s="38" t="str">
        <x:v>Deadly</x:v>
      </x:c>
      <x:c r="E57" s="38" t="n">
        <x:v>13</x:v>
      </x:c>
      <x:c r="F57" s="38" t="str">
        <x:v>Deadly, Fiery, Obsidian, Golden, Heavy, Icy, Mossy, Radiant, Restorative, Shielded, Shiny, Toxic, Turbo</x:v>
      </x:c>
      <x:c r="G57" s="38" t="str">
        <x:v>输出/无；来源标签 tool, damagereference</x:v>
      </x:c>
    </x:row>
    <x:row r="58">
      <x:c r="A58" s="38" t="str">
        <x:v>pal_057</x:v>
      </x:c>
      <x:c r="B58" s="38" t="str">
        <x:v>吹雪银狐</x:v>
      </x:c>
      <x:c r="C58" s="38" t="str">
        <x:v>bz_van_057</x:v>
      </x:c>
      <x:c r="D58" s="38" t="str">
        <x:v>Icy</x:v>
      </x:c>
      <x:c r="E58" s="38" t="n">
        <x:v>13</x:v>
      </x:c>
      <x:c r="F58" s="38" t="str">
        <x:v>Icy, Toxic, Obsidian, Deadly, Fiery, Golden, Heavy, Mossy, Radiant, Restorative, Shielded, Shiny, Turbo</x:v>
      </x:c>
      <x:c r="G58" s="38" t="str">
        <x:v>控制/冰；来源标签 weapon, tool, damage, freeze</x:v>
      </x:c>
    </x:row>
    <x:row r="59">
      <x:c r="A59" s="38" t="str">
        <x:v>pal_058</x:v>
      </x:c>
      <x:c r="B59" s="38" t="str">
        <x:v>丹角火麟</x:v>
      </x:c>
      <x:c r="C59" s="38" t="str">
        <x:v>bz_van_058</x:v>
      </x:c>
      <x:c r="D59" s="38" t="str">
        <x:v>Icy</x:v>
      </x:c>
      <x:c r="E59" s="38" t="n">
        <x:v>13</x:v>
      </x:c>
      <x:c r="F59" s="38" t="str">
        <x:v>Icy, Toxic, Obsidian, Deadly, Fiery, Golden, Heavy, Mossy, Radiant, Restorative, Shielded, Shiny, Turbo</x:v>
      </x:c>
      <x:c r="G59" s="38" t="str">
        <x:v>控制/冰、水；来源标签 aquatic, property, freeze</x:v>
      </x:c>
    </x:row>
    <x:row r="60">
      <x:c r="A60" s="38" t="str">
        <x:v>pal_059</x:v>
      </x:c>
      <x:c r="B60" s="38" t="str">
        <x:v>冰角白鹿</x:v>
      </x:c>
      <x:c r="C60" s="38" t="str">
        <x:v>bz_van_059</x:v>
      </x:c>
      <x:c r="D60" s="38" t="str">
        <x:v>Icy</x:v>
      </x:c>
      <x:c r="E60" s="38" t="n">
        <x:v>13</x:v>
      </x:c>
      <x:c r="F60" s="38" t="str">
        <x:v>Icy, Toxic, Obsidian, Deadly, Fiery, Golden, Heavy, Mossy, Radiant, Restorative, Shielded, Shiny, Turbo</x:v>
      </x:c>
      <x:c r="G60" s="38" t="str">
        <x:v>控制/水、龙；来源标签 aquatic, friend, ray, slow</x:v>
      </x:c>
    </x:row>
    <x:row r="61">
      <x:c r="A61" s="38" t="str">
        <x:v>pal_060</x:v>
      </x:c>
      <x:c r="B61" s="38" t="str">
        <x:v>霹雳战獒</x:v>
      </x:c>
      <x:c r="C61" s="38" t="str">
        <x:v>bz_van_060</x:v>
      </x:c>
      <x:c r="D61" s="38" t="str">
        <x:v>Fiery</x:v>
      </x:c>
      <x:c r="E61" s="38" t="n">
        <x:v>13</x:v>
      </x:c>
      <x:c r="F61" s="38" t="str">
        <x:v>Fiery, Deadly, Obsidian, Golden, Heavy, Icy, Mossy, Radiant, Restorative, Shielded, Shiny, Toxic, Turbo</x:v>
      </x:c>
      <x:c r="G61" s="38" t="str">
        <x:v>输出/火；来源标签 burn</x:v>
      </x:c>
    </x:row>
    <x:row r="62">
      <x:c r="A62" s="38" t="str">
        <x:v>pal_061</x:v>
      </x:c>
      <x:c r="B62" s="38" t="str">
        <x:v>苍焰赤豺</x:v>
      </x:c>
      <x:c r="C62" s="38" t="str">
        <x:v>bz_van_061</x:v>
      </x:c>
      <x:c r="D62" s="38" t="str">
        <x:v>Icy</x:v>
      </x:c>
      <x:c r="E62" s="38" t="n">
        <x:v>13</x:v>
      </x:c>
      <x:c r="F62" s="38" t="str">
        <x:v>Icy, Toxic, Obsidian, Deadly, Fiery, Golden, Heavy, Mossy, Radiant, Restorative, Shielded, Shiny, Turbo</x:v>
      </x:c>
      <x:c r="G62" s="38" t="str">
        <x:v>控制/雷；来源标签 apparel, tech, crit, slow</x:v>
      </x:c>
    </x:row>
    <x:row r="63">
      <x:c r="A63" s="38" t="str">
        <x:v>pal_062</x:v>
      </x:c>
      <x:c r="B63" s="38" t="str">
        <x:v>雷纹巨猿</x:v>
      </x:c>
      <x:c r="C63" s="38" t="str">
        <x:v>bz_van_062</x:v>
      </x:c>
      <x:c r="D63" s="38" t="str">
        <x:v>Turbo</x:v>
      </x:c>
      <x:c r="E63" s="38" t="n">
        <x:v>13</x:v>
      </x:c>
      <x:c r="F63" s="38" t="str">
        <x:v>Turbo, Deadly, Shiny, Fiery, Golden, Heavy, Icy, Mossy, Obsidian, Radiant, Restorative, Shielded, Toxic</x:v>
      </x:c>
      <x:c r="G63" s="38" t="str">
        <x:v>机动/雷；来源标签 weapon, damage, ammo, haste</x:v>
      </x:c>
    </x:row>
    <x:row r="64">
      <x:c r="A64" s="38" t="str">
        <x:v>pal_063</x:v>
      </x:c>
      <x:c r="B64" s="38" t="str">
        <x:v>蜃雾白鹿</x:v>
      </x:c>
      <x:c r="C64" s="38" t="str">
        <x:v>bz_van_063</x:v>
      </x:c>
      <x:c r="D64" s="38" t="str">
        <x:v>Toxic</x:v>
      </x:c>
      <x:c r="E64" s="38" t="n">
        <x:v>13</x:v>
      </x:c>
      <x:c r="F64" s="38" t="str">
        <x:v>Toxic, Icy, Obsidian, Deadly, Fiery, Golden, Heavy, Mossy, Radiant, Restorative, Shielded, Shiny, Turbo</x:v>
      </x:c>
      <x:c r="G64" s="38" t="str">
        <x:v>控制/草、水；来源标签 aquatic, friend, poison, haste</x:v>
      </x:c>
    </x:row>
    <x:row r="65">
      <x:c r="A65" s="38" t="str">
        <x:v>pal_064</x:v>
      </x:c>
      <x:c r="B65" s="38" t="str">
        <x:v>翠冠花螭</x:v>
      </x:c>
      <x:c r="C65" s="38" t="str">
        <x:v>bz_van_064</x:v>
      </x:c>
      <x:c r="D65" s="38" t="str">
        <x:v>Turbo</x:v>
      </x:c>
      <x:c r="E65" s="38" t="n">
        <x:v>13</x:v>
      </x:c>
      <x:c r="F65" s="38" t="str">
        <x:v>Turbo, Deadly, Shiny, Fiery, Golden, Heavy, Icy, Mossy, Obsidian, Radiant, Restorative, Shielded, Toxic</x:v>
      </x:c>
      <x:c r="G65" s="38" t="str">
        <x:v>机动/雷、龙；来源标签 weapon, vehicle, damage, flying</x:v>
      </x:c>
    </x:row>
    <x:row r="66">
      <x:c r="A66" s="38" t="str">
        <x:v>pal_065</x:v>
      </x:c>
      <x:c r="B66" s="38" t="str">
        <x:v>霆角龙犀</x:v>
      </x:c>
      <x:c r="C66" s="38" t="str">
        <x:v>bz_van_065</x:v>
      </x:c>
      <x:c r="D66" s="38" t="str">
        <x:v>Icy</x:v>
      </x:c>
      <x:c r="E66" s="38" t="n">
        <x:v>13</x:v>
      </x:c>
      <x:c r="F66" s="38" t="str">
        <x:v>Icy, Toxic, Obsidian, Deadly, Fiery, Golden, Heavy, Mossy, Radiant, Restorative, Shielded, Shiny, Turbo</x:v>
      </x:c>
      <x:c r="G66" s="38" t="str">
        <x:v>控制/暗；来源标签 weapon, damage, slow</x:v>
      </x:c>
    </x:row>
    <x:row r="67">
      <x:c r="A67" s="38" t="str">
        <x:v>pal_066</x:v>
      </x:c>
      <x:c r="B67" s="38" t="str">
        <x:v>浪鳞水蛇</x:v>
      </x:c>
      <x:c r="C67" s="38" t="str">
        <x:v>bz_van_066</x:v>
      </x:c>
      <x:c r="D67" s="38" t="str">
        <x:v>Deadly</x:v>
      </x:c>
      <x:c r="E67" s="38" t="n">
        <x:v>13</x:v>
      </x:c>
      <x:c r="F67" s="38" t="str">
        <x:v>Deadly, Fiery, Obsidian, Golden, Heavy, Icy, Mossy, Radiant, Restorative, Shielded, Shiny, Toxic, Turbo</x:v>
      </x:c>
      <x:c r="G67" s="38" t="str">
        <x:v>输出/地；来源标签 weapon, damage</x:v>
      </x:c>
    </x:row>
    <x:row r="68">
      <x:c r="A68" s="38" t="str">
        <x:v>pal_067</x:v>
      </x:c>
      <x:c r="B68" s="38" t="str">
        <x:v>沙鳞巨蟒</x:v>
      </x:c>
      <x:c r="C68" s="38" t="str">
        <x:v>bz_van_067</x:v>
      </x:c>
      <x:c r="D68" s="38" t="str">
        <x:v>Deadly</x:v>
      </x:c>
      <x:c r="E68" s="38" t="n">
        <x:v>13</x:v>
      </x:c>
      <x:c r="F68" s="38" t="str">
        <x:v>Deadly, Fiery, Obsidian, Golden, Heavy, Icy, Mossy, Radiant, Restorative, Shielded, Shiny, Toxic, Turbo</x:v>
      </x:c>
      <x:c r="G68" s="38" t="str">
        <x:v>输出/雷、龙；来源标签 apparel, relic, crit</x:v>
      </x:c>
    </x:row>
    <x:row r="69">
      <x:c r="A69" s="38" t="str">
        <x:v>pal_068</x:v>
      </x:c>
      <x:c r="B69" s="38" t="str">
        <x:v>食梦黑貘</x:v>
      </x:c>
      <x:c r="C69" s="38" t="str">
        <x:v>bz_van_068</x:v>
      </x:c>
      <x:c r="D69" s="38" t="str">
        <x:v>Icy</x:v>
      </x:c>
      <x:c r="E69" s="38" t="n">
        <x:v>13</x:v>
      </x:c>
      <x:c r="F69" s="38" t="str">
        <x:v>Icy, Toxic, Obsidian, Deadly, Fiery, Golden, Heavy, Mossy, Radiant, Restorative, Shielded, Shiny, Turbo</x:v>
      </x:c>
      <x:c r="G69" s="38" t="str">
        <x:v>控制/雷；来源标签 weapon, tech, damage, critreference, slowreference</x:v>
      </x:c>
    </x:row>
    <x:row r="70">
      <x:c r="A70" s="38" t="str">
        <x:v>pal_069</x:v>
      </x:c>
      <x:c r="B70" s="38" t="str">
        <x:v>碎岩巨龟</x:v>
      </x:c>
      <x:c r="C70" s="38" t="str">
        <x:v>bz_van_069</x:v>
      </x:c>
      <x:c r="D70" s="38" t="str">
        <x:v>Deadly</x:v>
      </x:c>
      <x:c r="E70" s="38" t="n">
        <x:v>13</x:v>
      </x:c>
      <x:c r="F70" s="38" t="str">
        <x:v>Deadly, Fiery, Obsidian, Golden, Heavy, Icy, Mossy, Radiant, Restorative, Shielded, Shiny, Toxic, Turbo</x:v>
      </x:c>
      <x:c r="G70" s="38" t="str">
        <x:v>输出/龙；来源标签 weapon, relic, damage</x:v>
      </x:c>
    </x:row>
    <x:row r="71">
      <x:c r="A71" s="38" t="str">
        <x:v>pal_070</x:v>
      </x:c>
      <x:c r="B71" s="38" t="str">
        <x:v>猫翼夜蝠</x:v>
      </x:c>
      <x:c r="C71" s="38" t="str">
        <x:v>bz_van_070</x:v>
      </x:c>
      <x:c r="D71" s="38" t="str">
        <x:v>Restorative</x:v>
      </x:c>
      <x:c r="E71" s="38" t="n">
        <x:v>13</x:v>
      </x:c>
      <x:c r="F71" s="38" t="str">
        <x:v>Restorative, Mossy, Radiant, Deadly, Fiery, Golden, Heavy, Icy, Obsidian, Shielded, Shiny, Toxic, Turbo</x:v>
      </x:c>
      <x:c r="G71" s="38" t="str">
        <x:v>治疗/水、地；来源标签 aquatic, shield, heal</x:v>
      </x:c>
    </x:row>
    <x:row r="72">
      <x:c r="A72" s="38" t="str">
        <x:v>pal_071</x:v>
      </x:c>
      <x:c r="B72" s="38" t="str">
        <x:v>甘露壁虎</x:v>
      </x:c>
      <x:c r="C72" s="38" t="str">
        <x:v>bz_van_071</x:v>
      </x:c>
      <x:c r="D72" s="38" t="str">
        <x:v>Fiery</x:v>
      </x:c>
      <x:c r="E72" s="38" t="n">
        <x:v>13</x:v>
      </x:c>
      <x:c r="F72" s="38" t="str">
        <x:v>Fiery, Deadly, Obsidian, Golden, Heavy, Icy, Mossy, Radiant, Restorative, Shielded, Shiny, Toxic, Turbo</x:v>
      </x:c>
      <x:c r="G72" s="38" t="str">
        <x:v>输出/火；来源标签 tool, burn</x:v>
      </x:c>
    </x:row>
    <x:row r="73">
      <x:c r="A73" s="38" t="str">
        <x:v>pal_072</x:v>
      </x:c>
      <x:c r="B73" s="38" t="str">
        <x:v>赤巢火蚁</x:v>
      </x:c>
      <x:c r="C73" s="38" t="str">
        <x:v>bz_van_072</x:v>
      </x:c>
      <x:c r="D73" s="38" t="str">
        <x:v>Fiery</x:v>
      </x:c>
      <x:c r="E73" s="38" t="n">
        <x:v>13</x:v>
      </x:c>
      <x:c r="F73" s="38" t="str">
        <x:v>Fiery, Icy, Toxic, Obsidian, Deadly, Golden, Heavy, Mossy, Radiant, Restorative, Shielded, Shiny, Turbo</x:v>
      </x:c>
      <x:c r="G73" s="38" t="str">
        <x:v>控制/火、水；来源标签 property, aquatic, burn, slow</x:v>
      </x:c>
    </x:row>
    <x:row r="74">
      <x:c r="A74" s="38" t="str">
        <x:v>pal_073</x:v>
      </x:c>
      <x:c r="B74" s="38" t="str">
        <x:v>烽翼火龙</x:v>
      </x:c>
      <x:c r="C74" s="38" t="str">
        <x:v>bz_van_073</x:v>
      </x:c>
      <x:c r="D74" s="38" t="str">
        <x:v>Golden</x:v>
      </x:c>
      <x:c r="E74" s="38" t="n">
        <x:v>13</x:v>
      </x:c>
      <x:c r="F74" s="38" t="str">
        <x:v>Golden, Shiny, Radiant, Deadly, Fiery, Heavy, Icy, Mossy, Obsidian, Restorative, Shielded, Toxic, Turbo</x:v>
      </x:c>
      <x:c r="G74" s="38" t="str">
        <x:v>经济/龙；来源标签 relic, economyreference, value, damagereference</x:v>
      </x:c>
    </x:row>
    <x:row r="75">
      <x:c r="A75" s="38" t="str">
        <x:v>pal_074</x:v>
      </x:c>
      <x:c r="B75" s="38" t="str">
        <x:v>霜翼冥龙</x:v>
      </x:c>
      <x:c r="C75" s="38" t="str">
        <x:v>bz_van_074</x:v>
      </x:c>
      <x:c r="D75" s="38" t="str">
        <x:v>Fiery</x:v>
      </x:c>
      <x:c r="E75" s="38" t="n">
        <x:v>13</x:v>
      </x:c>
      <x:c r="F75" s="38" t="str">
        <x:v>Fiery, Icy, Toxic, Obsidian, Deadly, Golden, Heavy, Mossy, Radiant, Restorative, Shielded, Shiny, Turbo</x:v>
      </x:c>
      <x:c r="G75" s="38" t="str">
        <x:v>控制/火、水；来源标签 aquatic, weapon, friend, damage, burn, slowreference, ammo</x:v>
      </x:c>
    </x:row>
    <x:row r="76">
      <x:c r="A76" s="38" t="str">
        <x:v>pal_075</x:v>
      </x:c>
      <x:c r="B76" s="38" t="str">
        <x:v>赤刃螳螂</x:v>
      </x:c>
      <x:c r="C76" s="38" t="str">
        <x:v>bz_van_075</x:v>
      </x:c>
      <x:c r="D76" s="38" t="str">
        <x:v>Deadly</x:v>
      </x:c>
      <x:c r="E76" s="38" t="n">
        <x:v>13</x:v>
      </x:c>
      <x:c r="F76" s="38" t="str">
        <x:v>Deadly, Turbo, Shiny, Fiery, Golden, Heavy, Icy, Mossy, Obsidian, Radiant, Restorative, Shielded, Toxic</x:v>
      </x:c>
      <x:c r="G76" s="38" t="str">
        <x:v>机动/水、雷；来源标签 aquatic, friend, weapon, crit, flying</x:v>
      </x:c>
    </x:row>
    <x:row r="77">
      <x:c r="A77" s="38" t="str">
        <x:v>pal_076</x:v>
      </x:c>
      <x:c r="B77" s="38" t="str">
        <x:v>迅雷金雕</x:v>
      </x:c>
      <x:c r="C77" s="38" t="str">
        <x:v>bz_van_076</x:v>
      </x:c>
      <x:c r="D77" s="38" t="str">
        <x:v>Icy</x:v>
      </x:c>
      <x:c r="E77" s="38" t="n">
        <x:v>13</x:v>
      </x:c>
      <x:c r="F77" s="38" t="str">
        <x:v>Icy, Heavy, Shielded, Mossy, Deadly, Fiery, Golden, Obsidian, Radiant, Restorative, Shiny, Toxic, Turbo</x:v>
      </x:c>
      <x:c r="G77" s="38" t="str">
        <x:v>坦克/水、地；来源标签 friend, aquatic, shield, hastereference, slowreference</x:v>
      </x:c>
    </x:row>
    <x:row r="78">
      <x:c r="A78" s="38" t="str">
        <x:v>pal_077</x:v>
      </x:c>
      <x:c r="B78" s="38" t="str">
        <x:v>燧火黑乌</x:v>
      </x:c>
      <x:c r="C78" s="38" t="str">
        <x:v>bz_van_077</x:v>
      </x:c>
      <x:c r="D78" s="38" t="str">
        <x:v>Fiery</x:v>
      </x:c>
      <x:c r="E78" s="38" t="n">
        <x:v>13</x:v>
      </x:c>
      <x:c r="F78" s="38" t="str">
        <x:v>Fiery, Deadly, Obsidian, Golden, Heavy, Icy, Mossy, Radiant, Restorative, Shielded, Shiny, Toxic, Turbo</x:v>
      </x:c>
      <x:c r="G78" s="38" t="str">
        <x:v>输出/火、雷；来源标签 weapon, damage, ammo, burnreference</x:v>
      </x:c>
    </x:row>
    <x:row r="79">
      <x:c r="A79" s="38" t="str">
        <x:v>pal_078</x:v>
      </x:c>
      <x:c r="B79" s="38" t="str">
        <x:v>幽泉灵猫</x:v>
      </x:c>
      <x:c r="C79" s="38" t="str">
        <x:v>bz_van_078</x:v>
      </x:c>
      <x:c r="D79" s="38" t="str">
        <x:v>Deadly</x:v>
      </x:c>
      <x:c r="E79" s="38" t="n">
        <x:v>13</x:v>
      </x:c>
      <x:c r="F79" s="38" t="str">
        <x:v>Deadly, Radiant, Mossy, Shielded, Fiery, Golden, Heavy, Icy, Obsidian, Restorative, Shiny, Toxic, Turbo</x:v>
      </x:c>
      <x:c r="G79" s="38" t="str">
        <x:v>召唤/水、龙；来源标签 aquatic, weapon, friend, damage</x:v>
      </x:c>
    </x:row>
    <x:row r="80">
      <x:c r="A80" s="38" t="str">
        <x:v>pal_079</x:v>
      </x:c>
      <x:c r="B80" s="38" t="str">
        <x:v>焰尾山狐</x:v>
      </x:c>
      <x:c r="C80" s="38" t="str">
        <x:v>bz_van_079</x:v>
      </x:c>
      <x:c r="D80" s="38" t="str">
        <x:v>Shielded</x:v>
      </x:c>
      <x:c r="E80" s="38" t="n">
        <x:v>13</x:v>
      </x:c>
      <x:c r="F80" s="38" t="str">
        <x:v>Shielded, Heavy, Mossy, Deadly, Fiery, Golden, Icy, Obsidian, Radiant, Restorative, Shiny, Toxic, Turbo</x:v>
      </x:c>
      <x:c r="G80" s="38" t="str">
        <x:v>坦克/雷、地；来源标签 toy, shield, ammo</x:v>
      </x:c>
    </x:row>
    <x:row r="81">
      <x:c r="A81" s="38" t="str">
        <x:v>pal_080</x:v>
      </x:c>
      <x:c r="B81" s="38" t="str">
        <x:v>踏春白兔</x:v>
      </x:c>
      <x:c r="C81" s="38" t="str">
        <x:v>bz_van_080</x:v>
      </x:c>
      <x:c r="D81" s="38" t="str">
        <x:v>Icy</x:v>
      </x:c>
      <x:c r="E81" s="38" t="n">
        <x:v>13</x:v>
      </x:c>
      <x:c r="F81" s="38" t="str">
        <x:v>Icy, Toxic, Obsidian, Deadly, Fiery, Golden, Heavy, Mossy, Radiant, Restorative, Shielded, Shiny, Turbo</x:v>
      </x:c>
      <x:c r="G81" s="38" t="str">
        <x:v>控制/水、龙；来源标签 aquatic, friend, weapon, damage, hastereference, slowreference</x:v>
      </x:c>
    </x:row>
    <x:row r="82">
      <x:c r="A82" s="38" t="str">
        <x:v>pal_081</x:v>
      </x:c>
      <x:c r="B82" s="38" t="str">
        <x:v>药香花鹿</x:v>
      </x:c>
      <x:c r="C82" s="38" t="str">
        <x:v>bz_van_081</x:v>
      </x:c>
      <x:c r="D82" s="38" t="str">
        <x:v>Fiery</x:v>
      </x:c>
      <x:c r="E82" s="38" t="n">
        <x:v>13</x:v>
      </x:c>
      <x:c r="F82" s="38" t="str">
        <x:v>Fiery, Deadly, Obsidian, Golden, Heavy, Icy, Mossy, Radiant, Restorative, Shielded, Shiny, Toxic, Turbo</x:v>
      </x:c>
      <x:c r="G82" s="38" t="str">
        <x:v>输出/火、雷；来源标签 apparel, tech, burn, critreference</x:v>
      </x:c>
    </x:row>
    <x:row r="83">
      <x:c r="A83" s="38" t="str">
        <x:v>pal_082</x:v>
      </x:c>
      <x:c r="B83" s="38" t="str">
        <x:v>冰丝巨蛾</x:v>
      </x:c>
      <x:c r="C83" s="38" t="str">
        <x:v>bz_van_082</x:v>
      </x:c>
      <x:c r="D83" s="38" t="str">
        <x:v>Golden</x:v>
      </x:c>
      <x:c r="E83" s="38" t="n">
        <x:v>13</x:v>
      </x:c>
      <x:c r="F83" s="38" t="str">
        <x:v>Golden, Shiny, Radiant, Deadly, Fiery, Heavy, Icy, Mossy, Obsidian, Restorative, Shielded, Toxic, Turbo</x:v>
      </x:c>
      <x:c r="G83" s="38" t="str">
        <x:v>经济/龙；来源标签 friend, damagereference, economyreference</x:v>
      </x:c>
    </x:row>
    <x:row r="84">
      <x:c r="A84" s="38" t="str">
        <x:v>pal_083</x:v>
      </x:c>
      <x:c r="B84" s="38" t="str">
        <x:v>云鳞幼螭</x:v>
      </x:c>
      <x:c r="C84" s="38" t="str">
        <x:v>bz_van_083</x:v>
      </x:c>
      <x:c r="D84" s="38" t="str">
        <x:v>Turbo</x:v>
      </x:c>
      <x:c r="E84" s="38" t="n">
        <x:v>13</x:v>
      </x:c>
      <x:c r="F84" s="38" t="str">
        <x:v>Turbo, Heavy, Shielded, Mossy, Deadly, Fiery, Golden, Icy, Obsidian, Radiant, Restorative, Shiny, Toxic</x:v>
      </x:c>
      <x:c r="G84" s="38" t="str">
        <x:v>坦克/水、雷；来源标签 aquatic, shield</x:v>
      </x:c>
    </x:row>
    <x:row r="85">
      <x:c r="A85" s="38" t="str">
        <x:v>pal_084</x:v>
      </x:c>
      <x:c r="B85" s="38" t="str">
        <x:v>沧浪青蛟</x:v>
      </x:c>
      <x:c r="C85" s="38" t="str">
        <x:v>bz_van_084</x:v>
      </x:c>
      <x:c r="D85" s="38" t="str">
        <x:v>Fiery</x:v>
      </x:c>
      <x:c r="E85" s="38" t="n">
        <x:v>13</x:v>
      </x:c>
      <x:c r="F85" s="38" t="str">
        <x:v>Fiery, Turbo, Deadly, Shiny, Golden, Heavy, Icy, Mossy, Obsidian, Radiant, Restorative, Shielded, Toxic</x:v>
      </x:c>
      <x:c r="G85" s="38" t="str">
        <x:v>机动/火、龙；来源标签 friend, burn, flying</x:v>
      </x:c>
    </x:row>
    <x:row r="86">
      <x:c r="A86" s="38" t="str">
        <x:v>pal_085</x:v>
      </x:c>
      <x:c r="B86" s="38" t="str">
        <x:v>涌泉水獭</x:v>
      </x:c>
      <x:c r="C86" s="38" t="str">
        <x:v>bz_van_085</x:v>
      </x:c>
      <x:c r="D86" s="38" t="str">
        <x:v>Deadly</x:v>
      </x:c>
      <x:c r="E86" s="38" t="n">
        <x:v>13</x:v>
      </x:c>
      <x:c r="F86" s="38" t="str">
        <x:v>Deadly, Radiant, Mossy, Shielded, Fiery, Golden, Heavy, Icy, Obsidian, Restorative, Shiny, Toxic, Turbo</x:v>
      </x:c>
      <x:c r="G86" s="38" t="str">
        <x:v>召唤/雷、地；来源标签 weapon, friend, toy, damage, crit</x:v>
      </x:c>
    </x:row>
    <x:row r="87">
      <x:c r="A87" s="38" t="str">
        <x:v>pal_086</x:v>
      </x:c>
      <x:c r="B87" s="38" t="str">
        <x:v>赤炎狻猊</x:v>
      </x:c>
      <x:c r="C87" s="38" t="str">
        <x:v>bz_van_086</x:v>
      </x:c>
      <x:c r="D87" s="38" t="str">
        <x:v>Turbo</x:v>
      </x:c>
      <x:c r="E87" s="38" t="n">
        <x:v>13</x:v>
      </x:c>
      <x:c r="F87" s="38" t="str">
        <x:v>Turbo, Deadly, Shiny, Fiery, Golden, Heavy, Icy, Mossy, Obsidian, Radiant, Restorative, Shielded, Toxic</x:v>
      </x:c>
      <x:c r="G87" s="38" t="str">
        <x:v>机动/龙；来源标签 haste</x:v>
      </x:c>
    </x:row>
    <x:row r="88">
      <x:c r="A88" s="38" t="str">
        <x:v>pal_087</x:v>
      </x:c>
      <x:c r="B88" s="38" t="str">
        <x:v>碧海青蛟</x:v>
      </x:c>
      <x:c r="C88" s="38" t="str">
        <x:v>bz_van_087</x:v>
      </x:c>
      <x:c r="D88" s="38" t="str">
        <x:v>Turbo</x:v>
      </x:c>
      <x:c r="E88" s="38" t="n">
        <x:v>13</x:v>
      </x:c>
      <x:c r="F88" s="38" t="str">
        <x:v>Turbo, Deadly, Shiny, Fiery, Golden, Heavy, Icy, Mossy, Obsidian, Radiant, Restorative, Shielded, Toxic</x:v>
      </x:c>
      <x:c r="G88" s="38" t="str">
        <x:v>机动/草、水；来源标签 aquatic, weapon, friend, damage, charge</x:v>
      </x:c>
    </x:row>
    <x:row r="89">
      <x:c r="A89" s="38" t="str">
        <x:v>pal_088</x:v>
      </x:c>
      <x:c r="B89" s="38" t="str">
        <x:v>冰棘豪猪</x:v>
      </x:c>
      <x:c r="C89" s="38" t="str">
        <x:v>bz_van_088</x:v>
      </x:c>
      <x:c r="D89" s="38" t="str">
        <x:v>Deadly</x:v>
      </x:c>
      <x:c r="E89" s="38" t="n">
        <x:v>13</x:v>
      </x:c>
      <x:c r="F89" s="38" t="str">
        <x:v>Deadly, Fiery, Obsidian, Golden, Heavy, Icy, Mossy, Radiant, Restorative, Shielded, Shiny, Toxic, Turbo</x:v>
      </x:c>
      <x:c r="G89" s="38" t="str">
        <x:v>输出/雷；来源标签 weapon, damage, ammo</x:v>
      </x:c>
    </x:row>
    <x:row r="90">
      <x:c r="A90" s="38" t="str">
        <x:v>pal_089</x:v>
      </x:c>
      <x:c r="B90" s="38" t="str">
        <x:v>狱火凶獒</x:v>
      </x:c>
      <x:c r="C90" s="38" t="str">
        <x:v>bz_van_089</x:v>
      </x:c>
      <x:c r="D90" s="38" t="str">
        <x:v>Fiery</x:v>
      </x:c>
      <x:c r="E90" s="38" t="n">
        <x:v>13</x:v>
      </x:c>
      <x:c r="F90" s="38" t="str">
        <x:v>Fiery, Deadly, Obsidian, Golden, Heavy, Icy, Mossy, Radiant, Restorative, Shielded, Shiny, Toxic, Turbo</x:v>
      </x:c>
      <x:c r="G90" s="38" t="str">
        <x:v>输出/火、雷；来源标签 toy, burn, ammo</x:v>
      </x:c>
    </x:row>
    <x:row r="91">
      <x:c r="A91" s="38" t="str">
        <x:v>pal_090</x:v>
      </x:c>
      <x:c r="B91" s="38" t="str">
        <x:v>三首火犬</x:v>
      </x:c>
      <x:c r="C91" s="38" t="str">
        <x:v>bz_van_090</x:v>
      </x:c>
      <x:c r="D91" s="38" t="str">
        <x:v>Turbo</x:v>
      </x:c>
      <x:c r="E91" s="38" t="n">
        <x:v>13</x:v>
      </x:c>
      <x:c r="F91" s="38" t="str">
        <x:v>Turbo, Deadly, Shiny, Fiery, Golden, Heavy, Icy, Mossy, Obsidian, Radiant, Restorative, Shielded, Toxic</x:v>
      </x:c>
      <x:c r="G91" s="38" t="str">
        <x:v>机动/水、雷；来源标签 property, aquatic, ammoreference, charge</x:v>
      </x:c>
    </x:row>
    <x:row r="92">
      <x:c r="A92" s="38" t="str">
        <x:v>pal_091</x:v>
      </x:c>
      <x:c r="B92" s="38" t="str">
        <x:v>覆水龙龟</x:v>
      </x:c>
      <x:c r="C92" s="38" t="str">
        <x:v>bz_van_091</x:v>
      </x:c>
      <x:c r="D92" s="38" t="str">
        <x:v>Deadly</x:v>
      </x:c>
      <x:c r="E92" s="38" t="n">
        <x:v>13</x:v>
      </x:c>
      <x:c r="F92" s="38" t="str">
        <x:v>Deadly, Fiery, Obsidian, Golden, Heavy, Icy, Mossy, Radiant, Restorative, Shielded, Shiny, Toxic, Turbo</x:v>
      </x:c>
      <x:c r="G92" s="38" t="str">
        <x:v>输出/雷；来源标签 tool, ammoreference</x:v>
      </x:c>
    </x:row>
    <x:row r="93">
      <x:c r="A93" s="38" t="str">
        <x:v>pal_092</x:v>
      </x:c>
      <x:c r="B93" s="38" t="str">
        <x:v>雷泽青蛟</x:v>
      </x:c>
      <x:c r="C93" s="38" t="str">
        <x:v>bz_van_092</x:v>
      </x:c>
      <x:c r="D93" s="38" t="str">
        <x:v>Fiery</x:v>
      </x:c>
      <x:c r="E93" s="38" t="n">
        <x:v>13</x:v>
      </x:c>
      <x:c r="F93" s="38" t="str">
        <x:v>Fiery, Restorative, Mossy, Radiant, Deadly, Golden, Heavy, Icy, Obsidian, Shielded, Shiny, Toxic, Turbo</x:v>
      </x:c>
      <x:c r="G93" s="38" t="str">
        <x:v>治疗/火、水；来源标签 weapon, damage, burnreference</x:v>
      </x:c>
    </x:row>
    <x:row r="94">
      <x:c r="A94" s="38" t="str">
        <x:v>pal_093</x:v>
      </x:c>
      <x:c r="B94" s="38" t="str">
        <x:v>连理双鹿</x:v>
      </x:c>
      <x:c r="C94" s="38" t="str">
        <x:v>bz_van_093</x:v>
      </x:c>
      <x:c r="D94" s="38" t="str">
        <x:v>Toxic</x:v>
      </x:c>
      <x:c r="E94" s="38" t="n">
        <x:v>13</x:v>
      </x:c>
      <x:c r="F94" s="38" t="str">
        <x:v>Toxic, Icy, Obsidian, Deadly, Fiery, Golden, Heavy, Mossy, Radiant, Restorative, Shielded, Shiny, Turbo</x:v>
      </x:c>
      <x:c r="G94" s="38" t="str">
        <x:v>控制/草、水；来源标签 aquatic, friend, poison, hastereference</x:v>
      </x:c>
    </x:row>
    <x:row r="95">
      <x:c r="A95" s="38" t="str">
        <x:v>pal_094</x:v>
      </x:c>
      <x:c r="B95" s="38" t="str">
        <x:v>海棠水鹿</x:v>
      </x:c>
      <x:c r="C95" s="38" t="str">
        <x:v>bz_van_094</x:v>
      </x:c>
      <x:c r="D95" s="38" t="str">
        <x:v>Deadly</x:v>
      </x:c>
      <x:c r="E95" s="38" t="n">
        <x:v>13</x:v>
      </x:c>
      <x:c r="F95" s="38" t="str">
        <x:v>Deadly, Fiery, Obsidian, Golden, Heavy, Icy, Mossy, Radiant, Restorative, Shielded, Shiny, Toxic, Turbo</x:v>
      </x:c>
      <x:c r="G95" s="38" t="str">
        <x:v>输出/雷；来源标签 tool, ammoreference, crit</x:v>
      </x:c>
    </x:row>
    <x:row r="96">
      <x:c r="A96" s="38" t="str">
        <x:v>pal_095</x:v>
      </x:c>
      <x:c r="B96" s="38" t="str">
        <x:v>百花灵鹿</x:v>
      </x:c>
      <x:c r="C96" s="38" t="str">
        <x:v>bz_van_095</x:v>
      </x:c>
      <x:c r="D96" s="38" t="str">
        <x:v>Deadly</x:v>
      </x:c>
      <x:c r="E96" s="38" t="n">
        <x:v>13</x:v>
      </x:c>
      <x:c r="F96" s="38" t="str">
        <x:v>Deadly, Fiery, Obsidian, Golden, Heavy, Icy, Mossy, Radiant, Restorative, Shielded, Shiny, Toxic, Turbo</x:v>
      </x:c>
      <x:c r="G96" s="38" t="str">
        <x:v>输出/雷；来源标签 weapon, damage, ammo</x:v>
      </x:c>
    </x:row>
    <x:row r="97">
      <x:c r="A97" s="38" t="str">
        <x:v>pal_096</x:v>
      </x:c>
      <x:c r="B97" s="38" t="str">
        <x:v>熔岩巨兽</x:v>
      </x:c>
      <x:c r="C97" s="38" t="str">
        <x:v>bz_van_096</x:v>
      </x:c>
      <x:c r="D97" s="38" t="str">
        <x:v>Deadly</x:v>
      </x:c>
      <x:c r="E97" s="38" t="n">
        <x:v>13</x:v>
      </x:c>
      <x:c r="F97" s="38" t="str">
        <x:v>Deadly, Fiery, Obsidian, Golden, Heavy, Icy, Mossy, Radiant, Restorative, Shielded, Shiny, Toxic, Turbo</x:v>
      </x:c>
      <x:c r="G97" s="38" t="str">
        <x:v>输出/雷；来源标签 weapon, damage, ammo</x:v>
      </x:c>
    </x:row>
    <x:row r="98">
      <x:c r="A98" s="38" t="str">
        <x:v>pal_097</x:v>
      </x:c>
      <x:c r="B98" s="38" t="str">
        <x:v>寒岩巨兽</x:v>
      </x:c>
      <x:c r="C98" s="38" t="str">
        <x:v>bz_van_097</x:v>
      </x:c>
      <x:c r="D98" s="38" t="str">
        <x:v>Deadly</x:v>
      </x:c>
      <x:c r="E98" s="38" t="n">
        <x:v>13</x:v>
      </x:c>
      <x:c r="F98" s="38" t="str">
        <x:v>Deadly, Fiery, Obsidian, Golden, Heavy, Icy, Mossy, Radiant, Restorative, Shielded, Shiny, Toxic, Turbo</x:v>
      </x:c>
      <x:c r="G98" s="38" t="str">
        <x:v>输出/雷；来源标签 weapon, damage, ammo</x:v>
      </x:c>
    </x:row>
    <x:row r="99">
      <x:c r="A99" s="38" t="str">
        <x:v>pal_098</x:v>
      </x:c>
      <x:c r="B99" s="38" t="str">
        <x:v>云顶巨驼</x:v>
      </x:c>
      <x:c r="C99" s="38" t="str">
        <x:v>bz_van_098</x:v>
      </x:c>
      <x:c r="D99" s="38" t="str">
        <x:v>Turbo</x:v>
      </x:c>
      <x:c r="E99" s="38" t="n">
        <x:v>13</x:v>
      </x:c>
      <x:c r="F99" s="38" t="str">
        <x:v>Turbo, Deadly, Shiny, Fiery, Golden, Heavy, Icy, Mossy, Obsidian, Radiant, Restorative, Shielded, Toxic</x:v>
      </x:c>
      <x:c r="G99" s="38" t="str">
        <x:v>机动/水、雷；来源标签 aquatic, vehicle, charge, cooldown</x:v>
      </x:c>
    </x:row>
    <x:row r="100">
      <x:c r="A100" s="38" t="str">
        <x:v>pal_099</x:v>
      </x:c>
      <x:c r="B100" s="38" t="str">
        <x:v>冰峰巨驼</x:v>
      </x:c>
      <x:c r="C100" s="38" t="str">
        <x:v>bz_van_099</x:v>
      </x:c>
      <x:c r="D100" s="38" t="str">
        <x:v>Toxic</x:v>
      </x:c>
      <x:c r="E100" s="38" t="n">
        <x:v>13</x:v>
      </x:c>
      <x:c r="F100" s="38" t="str">
        <x:v>Toxic, Icy, Obsidian, Deadly, Fiery, Golden, Heavy, Mossy, Radiant, Restorative, Shielded, Shiny, Turbo</x:v>
      </x:c>
      <x:c r="G100" s="38" t="str">
        <x:v>控制/草、水；来源标签 weapon, relic, aquatic, damage, poison, crit, hastereference</x:v>
      </x:c>
    </x:row>
    <x:row r="101">
      <x:c r="A101" s="38" t="str">
        <x:v>pal_100</x:v>
      </x:c>
      <x:c r="B101" s="38" t="str">
        <x:v>青林巨象</x:v>
      </x:c>
      <x:c r="C101" s="38" t="str">
        <x:v>bz_van_100</x:v>
      </x:c>
      <x:c r="D101" s="38" t="str">
        <x:v>Shielded</x:v>
      </x:c>
      <x:c r="E101" s="38" t="n">
        <x:v>13</x:v>
      </x:c>
      <x:c r="F101" s="38" t="str">
        <x:v>Shielded, Heavy, Mossy, Deadly, Fiery, Golden, Icy, Obsidian, Radiant, Restorative, Shiny, Toxic, Turbo</x:v>
      </x:c>
      <x:c r="G101" s="38" t="str">
        <x:v>坦克/水、地；来源标签 aquatic, shield</x:v>
      </x:c>
    </x:row>
    <x:row r="102">
      <x:c r="A102" s="38" t="str">
        <x:v>pal_101</x:v>
      </x:c>
      <x:c r="B102" s="38" t="str">
        <x:v>白牙雪象</x:v>
      </x:c>
      <x:c r="C102" s="38" t="str">
        <x:v>bz_van_101</x:v>
      </x:c>
      <x:c r="D102" s="38" t="str">
        <x:v>Icy</x:v>
      </x:c>
      <x:c r="E102" s="38" t="n">
        <x:v>13</x:v>
      </x:c>
      <x:c r="F102" s="38" t="str">
        <x:v>Icy, Toxic, Obsidian, Deadly, Fiery, Golden, Heavy, Mossy, Radiant, Restorative, Shielded, Shiny, Turbo</x:v>
      </x:c>
      <x:c r="G102" s="38" t="str">
        <x:v>控制/水、龙；来源标签 aquatic, property, haste, slow</x:v>
      </x:c>
    </x:row>
    <x:row r="103">
      <x:c r="A103" s="38" t="str">
        <x:v>pal_102</x:v>
      </x:c>
      <x:c r="B103" s="38" t="str">
        <x:v>白绒雪猿</x:v>
      </x:c>
      <x:c r="C103" s="38" t="str">
        <x:v>bz_van_102</x:v>
      </x:c>
      <x:c r="D103" s="38" t="str">
        <x:v>Turbo</x:v>
      </x:c>
      <x:c r="E103" s="38" t="n">
        <x:v>13</x:v>
      </x:c>
      <x:c r="F103" s="38" t="str">
        <x:v>Turbo, Deadly, Shiny, Fiery, Golden, Heavy, Icy, Mossy, Obsidian, Radiant, Restorative, Shielded, Toxic</x:v>
      </x:c>
      <x:c r="G103" s="38" t="str">
        <x:v>机动/暗、龙；来源标签 friend, vehicle, cooldown</x:v>
      </x:c>
    </x:row>
    <x:row r="104">
      <x:c r="A104" s="38" t="str">
        <x:v>pal_103</x:v>
      </x:c>
      <x:c r="B104" s="38" t="str">
        <x:v>绿苔巨猿</x:v>
      </x:c>
      <x:c r="C104" s="38" t="str">
        <x:v>bz_van_103</x:v>
      </x:c>
      <x:c r="D104" s="38" t="str">
        <x:v>Restorative</x:v>
      </x:c>
      <x:c r="E104" s="38" t="n">
        <x:v>13</x:v>
      </x:c>
      <x:c r="F104" s="38" t="str">
        <x:v>Restorative, Mossy, Radiant, Deadly, Fiery, Golden, Heavy, Icy, Obsidian, Shielded, Shiny, Toxic, Turbo</x:v>
      </x:c>
      <x:c r="G104" s="38" t="str">
        <x:v>治疗/水；来源标签 aquatic, heal</x:v>
      </x:c>
    </x:row>
    <x:row r="105">
      <x:c r="A105" s="38" t="str">
        <x:v>pal_104</x:v>
      </x:c>
      <x:c r="B105" s="38" t="str">
        <x:v>铁甲巨兕</x:v>
      </x:c>
      <x:c r="C105" s="38" t="str">
        <x:v>bz_van_104</x:v>
      </x:c>
      <x:c r="D105" s="38" t="str">
        <x:v>Turbo</x:v>
      </x:c>
      <x:c r="E105" s="38" t="n">
        <x:v>13</x:v>
      </x:c>
      <x:c r="F105" s="38" t="str">
        <x:v>Turbo, Deadly, Shiny, Fiery, Golden, Heavy, Icy, Mossy, Obsidian, Radiant, Restorative, Shielded, Toxic</x:v>
      </x:c>
      <x:c r="G105" s="38" t="str">
        <x:v>机动/水、雷；来源标签 aquatic, tool, crit, haste</x:v>
      </x:c>
    </x:row>
    <x:row r="106">
      <x:c r="A106" s="38" t="str">
        <x:v>pal_105</x:v>
      </x:c>
      <x:c r="B106" s="38" t="str">
        <x:v>云海白鹿</x:v>
      </x:c>
      <x:c r="C106" s="38" t="str">
        <x:v>bz_van_105</x:v>
      </x:c>
      <x:c r="D106" s="38" t="str">
        <x:v>Deadly</x:v>
      </x:c>
      <x:c r="E106" s="38" t="n">
        <x:v>13</x:v>
      </x:c>
      <x:c r="F106" s="38" t="str">
        <x:v>Deadly, Fiery, Obsidian, Golden, Heavy, Icy, Mossy, Radiant, Restorative, Shielded, Shiny, Toxic, Turbo</x:v>
      </x:c>
      <x:c r="G106" s="38" t="str">
        <x:v>输出/水；来源标签 aquatic, weapon, damage</x:v>
      </x:c>
    </x:row>
    <x:row r="107">
      <x:c r="A107" s="38" t="str">
        <x:v>pal_106</x:v>
      </x:c>
      <x:c r="B107" s="38" t="str">
        <x:v>夜幕巨蝠</x:v>
      </x:c>
      <x:c r="C107" s="38" t="str">
        <x:v>bz_van_106</x:v>
      </x:c>
      <x:c r="D107" s="38" t="str">
        <x:v>Toxic</x:v>
      </x:c>
      <x:c r="E107" s="38" t="n">
        <x:v>13</x:v>
      </x:c>
      <x:c r="F107" s="38" t="str">
        <x:v>Toxic, Icy, Obsidian, Deadly, Fiery, Golden, Heavy, Mossy, Radiant, Restorative, Shielded, Shiny, Turbo</x:v>
      </x:c>
      <x:c r="G107" s="38" t="str">
        <x:v>控制/草、水；来源标签 aquatic, weapon, friend, ray, damage, hastereference, poisonreference</x:v>
      </x:c>
    </x:row>
    <x:row r="108">
      <x:c r="A108" s="38" t="str">
        <x:v>pal_107</x:v>
      </x:c>
      <x:c r="B108" s="38" t="str">
        <x:v>天羽云螭</x:v>
      </x:c>
      <x:c r="C108" s="38" t="str">
        <x:v>bz_van_107</x:v>
      </x:c>
      <x:c r="D108" s="38" t="str">
        <x:v>Radiant</x:v>
      </x:c>
      <x:c r="E108" s="38" t="n">
        <x:v>13</x:v>
      </x:c>
      <x:c r="F108" s="38" t="str">
        <x:v>Radiant, Mossy, Shielded, Deadly, Fiery, Golden, Heavy, Icy, Obsidian, Restorative, Shiny, Toxic, Turbo</x:v>
      </x:c>
      <x:c r="G108" s="38" t="str">
        <x:v>召唤/水、龙；来源标签 aquatic, vehicle, property, relic</x:v>
      </x:c>
    </x:row>
    <x:row r="109">
      <x:c r="A109" s="38" t="str">
        <x:v>pal_108</x:v>
      </x:c>
      <x:c r="B109" s="38" t="str">
        <x:v>焰羽赤雕</x:v>
      </x:c>
      <x:c r="C109" s="38" t="str">
        <x:v>bz_van_108</x:v>
      </x:c>
      <x:c r="D109" s="38" t="str">
        <x:v>Deadly</x:v>
      </x:c>
      <x:c r="E109" s="38" t="n">
        <x:v>13</x:v>
      </x:c>
      <x:c r="F109" s="38" t="str">
        <x:v>Deadly, Fiery, Obsidian, Golden, Heavy, Icy, Mossy, Radiant, Restorative, Shielded, Shiny, Toxic, Turbo</x:v>
      </x:c>
      <x:c r="G109" s="38" t="str">
        <x:v>输出/雷；来源标签 weapon, apparel, damage, crit</x:v>
      </x:c>
    </x:row>
    <x:row r="110">
      <x:c r="A110" s="38" t="str">
        <x:v>pal_109</x:v>
      </x:c>
      <x:c r="B110" s="38" t="str">
        <x:v>冥羽黑乌</x:v>
      </x:c>
      <x:c r="C110" s="38" t="str">
        <x:v>bz_van_109</x:v>
      </x:c>
      <x:c r="D110" s="38" t="str">
        <x:v>Icy</x:v>
      </x:c>
      <x:c r="E110" s="38" t="n">
        <x:v>13</x:v>
      </x:c>
      <x:c r="F110" s="38" t="str">
        <x:v>Icy, Toxic, Obsidian, Deadly, Fiery, Golden, Heavy, Mossy, Radiant, Restorative, Shielded, Shiny, Turbo</x:v>
      </x:c>
      <x:c r="G110" s="38" t="str">
        <x:v>控制/雷；来源标签 ammo, haste, slow</x:v>
      </x:c>
    </x:row>
    <x:row r="111">
      <x:c r="A111" s="38" t="str">
        <x:v>pal_110</x:v>
      </x:c>
      <x:c r="B111" s="38" t="str">
        <x:v>渊鳞黑蛟</x:v>
      </x:c>
      <x:c r="C111" s="38" t="str">
        <x:v>bz_van_110</x:v>
      </x:c>
      <x:c r="D111" s="38" t="str">
        <x:v>Deadly</x:v>
      </x:c>
      <x:c r="E111" s="38" t="n">
        <x:v>13</x:v>
      </x:c>
      <x:c r="F111" s="38" t="str">
        <x:v>Deadly, Fiery, Obsidian, Golden, Heavy, Icy, Mossy, Radiant, Restorative, Shielded, Shiny, Toxic, Turbo</x:v>
      </x:c>
      <x:c r="G111" s="38" t="str">
        <x:v>输出/雷；来源标签 weapon, tool, damage</x:v>
      </x:c>
    </x:row>
    <x:row r="112">
      <x:c r="A112" s="38" t="str">
        <x:v>pal_111</x:v>
      </x:c>
      <x:c r="B112" s="38" t="str">
        <x:v>毒甲蝎将</x:v>
      </x:c>
      <x:c r="C112" s="38" t="str">
        <x:v>bz_van_111</x:v>
      </x:c>
      <x:c r="D112" s="38" t="str">
        <x:v>Deadly</x:v>
      </x:c>
      <x:c r="E112" s="38" t="n">
        <x:v>13</x:v>
      </x:c>
      <x:c r="F112" s="38" t="str">
        <x:v>Deadly, Fiery, Obsidian, Golden, Heavy, Icy, Mossy, Radiant, Restorative, Shielded, Shiny, Toxic, Turbo</x:v>
      </x:c>
      <x:c r="G112" s="38" t="str">
        <x:v>输出/雷；来源标签 weapon, damage, ammo</x:v>
      </x:c>
    </x:row>
    <x:row r="113">
      <x:c r="A113" s="38" t="str">
        <x:v>pal_112</x:v>
      </x:c>
      <x:c r="B113" s="38" t="str">
        <x:v>石猿战将</x:v>
      </x:c>
      <x:c r="C113" s="38" t="str">
        <x:v>bz_van_112</x:v>
      </x:c>
      <x:c r="D113" s="38" t="str">
        <x:v>Fiery</x:v>
      </x:c>
      <x:c r="E113" s="38" t="n">
        <x:v>13</x:v>
      </x:c>
      <x:c r="F113" s="38" t="str">
        <x:v>Fiery, Icy, Toxic, Obsidian, Deadly, Golden, Heavy, Mossy, Radiant, Restorative, Shielded, Shiny, Turbo</x:v>
      </x:c>
      <x:c r="G113" s="38" t="str">
        <x:v>控制/火、冰；来源标签 friend, aquatic, weapon, relic, poisonreference, freezereference, burnreference, damage</x:v>
      </x:c>
    </x:row>
    <x:row r="114">
      <x:c r="A114" s="38" t="str">
        <x:v>pal_113</x:v>
      </x:c>
      <x:c r="B114" s="38" t="str">
        <x:v>覆海蛟王</x:v>
      </x:c>
      <x:c r="C114" s="38" t="str">
        <x:v>bz_van_113</x:v>
      </x:c>
      <x:c r="D114" s="38" t="str">
        <x:v>Deadly</x:v>
      </x:c>
      <x:c r="E114" s="38" t="n">
        <x:v>13</x:v>
      </x:c>
      <x:c r="F114" s="38" t="str">
        <x:v>Deadly, Fiery, Obsidian, Golden, Heavy, Icy, Mossy, Radiant, Restorative, Shielded, Shiny, Toxic, Turbo</x:v>
      </x:c>
      <x:c r="G114" s="38" t="str">
        <x:v>输出/水；来源标签 weapon, damage</x:v>
      </x:c>
    </x:row>
    <x:row r="115">
      <x:c r="A115" s="38" t="str">
        <x:v>pal_114</x:v>
      </x:c>
      <x:c r="B115" s="38" t="str">
        <x:v>赤焰龙君</x:v>
      </x:c>
      <x:c r="C115" s="38" t="str">
        <x:v>bz_van_114</x:v>
      </x:c>
      <x:c r="D115" s="38" t="str">
        <x:v>Icy</x:v>
      </x:c>
      <x:c r="E115" s="38" t="n">
        <x:v>13</x:v>
      </x:c>
      <x:c r="F115" s="38" t="str">
        <x:v>Icy, Toxic, Obsidian, Deadly, Fiery, Golden, Heavy, Mossy, Radiant, Restorative, Shielded, Shiny, Turbo</x:v>
      </x:c>
      <x:c r="G115" s="38" t="str">
        <x:v>控制/雷；来源标签 tool, crit, cooldown, slowreference</x:v>
      </x:c>
    </x:row>
    <x:row r="116">
      <x:c r="A116" s="38" t="str">
        <x:v>pal_115</x:v>
      </x:c>
      <x:c r="B116" s="38" t="str">
        <x:v>南明朱雀</x:v>
      </x:c>
      <x:c r="C116" s="38" t="str">
        <x:v>bz_van_115</x:v>
      </x:c>
      <x:c r="D116" s="38" t="str">
        <x:v>Turbo</x:v>
      </x:c>
      <x:c r="E116" s="38" t="n">
        <x:v>13</x:v>
      </x:c>
      <x:c r="F116" s="38" t="str">
        <x:v>Turbo, Deadly, Shiny, Fiery, Golden, Heavy, Icy, Mossy, Obsidian, Radiant, Restorative, Shielded, Toxic</x:v>
      </x:c>
      <x:c r="G116" s="38" t="str">
        <x:v>机动/雷、龙；来源标签 tool, relic, cooldown, crit</x:v>
      </x:c>
    </x:row>
    <x:row r="117">
      <x:c r="A117" s="38" t="str">
        <x:v>pal_116</x:v>
      </x:c>
      <x:c r="B117" s="38" t="str">
        <x:v>净瓶青鸾</x:v>
      </x:c>
      <x:c r="C117" s="38" t="str">
        <x:v>bz_van_116</x:v>
      </x:c>
      <x:c r="D117" s="38" t="str">
        <x:v>Deadly</x:v>
      </x:c>
      <x:c r="E117" s="38" t="n">
        <x:v>13</x:v>
      </x:c>
      <x:c r="F117" s="38" t="str">
        <x:v>Deadly, Turbo, Shiny, Fiery, Golden, Heavy, Icy, Mossy, Obsidian, Radiant, Restorative, Shielded, Toxic</x:v>
      </x:c>
      <x:c r="G117" s="38" t="str">
        <x:v>机动/龙；来源标签 vehicle, tech, flying</x:v>
      </x:c>
    </x:row>
    <x:row r="118">
      <x:c r="A118" s="38" t="str">
        <x:v>pal_117</x:v>
      </x:c>
      <x:c r="B118" s="38" t="str">
        <x:v>九霄熊王</x:v>
      </x:c>
      <x:c r="C118" s="38" t="str">
        <x:v>bz_van_117</x:v>
      </x:c>
      <x:c r="D118" s="38" t="str">
        <x:v>Icy</x:v>
      </x:c>
      <x:c r="E118" s="38" t="n">
        <x:v>13</x:v>
      </x:c>
      <x:c r="F118" s="38" t="str">
        <x:v>Icy, Heavy, Shielded, Mossy, Deadly, Fiery, Golden, Obsidian, Radiant, Restorative, Shiny, Toxic, Turbo</x:v>
      </x:c>
      <x:c r="G118" s="38" t="str">
        <x:v>坦克/冰、水；来源标签 aquatic, weapon, vehicle, tech, damage, shield</x:v>
      </x:c>
    </x:row>
    <x:row r="119">
      <x:c r="A119" s="38" t="str">
        <x:v>pal_118</x:v>
      </x:c>
      <x:c r="B119" s="38" t="str">
        <x:v>百花鹿仙</x:v>
      </x:c>
      <x:c r="C119" s="38" t="str">
        <x:v>bz_van_118</x:v>
      </x:c>
      <x:c r="D119" s="38" t="str">
        <x:v>Turbo</x:v>
      </x:c>
      <x:c r="E119" s="38" t="n">
        <x:v>13</x:v>
      </x:c>
      <x:c r="F119" s="38" t="str">
        <x:v>Turbo, Heavy, Shielded, Mossy, Deadly, Fiery, Golden, Icy, Obsidian, Radiant, Restorative, Shiny, Toxic</x:v>
      </x:c>
      <x:c r="G119" s="38" t="str">
        <x:v>坦克/水、地；来源标签 aquatic, tool, vehicle, tech, damagereference, shieldreference</x:v>
      </x:c>
    </x:row>
    <x:row r="120">
      <x:c r="A120" s="38" t="str">
        <x:v>pal_119</x:v>
      </x:c>
      <x:c r="B120" s="38" t="str">
        <x:v>黑月狐姬</x:v>
      </x:c>
      <x:c r="C120" s="38" t="str">
        <x:v>bz_van_119</x:v>
      </x:c>
      <x:c r="D120" s="38" t="str">
        <x:v>Turbo</x:v>
      </x:c>
      <x:c r="E120" s="38" t="n">
        <x:v>13</x:v>
      </x:c>
      <x:c r="F120" s="38" t="str">
        <x:v>Turbo, Deadly, Shiny, Fiery, Golden, Heavy, Icy, Mossy, Obsidian, Radiant, Restorative, Shielded, Toxic</x:v>
      </x:c>
      <x:c r="G120" s="38" t="str">
        <x:v>机动/水；来源标签 tech, damagereference, cooldown</x:v>
      </x:c>
    </x:row>
    <x:row r="121">
      <x:c r="A121" s="38" t="str">
        <x:v>pal_120</x:v>
      </x:c>
      <x:c r="B121" s="38" t="str">
        <x:v>火云鹏王</x:v>
      </x:c>
      <x:c r="C121" s="38" t="str">
        <x:v>bz_van_120</x:v>
      </x:c>
      <x:c r="D121" s="38" t="str">
        <x:v>Restorative</x:v>
      </x:c>
      <x:c r="E121" s="38" t="n">
        <x:v>13</x:v>
      </x:c>
      <x:c r="F121" s="38" t="str">
        <x:v>Restorative, Mossy, Radiant, Deadly, Fiery, Golden, Heavy, Icy, Obsidian, Shielded, Shiny, Toxic, Turbo</x:v>
      </x:c>
      <x:c r="G121" s="38" t="str">
        <x:v>治疗/水、雷；来源标签 apparel, crit, damagereference, healreference, shieldreference</x:v>
      </x:c>
    </x:row>
    <x:row r="122">
      <x:c r="A122" s="38" t="str">
        <x:v>pal_121</x:v>
      </x:c>
      <x:c r="B122" s="38" t="str">
        <x:v>雷泽龙王</x:v>
      </x:c>
      <x:c r="C122" s="38" t="str">
        <x:v>bz_van_121</x:v>
      </x:c>
      <x:c r="D122" s="38" t="str">
        <x:v>Deadly</x:v>
      </x:c>
      <x:c r="E122" s="38" t="n">
        <x:v>13</x:v>
      </x:c>
      <x:c r="F122" s="38" t="str">
        <x:v>Deadly, Fiery, Obsidian, Golden, Heavy, Icy, Mossy, Radiant, Restorative, Shielded, Shiny, Toxic, Turbo</x:v>
      </x:c>
      <x:c r="G122" s="38" t="str">
        <x:v>输出/暗；来源标签 weapon, damage</x:v>
      </x:c>
    </x:row>
    <x:row r="123">
      <x:c r="A123" s="38" t="str">
        <x:v>pal_122</x:v>
      </x:c>
      <x:c r="B123" s="38" t="str">
        <x:v>玄羽雕尊</x:v>
      </x:c>
      <x:c r="C123" s="38" t="str">
        <x:v>bz_van_122</x:v>
      </x:c>
      <x:c r="D123" s="38" t="str">
        <x:v>Restorative</x:v>
      </x:c>
      <x:c r="E123" s="38" t="n">
        <x:v>13</x:v>
      </x:c>
      <x:c r="F123" s="38" t="str">
        <x:v>Restorative, Mossy, Radiant, Deadly, Fiery, Golden, Heavy, Icy, Obsidian, Shielded, Shiny, Toxic, Turbo</x:v>
      </x:c>
      <x:c r="G123" s="38" t="str">
        <x:v>治疗/水、雷；来源标签 weapon, relic, trap, damage, ammo</x:v>
      </x:c>
    </x:row>
    <x:row r="124">
      <x:c r="A124" s="38" t="str">
        <x:v>pal_123</x:v>
      </x:c>
      <x:c r="B124" s="38" t="str">
        <x:v>白象护法</x:v>
      </x:c>
      <x:c r="C124" s="38" t="str">
        <x:v>bz_van_123</x:v>
      </x:c>
      <x:c r="D124" s="38" t="str">
        <x:v>Deadly</x:v>
      </x:c>
      <x:c r="E124" s="38" t="n">
        <x:v>13</x:v>
      </x:c>
      <x:c r="F124" s="38" t="str">
        <x:v>Deadly, Fiery, Obsidian, Golden, Heavy, Icy, Mossy, Radiant, Restorative, Shielded, Shiny, Toxic, Turbo</x:v>
      </x:c>
      <x:c r="G124" s="38" t="str">
        <x:v>输出/雷；来源标签 weapon, damage, critreference, ammo</x:v>
      </x:c>
    </x:row>
    <x:row r="125">
      <x:c r="A125" s="38" t="str">
        <x:v>pal_124</x:v>
      </x:c>
      <x:c r="B125" s="38" t="str">
        <x:v>混世魔猿</x:v>
      </x:c>
      <x:c r="C125" s="38" t="str">
        <x:v>bz_van_124</x:v>
      </x:c>
      <x:c r="D125" s="38" t="str">
        <x:v>Deadly</x:v>
      </x:c>
      <x:c r="E125" s="38" t="n">
        <x:v>13</x:v>
      </x:c>
      <x:c r="F125" s="38" t="str">
        <x:v>Deadly, Fiery, Obsidian, Golden, Heavy, Icy, Mossy, Radiant, Restorative, Shielded, Shiny, Toxic, Turbo</x:v>
      </x:c>
      <x:c r="G125" s="38" t="str">
        <x:v>输出/雷；来源标签 weapon, damage, critreference</x:v>
      </x:c>
    </x:row>
    <x:row r="126">
      <x:c r="A126" s="38" t="str">
        <x:v>pal_125</x:v>
      </x:c>
      <x:c r="B126" s="38" t="str">
        <x:v>寒狮妖王</x:v>
      </x:c>
      <x:c r="C126" s="38" t="str">
        <x:v>bz_van_125</x:v>
      </x:c>
      <x:c r="D126" s="38" t="str">
        <x:v>Deadly</x:v>
      </x:c>
      <x:c r="E126" s="38" t="n">
        <x:v>13</x:v>
      </x:c>
      <x:c r="F126" s="38" t="str">
        <x:v>Deadly, Fiery, Obsidian, Golden, Heavy, Icy, Mossy, Radiant, Restorative, Shielded, Shiny, Toxic, Turbo</x:v>
      </x:c>
      <x:c r="G126" s="38" t="str">
        <x:v>输出/水、雷；来源标签 aquatic, weapon, tech, damage, ammo</x:v>
      </x:c>
    </x:row>
    <x:row r="127">
      <x:c r="A127" s="38" t="str">
        <x:v>pal_126</x:v>
      </x:c>
      <x:c r="B127" s="38" t="str">
        <x:v>幽冥獒王</x:v>
      </x:c>
      <x:c r="C127" s="38" t="str">
        <x:v>bz_van_126</x:v>
      </x:c>
      <x:c r="D127" s="38" t="str">
        <x:v>Turbo</x:v>
      </x:c>
      <x:c r="E127" s="38" t="n">
        <x:v>13</x:v>
      </x:c>
      <x:c r="F127" s="38" t="str">
        <x:v>Turbo, Deadly, Shiny, Fiery, Golden, Heavy, Icy, Mossy, Obsidian, Radiant, Restorative, Shielded, Toxic</x:v>
      </x:c>
      <x:c r="G127" s="38" t="str">
        <x:v>机动/水、雷；来源标签 aquatic, friend, vehicle, weapon, damage, haste</x:v>
      </x:c>
    </x:row>
    <x:row r="128">
      <x:c r="A128" s="38" t="str">
        <x:v>pal_127</x:v>
      </x:c>
      <x:c r="B128" s="38" t="str">
        <x:v>九天龙君</x:v>
      </x:c>
      <x:c r="C128" s="38" t="str">
        <x:v>bz_van_127</x:v>
      </x:c>
      <x:c r="D128" s="38" t="str">
        <x:v>Fiery</x:v>
      </x:c>
      <x:c r="E128" s="38" t="n">
        <x:v>13</x:v>
      </x:c>
      <x:c r="F128" s="38" t="str">
        <x:v>Fiery, Turbo, Deadly, Shiny, Golden, Heavy, Icy, Mossy, Obsidian, Radiant, Restorative, Shielded, Toxic</x:v>
      </x:c>
      <x:c r="G128" s="38" t="str">
        <x:v>机动/火、雷；来源标签 weapon, burn, damage, hastereference</x:v>
      </x:c>
    </x:row>
    <x:row r="129">
      <x:c r="A129" s="38" t="str">
        <x:v>pal_128</x:v>
      </x:c>
      <x:c r="B129" s="38" t="str">
        <x:v>星貂王</x:v>
      </x:c>
      <x:c r="C129" s="38" t="str">
        <x:v>bz_van_128</x:v>
      </x:c>
      <x:c r="D129" s="38" t="str">
        <x:v>Icy</x:v>
      </x:c>
      <x:c r="E129" s="38" t="n">
        <x:v>13</x:v>
      </x:c>
      <x:c r="F129" s="38" t="str">
        <x:v>Icy, Toxic, Obsidian, Deadly, Fiery, Golden, Heavy, Mossy, Radiant, Restorative, Shielded, Shiny, Turbo</x:v>
      </x:c>
      <x:c r="G129" s="38" t="str">
        <x:v>控制/无；来源标签 trap, slow</x:v>
      </x:c>
    </x:row>
    <x:row r="130">
      <x:c r="A130" s="38" t="str">
        <x:v>pal_129</x:v>
      </x:c>
      <x:c r="B130" s="38" t="str">
        <x:v>渊鹤王</x:v>
      </x:c>
      <x:c r="C130" s="38" t="str">
        <x:v>bz_van_129</x:v>
      </x:c>
      <x:c r="D130" s="38" t="str">
        <x:v>Icy</x:v>
      </x:c>
      <x:c r="E130" s="38" t="n">
        <x:v>13</x:v>
      </x:c>
      <x:c r="F130" s="38" t="str">
        <x:v>Icy, Restorative, Mossy, Radiant, Deadly, Fiery, Golden, Heavy, Obsidian, Shielded, Shiny, Toxic, Turbo</x:v>
      </x:c>
      <x:c r="G130" s="38" t="str">
        <x:v>治疗/水；来源标签 property, aquatic, regen, slowreference</x:v>
      </x:c>
    </x:row>
    <x:row r="131">
      <x:c r="A131" s="38" t="str">
        <x:v>pal_130</x:v>
      </x:c>
      <x:c r="B131" s="38" t="str">
        <x:v>潮甲君</x:v>
      </x:c>
      <x:c r="C131" s="38" t="str">
        <x:v>bz_van_130</x:v>
      </x:c>
      <x:c r="D131" s="38" t="str">
        <x:v>Turbo</x:v>
      </x:c>
      <x:c r="E131" s="38" t="n">
        <x:v>13</x:v>
      </x:c>
      <x:c r="F131" s="38" t="str">
        <x:v>Turbo, Heavy, Shielded, Mossy, Deadly, Fiery, Golden, Icy, Obsidian, Radiant, Restorative, Shiny, Toxic</x:v>
      </x:c>
      <x:c r="G131" s="38" t="str">
        <x:v>坦克/水、雷；来源标签 aquatic, shield</x:v>
      </x:c>
    </x:row>
    <x:row r="132">
      <x:c r="A132" s="38" t="str">
        <x:v>pal_131</x:v>
      </x:c>
      <x:c r="B132" s="38" t="str">
        <x:v>碧蜂妖</x:v>
      </x:c>
      <x:c r="C132" s="38" t="str">
        <x:v>bz_van_131</x:v>
      </x:c>
      <x:c r="D132" s="38" t="str">
        <x:v>Deadly</x:v>
      </x:c>
      <x:c r="E132" s="38" t="n">
        <x:v>13</x:v>
      </x:c>
      <x:c r="F132" s="38" t="str">
        <x:v>Deadly, Radiant, Mossy, Shielded, Fiery, Golden, Heavy, Icy, Obsidian, Restorative, Shiny, Toxic, Turbo</x:v>
      </x:c>
      <x:c r="G132" s="38" t="str">
        <x:v>召唤/水、雷；来源标签 aquatic, weapon, friend, damage, critreference</x:v>
      </x:c>
    </x:row>
    <x:row r="133">
      <x:c r="A133" s="38" t="str">
        <x:v>pal_132</x:v>
      </x:c>
      <x:c r="B133" s="38" t="str">
        <x:v>烬隼童</x:v>
      </x:c>
      <x:c r="C133" s="38" t="str">
        <x:v>bz_van_132</x:v>
      </x:c>
      <x:c r="D133" s="38" t="str">
        <x:v>Fiery</x:v>
      </x:c>
      <x:c r="E133" s="38" t="n">
        <x:v>13</x:v>
      </x:c>
      <x:c r="F133" s="38" t="str">
        <x:v>Fiery, Deadly, Obsidian, Golden, Heavy, Icy, Mossy, Radiant, Restorative, Shielded, Shiny, Toxic, Turbo</x:v>
      </x:c>
      <x:c r="G133" s="38" t="str">
        <x:v>输出/火、水；来源标签 aquatic, burn</x:v>
      </x:c>
    </x:row>
    <x:row r="134">
      <x:c r="A134" s="38" t="str">
        <x:v>pal_133</x:v>
      </x:c>
      <x:c r="B134" s="38" t="str">
        <x:v>雷貉卫</x:v>
      </x:c>
      <x:c r="C134" s="38" t="str">
        <x:v>bz_van_133</x:v>
      </x:c>
      <x:c r="D134" s="38" t="str">
        <x:v>Deadly</x:v>
      </x:c>
      <x:c r="E134" s="38" t="n">
        <x:v>13</x:v>
      </x:c>
      <x:c r="F134" s="38" t="str">
        <x:v>Deadly, Golden, Shiny, Radiant, Fiery, Heavy, Icy, Mossy, Obsidian, Restorative, Shielded, Toxic, Turbo</x:v>
      </x:c>
      <x:c r="G134" s="38" t="str">
        <x:v>经济/雷；来源标签 crit, experience</x:v>
      </x:c>
    </x:row>
    <x:row r="135">
      <x:c r="A135" s="38" t="str">
        <x:v>pal_134</x:v>
      </x:c>
      <x:c r="B135" s="38" t="str">
        <x:v>沧雀卫</x:v>
      </x:c>
      <x:c r="C135" s="38" t="str">
        <x:v>bz_van_134</x:v>
      </x:c>
      <x:c r="D135" s="38" t="str">
        <x:v>Turbo</x:v>
      </x:c>
      <x:c r="E135" s="38" t="n">
        <x:v>13</x:v>
      </x:c>
      <x:c r="F135" s="38" t="str">
        <x:v>Turbo, Deadly, Shiny, Fiery, Golden, Heavy, Icy, Mossy, Obsidian, Radiant, Restorative, Shielded, Toxic</x:v>
      </x:c>
      <x:c r="G135" s="38" t="str">
        <x:v>机动/水、雷；来源标签 aquatic, property, haste</x:v>
      </x:c>
    </x:row>
    <x:row r="136">
      <x:c r="A136" s="38" t="str">
        <x:v>pal_135</x:v>
      </x:c>
      <x:c r="B136" s="38" t="str">
        <x:v>赤蝎精</x:v>
      </x:c>
      <x:c r="C136" s="38" t="str">
        <x:v>bz_van_135</x:v>
      </x:c>
      <x:c r="D136" s="38" t="str">
        <x:v>Fiery</x:v>
      </x:c>
      <x:c r="E136" s="38" t="n">
        <x:v>13</x:v>
      </x:c>
      <x:c r="F136" s="38" t="str">
        <x:v>Fiery, Icy, Toxic, Obsidian, Deadly, Golden, Heavy, Mossy, Radiant, Restorative, Shielded, Shiny, Turbo</x:v>
      </x:c>
      <x:c r="G136" s="38" t="str">
        <x:v>控制/火、冰；来源标签 tool, burn, poison, slowreference, freezereference</x:v>
      </x:c>
    </x:row>
    <x:row r="137">
      <x:c r="A137" s="38" t="str">
        <x:v>pal_136</x:v>
      </x:c>
      <x:c r="B137" s="38" t="str">
        <x:v>沧熊童</x:v>
      </x:c>
      <x:c r="C137" s="38" t="str">
        <x:v>bz_van_136</x:v>
      </x:c>
      <x:c r="D137" s="38" t="str">
        <x:v>Turbo</x:v>
      </x:c>
      <x:c r="E137" s="38" t="n">
        <x:v>13</x:v>
      </x:c>
      <x:c r="F137" s="38" t="str">
        <x:v>Turbo, Heavy, Shielded, Mossy, Deadly, Fiery, Golden, Icy, Obsidian, Radiant, Restorative, Shiny, Toxic</x:v>
      </x:c>
      <x:c r="G137" s="38" t="str">
        <x:v>坦克/水、地；来源标签 aquatic, apparel, tech, shield, techreference, damagereference</x:v>
      </x:c>
    </x:row>
    <x:row r="138">
      <x:c r="A138" s="38" t="str">
        <x:v>pal_137</x:v>
      </x:c>
      <x:c r="B138" s="38" t="str">
        <x:v>雪貂童</x:v>
      </x:c>
      <x:c r="C138" s="38" t="str">
        <x:v>bz_van_137</x:v>
      </x:c>
      <x:c r="D138" s="38" t="str">
        <x:v>Icy</x:v>
      </x:c>
      <x:c r="E138" s="38" t="n">
        <x:v>13</x:v>
      </x:c>
      <x:c r="F138" s="38" t="str">
        <x:v>Icy, Toxic, Obsidian, Deadly, Fiery, Golden, Heavy, Mossy, Radiant, Restorative, Shielded, Shiny, Turbo</x:v>
      </x:c>
      <x:c r="G138" s="38" t="str">
        <x:v>控制/冰、草；来源标签 aquatic, friend, freeze, poisonreference</x:v>
      </x:c>
    </x:row>
    <x:row r="139">
      <x:c r="A139" s="38" t="str">
        <x:v>pal_138</x:v>
      </x:c>
      <x:c r="B139" s="38" t="str">
        <x:v>烬蜂童</x:v>
      </x:c>
      <x:c r="C139" s="38" t="str">
        <x:v>bz_van_138</x:v>
      </x:c>
      <x:c r="D139" s="38" t="str">
        <x:v>Fiery</x:v>
      </x:c>
      <x:c r="E139" s="38" t="n">
        <x:v>13</x:v>
      </x:c>
      <x:c r="F139" s="38" t="str">
        <x:v>Fiery, Turbo, Deadly, Shiny, Golden, Heavy, Icy, Mossy, Obsidian, Radiant, Restorative, Shielded, Toxic</x:v>
      </x:c>
      <x:c r="G139" s="38" t="str">
        <x:v>机动/火、水；来源标签 aquatic, weapon, friend, damage, haste, burnreference</x:v>
      </x:c>
    </x:row>
    <x:row r="140">
      <x:c r="A140" s="38" t="str">
        <x:v>pal_139</x:v>
      </x:c>
      <x:c r="B140" s="38" t="str">
        <x:v>雷鲭王</x:v>
      </x:c>
      <x:c r="C140" s="38" t="str">
        <x:v>bz_van_139</x:v>
      </x:c>
      <x:c r="D140" s="38" t="str">
        <x:v>Turbo</x:v>
      </x:c>
      <x:c r="E140" s="38" t="n">
        <x:v>13</x:v>
      </x:c>
      <x:c r="F140" s="38" t="str">
        <x:v>Turbo, Deadly, Shiny, Fiery, Golden, Heavy, Icy, Mossy, Obsidian, Radiant, Restorative, Shielded, Toxic</x:v>
      </x:c>
      <x:c r="G140" s="38" t="str">
        <x:v>机动/雷；来源标签 charge, critreference</x:v>
      </x:c>
    </x:row>
    <x:row r="141">
      <x:c r="A141" s="38" t="str">
        <x:v>pal_140</x:v>
      </x:c>
      <x:c r="B141" s="38" t="str">
        <x:v>冥雀卫</x:v>
      </x:c>
      <x:c r="C141" s="38" t="str">
        <x:v>bz_van_140</x:v>
      </x:c>
      <x:c r="D141" s="38" t="str">
        <x:v>Golden</x:v>
      </x:c>
      <x:c r="E141" s="38" t="n">
        <x:v>13</x:v>
      </x:c>
      <x:c r="F141" s="38" t="str">
        <x:v>Golden, Shiny, Radiant, Deadly, Fiery, Heavy, Icy, Mossy, Obsidian, Restorative, Shielded, Toxic, Turbo</x:v>
      </x:c>
      <x:c r="G141" s="38" t="str">
        <x:v>经济/暗；来源标签 economyreference</x:v>
      </x:c>
    </x:row>
    <x:row r="142">
      <x:c r="A142" s="38" t="str">
        <x:v>pal_141</x:v>
      </x:c>
      <x:c r="B142" s="38" t="str">
        <x:v>沧鸾仔</x:v>
      </x:c>
      <x:c r="C142" s="38" t="str">
        <x:v>bz_van_141</x:v>
      </x:c>
      <x:c r="D142" s="38" t="str">
        <x:v>Restorative</x:v>
      </x:c>
      <x:c r="E142" s="38" t="n">
        <x:v>13</x:v>
      </x:c>
      <x:c r="F142" s="38" t="str">
        <x:v>Restorative, Mossy, Radiant, Deadly, Fiery, Golden, Heavy, Icy, Obsidian, Shielded, Shiny, Toxic, Turbo</x:v>
      </x:c>
      <x:c r="G142" s="38" t="str">
        <x:v>治疗/水、地；来源标签 weapon, health</x:v>
      </x:c>
    </x:row>
    <x:row r="143">
      <x:c r="A143" s="38" t="str">
        <x:v>pal_142</x:v>
      </x:c>
      <x:c r="B143" s="38" t="str">
        <x:v>霆螳灵</x:v>
      </x:c>
      <x:c r="C143" s="38" t="str">
        <x:v>bz_van_142</x:v>
      </x:c>
      <x:c r="D143" s="38" t="str">
        <x:v>Deadly</x:v>
      </x:c>
      <x:c r="E143" s="38" t="n">
        <x:v>13</x:v>
      </x:c>
      <x:c r="F143" s="38" t="str">
        <x:v>Deadly, Fiery, Obsidian, Golden, Heavy, Icy, Mossy, Radiant, Restorative, Shielded, Shiny, Toxic, Turbo</x:v>
      </x:c>
      <x:c r="G143" s="38" t="str">
        <x:v>输出/雷；来源标签 crit</x:v>
      </x:c>
    </x:row>
    <x:row r="144">
      <x:c r="A144" s="38" t="str">
        <x:v>pal_143</x:v>
      </x:c>
      <x:c r="B144" s="38" t="str">
        <x:v>山熊卫</x:v>
      </x:c>
      <x:c r="C144" s="38" t="str">
        <x:v>bz_van_143</x:v>
      </x:c>
      <x:c r="D144" s="38" t="str">
        <x:v>Shielded</x:v>
      </x:c>
      <x:c r="E144" s="38" t="n">
        <x:v>13</x:v>
      </x:c>
      <x:c r="F144" s="38" t="str">
        <x:v>Shielded, Heavy, Mossy, Deadly, Fiery, Golden, Icy, Obsidian, Radiant, Restorative, Shiny, Toxic, Turbo</x:v>
      </x:c>
      <x:c r="G144" s="38" t="str">
        <x:v>坦克/地、龙；来源标签 friend, shieldreference, damagereference</x:v>
      </x:c>
    </x:row>
    <x:row r="145">
      <x:c r="A145" s="38" t="str">
        <x:v>pal_144</x:v>
      </x:c>
      <x:c r="B145" s="38" t="str">
        <x:v>沧燕侯</x:v>
      </x:c>
      <x:c r="C145" s="38" t="str">
        <x:v>bz_van_144</x:v>
      </x:c>
      <x:c r="D145" s="38" t="str">
        <x:v>Turbo</x:v>
      </x:c>
      <x:c r="E145" s="38" t="n">
        <x:v>13</x:v>
      </x:c>
      <x:c r="F145" s="38" t="str">
        <x:v>Turbo, Deadly, Shiny, Fiery, Golden, Heavy, Icy, Mossy, Obsidian, Radiant, Restorative, Shielded, Toxic</x:v>
      </x:c>
      <x:c r="G145" s="38" t="str">
        <x:v>机动/水；来源标签 aquatic, cooldown</x:v>
      </x:c>
    </x:row>
    <x:row r="146">
      <x:c r="A146" s="38" t="str">
        <x:v>pal_145</x:v>
      </x:c>
      <x:c r="B146" s="38" t="str">
        <x:v>螭蜂妖</x:v>
      </x:c>
      <x:c r="C146" s="38" t="str">
        <x:v>bz_van_145</x:v>
      </x:c>
      <x:c r="D146" s="38" t="str">
        <x:v>Deadly</x:v>
      </x:c>
      <x:c r="E146" s="38" t="n">
        <x:v>13</x:v>
      </x:c>
      <x:c r="F146" s="38" t="str">
        <x:v>Deadly, Radiant, Mossy, Shielded, Fiery, Golden, Heavy, Icy, Obsidian, Restorative, Shiny, Toxic, Turbo</x:v>
      </x:c>
      <x:c r="G146" s="38" t="str">
        <x:v>召唤/龙；来源标签 friend, damagereference</x:v>
      </x:c>
    </x:row>
    <x:row r="147">
      <x:c r="A147" s="38" t="str">
        <x:v>pal_146</x:v>
      </x:c>
      <x:c r="B147" s="38" t="str">
        <x:v>沧鲤将</x:v>
      </x:c>
      <x:c r="C147" s="38" t="str">
        <x:v>bz_van_146</x:v>
      </x:c>
      <x:c r="D147" s="38" t="str">
        <x:v>Turbo</x:v>
      </x:c>
      <x:c r="E147" s="38" t="n">
        <x:v>13</x:v>
      </x:c>
      <x:c r="F147" s="38" t="str">
        <x:v>Turbo, Restorative, Mossy, Radiant, Deadly, Fiery, Golden, Heavy, Icy, Obsidian, Shielded, Shiny, Toxic</x:v>
      </x:c>
      <x:c r="G147" s="38" t="str">
        <x:v>治疗/水、地；来源标签 weapon, cooldown</x:v>
      </x:c>
    </x:row>
    <x:row r="148">
      <x:c r="A148" s="38" t="str">
        <x:v>pal_147</x:v>
      </x:c>
      <x:c r="B148" s="38" t="str">
        <x:v>沙狮神</x:v>
      </x:c>
      <x:c r="C148" s="38" t="str">
        <x:v>bz_van_147</x:v>
      </x:c>
      <x:c r="D148" s="38" t="str">
        <x:v>Deadly</x:v>
      </x:c>
      <x:c r="E148" s="38" t="n">
        <x:v>13</x:v>
      </x:c>
      <x:c r="F148" s="38" t="str">
        <x:v>Deadly, Fiery, Obsidian, Golden, Heavy, Icy, Mossy, Radiant, Restorative, Shielded, Shiny, Toxic, Turbo</x:v>
      </x:c>
      <x:c r="G148" s="38" t="str">
        <x:v>输出/地；来源标签 weapon, damagereference</x:v>
      </x:c>
    </x:row>
    <x:row r="149">
      <x:c r="A149" s="38" t="str">
        <x:v>pal_148</x:v>
      </x:c>
      <x:c r="B149" s="38" t="str">
        <x:v>震狼君</x:v>
      </x:c>
      <x:c r="C149" s="38" t="str">
        <x:v>bz_van_148</x:v>
      </x:c>
      <x:c r="D149" s="38" t="str">
        <x:v>Deadly</x:v>
      </x:c>
      <x:c r="E149" s="38" t="n">
        <x:v>13</x:v>
      </x:c>
      <x:c r="F149" s="38" t="str">
        <x:v>Deadly, Fiery, Obsidian, Golden, Heavy, Icy, Mossy, Radiant, Restorative, Shielded, Shiny, Toxic, Turbo</x:v>
      </x:c>
      <x:c r="G149" s="38" t="str">
        <x:v>输出/雷；来源标签 crit</x:v>
      </x:c>
    </x:row>
    <x:row r="150">
      <x:c r="A150" s="38" t="str">
        <x:v>pal_149</x:v>
      </x:c>
      <x:c r="B150" s="38" t="str">
        <x:v>渊鹿妖</x:v>
      </x:c>
      <x:c r="C150" s="38" t="str">
        <x:v>bz_van_149</x:v>
      </x:c>
      <x:c r="D150" s="38" t="str">
        <x:v>Turbo</x:v>
      </x:c>
      <x:c r="E150" s="38" t="n">
        <x:v>13</x:v>
      </x:c>
      <x:c r="F150" s="38" t="str">
        <x:v>Turbo, Restorative, Mossy, Radiant, Deadly, Fiery, Golden, Heavy, Icy, Obsidian, Shielded, Shiny, Toxic</x:v>
      </x:c>
      <x:c r="G150" s="38" t="str">
        <x:v>治疗/水、雷；来源标签 charge</x:v>
      </x:c>
    </x:row>
    <x:row r="151">
      <x:c r="A151" s="38" t="str">
        <x:v>pal_150</x:v>
      </x:c>
      <x:c r="B151" s="38" t="str">
        <x:v>汐蝶卫</x:v>
      </x:c>
      <x:c r="C151" s="38" t="str">
        <x:v>bz_van_150</x:v>
      </x:c>
      <x:c r="D151" s="38" t="str">
        <x:v>Turbo</x:v>
      </x:c>
      <x:c r="E151" s="38" t="n">
        <x:v>13</x:v>
      </x:c>
      <x:c r="F151" s="38" t="str">
        <x:v>Turbo, Restorative, Mossy, Radiant, Deadly, Fiery, Golden, Heavy, Icy, Obsidian, Shielded, Shiny, Toxic</x:v>
      </x:c>
      <x:c r="G151" s="38" t="str">
        <x:v>治疗/水、地；来源标签 haste</x:v>
      </x:c>
    </x:row>
    <x:row r="152">
      <x:c r="A152" s="38" t="str">
        <x:v>pal_151</x:v>
      </x:c>
      <x:c r="B152" s="38" t="str">
        <x:v>电鹰君</x:v>
      </x:c>
      <x:c r="C152" s="38" t="str">
        <x:v>bz_van_151</x:v>
      </x:c>
      <x:c r="D152" s="38" t="str">
        <x:v>Deadly</x:v>
      </x:c>
      <x:c r="E152" s="38" t="n">
        <x:v>13</x:v>
      </x:c>
      <x:c r="F152" s="38" t="str">
        <x:v>Deadly, Fiery, Obsidian, Golden, Heavy, Icy, Mossy, Radiant, Restorative, Shielded, Shiny, Toxic, Turbo</x:v>
      </x:c>
      <x:c r="G152" s="38" t="str">
        <x:v>输出/雷；来源标签 crit</x:v>
      </x:c>
    </x:row>
    <x:row r="153">
      <x:c r="A153" s="38" t="str">
        <x:v>pal_152</x:v>
      </x:c>
      <x:c r="B153" s="38" t="str">
        <x:v>鸣鳗王</x:v>
      </x:c>
      <x:c r="C153" s="38" t="str">
        <x:v>bz_van_152</x:v>
      </x:c>
      <x:c r="D153" s="38" t="str">
        <x:v>Icy</x:v>
      </x:c>
      <x:c r="E153" s="38" t="n">
        <x:v>13</x:v>
      </x:c>
      <x:c r="F153" s="38" t="str">
        <x:v>Icy, Toxic, Obsidian, Deadly, Fiery, Golden, Heavy, Mossy, Radiant, Restorative, Shielded, Shiny, Turbo</x:v>
      </x:c>
      <x:c r="G153" s="38" t="str">
        <x:v>控制/雷；来源标签 slow, ammoreference</x:v>
      </x:c>
    </x:row>
    <x:row r="154">
      <x:c r="A154" s="38" t="str">
        <x:v>pal_153</x:v>
      </x:c>
      <x:c r="B154" s="38" t="str">
        <x:v>震狐卫</x:v>
      </x:c>
      <x:c r="C154" s="38" t="str">
        <x:v>bz_van_153</x:v>
      </x:c>
      <x:c r="D154" s="38" t="str">
        <x:v>Turbo</x:v>
      </x:c>
      <x:c r="E154" s="38" t="n">
        <x:v>13</x:v>
      </x:c>
      <x:c r="F154" s="38" t="str">
        <x:v>Turbo, Deadly, Shiny, Fiery, Golden, Heavy, Icy, Mossy, Obsidian, Radiant, Restorative, Shielded, Toxic</x:v>
      </x:c>
      <x:c r="G154" s="38" t="str">
        <x:v>机动/雷；来源标签 haste</x:v>
      </x:c>
    </x:row>
    <x:row r="155">
      <x:c r="A155" s="38" t="str">
        <x:v>pal_154</x:v>
      </x:c>
      <x:c r="B155" s="38" t="str">
        <x:v>朱蛛将</x:v>
      </x:c>
      <x:c r="C155" s="38" t="str">
        <x:v>bz_van_154</x:v>
      </x:c>
      <x:c r="D155" s="38" t="str">
        <x:v>Fiery</x:v>
      </x:c>
      <x:c r="E155" s="38" t="n">
        <x:v>13</x:v>
      </x:c>
      <x:c r="F155" s="38" t="str">
        <x:v>Fiery, Icy, Toxic, Obsidian, Deadly, Golden, Heavy, Mossy, Radiant, Restorative, Shielded, Shiny, Turbo</x:v>
      </x:c>
      <x:c r="G155" s="38" t="str">
        <x:v>控制/火、草；来源标签 poisonreference, burnreference</x:v>
      </x:c>
    </x:row>
    <x:row r="156">
      <x:c r="A156" s="38" t="str">
        <x:v>pal_155</x:v>
      </x:c>
      <x:c r="B156" s="38" t="str">
        <x:v>沧鲤祖</x:v>
      </x:c>
      <x:c r="C156" s="38" t="str">
        <x:v>bz_van_155</x:v>
      </x:c>
      <x:c r="D156" s="38" t="str">
        <x:v>Deadly</x:v>
      </x:c>
      <x:c r="E156" s="38" t="n">
        <x:v>13</x:v>
      </x:c>
      <x:c r="F156" s="38" t="str">
        <x:v>Deadly, Restorative, Mossy, Radiant, Fiery, Golden, Heavy, Icy, Obsidian, Shielded, Shiny, Toxic, Turbo</x:v>
      </x:c>
      <x:c r="G156" s="38" t="str">
        <x:v>治疗/水；来源标签 weapon, lifesteal</x:v>
      </x:c>
    </x:row>
    <x:row r="157">
      <x:c r="A157" s="38" t="str">
        <x:v>pal_156</x:v>
      </x:c>
      <x:c r="B157" s="38" t="str">
        <x:v>角马王</x:v>
      </x:c>
      <x:c r="C157" s="38" t="str">
        <x:v>bz_van_156</x:v>
      </x:c>
      <x:c r="D157" s="38" t="str">
        <x:v>Turbo</x:v>
      </x:c>
      <x:c r="E157" s="38" t="n">
        <x:v>13</x:v>
      </x:c>
      <x:c r="F157" s="38" t="str">
        <x:v>Turbo, Deadly, Shiny, Fiery, Golden, Heavy, Icy, Mossy, Obsidian, Radiant, Restorative, Shielded, Toxic</x:v>
      </x:c>
      <x:c r="G157" s="38" t="str">
        <x:v>机动/龙；来源标签 vehicle, cooldown</x:v>
      </x:c>
    </x:row>
    <x:row r="158">
      <x:c r="A158" s="38" t="str">
        <x:v>pal_157</x:v>
      </x:c>
      <x:c r="B158" s="38" t="str">
        <x:v>焰鹰妖</x:v>
      </x:c>
      <x:c r="C158" s="38" t="str">
        <x:v>bz_van_157</x:v>
      </x:c>
      <x:c r="D158" s="38" t="str">
        <x:v>Fiery</x:v>
      </x:c>
      <x:c r="E158" s="38" t="n">
        <x:v>13</x:v>
      </x:c>
      <x:c r="F158" s="38" t="str">
        <x:v>Fiery, Deadly, Obsidian, Golden, Heavy, Icy, Mossy, Radiant, Restorative, Shielded, Shiny, Toxic, Turbo</x:v>
      </x:c>
      <x:c r="G158" s="38" t="str">
        <x:v>输出/火；来源标签 burnreference</x:v>
      </x:c>
    </x:row>
    <x:row r="159">
      <x:c r="A159" s="38" t="str">
        <x:v>pal_158</x:v>
      </x:c>
      <x:c r="B159" s="38" t="str">
        <x:v>澜蜂尊</x:v>
      </x:c>
      <x:c r="C159" s="38" t="str">
        <x:v>bz_van_158</x:v>
      </x:c>
      <x:c r="D159" s="38" t="str">
        <x:v>Turbo</x:v>
      </x:c>
      <x:c r="E159" s="38" t="n">
        <x:v>13</x:v>
      </x:c>
      <x:c r="F159" s="38" t="str">
        <x:v>Turbo, Deadly, Shiny, Fiery, Golden, Heavy, Icy, Mossy, Obsidian, Radiant, Restorative, Shielded, Toxic</x:v>
      </x:c>
      <x:c r="G159" s="38" t="str">
        <x:v>机动/水；来源标签 weapon, aquatic, haste, damagereference</x:v>
      </x:c>
    </x:row>
    <x:row r="160">
      <x:c r="A160" s="38" t="str">
        <x:v>pal_159</x:v>
      </x:c>
      <x:c r="B160" s="38" t="str">
        <x:v>凝鳗卫</x:v>
      </x:c>
      <x:c r="C160" s="38" t="str">
        <x:v>bz_van_159</x:v>
      </x:c>
      <x:c r="D160" s="38" t="str">
        <x:v>Icy</x:v>
      </x:c>
      <x:c r="E160" s="38" t="n">
        <x:v>13</x:v>
      </x:c>
      <x:c r="F160" s="38" t="str">
        <x:v>Icy, Toxic, Obsidian, Deadly, Fiery, Golden, Heavy, Mossy, Radiant, Restorative, Shielded, Shiny, Turbo</x:v>
      </x:c>
      <x:c r="G160" s="38" t="str">
        <x:v>控制/冰；来源标签 slowreference, freeze</x:v>
      </x:c>
    </x:row>
    <x:row r="161">
      <x:c r="A161" s="38" t="str">
        <x:v>pal_160</x:v>
      </x:c>
      <x:c r="B161" s="38" t="str">
        <x:v>青鳗君</x:v>
      </x:c>
      <x:c r="C161" s="38" t="str">
        <x:v>bz_van_160</x:v>
      </x:c>
      <x:c r="D161" s="38" t="str">
        <x:v>Icy</x:v>
      </x:c>
      <x:c r="E161" s="38" t="n">
        <x:v>13</x:v>
      </x:c>
      <x:c r="F161" s="38" t="str">
        <x:v>Icy, Toxic, Obsidian, Deadly, Fiery, Golden, Heavy, Mossy, Radiant, Restorative, Shielded, Shiny, Turbo</x:v>
      </x:c>
      <x:c r="G161" s="38" t="str">
        <x:v>控制/草、雷；来源标签 charge, poisonreference, slowreference</x:v>
      </x:c>
    </x:row>
    <x:row r="162">
      <x:c r="A162" s="38" t="str">
        <x:v>pal_161</x:v>
      </x:c>
      <x:c r="B162" s="38" t="str">
        <x:v>电鹰童</x:v>
      </x:c>
      <x:c r="C162" s="38" t="str">
        <x:v>bz_van_161</x:v>
      </x:c>
      <x:c r="D162" s="38" t="str">
        <x:v>Deadly</x:v>
      </x:c>
      <x:c r="E162" s="38" t="n">
        <x:v>13</x:v>
      </x:c>
      <x:c r="F162" s="38" t="str">
        <x:v>Deadly, Fiery, Obsidian, Golden, Heavy, Icy, Mossy, Radiant, Restorative, Shielded, Shiny, Toxic, Turbo</x:v>
      </x:c>
      <x:c r="G162" s="38" t="str">
        <x:v>输出/雷；来源标签 weapon, crit</x:v>
      </x:c>
    </x:row>
    <x:row r="163">
      <x:c r="A163" s="38" t="str">
        <x:v>pal_162</x:v>
      </x:c>
      <x:c r="B163" s="38" t="str">
        <x:v>澜鲨童</x:v>
      </x:c>
      <x:c r="C163" s="38" t="str">
        <x:v>bz_van_162</x:v>
      </x:c>
      <x:c r="D163" s="38" t="str">
        <x:v>Deadly</x:v>
      </x:c>
      <x:c r="E163" s="38" t="n">
        <x:v>13</x:v>
      </x:c>
      <x:c r="F163" s="38" t="str">
        <x:v>Deadly, Fiery, Obsidian, Golden, Heavy, Icy, Mossy, Radiant, Restorative, Shielded, Shiny, Toxic, Turbo</x:v>
      </x:c>
      <x:c r="G163" s="38" t="str">
        <x:v>输出/水；来源标签 aquatic, damagereference</x:v>
      </x:c>
    </x:row>
    <x:row r="164">
      <x:c r="A164" s="38" t="str">
        <x:v>pal_163</x:v>
      </x:c>
      <x:c r="B164" s="38" t="str">
        <x:v>石甲将</x:v>
      </x:c>
      <x:c r="C164" s="38" t="str">
        <x:v>bz_van_163</x:v>
      </x:c>
      <x:c r="D164" s="38" t="str">
        <x:v>Shielded</x:v>
      </x:c>
      <x:c r="E164" s="38" t="n">
        <x:v>13</x:v>
      </x:c>
      <x:c r="F164" s="38" t="str">
        <x:v>Shielded, Heavy, Mossy, Deadly, Fiery, Golden, Icy, Obsidian, Radiant, Restorative, Shiny, Toxic, Turbo</x:v>
      </x:c>
      <x:c r="G164" s="38" t="str">
        <x:v>坦克/地；来源标签 weapon, shieldreference, damagereference</x:v>
      </x:c>
    </x:row>
    <x:row r="165">
      <x:c r="A165" s="38" t="str">
        <x:v>pal_164</x:v>
      </x:c>
      <x:c r="B165" s="38" t="str">
        <x:v>朱蛛侯</x:v>
      </x:c>
      <x:c r="C165" s="38" t="str">
        <x:v>bz_van_164</x:v>
      </x:c>
      <x:c r="D165" s="38" t="str">
        <x:v>Fiery</x:v>
      </x:c>
      <x:c r="E165" s="38" t="n">
        <x:v>13</x:v>
      </x:c>
      <x:c r="F165" s="38" t="str">
        <x:v>Fiery, Icy, Toxic, Obsidian, Deadly, Golden, Heavy, Mossy, Radiant, Restorative, Shielded, Shiny, Turbo</x:v>
      </x:c>
      <x:c r="G165" s="38" t="str">
        <x:v>控制/火、草；来源标签 aquatic, friend, burn, poison</x:v>
      </x:c>
    </x:row>
    <x:row r="166">
      <x:c r="A166" s="38" t="str">
        <x:v>pal_165</x:v>
      </x:c>
      <x:c r="B166" s="38" t="str">
        <x:v>渊猿王</x:v>
      </x:c>
      <x:c r="C166" s="38" t="str">
        <x:v>bz_van_165</x:v>
      </x:c>
      <x:c r="D166" s="38" t="str">
        <x:v>Turbo</x:v>
      </x:c>
      <x:c r="E166" s="38" t="n">
        <x:v>13</x:v>
      </x:c>
      <x:c r="F166" s="38" t="str">
        <x:v>Turbo, Deadly, Shiny, Fiery, Golden, Heavy, Icy, Mossy, Obsidian, Radiant, Restorative, Shielded, Toxic</x:v>
      </x:c>
      <x:c r="G166" s="38" t="str">
        <x:v>机动/水、雷；来源标签 weapon, aquatic, ammo, damagereference</x:v>
      </x:c>
    </x:row>
    <x:row r="167">
      <x:c r="A167" s="38" t="str">
        <x:v>pal_166</x:v>
      </x:c>
      <x:c r="B167" s="38" t="str">
        <x:v>焰蚌圣</x:v>
      </x:c>
      <x:c r="C167" s="38" t="str">
        <x:v>bz_van_166</x:v>
      </x:c>
      <x:c r="D167" s="38" t="str">
        <x:v>Fiery</x:v>
      </x:c>
      <x:c r="E167" s="38" t="n">
        <x:v>13</x:v>
      </x:c>
      <x:c r="F167" s="38" t="str">
        <x:v>Fiery, Restorative, Mossy, Radiant, Deadly, Golden, Heavy, Icy, Obsidian, Shielded, Shiny, Toxic, Turbo</x:v>
      </x:c>
      <x:c r="G167" s="38" t="str">
        <x:v>治疗/火、冰；来源标签 无</x:v>
      </x:c>
    </x:row>
    <x:row r="168">
      <x:c r="A168" s="38" t="str">
        <x:v>pal_167</x:v>
      </x:c>
      <x:c r="B168" s="38" t="str">
        <x:v>渊兔妖</x:v>
      </x:c>
      <x:c r="C168" s="38" t="str">
        <x:v>bz_van_167</x:v>
      </x:c>
      <x:c r="D168" s="38" t="str">
        <x:v>Restorative</x:v>
      </x:c>
      <x:c r="E168" s="38" t="n">
        <x:v>13</x:v>
      </x:c>
      <x:c r="F168" s="38" t="str">
        <x:v>Restorative, Mossy, Radiant, Deadly, Fiery, Golden, Heavy, Icy, Obsidian, Shielded, Shiny, Toxic, Turbo</x:v>
      </x:c>
      <x:c r="G168" s="38" t="str">
        <x:v>治疗/水、雷；来源标签 crit</x:v>
      </x:c>
    </x:row>
    <x:row r="169">
      <x:c r="A169" s="38" t="str">
        <x:v>pal_168</x:v>
      </x:c>
      <x:c r="B169" s="38" t="str">
        <x:v>澜兔祖</x:v>
      </x:c>
      <x:c r="C169" s="38" t="str">
        <x:v>bz_van_168</x:v>
      </x:c>
      <x:c r="D169" s="38" t="str">
        <x:v>Restorative</x:v>
      </x:c>
      <x:c r="E169" s="38" t="n">
        <x:v>13</x:v>
      </x:c>
      <x:c r="F169" s="38" t="str">
        <x:v>Restorative, Mossy, Radiant, Deadly, Fiery, Golden, Heavy, Icy, Obsidian, Shielded, Shiny, Toxic, Turbo</x:v>
      </x:c>
      <x:c r="G169" s="38" t="str">
        <x:v>治疗/水、地；来源标签 weapon, damagereference</x:v>
      </x:c>
    </x:row>
    <x:row r="170">
      <x:c r="A170" s="38" t="str">
        <x:v>pal_169</x:v>
      </x:c>
      <x:c r="B170" s="38" t="str">
        <x:v>朱鹤将</x:v>
      </x:c>
      <x:c r="C170" s="38" t="str">
        <x:v>bz_van_169</x:v>
      </x:c>
      <x:c r="D170" s="38" t="str">
        <x:v>Fiery</x:v>
      </x:c>
      <x:c r="E170" s="38" t="n">
        <x:v>13</x:v>
      </x:c>
      <x:c r="F170" s="38" t="str">
        <x:v>Fiery, Restorative, Mossy, Radiant, Deadly, Golden, Heavy, Icy, Obsidian, Shielded, Shiny, Toxic, Turbo</x:v>
      </x:c>
      <x:c r="G170" s="38" t="str">
        <x:v>治疗/火、水；来源标签 burn</x:v>
      </x:c>
    </x:row>
    <x:row r="171">
      <x:c r="A171" s="38" t="str">
        <x:v>pal_170</x:v>
      </x:c>
      <x:c r="B171" s="38" t="str">
        <x:v>青蝎卫</x:v>
      </x:c>
      <x:c r="C171" s="38" t="str">
        <x:v>bz_van_170</x:v>
      </x:c>
      <x:c r="D171" s="38" t="str">
        <x:v>Toxic</x:v>
      </x:c>
      <x:c r="E171" s="38" t="n">
        <x:v>13</x:v>
      </x:c>
      <x:c r="F171" s="38" t="str">
        <x:v>Toxic, Icy, Obsidian, Deadly, Fiery, Golden, Heavy, Mossy, Radiant, Restorative, Shielded, Shiny, Turbo</x:v>
      </x:c>
      <x:c r="G171" s="38" t="str">
        <x:v>控制/草、雷；来源标签 poisonreference, crit</x:v>
      </x:c>
    </x:row>
    <x:row r="172">
      <x:c r="A172" s="38" t="str">
        <x:v>pal_171</x:v>
      </x:c>
      <x:c r="B172" s="38" t="str">
        <x:v>赤狼童</x:v>
      </x:c>
      <x:c r="C172" s="38" t="str">
        <x:v>bz_van_171</x:v>
      </x:c>
      <x:c r="D172" s="38" t="str">
        <x:v>Fiery</x:v>
      </x:c>
      <x:c r="E172" s="38" t="n">
        <x:v>13</x:v>
      </x:c>
      <x:c r="F172" s="38" t="str">
        <x:v>Fiery, Deadly, Obsidian, Golden, Heavy, Icy, Mossy, Radiant, Restorative, Shielded, Shiny, Toxic, Turbo</x:v>
      </x:c>
      <x:c r="G172" s="38" t="str">
        <x:v>输出/火；来源标签 burnreference</x:v>
      </x:c>
    </x:row>
    <x:row r="173">
      <x:c r="A173" s="38" t="str">
        <x:v>pal_172</x:v>
      </x:c>
      <x:c r="B173" s="38" t="str">
        <x:v>森蟒仔</x:v>
      </x:c>
      <x:c r="C173" s="38" t="str">
        <x:v>bz_van_172</x:v>
      </x:c>
      <x:c r="D173" s="38" t="str">
        <x:v>Toxic</x:v>
      </x:c>
      <x:c r="E173" s="38" t="n">
        <x:v>13</x:v>
      </x:c>
      <x:c r="F173" s="38" t="str">
        <x:v>Toxic, Icy, Obsidian, Deadly, Fiery, Golden, Heavy, Mossy, Radiant, Restorative, Shielded, Shiny, Turbo</x:v>
      </x:c>
      <x:c r="G173" s="38" t="str">
        <x:v>控制/草；来源标签 poisonreference</x:v>
      </x:c>
    </x:row>
    <x:row r="174">
      <x:c r="A174" s="38" t="str">
        <x:v>pal_173</x:v>
      </x:c>
      <x:c r="B174" s="38" t="str">
        <x:v>燎鹰兽</x:v>
      </x:c>
      <x:c r="C174" s="38" t="str">
        <x:v>bz_van_173</x:v>
      </x:c>
      <x:c r="D174" s="38" t="str">
        <x:v>Fiery</x:v>
      </x:c>
      <x:c r="E174" s="38" t="n">
        <x:v>13</x:v>
      </x:c>
      <x:c r="F174" s="38" t="str">
        <x:v>Fiery, Deadly, Obsidian, Golden, Heavy, Icy, Mossy, Radiant, Restorative, Shielded, Shiny, Toxic, Turbo</x:v>
      </x:c>
      <x:c r="G174" s="38" t="str">
        <x:v>输出/火；来源标签 burnreference</x:v>
      </x:c>
    </x:row>
    <x:row r="175">
      <x:c r="A175" s="38" t="str">
        <x:v>pal_174</x:v>
      </x:c>
      <x:c r="B175" s="38" t="str">
        <x:v>焰狼将</x:v>
      </x:c>
      <x:c r="C175" s="38" t="str">
        <x:v>bz_van_174</x:v>
      </x:c>
      <x:c r="D175" s="38" t="str">
        <x:v>Fiery</x:v>
      </x:c>
      <x:c r="E175" s="38" t="n">
        <x:v>13</x:v>
      </x:c>
      <x:c r="F175" s="38" t="str">
        <x:v>Fiery, Deadly, Obsidian, Golden, Heavy, Icy, Mossy, Radiant, Restorative, Shielded, Shiny, Toxic, Turbo</x:v>
      </x:c>
      <x:c r="G175" s="38" t="str">
        <x:v>输出/火；来源标签 burn</x:v>
      </x:c>
    </x:row>
    <x:row r="176">
      <x:c r="A176" s="38" t="str">
        <x:v>pal_175</x:v>
      </x:c>
      <x:c r="B176" s="38" t="str">
        <x:v>电豹尊</x:v>
      </x:c>
      <x:c r="C176" s="38" t="str">
        <x:v>bz_van_175</x:v>
      </x:c>
      <x:c r="D176" s="38" t="str">
        <x:v>Deadly</x:v>
      </x:c>
      <x:c r="E176" s="38" t="n">
        <x:v>13</x:v>
      </x:c>
      <x:c r="F176" s="38" t="str">
        <x:v>Deadly, Fiery, Obsidian, Golden, Heavy, Icy, Mossy, Radiant, Restorative, Shielded, Shiny, Toxic, Turbo</x:v>
      </x:c>
      <x:c r="G176" s="38" t="str">
        <x:v>输出/雷；来源标签 crit</x:v>
      </x:c>
    </x:row>
    <x:row r="177">
      <x:c r="A177" s="38" t="str">
        <x:v>pal_176</x:v>
      </x:c>
      <x:c r="B177" s="38" t="str">
        <x:v>电螳精</x:v>
      </x:c>
      <x:c r="C177" s="38" t="str">
        <x:v>bz_van_176</x:v>
      </x:c>
      <x:c r="D177" s="38" t="str">
        <x:v>Deadly</x:v>
      </x:c>
      <x:c r="E177" s="38" t="n">
        <x:v>13</x:v>
      </x:c>
      <x:c r="F177" s="38" t="str">
        <x:v>Deadly, Fiery, Obsidian, Golden, Heavy, Icy, Mossy, Radiant, Restorative, Shielded, Shiny, Toxic, Turbo</x:v>
      </x:c>
      <x:c r="G177" s="38" t="str">
        <x:v>输出/雷；来源标签 crit</x:v>
      </x:c>
    </x:row>
    <x:row r="178">
      <x:c r="A178" s="38" t="str">
        <x:v>pal_177</x:v>
      </x:c>
      <x:c r="B178" s="38" t="str">
        <x:v>霆狼卫</x:v>
      </x:c>
      <x:c r="C178" s="38" t="str">
        <x:v>bz_van_177</x:v>
      </x:c>
      <x:c r="D178" s="38" t="str">
        <x:v>Deadly</x:v>
      </x:c>
      <x:c r="E178" s="38" t="n">
        <x:v>13</x:v>
      </x:c>
      <x:c r="F178" s="38" t="str">
        <x:v>Deadly, Fiery, Obsidian, Golden, Heavy, Icy, Mossy, Radiant, Restorative, Shielded, Shiny, Toxic, Turbo</x:v>
      </x:c>
      <x:c r="G178" s="38" t="str">
        <x:v>输出/雷；来源标签 tool, crit</x:v>
      </x:c>
    </x:row>
    <x:row r="179">
      <x:c r="A179" s="38" t="str">
        <x:v>pal_178</x:v>
      </x:c>
      <x:c r="B179" s="38" t="str">
        <x:v>闪鲲妖</x:v>
      </x:c>
      <x:c r="C179" s="38" t="str">
        <x:v>bz_van_178</x:v>
      </x:c>
      <x:c r="D179" s="38" t="str">
        <x:v>Deadly</x:v>
      </x:c>
      <x:c r="E179" s="38" t="n">
        <x:v>13</x:v>
      </x:c>
      <x:c r="F179" s="38" t="str">
        <x:v>Deadly, Radiant, Mossy, Shielded, Fiery, Golden, Heavy, Icy, Obsidian, Restorative, Shiny, Toxic, Turbo</x:v>
      </x:c>
      <x:c r="G179" s="38" t="str">
        <x:v>召唤/雷、龙；来源标签 vehicle, crit</x:v>
      </x:c>
    </x:row>
    <x:row r="180">
      <x:c r="A180" s="38" t="str">
        <x:v>pal_179</x:v>
      </x:c>
      <x:c r="B180" s="38" t="str">
        <x:v>震鹰王</x:v>
      </x:c>
      <x:c r="C180" s="38" t="str">
        <x:v>bz_van_179</x:v>
      </x:c>
      <x:c r="D180" s="38" t="str">
        <x:v>Deadly</x:v>
      </x:c>
      <x:c r="E180" s="38" t="n">
        <x:v>13</x:v>
      </x:c>
      <x:c r="F180" s="38" t="str">
        <x:v>Deadly, Fiery, Obsidian, Golden, Heavy, Icy, Mossy, Radiant, Restorative, Shielded, Shiny, Toxic, Turbo</x:v>
      </x:c>
      <x:c r="G180" s="38" t="str">
        <x:v>输出/雷；来源标签 ammo, critreference</x:v>
      </x:c>
    </x:row>
    <x:row r="181">
      <x:c r="A181" s="38" t="str">
        <x:v>pal_180</x:v>
      </x:c>
      <x:c r="B181" s="38" t="str">
        <x:v>鸣马王</x:v>
      </x:c>
      <x:c r="C181" s="38" t="str">
        <x:v>bz_van_180</x:v>
      </x:c>
      <x:c r="D181" s="38" t="str">
        <x:v>Turbo</x:v>
      </x:c>
      <x:c r="E181" s="38" t="n">
        <x:v>13</x:v>
      </x:c>
      <x:c r="F181" s="38" t="str">
        <x:v>Turbo, Deadly, Shiny, Fiery, Golden, Heavy, Icy, Mossy, Obsidian, Radiant, Restorative, Shielded, Toxic</x:v>
      </x:c>
      <x:c r="G181" s="38" t="str">
        <x:v>机动/雷；来源标签 weapon, charge, damagereference</x:v>
      </x:c>
    </x:row>
    <x:row r="182">
      <x:c r="A182" s="38" t="str">
        <x:v>pal_181</x:v>
      </x:c>
      <x:c r="B182" s="38" t="str">
        <x:v>碧兔神</x:v>
      </x:c>
      <x:c r="C182" s="38" t="str">
        <x:v>bz_van_181</x:v>
      </x:c>
      <x:c r="D182" s="38" t="str">
        <x:v>Restorative</x:v>
      </x:c>
      <x:c r="E182" s="38" t="n">
        <x:v>13</x:v>
      </x:c>
      <x:c r="F182" s="38" t="str">
        <x:v>Restorative, Mossy, Radiant, Deadly, Fiery, Golden, Heavy, Icy, Obsidian, Shielded, Shiny, Toxic, Turbo</x:v>
      </x:c>
      <x:c r="G182" s="38" t="str">
        <x:v>治疗/水、雷；来源标签 crit</x:v>
      </x:c>
    </x:row>
    <x:row r="183">
      <x:c r="A183" s="38" t="str">
        <x:v>pal_182</x:v>
      </x:c>
      <x:c r="B183" s="38" t="str">
        <x:v>渊蚁皇</x:v>
      </x:c>
      <x:c r="C183" s="38" t="str">
        <x:v>bz_van_182</x:v>
      </x:c>
      <x:c r="D183" s="38" t="str">
        <x:v>Radiant</x:v>
      </x:c>
      <x:c r="E183" s="38" t="n">
        <x:v>13</x:v>
      </x:c>
      <x:c r="F183" s="38" t="str">
        <x:v>Radiant, Mossy, Shielded, Deadly, Fiery, Golden, Heavy, Icy, Obsidian, Restorative, Shiny, Toxic, Turbo</x:v>
      </x:c>
      <x:c r="G183" s="38" t="str">
        <x:v>召唤/水、龙；来源标签 aquatic, friend</x:v>
      </x:c>
    </x:row>
    <x:row r="184">
      <x:c r="A184" s="38" t="str">
        <x:v>pal_183</x:v>
      </x:c>
      <x:c r="B184" s="38" t="str">
        <x:v>垒牦灵</x:v>
      </x:c>
      <x:c r="C184" s="38" t="str">
        <x:v>bz_van_183</x:v>
      </x:c>
      <x:c r="D184" s="38" t="str">
        <x:v>Shielded</x:v>
      </x:c>
      <x:c r="E184" s="38" t="n">
        <x:v>13</x:v>
      </x:c>
      <x:c r="F184" s="38" t="str">
        <x:v>Shielded, Heavy, Mossy, Deadly, Fiery, Golden, Icy, Obsidian, Radiant, Restorative, Shiny, Toxic, Turbo</x:v>
      </x:c>
      <x:c r="G184" s="38" t="str">
        <x:v>坦克/地；来源标签 shieldreference</x:v>
      </x:c>
    </x:row>
    <x:row r="185">
      <x:c r="A185" s="38" t="str">
        <x:v>pal_184</x:v>
      </x:c>
      <x:c r="B185" s="38" t="str">
        <x:v>雷鹰将</x:v>
      </x:c>
      <x:c r="C185" s="38" t="str">
        <x:v>bz_van_184</x:v>
      </x:c>
      <x:c r="D185" s="38" t="str">
        <x:v>Deadly</x:v>
      </x:c>
      <x:c r="E185" s="38" t="n">
        <x:v>13</x:v>
      </x:c>
      <x:c r="F185" s="38" t="str">
        <x:v>Deadly, Fiery, Obsidian, Golden, Heavy, Icy, Mossy, Radiant, Restorative, Shielded, Shiny, Toxic, Turbo</x:v>
      </x:c>
      <x:c r="G185" s="38" t="str">
        <x:v>输出/雷；来源标签 weapon, ammoreference, damagereference</x:v>
      </x:c>
    </x:row>
    <x:row r="186">
      <x:c r="A186" s="38" t="str">
        <x:v>pal_185</x:v>
      </x:c>
      <x:c r="B186" s="38" t="str">
        <x:v>烬鳗将</x:v>
      </x:c>
      <x:c r="C186" s="38" t="str">
        <x:v>bz_van_185</x:v>
      </x:c>
      <x:c r="D186" s="38" t="str">
        <x:v>Fiery</x:v>
      </x:c>
      <x:c r="E186" s="38" t="n">
        <x:v>13</x:v>
      </x:c>
      <x:c r="F186" s="38" t="str">
        <x:v>Fiery, Icy, Toxic, Obsidian, Deadly, Golden, Heavy, Mossy, Radiant, Restorative, Shielded, Shiny, Turbo</x:v>
      </x:c>
      <x:c r="G186" s="38" t="str">
        <x:v>控制/火、冰；来源标签 burnreference, freeze</x:v>
      </x:c>
    </x:row>
    <x:row r="187">
      <x:c r="A187" s="38" t="str">
        <x:v>pal_186</x:v>
      </x:c>
      <x:c r="B187" s="38" t="str">
        <x:v>角豹神</x:v>
      </x:c>
      <x:c r="C187" s="38" t="str">
        <x:v>bz_van_186</x:v>
      </x:c>
      <x:c r="D187" s="38" t="str">
        <x:v>Deadly</x:v>
      </x:c>
      <x:c r="E187" s="38" t="n">
        <x:v>13</x:v>
      </x:c>
      <x:c r="F187" s="38" t="str">
        <x:v>Deadly, Fiery, Obsidian, Golden, Heavy, Icy, Mossy, Radiant, Restorative, Shielded, Shiny, Toxic, Turbo</x:v>
      </x:c>
      <x:c r="G187" s="38" t="str">
        <x:v>输出/龙；来源标签 weapon, damagereference</x:v>
      </x:c>
    </x:row>
    <x:row r="188">
      <x:c r="A188" s="38" t="str">
        <x:v>pal_187</x:v>
      </x:c>
      <x:c r="B188" s="38" t="str">
        <x:v>雷鹰卫</x:v>
      </x:c>
      <x:c r="C188" s="38" t="str">
        <x:v>bz_van_187</x:v>
      </x:c>
      <x:c r="D188" s="38" t="str">
        <x:v>Deadly</x:v>
      </x:c>
      <x:c r="E188" s="38" t="n">
        <x:v>13</x:v>
      </x:c>
      <x:c r="F188" s="38" t="str">
        <x:v>Deadly, Fiery, Obsidian, Golden, Heavy, Icy, Mossy, Radiant, Restorative, Shielded, Shiny, Toxic, Turbo</x:v>
      </x:c>
      <x:c r="G188" s="38" t="str">
        <x:v>输出/雷；来源标签 ammo</x:v>
      </x:c>
    </x:row>
    <x:row r="189">
      <x:c r="A189" s="38" t="str">
        <x:v>pal_188</x:v>
      </x:c>
      <x:c r="B189" s="38" t="str">
        <x:v>岩獒精</x:v>
      </x:c>
      <x:c r="C189" s="38" t="str">
        <x:v>bz_van_188</x:v>
      </x:c>
      <x:c r="D189" s="38" t="str">
        <x:v>Shielded</x:v>
      </x:c>
      <x:c r="E189" s="38" t="n">
        <x:v>13</x:v>
      </x:c>
      <x:c r="F189" s="38" t="str">
        <x:v>Shielded, Heavy, Mossy, Deadly, Fiery, Golden, Icy, Obsidian, Radiant, Restorative, Shiny, Toxic, Turbo</x:v>
      </x:c>
      <x:c r="G189" s="38" t="str">
        <x:v>坦克/地；来源标签 shieldreference</x:v>
      </x:c>
    </x:row>
    <x:row r="190">
      <x:c r="A190" s="38" t="str">
        <x:v>pal_189</x:v>
      </x:c>
      <x:c r="B190" s="38" t="str">
        <x:v>烬鹿祖</x:v>
      </x:c>
      <x:c r="C190" s="38" t="str">
        <x:v>bz_van_189</x:v>
      </x:c>
      <x:c r="D190" s="38" t="str">
        <x:v>Fiery</x:v>
      </x:c>
      <x:c r="E190" s="38" t="n">
        <x:v>13</x:v>
      </x:c>
      <x:c r="F190" s="38" t="str">
        <x:v>Fiery, Restorative, Mossy, Radiant, Deadly, Golden, Heavy, Icy, Obsidian, Shielded, Shiny, Toxic, Turbo</x:v>
      </x:c>
      <x:c r="G190" s="38" t="str">
        <x:v>治疗/火、草；来源标签 health, heal</x:v>
      </x:c>
    </x:row>
    <x:row r="191">
      <x:c r="A191" s="38" t="str">
        <x:v>pal_190</x:v>
      </x:c>
      <x:c r="B191" s="38" t="str">
        <x:v>潮鹤精</x:v>
      </x:c>
      <x:c r="C191" s="38" t="str">
        <x:v>bz_van_190</x:v>
      </x:c>
      <x:c r="D191" s="38" t="str">
        <x:v>Turbo</x:v>
      </x:c>
      <x:c r="E191" s="38" t="n">
        <x:v>13</x:v>
      </x:c>
      <x:c r="F191" s="38" t="str">
        <x:v>Turbo, Restorative, Mossy, Radiant, Deadly, Fiery, Golden, Heavy, Icy, Obsidian, Shielded, Shiny, Toxic</x:v>
      </x:c>
      <x:c r="G191" s="38" t="str">
        <x:v>治疗/水、地；来源标签 healreference, haste</x:v>
      </x:c>
    </x:row>
    <x:row r="192">
      <x:c r="A192" s="38" t="str">
        <x:v>pal_191</x:v>
      </x:c>
      <x:c r="B192" s="38" t="str">
        <x:v>焰豹将</x:v>
      </x:c>
      <x:c r="C192" s="38" t="str">
        <x:v>bz_van_191</x:v>
      </x:c>
      <x:c r="D192" s="38" t="str">
        <x:v>Fiery</x:v>
      </x:c>
      <x:c r="E192" s="38" t="n">
        <x:v>13</x:v>
      </x:c>
      <x:c r="F192" s="38" t="str">
        <x:v>Fiery, Deadly, Obsidian, Golden, Heavy, Icy, Mossy, Radiant, Restorative, Shielded, Shiny, Toxic, Turbo</x:v>
      </x:c>
      <x:c r="G192" s="38" t="str">
        <x:v>输出/火、雷；来源标签 burn, ammo</x:v>
      </x:c>
    </x:row>
    <x:row r="193">
      <x:c r="A193" s="38" t="str">
        <x:v>pal_192</x:v>
      </x:c>
      <x:c r="B193" s="38" t="str">
        <x:v>赤鼋妖</x:v>
      </x:c>
      <x:c r="C193" s="38" t="str">
        <x:v>bz_van_192</x:v>
      </x:c>
      <x:c r="D193" s="38" t="str">
        <x:v>Fiery</x:v>
      </x:c>
      <x:c r="E193" s="38" t="n">
        <x:v>13</x:v>
      </x:c>
      <x:c r="F193" s="38" t="str">
        <x:v>Fiery, Heavy, Shielded, Mossy, Deadly, Golden, Icy, Obsidian, Radiant, Restorative, Shiny, Toxic, Turbo</x:v>
      </x:c>
      <x:c r="G193" s="38" t="str">
        <x:v>坦克/火、地；来源标签 weapon, damagereference</x:v>
      </x:c>
    </x:row>
    <x:row r="194">
      <x:c r="A194" s="38" t="str">
        <x:v>pal_193</x:v>
      </x:c>
      <x:c r="B194" s="38" t="str">
        <x:v>雷狼卫</x:v>
      </x:c>
      <x:c r="C194" s="38" t="str">
        <x:v>bz_van_193</x:v>
      </x:c>
      <x:c r="D194" s="38" t="str">
        <x:v>Deadly</x:v>
      </x:c>
      <x:c r="E194" s="38" t="n">
        <x:v>13</x:v>
      </x:c>
      <x:c r="F194" s="38" t="str">
        <x:v>Deadly, Fiery, Obsidian, Golden, Heavy, Icy, Mossy, Radiant, Restorative, Shielded, Shiny, Toxic, Turbo</x:v>
      </x:c>
      <x:c r="G194" s="38" t="str">
        <x:v>输出/雷；来源标签 weapon, crit</x:v>
      </x:c>
    </x:row>
    <x:row r="195">
      <x:c r="A195" s="38" t="str">
        <x:v>pal_194</x:v>
      </x:c>
      <x:c r="B195" s="38" t="str">
        <x:v>电虎侯</x:v>
      </x:c>
      <x:c r="C195" s="38" t="str">
        <x:v>bz_van_194</x:v>
      </x:c>
      <x:c r="D195" s="38" t="str">
        <x:v>Deadly</x:v>
      </x:c>
      <x:c r="E195" s="38" t="n">
        <x:v>13</x:v>
      </x:c>
      <x:c r="F195" s="38" t="str">
        <x:v>Deadly, Fiery, Obsidian, Golden, Heavy, Icy, Mossy, Radiant, Restorative, Shielded, Shiny, Toxic, Turbo</x:v>
      </x:c>
      <x:c r="G195" s="38" t="str">
        <x:v>输出/雷；来源标签 crit</x:v>
      </x:c>
    </x:row>
    <x:row r="196">
      <x:c r="A196" s="38" t="str">
        <x:v>pal_195</x:v>
      </x:c>
      <x:c r="B196" s="38" t="str">
        <x:v>燎狼将</x:v>
      </x:c>
      <x:c r="C196" s="38" t="str">
        <x:v>bz_van_195</x:v>
      </x:c>
      <x:c r="D196" s="38" t="str">
        <x:v>Fiery</x:v>
      </x:c>
      <x:c r="E196" s="38" t="n">
        <x:v>13</x:v>
      </x:c>
      <x:c r="F196" s="38" t="str">
        <x:v>Fiery, Deadly, Obsidian, Golden, Heavy, Icy, Mossy, Radiant, Restorative, Shielded, Shiny, Toxic, Turbo</x:v>
      </x:c>
      <x:c r="G196" s="38" t="str">
        <x:v>输出/火；来源标签 burn</x:v>
      </x:c>
    </x:row>
    <x:row r="197">
      <x:c r="A197" s="38" t="str">
        <x:v>pal_196</x:v>
      </x:c>
      <x:c r="B197" s="38" t="str">
        <x:v>凛鳗王</x:v>
      </x:c>
      <x:c r="C197" s="38" t="str">
        <x:v>bz_van_196</x:v>
      </x:c>
      <x:c r="D197" s="38" t="str">
        <x:v>Icy</x:v>
      </x:c>
      <x:c r="E197" s="38" t="n">
        <x:v>13</x:v>
      </x:c>
      <x:c r="F197" s="38" t="str">
        <x:v>Icy, Toxic, Obsidian, Deadly, Fiery, Golden, Heavy, Mossy, Radiant, Restorative, Shielded, Shiny, Turbo</x:v>
      </x:c>
      <x:c r="G197" s="38" t="str">
        <x:v>控制/冰、雷；来源标签 freezereference, ammo, damagereference</x:v>
      </x:c>
    </x:row>
    <x:row r="198">
      <x:c r="A198" s="38" t="str">
        <x:v>pal_197</x:v>
      </x:c>
      <x:c r="B198" s="38" t="str">
        <x:v>寒狐祖</x:v>
      </x:c>
      <x:c r="C198" s="38" t="str">
        <x:v>bz_van_197</x:v>
      </x:c>
      <x:c r="D198" s="38" t="str">
        <x:v>Icy</x:v>
      </x:c>
      <x:c r="E198" s="38" t="n">
        <x:v>13</x:v>
      </x:c>
      <x:c r="F198" s="38" t="str">
        <x:v>Icy, Toxic, Obsidian, Deadly, Fiery, Golden, Heavy, Mossy, Radiant, Restorative, Shielded, Shiny, Turbo</x:v>
      </x:c>
      <x:c r="G198" s="38" t="str">
        <x:v>控制/冰；来源标签 weapon, damagereference</x:v>
      </x:c>
    </x:row>
    <x:row r="199">
      <x:c r="A199" s="38" t="str">
        <x:v>pal_198</x:v>
      </x:c>
      <x:c r="B199" s="38" t="str">
        <x:v>赤虎仔</x:v>
      </x:c>
      <x:c r="C199" s="38" t="str">
        <x:v>bz_van_198</x:v>
      </x:c>
      <x:c r="D199" s="38" t="str">
        <x:v>Fiery</x:v>
      </x:c>
      <x:c r="E199" s="38" t="n">
        <x:v>13</x:v>
      </x:c>
      <x:c r="F199" s="38" t="str">
        <x:v>Fiery, Deadly, Obsidian, Golden, Heavy, Icy, Mossy, Radiant, Restorative, Shielded, Shiny, Toxic, Turbo</x:v>
      </x:c>
      <x:c r="G199" s="38" t="str">
        <x:v>输出/火；来源标签 burnreference</x:v>
      </x:c>
    </x:row>
    <x:row r="200">
      <x:c r="A200" s="38" t="str">
        <x:v>pal_199</x:v>
      </x:c>
      <x:c r="B200" s="38" t="str">
        <x:v>藤貂仔</x:v>
      </x:c>
      <x:c r="C200" s="38" t="str">
        <x:v>bz_van_199</x:v>
      </x:c>
      <x:c r="D200" s="38" t="str">
        <x:v>Toxic</x:v>
      </x:c>
      <x:c r="E200" s="38" t="n">
        <x:v>13</x:v>
      </x:c>
      <x:c r="F200" s="38" t="str">
        <x:v>Toxic, Icy, Obsidian, Deadly, Fiery, Golden, Heavy, Mossy, Radiant, Restorative, Shielded, Shiny, Turbo</x:v>
      </x:c>
      <x:c r="G200" s="38" t="str">
        <x:v>控制/草；来源标签 poisonreference</x:v>
      </x:c>
    </x:row>
    <x:row r="201">
      <x:c r="A201" s="38" t="str">
        <x:v>pal_200</x:v>
      </x:c>
      <x:c r="B201" s="38" t="str">
        <x:v>烬豹侯</x:v>
      </x:c>
      <x:c r="C201" s="38" t="str">
        <x:v>bz_van_200</x:v>
      </x:c>
      <x:c r="D201" s="38" t="str">
        <x:v>Fiery</x:v>
      </x:c>
      <x:c r="E201" s="38" t="n">
        <x:v>13</x:v>
      </x:c>
      <x:c r="F201" s="38" t="str">
        <x:v>Fiery, Deadly, Obsidian, Golden, Heavy, Icy, Mossy, Radiant, Restorative, Shielded, Shiny, Toxic, Turbo</x:v>
      </x:c>
      <x:c r="G201" s="38" t="str">
        <x:v>输出/火、雷；来源标签 burnreference, critreference</x:v>
      </x:c>
    </x:row>
    <x:row r="202">
      <x:c r="A202" s="38" t="str">
        <x:v>pal_201</x:v>
      </x:c>
      <x:c r="B202" s="38" t="str">
        <x:v>潮鸾卫</x:v>
      </x:c>
      <x:c r="C202" s="38" t="str">
        <x:v>bz_van_201</x:v>
      </x:c>
      <x:c r="D202" s="38" t="str">
        <x:v>Restorative</x:v>
      </x:c>
      <x:c r="E202" s="38" t="n">
        <x:v>13</x:v>
      </x:c>
      <x:c r="F202" s="38" t="str">
        <x:v>Restorative, Mossy, Radiant, Deadly, Fiery, Golden, Heavy, Icy, Obsidian, Shielded, Shiny, Toxic, Turbo</x:v>
      </x:c>
      <x:c r="G202" s="38" t="str">
        <x:v>治疗/水、雷；来源标签 healreference, critreference</x:v>
      </x:c>
    </x:row>
    <x:row r="203">
      <x:c r="A203" s="38" t="str">
        <x:v>pal_202</x:v>
      </x:c>
      <x:c r="B203" s="38" t="str">
        <x:v>苔狐侯</x:v>
      </x:c>
      <x:c r="C203" s="38" t="str">
        <x:v>bz_van_202</x:v>
      </x:c>
      <x:c r="D203" s="38" t="str">
        <x:v>Toxic</x:v>
      </x:c>
      <x:c r="E203" s="38" t="n">
        <x:v>13</x:v>
      </x:c>
      <x:c r="F203" s="38" t="str">
        <x:v>Toxic, Icy, Obsidian, Deadly, Fiery, Golden, Heavy, Mossy, Radiant, Restorative, Shielded, Shiny, Turbo</x:v>
      </x:c>
      <x:c r="G203" s="38" t="str">
        <x:v>控制/草、雷；来源标签 poisonreference, critreference</x:v>
      </x:c>
    </x:row>
    <x:row r="204">
      <x:c r="A204" s="38" t="str">
        <x:v>pal_203</x:v>
      </x:c>
      <x:c r="B204" s="38" t="str">
        <x:v>霆熊卫</x:v>
      </x:c>
      <x:c r="C204" s="38" t="str">
        <x:v>bz_van_203</x:v>
      </x:c>
      <x:c r="D204" s="38" t="str">
        <x:v>Shielded</x:v>
      </x:c>
      <x:c r="E204" s="38" t="n">
        <x:v>13</x:v>
      </x:c>
      <x:c r="F204" s="38" t="str">
        <x:v>Shielded, Heavy, Mossy, Deadly, Fiery, Golden, Icy, Obsidian, Radiant, Restorative, Shiny, Toxic, Turbo</x:v>
      </x:c>
      <x:c r="G204" s="38" t="str">
        <x:v>坦克/雷、地；来源标签 shieldreference, critreference</x:v>
      </x:c>
    </x:row>
    <x:row r="205">
      <x:c r="A205" s="38" t="str">
        <x:v>pal_204</x:v>
      </x:c>
      <x:c r="B205" s="38" t="str">
        <x:v>闪鲨将</x:v>
      </x:c>
      <x:c r="C205" s="38" t="str">
        <x:v>bz_van_204</x:v>
      </x:c>
      <x:c r="D205" s="38" t="str">
        <x:v>Deadly</x:v>
      </x:c>
      <x:c r="E205" s="38" t="n">
        <x:v>13</x:v>
      </x:c>
      <x:c r="F205" s="38" t="str">
        <x:v>Deadly, Fiery, Obsidian, Golden, Heavy, Icy, Mossy, Radiant, Restorative, Shielded, Shiny, Toxic, Turbo</x:v>
      </x:c>
      <x:c r="G205" s="38" t="str">
        <x:v>输出/雷；来源标签 weapon, damagereference, critreference</x:v>
      </x:c>
    </x:row>
    <x:row r="206">
      <x:c r="A206" s="38" t="str">
        <x:v>pal_205</x:v>
      </x:c>
      <x:c r="B206" s="38" t="str">
        <x:v>雷隼卫</x:v>
      </x:c>
      <x:c r="C206" s="38" t="str">
        <x:v>bz_van_205</x:v>
      </x:c>
      <x:c r="D206" s="38" t="str">
        <x:v>Deadly</x:v>
      </x:c>
      <x:c r="E206" s="38" t="n">
        <x:v>13</x:v>
      </x:c>
      <x:c r="F206" s="38" t="str">
        <x:v>Deadly, Fiery, Obsidian, Golden, Heavy, Icy, Mossy, Radiant, Restorative, Shielded, Shiny, Toxic, Turbo</x:v>
      </x:c>
      <x:c r="G206" s="38" t="str">
        <x:v>输出/雷；来源标签 crit</x:v>
      </x:c>
    </x:row>
    <x:row r="207">
      <x:c r="A207" s="38" t="str">
        <x:v>pal_206</x:v>
      </x:c>
      <x:c r="B207" s="38" t="str">
        <x:v>霜狐卫</x:v>
      </x:c>
      <x:c r="C207" s="38" t="str">
        <x:v>bz_van_206</x:v>
      </x:c>
      <x:c r="D207" s="38" t="str">
        <x:v>Icy</x:v>
      </x:c>
      <x:c r="E207" s="38" t="n">
        <x:v>13</x:v>
      </x:c>
      <x:c r="F207" s="38" t="str">
        <x:v>Icy, Toxic, Obsidian, Deadly, Fiery, Golden, Heavy, Mossy, Radiant, Restorative, Shielded, Shiny, Turbo</x:v>
      </x:c>
      <x:c r="G207" s="38" t="str">
        <x:v>控制/冰；来源标签 freeze</x:v>
      </x:c>
    </x:row>
    <x:row r="208">
      <x:c r="A208" s="38" t="str">
        <x:v>pal_207</x:v>
      </x:c>
      <x:c r="B208" s="38" t="str">
        <x:v>森蛇童</x:v>
      </x:c>
      <x:c r="C208" s="38" t="str">
        <x:v>bz_van_207</x:v>
      </x:c>
      <x:c r="D208" s="38" t="str">
        <x:v>Toxic</x:v>
      </x:c>
      <x:c r="E208" s="38" t="n">
        <x:v>13</x:v>
      </x:c>
      <x:c r="F208" s="38" t="str">
        <x:v>Toxic, Icy, Obsidian, Deadly, Fiery, Golden, Heavy, Mossy, Radiant, Restorative, Shielded, Shiny, Turbo</x:v>
      </x:c>
      <x:c r="G208" s="38" t="str">
        <x:v>控制/草；来源标签 poisonreference</x:v>
      </x:c>
    </x:row>
    <x:row r="209">
      <x:c r="A209" s="38" t="str">
        <x:v>pal_208</x:v>
      </x:c>
      <x:c r="B209" s="38" t="str">
        <x:v>冰蛙将</x:v>
      </x:c>
      <x:c r="C209" s="38" t="str">
        <x:v>bz_van_208</x:v>
      </x:c>
      <x:c r="D209" s="38" t="str">
        <x:v>Icy</x:v>
      </x:c>
      <x:c r="E209" s="38" t="n">
        <x:v>13</x:v>
      </x:c>
      <x:c r="F209" s="38" t="str">
        <x:v>Icy, Toxic, Obsidian, Deadly, Fiery, Golden, Heavy, Mossy, Radiant, Restorative, Shielded, Shiny, Turbo</x:v>
      </x:c>
      <x:c r="G209" s="38" t="str">
        <x:v>控制/冰；来源标签 haste, freezereference</x:v>
      </x:c>
    </x:row>
    <x:row r="210">
      <x:c r="A210" s="38" t="str">
        <x:v>pal_209</x:v>
      </x:c>
      <x:c r="B210" s="38" t="str">
        <x:v>夜貉精</x:v>
      </x:c>
      <x:c r="C210" s="38" t="str">
        <x:v>bz_van_209</x:v>
      </x:c>
      <x:c r="D210" s="38" t="str">
        <x:v>Golden</x:v>
      </x:c>
      <x:c r="E210" s="38" t="n">
        <x:v>13</x:v>
      </x:c>
      <x:c r="F210" s="38" t="str">
        <x:v>Golden, Shiny, Radiant, Deadly, Fiery, Heavy, Icy, Mossy, Obsidian, Restorative, Shielded, Toxic, Turbo</x:v>
      </x:c>
      <x:c r="G210" s="38" t="str">
        <x:v>经济/暗；来源标签 weapon, damagereference</x:v>
      </x:c>
    </x:row>
    <x:row r="211">
      <x:c r="A211" s="38" t="str">
        <x:v>pal_210</x:v>
      </x:c>
      <x:c r="B211" s="38" t="str">
        <x:v>震豹童</x:v>
      </x:c>
      <x:c r="C211" s="38" t="str">
        <x:v>bz_van_210</x:v>
      </x:c>
      <x:c r="D211" s="38" t="str">
        <x:v>Deadly</x:v>
      </x:c>
      <x:c r="E211" s="38" t="n">
        <x:v>13</x:v>
      </x:c>
      <x:c r="F211" s="38" t="str">
        <x:v>Deadly, Fiery, Obsidian, Golden, Heavy, Icy, Mossy, Radiant, Restorative, Shielded, Shiny, Toxic, Turbo</x:v>
      </x:c>
      <x:c r="G211" s="38" t="str">
        <x:v>输出/雷；来源标签 crit</x:v>
      </x:c>
    </x:row>
    <x:row r="212">
      <x:c r="A212" s="38" t="str">
        <x:v>pal_211</x:v>
      </x:c>
      <x:c r="B212" s="38" t="str">
        <x:v>夜雀皇</x:v>
      </x:c>
      <x:c r="C212" s="38" t="str">
        <x:v>bz_van_211</x:v>
      </x:c>
      <x:c r="D212" s="38" t="str">
        <x:v>Turbo</x:v>
      </x:c>
      <x:c r="E212" s="38" t="n">
        <x:v>13</x:v>
      </x:c>
      <x:c r="F212" s="38" t="str">
        <x:v>Turbo, Deadly, Shiny, Fiery, Golden, Heavy, Icy, Mossy, Obsidian, Radiant, Restorative, Shielded, Toxic</x:v>
      </x:c>
      <x:c r="G212" s="38" t="str">
        <x:v>机动/暗；来源标签 weapon, cooldown, damagereference</x:v>
      </x:c>
    </x:row>
    <x:row r="213">
      <x:c r="A213" s="38" t="str">
        <x:v>pal_212</x:v>
      </x:c>
      <x:c r="B213" s="38" t="str">
        <x:v>沧鹤妖</x:v>
      </x:c>
      <x:c r="C213" s="38" t="str">
        <x:v>bz_van_212</x:v>
      </x:c>
      <x:c r="D213" s="38" t="str">
        <x:v>Restorative</x:v>
      </x:c>
      <x:c r="E213" s="38" t="n">
        <x:v>13</x:v>
      </x:c>
      <x:c r="F213" s="38" t="str">
        <x:v>Restorative, Mossy, Radiant, Deadly, Fiery, Golden, Heavy, Icy, Obsidian, Shielded, Shiny, Toxic, Turbo</x:v>
      </x:c>
      <x:c r="G213" s="38" t="str">
        <x:v>治疗/水、地；来源标签 health</x:v>
      </x:c>
    </x:row>
    <x:row r="214">
      <x:c r="A214" s="38" t="str">
        <x:v>pal_213</x:v>
      </x:c>
      <x:c r="B214" s="38" t="str">
        <x:v>震鹰童</x:v>
      </x:c>
      <x:c r="C214" s="38" t="str">
        <x:v>bz_van_213</x:v>
      </x:c>
      <x:c r="D214" s="38" t="str">
        <x:v>Deadly</x:v>
      </x:c>
      <x:c r="E214" s="38" t="n">
        <x:v>13</x:v>
      </x:c>
      <x:c r="F214" s="38" t="str">
        <x:v>Deadly, Fiery, Obsidian, Golden, Heavy, Icy, Mossy, Radiant, Restorative, Shielded, Shiny, Toxic, Turbo</x:v>
      </x:c>
      <x:c r="G214" s="38" t="str">
        <x:v>输出/雷；来源标签 crit</x:v>
      </x:c>
    </x:row>
    <x:row r="215">
      <x:c r="A215" s="38" t="str">
        <x:v>pal_214</x:v>
      </x:c>
      <x:c r="B215" s="38" t="str">
        <x:v>角鲨兽</x:v>
      </x:c>
      <x:c r="C215" s="38" t="str">
        <x:v>bz_van_214</x:v>
      </x:c>
      <x:c r="D215" s="38" t="str">
        <x:v>Deadly</x:v>
      </x:c>
      <x:c r="E215" s="38" t="n">
        <x:v>13</x:v>
      </x:c>
      <x:c r="F215" s="38" t="str">
        <x:v>Deadly, Fiery, Obsidian, Golden, Heavy, Icy, Mossy, Radiant, Restorative, Shielded, Shiny, Toxic, Turbo</x:v>
      </x:c>
      <x:c r="G215" s="38" t="str">
        <x:v>输出/龙；来源标签 weapon, damagereference</x:v>
      </x:c>
    </x:row>
    <x:row r="216">
      <x:c r="A216" s="38" t="str">
        <x:v>pal_215</x:v>
      </x:c>
      <x:c r="B216" s="38" t="str">
        <x:v>角隼尊</x:v>
      </x:c>
      <x:c r="C216" s="38" t="str">
        <x:v>bz_van_215</x:v>
      </x:c>
      <x:c r="D216" s="38" t="str">
        <x:v>Turbo</x:v>
      </x:c>
      <x:c r="E216" s="38" t="n">
        <x:v>13</x:v>
      </x:c>
      <x:c r="F216" s="38" t="str">
        <x:v>Turbo, Deadly, Shiny, Fiery, Golden, Heavy, Icy, Mossy, Obsidian, Radiant, Restorative, Shielded, Toxic</x:v>
      </x:c>
      <x:c r="G216" s="38" t="str">
        <x:v>机动/龙；来源标签 haste</x:v>
      </x:c>
    </x:row>
    <x:row r="217">
      <x:c r="A217" s="38" t="str">
        <x:v>pal_216</x:v>
      </x:c>
      <x:c r="B217" s="38" t="str">
        <x:v>霆鲭将</x:v>
      </x:c>
      <x:c r="C217" s="38" t="str">
        <x:v>bz_van_216</x:v>
      </x:c>
      <x:c r="D217" s="38" t="str">
        <x:v>Turbo</x:v>
      </x:c>
      <x:c r="E217" s="38" t="n">
        <x:v>13</x:v>
      </x:c>
      <x:c r="F217" s="38" t="str">
        <x:v>Turbo, Deadly, Shiny, Fiery, Golden, Heavy, Icy, Mossy, Obsidian, Radiant, Restorative, Shielded, Toxic</x:v>
      </x:c>
      <x:c r="G217" s="38" t="str">
        <x:v>机动/雷；来源标签 cooldown</x:v>
      </x:c>
    </x:row>
    <x:row r="218">
      <x:c r="A218" s="38" t="str">
        <x:v>pal_217</x:v>
      </x:c>
      <x:c r="B218" s="38" t="str">
        <x:v>震雀将</x:v>
      </x:c>
      <x:c r="C218" s="38" t="str">
        <x:v>bz_van_217</x:v>
      </x:c>
      <x:c r="D218" s="38" t="str">
        <x:v>Golden</x:v>
      </x:c>
      <x:c r="E218" s="38" t="n">
        <x:v>13</x:v>
      </x:c>
      <x:c r="F218" s="38" t="str">
        <x:v>Golden, Shiny, Radiant, Deadly, Fiery, Heavy, Icy, Mossy, Obsidian, Restorative, Shielded, Toxic, Turbo</x:v>
      </x:c>
      <x:c r="G218" s="38" t="str">
        <x:v>经济/雷；来源标签 weapon, damagereference</x:v>
      </x:c>
    </x:row>
    <x:row r="219">
      <x:c r="A219" s="38" t="str">
        <x:v>pal_218</x:v>
      </x:c>
      <x:c r="B219" s="38" t="str">
        <x:v>赤鹤皇</x:v>
      </x:c>
      <x:c r="C219" s="38" t="str">
        <x:v>bz_van_218</x:v>
      </x:c>
      <x:c r="D219" s="38" t="str">
        <x:v>Fiery</x:v>
      </x:c>
      <x:c r="E219" s="38" t="n">
        <x:v>13</x:v>
      </x:c>
      <x:c r="F219" s="38" t="str">
        <x:v>Fiery, Restorative, Mossy, Radiant, Deadly, Golden, Heavy, Icy, Obsidian, Shielded, Shiny, Toxic, Turbo</x:v>
      </x:c>
      <x:c r="G219" s="38" t="str">
        <x:v>治疗/火、水；来源标签 burnreference, cooldown</x:v>
      </x:c>
    </x:row>
    <x:row r="220">
      <x:c r="A220" s="38" t="str">
        <x:v>pal_219</x:v>
      </x:c>
      <x:c r="B220" s="38" t="str">
        <x:v>霆狼妖</x:v>
      </x:c>
      <x:c r="C220" s="38" t="str">
        <x:v>bz_van_219</x:v>
      </x:c>
      <x:c r="D220" s="38" t="str">
        <x:v>Deadly</x:v>
      </x:c>
      <x:c r="E220" s="38" t="n">
        <x:v>13</x:v>
      </x:c>
      <x:c r="F220" s="38" t="str">
        <x:v>Deadly, Fiery, Obsidian, Golden, Heavy, Icy, Mossy, Radiant, Restorative, Shielded, Shiny, Toxic, Turbo</x:v>
      </x:c>
      <x:c r="G220" s="38" t="str">
        <x:v>输出/雷；来源标签 ammo, damagereference</x:v>
      </x:c>
    </x:row>
    <x:row r="221">
      <x:c r="A221" s="38" t="str">
        <x:v>pal_220</x:v>
      </x:c>
      <x:c r="B221" s="38" t="str">
        <x:v>碧雀君</x:v>
      </x:c>
      <x:c r="C221" s="38" t="str">
        <x:v>bz_van_220</x:v>
      </x:c>
      <x:c r="D221" s="38" t="str">
        <x:v>Turbo</x:v>
      </x:c>
      <x:c r="E221" s="38" t="n">
        <x:v>13</x:v>
      </x:c>
      <x:c r="F221" s="38" t="str">
        <x:v>Turbo, Deadly, Shiny, Fiery, Golden, Heavy, Icy, Mossy, Obsidian, Radiant, Restorative, Shielded, Toxic</x:v>
      </x:c>
      <x:c r="G221" s="38" t="str">
        <x:v>机动/水；来源标签 aquatic</x:v>
      </x:c>
    </x:row>
    <x:row r="222">
      <x:c r="A222" s="38" t="str">
        <x:v>pal_221</x:v>
      </x:c>
      <x:c r="B222" s="38" t="str">
        <x:v>霆虎神</x:v>
      </x:c>
      <x:c r="C222" s="38" t="str">
        <x:v>bz_van_221</x:v>
      </x:c>
      <x:c r="D222" s="38" t="str">
        <x:v>Deadly</x:v>
      </x:c>
      <x:c r="E222" s="38" t="n">
        <x:v>13</x:v>
      </x:c>
      <x:c r="F222" s="38" t="str">
        <x:v>Deadly, Fiery, Obsidian, Golden, Heavy, Icy, Mossy, Radiant, Restorative, Shielded, Shiny, Toxic, Turbo</x:v>
      </x:c>
      <x:c r="G222" s="38" t="str">
        <x:v>输出/雷；来源标签 weapon, ammo, damagereference</x:v>
      </x:c>
    </x:row>
    <x:row r="223">
      <x:c r="A223" s="38" t="str">
        <x:v>pal_222</x:v>
      </x:c>
      <x:c r="B223" s="38" t="str">
        <x:v>雷猿王</x:v>
      </x:c>
      <x:c r="C223" s="38" t="str">
        <x:v>bz_van_222</x:v>
      </x:c>
      <x:c r="D223" s="38" t="str">
        <x:v>Turbo</x:v>
      </x:c>
      <x:c r="E223" s="38" t="n">
        <x:v>13</x:v>
      </x:c>
      <x:c r="F223" s="38" t="str">
        <x:v>Turbo, Deadly, Shiny, Fiery, Golden, Heavy, Icy, Mossy, Obsidian, Radiant, Restorative, Shielded, Toxic</x:v>
      </x:c>
      <x:c r="G223" s="38" t="str">
        <x:v>机动/雷；来源标签 weapon, charge, damagereference</x:v>
      </x:c>
    </x:row>
    <x:row r="224">
      <x:c r="A224" s="38" t="str">
        <x:v>pal_223</x:v>
      </x:c>
      <x:c r="B224" s="38" t="str">
        <x:v>燎蚌皇</x:v>
      </x:c>
      <x:c r="C224" s="38" t="str">
        <x:v>bz_van_223</x:v>
      </x:c>
      <x:c r="D224" s="38" t="str">
        <x:v>Fiery</x:v>
      </x:c>
      <x:c r="E224" s="38" t="n">
        <x:v>13</x:v>
      </x:c>
      <x:c r="F224" s="38" t="str">
        <x:v>Fiery, Restorative, Mossy, Radiant, Deadly, Golden, Heavy, Icy, Obsidian, Shielded, Shiny, Toxic, Turbo</x:v>
      </x:c>
      <x:c r="G224" s="38" t="str">
        <x:v>治疗/火、水；来源标签 regen, burnreference</x:v>
      </x:c>
    </x:row>
    <x:row r="225">
      <x:c r="A225" s="38" t="str">
        <x:v>pal_224</x:v>
      </x:c>
      <x:c r="B225" s="38" t="str">
        <x:v>夜蝎卫</x:v>
      </x:c>
      <x:c r="C225" s="38" t="str">
        <x:v>bz_van_224</x:v>
      </x:c>
      <x:c r="D225" s="38" t="str">
        <x:v>Icy</x:v>
      </x:c>
      <x:c r="E225" s="38" t="n">
        <x:v>13</x:v>
      </x:c>
      <x:c r="F225" s="38" t="str">
        <x:v>Icy, Toxic, Obsidian, Deadly, Fiery, Golden, Heavy, Mossy, Radiant, Restorative, Shielded, Shiny, Turbo</x:v>
      </x:c>
      <x:c r="G225" s="38" t="str">
        <x:v>控制/暗；来源标签 slow</x:v>
      </x:c>
    </x:row>
    <x:row r="226">
      <x:c r="A226" s="38" t="str">
        <x:v>pal_225</x:v>
      </x:c>
      <x:c r="B226" s="38" t="str">
        <x:v>星隼精</x:v>
      </x:c>
      <x:c r="C226" s="38" t="str">
        <x:v>bz_van_225</x:v>
      </x:c>
      <x:c r="D226" s="38" t="str">
        <x:v>Deadly</x:v>
      </x:c>
      <x:c r="E226" s="38" t="n">
        <x:v>13</x:v>
      </x:c>
      <x:c r="F226" s="38" t="str">
        <x:v>Deadly, Fiery, Obsidian, Golden, Heavy, Icy, Mossy, Radiant, Restorative, Shielded, Shiny, Toxic, Turbo</x:v>
      </x:c>
      <x:c r="G226" s="38" t="str">
        <x:v>输出/无；来源标签 weapon, damagereference</x:v>
      </x:c>
    </x:row>
    <x:row r="227">
      <x:c r="A227" s="38" t="str">
        <x:v>pal_226</x:v>
      </x:c>
      <x:c r="B227" s="38" t="str">
        <x:v>潮雀妖</x:v>
      </x:c>
      <x:c r="C227" s="38" t="str">
        <x:v>bz_van_226</x:v>
      </x:c>
      <x:c r="D227" s="38" t="str">
        <x:v>Turbo</x:v>
      </x:c>
      <x:c r="E227" s="38" t="n">
        <x:v>13</x:v>
      </x:c>
      <x:c r="F227" s="38" t="str">
        <x:v>Turbo, Deadly, Shiny, Fiery, Golden, Heavy, Icy, Mossy, Obsidian, Radiant, Restorative, Shielded, Toxic</x:v>
      </x:c>
      <x:c r="G227" s="38" t="str">
        <x:v>机动/水；来源标签 aquatic, haste</x:v>
      </x:c>
    </x:row>
    <x:row r="228">
      <x:c r="A228" s="38" t="str">
        <x:v>pal_227</x:v>
      </x:c>
      <x:c r="B228" s="38" t="str">
        <x:v>蛟蛙侯</x:v>
      </x:c>
      <x:c r="C228" s="38" t="str">
        <x:v>bz_van_227</x:v>
      </x:c>
      <x:c r="D228" s="38" t="str">
        <x:v>Icy</x:v>
      </x:c>
      <x:c r="E228" s="38" t="n">
        <x:v>13</x:v>
      </x:c>
      <x:c r="F228" s="38" t="str">
        <x:v>Icy, Toxic, Obsidian, Deadly, Fiery, Golden, Heavy, Mossy, Radiant, Restorative, Shielded, Shiny, Turbo</x:v>
      </x:c>
      <x:c r="G228" s="38" t="str">
        <x:v>控制/龙；来源标签 vehicle, haste, slowreference</x:v>
      </x:c>
    </x:row>
    <x:row r="229">
      <x:c r="A229" s="38" t="str">
        <x:v>pal_228</x:v>
      </x:c>
      <x:c r="B229" s="38" t="str">
        <x:v>凛蝎卫</x:v>
      </x:c>
      <x:c r="C229" s="38" t="str">
        <x:v>bz_van_228</x:v>
      </x:c>
      <x:c r="D229" s="38" t="str">
        <x:v>Icy</x:v>
      </x:c>
      <x:c r="E229" s="38" t="n">
        <x:v>13</x:v>
      </x:c>
      <x:c r="F229" s="38" t="str">
        <x:v>Icy, Toxic, Obsidian, Deadly, Fiery, Golden, Heavy, Mossy, Radiant, Restorative, Shielded, Shiny, Turbo</x:v>
      </x:c>
      <x:c r="G229" s="38" t="str">
        <x:v>控制/冰、草；来源标签 poisonreference, freeze</x:v>
      </x:c>
    </x:row>
    <x:row r="230">
      <x:c r="A230" s="38" t="str">
        <x:v>pal_229</x:v>
      </x:c>
      <x:c r="B230" s="38" t="str">
        <x:v>闪狼侯</x:v>
      </x:c>
      <x:c r="C230" s="38" t="str">
        <x:v>bz_van_229</x:v>
      </x:c>
      <x:c r="D230" s="38" t="str">
        <x:v>Deadly</x:v>
      </x:c>
      <x:c r="E230" s="38" t="n">
        <x:v>13</x:v>
      </x:c>
      <x:c r="F230" s="38" t="str">
        <x:v>Deadly, Fiery, Obsidian, Golden, Heavy, Icy, Mossy, Radiant, Restorative, Shielded, Shiny, Toxic, Turbo</x:v>
      </x:c>
      <x:c r="G230" s="38" t="str">
        <x:v>输出/雷；来源标签 crit, ammoreference</x:v>
      </x:c>
    </x:row>
    <x:row r="231">
      <x:c r="A231" s="38" t="str">
        <x:v>pal_230</x:v>
      </x:c>
      <x:c r="B231" s="38" t="str">
        <x:v>震隼灵</x:v>
      </x:c>
      <x:c r="C231" s="38" t="str">
        <x:v>bz_van_230</x:v>
      </x:c>
      <x:c r="D231" s="38" t="str">
        <x:v>Deadly</x:v>
      </x:c>
      <x:c r="E231" s="38" t="n">
        <x:v>13</x:v>
      </x:c>
      <x:c r="F231" s="38" t="str">
        <x:v>Deadly, Fiery, Obsidian, Golden, Heavy, Icy, Mossy, Radiant, Restorative, Shielded, Shiny, Toxic, Turbo</x:v>
      </x:c>
      <x:c r="G231" s="38" t="str">
        <x:v>输出/雷；来源标签 crit</x:v>
      </x:c>
    </x:row>
    <x:row r="232">
      <x:c r="A232" s="38" t="str">
        <x:v>pal_231</x:v>
      </x:c>
      <x:c r="B232" s="38" t="str">
        <x:v>苔蛛将</x:v>
      </x:c>
      <x:c r="C232" s="38" t="str">
        <x:v>bz_van_231</x:v>
      </x:c>
      <x:c r="D232" s="38" t="str">
        <x:v>Toxic</x:v>
      </x:c>
      <x:c r="E232" s="38" t="n">
        <x:v>13</x:v>
      </x:c>
      <x:c r="F232" s="38" t="str">
        <x:v>Toxic, Icy, Obsidian, Deadly, Fiery, Golden, Heavy, Mossy, Radiant, Restorative, Shielded, Shiny, Turbo</x:v>
      </x:c>
      <x:c r="G232" s="38" t="str">
        <x:v>控制/草；来源标签 poison</x:v>
      </x:c>
    </x:row>
    <x:row r="233">
      <x:c r="A233" s="38" t="str">
        <x:v>pal_232</x:v>
      </x:c>
      <x:c r="B233" s="38" t="str">
        <x:v>汐羊王</x:v>
      </x:c>
      <x:c r="C233" s="38" t="str">
        <x:v>bz_van_232</x:v>
      </x:c>
      <x:c r="D233" s="38" t="str">
        <x:v>Deadly</x:v>
      </x:c>
      <x:c r="E233" s="38" t="n">
        <x:v>13</x:v>
      </x:c>
      <x:c r="F233" s="38" t="str">
        <x:v>Deadly, Restorative, Mossy, Radiant, Fiery, Golden, Heavy, Icy, Obsidian, Shielded, Shiny, Toxic, Turbo</x:v>
      </x:c>
      <x:c r="G233" s="38" t="str">
        <x:v>治疗/水、雷；来源标签 weapon, lifesteal, crit</x:v>
      </x:c>
    </x:row>
    <x:row r="234">
      <x:c r="A234" s="38" t="str">
        <x:v>pal_233</x:v>
      </x:c>
      <x:c r="B234" s="38" t="str">
        <x:v>山象王</x:v>
      </x:c>
      <x:c r="C234" s="38" t="str">
        <x:v>bz_van_233</x:v>
      </x:c>
      <x:c r="D234" s="38" t="str">
        <x:v>Turbo</x:v>
      </x:c>
      <x:c r="E234" s="38" t="n">
        <x:v>13</x:v>
      </x:c>
      <x:c r="F234" s="38" t="str">
        <x:v>Turbo, Heavy, Shielded, Mossy, Deadly, Fiery, Golden, Icy, Obsidian, Radiant, Restorative, Shiny, Toxic</x:v>
      </x:c>
      <x:c r="G234" s="38" t="str">
        <x:v>坦克/地；来源标签 shieldreference, cooldown</x:v>
      </x:c>
    </x:row>
    <x:row r="235">
      <x:c r="A235" s="38" t="str">
        <x:v>pal_234</x:v>
      </x:c>
      <x:c r="B235" s="38" t="str">
        <x:v>寒蟒卫</x:v>
      </x:c>
      <x:c r="C235" s="38" t="str">
        <x:v>bz_van_234</x:v>
      </x:c>
      <x:c r="D235" s="38" t="str">
        <x:v>Icy</x:v>
      </x:c>
      <x:c r="E235" s="38" t="n">
        <x:v>13</x:v>
      </x:c>
      <x:c r="F235" s="38" t="str">
        <x:v>Icy, Toxic, Obsidian, Deadly, Fiery, Golden, Heavy, Mossy, Radiant, Restorative, Shielded, Shiny, Turbo</x:v>
      </x:c>
      <x:c r="G235" s="38" t="str">
        <x:v>控制/冰；来源标签 hastereference, freeze</x:v>
      </x:c>
    </x:row>
    <x:row r="236">
      <x:c r="A236" s="38" t="str">
        <x:v>pal_235</x:v>
      </x:c>
      <x:c r="B236" s="38" t="str">
        <x:v>朱鲭将</x:v>
      </x:c>
      <x:c r="C236" s="38" t="str">
        <x:v>bz_van_235</x:v>
      </x:c>
      <x:c r="D236" s="38" t="str">
        <x:v>Fiery</x:v>
      </x:c>
      <x:c r="E236" s="38" t="n">
        <x:v>13</x:v>
      </x:c>
      <x:c r="F236" s="38" t="str">
        <x:v>Fiery, Turbo, Deadly, Shiny, Golden, Heavy, Icy, Mossy, Obsidian, Radiant, Restorative, Shielded, Toxic</x:v>
      </x:c>
      <x:c r="G236" s="38" t="str">
        <x:v>机动/火；来源标签 burnreference, haste</x:v>
      </x:c>
    </x:row>
    <x:row r="237">
      <x:c r="A237" s="38" t="str">
        <x:v>pal_236</x:v>
      </x:c>
      <x:c r="B237" s="38" t="str">
        <x:v>寒鹰祖</x:v>
      </x:c>
      <x:c r="C237" s="38" t="str">
        <x:v>bz_van_236</x:v>
      </x:c>
      <x:c r="D237" s="38" t="str">
        <x:v>Shiny</x:v>
      </x:c>
      <x:c r="E237" s="38" t="n">
        <x:v>13</x:v>
      </x:c>
      <x:c r="F237" s="38" t="str">
        <x:v>Shiny, Deadly, Fiery, Obsidian, Golden, Heavy, Icy, Mossy, Radiant, Restorative, Shielded, Toxic, Turbo</x:v>
      </x:c>
      <x:c r="G237" s="38" t="str">
        <x:v>输出/冰；来源标签 tool</x:v>
      </x:c>
    </x:row>
    <x:row r="238">
      <x:c r="A238" s="38" t="str">
        <x:v>pal_237</x:v>
      </x:c>
      <x:c r="B238" s="38" t="str">
        <x:v>寒蝎尊</x:v>
      </x:c>
      <x:c r="C238" s="38" t="str">
        <x:v>bz_van_237</x:v>
      </x:c>
      <x:c r="D238" s="38" t="str">
        <x:v>Icy</x:v>
      </x:c>
      <x:c r="E238" s="38" t="n">
        <x:v>13</x:v>
      </x:c>
      <x:c r="F238" s="38" t="str">
        <x:v>Icy, Toxic, Obsidian, Deadly, Fiery, Golden, Heavy, Mossy, Radiant, Restorative, Shielded, Shiny, Turbo</x:v>
      </x:c>
      <x:c r="G238" s="38" t="str">
        <x:v>控制/冰、雷；来源标签 freezereference, crit</x:v>
      </x:c>
    </x:row>
    <x:row r="239">
      <x:c r="A239" s="38" t="str">
        <x:v>pal_238</x:v>
      </x:c>
      <x:c r="B239" s="38" t="str">
        <x:v>石甲兽</x:v>
      </x:c>
      <x:c r="C239" s="38" t="str">
        <x:v>bz_van_238</x:v>
      </x:c>
      <x:c r="D239" s="38" t="str">
        <x:v>Shielded</x:v>
      </x:c>
      <x:c r="E239" s="38" t="n">
        <x:v>13</x:v>
      </x:c>
      <x:c r="F239" s="38" t="str">
        <x:v>Shielded, Heavy, Mossy, Deadly, Fiery, Golden, Icy, Obsidian, Radiant, Restorative, Shiny, Toxic, Turbo</x:v>
      </x:c>
      <x:c r="G239" s="38" t="str">
        <x:v>坦克/地；来源标签 shieldreference</x:v>
      </x:c>
    </x:row>
    <x:row r="240">
      <x:c r="A240" s="38" t="str">
        <x:v>pal_239</x:v>
      </x:c>
      <x:c r="B240" s="38" t="str">
        <x:v>沧鹤神</x:v>
      </x:c>
      <x:c r="C240" s="38" t="str">
        <x:v>bz_van_239</x:v>
      </x:c>
      <x:c r="D240" s="38" t="str">
        <x:v>Turbo</x:v>
      </x:c>
      <x:c r="E240" s="38" t="n">
        <x:v>13</x:v>
      </x:c>
      <x:c r="F240" s="38" t="str">
        <x:v>Turbo, Restorative, Mossy, Radiant, Deadly, Fiery, Golden, Heavy, Icy, Obsidian, Shielded, Shiny, Toxic</x:v>
      </x:c>
      <x:c r="G240" s="38" t="str">
        <x:v>治疗/水、地；来源标签 cooldown</x:v>
      </x:c>
    </x:row>
    <x:row r="241">
      <x:c r="A241" s="38" t="str">
        <x:v>pal_240</x:v>
      </x:c>
      <x:c r="B241" s="38" t="str">
        <x:v>碧蚌将</x:v>
      </x:c>
      <x:c r="C241" s="38" t="str">
        <x:v>bz_van_240</x:v>
      </x:c>
      <x:c r="D241" s="38" t="str">
        <x:v>Mossy</x:v>
      </x:c>
      <x:c r="E241" s="38" t="n">
        <x:v>13</x:v>
      </x:c>
      <x:c r="F241" s="38" t="str">
        <x:v>Mossy, Restorative, Radiant, Deadly, Fiery, Golden, Heavy, Icy, Obsidian, Shielded, Shiny, Toxic, Turbo</x:v>
      </x:c>
      <x:c r="G241" s="38" t="str">
        <x:v>治疗/水；来源标签 regen</x:v>
      </x:c>
    </x:row>
    <x:row r="242">
      <x:c r="A242" s="38" t="str">
        <x:v>pal_241</x:v>
      </x:c>
      <x:c r="B242" s="38" t="str">
        <x:v>墨蝎王</x:v>
      </x:c>
      <x:c r="C242" s="38" t="str">
        <x:v>bz_van_241</x:v>
      </x:c>
      <x:c r="D242" s="38" t="str">
        <x:v>Obsidian</x:v>
      </x:c>
      <x:c r="E242" s="38" t="n">
        <x:v>13</x:v>
      </x:c>
      <x:c r="F242" s="38" t="str">
        <x:v>Obsidian, Icy, Toxic, Deadly, Fiery, Golden, Heavy, Mossy, Radiant, Restorative, Shielded, Shiny, Turbo</x:v>
      </x:c>
      <x:c r="G242" s="38" t="str">
        <x:v>控制/暗；来源标签 无</x:v>
      </x:c>
    </x:row>
    <x:row r="243">
      <x:c r="A243" s="38" t="str">
        <x:v>pal_242</x:v>
      </x:c>
      <x:c r="B243" s="38" t="str">
        <x:v>鸣螳仔</x:v>
      </x:c>
      <x:c r="C243" s="38" t="str">
        <x:v>bz_van_242</x:v>
      </x:c>
      <x:c r="D243" s="38" t="str">
        <x:v>Deadly</x:v>
      </x:c>
      <x:c r="E243" s="38" t="n">
        <x:v>13</x:v>
      </x:c>
      <x:c r="F243" s="38" t="str">
        <x:v>Deadly, Fiery, Obsidian, Golden, Heavy, Icy, Mossy, Radiant, Restorative, Shielded, Shiny, Toxic, Turbo</x:v>
      </x:c>
      <x:c r="G243" s="38" t="str">
        <x:v>输出/雷；来源标签 crit</x:v>
      </x:c>
    </x:row>
    <x:row r="244">
      <x:c r="A244" s="38" t="str">
        <x:v>pal_243</x:v>
      </x:c>
      <x:c r="B244" s="38" t="str">
        <x:v>岩豹兽</x:v>
      </x:c>
      <x:c r="C244" s="38" t="str">
        <x:v>bz_van_243</x:v>
      </x:c>
      <x:c r="D244" s="38" t="str">
        <x:v>Deadly</x:v>
      </x:c>
      <x:c r="E244" s="38" t="n">
        <x:v>13</x:v>
      </x:c>
      <x:c r="F244" s="38" t="str">
        <x:v>Deadly, Fiery, Obsidian, Golden, Heavy, Icy, Mossy, Radiant, Restorative, Shielded, Shiny, Toxic, Turbo</x:v>
      </x:c>
      <x:c r="G244" s="38" t="str">
        <x:v>输出/地；来源标签 weapon, damagereference</x:v>
      </x:c>
    </x:row>
    <x:row r="245">
      <x:c r="A245" s="38" t="str">
        <x:v>pal_244</x:v>
      </x:c>
      <x:c r="B245" s="38" t="str">
        <x:v>雷蛛妖</x:v>
      </x:c>
      <x:c r="C245" s="38" t="str">
        <x:v>bz_van_244</x:v>
      </x:c>
      <x:c r="D245" s="38" t="str">
        <x:v>Icy</x:v>
      </x:c>
      <x:c r="E245" s="38" t="n">
        <x:v>13</x:v>
      </x:c>
      <x:c r="F245" s="38" t="str">
        <x:v>Icy, Toxic, Obsidian, Deadly, Fiery, Golden, Heavy, Mossy, Radiant, Restorative, Shielded, Shiny, Turbo</x:v>
      </x:c>
      <x:c r="G245" s="38" t="str">
        <x:v>控制/雷；来源标签 slowreference, charge</x:v>
      </x:c>
    </x:row>
    <x:row r="246">
      <x:c r="A246" s="38" t="str">
        <x:v>pal_245</x:v>
      </x:c>
      <x:c r="B246" s="38" t="str">
        <x:v>角蛙君</x:v>
      </x:c>
      <x:c r="C246" s="38" t="str">
        <x:v>bz_van_245</x:v>
      </x:c>
      <x:c r="D246" s="38" t="str">
        <x:v>Icy</x:v>
      </x:c>
      <x:c r="E246" s="38" t="n">
        <x:v>13</x:v>
      </x:c>
      <x:c r="F246" s="38" t="str">
        <x:v>Icy, Toxic, Obsidian, Deadly, Fiery, Golden, Heavy, Mossy, Radiant, Restorative, Shielded, Shiny, Turbo</x:v>
      </x:c>
      <x:c r="G246" s="38" t="str">
        <x:v>控制/龙；来源标签 tool, slow</x:v>
      </x:c>
    </x:row>
    <x:row r="247">
      <x:c r="A247" s="38" t="str">
        <x:v>pal_246</x:v>
      </x:c>
      <x:c r="B247" s="38" t="str">
        <x:v>燎隼精</x:v>
      </x:c>
      <x:c r="C247" s="38" t="str">
        <x:v>bz_van_246</x:v>
      </x:c>
      <x:c r="D247" s="38" t="str">
        <x:v>Fiery</x:v>
      </x:c>
      <x:c r="E247" s="38" t="n">
        <x:v>13</x:v>
      </x:c>
      <x:c r="F247" s="38" t="str">
        <x:v>Fiery, Turbo, Deadly, Shiny, Golden, Heavy, Icy, Mossy, Obsidian, Radiant, Restorative, Shielded, Toxic</x:v>
      </x:c>
      <x:c r="G247" s="38" t="str">
        <x:v>机动/火；来源标签 burnreference, hastereference</x:v>
      </x:c>
    </x:row>
    <x:row r="248">
      <x:c r="A248" s="38" t="str">
        <x:v>pal_247</x:v>
      </x:c>
      <x:c r="B248" s="38" t="str">
        <x:v>潮羊卫</x:v>
      </x:c>
      <x:c r="C248" s="38" t="str">
        <x:v>bz_van_247</x:v>
      </x:c>
      <x:c r="D248" s="38" t="str">
        <x:v>Restorative</x:v>
      </x:c>
      <x:c r="E248" s="38" t="n">
        <x:v>13</x:v>
      </x:c>
      <x:c r="F248" s="38" t="str">
        <x:v>Restorative, Mossy, Radiant, Deadly, Fiery, Golden, Heavy, Icy, Obsidian, Shielded, Shiny, Toxic, Turbo</x:v>
      </x:c>
      <x:c r="G248" s="38" t="str">
        <x:v>治疗/水、地；来源标签 heal, healthreference</x:v>
      </x:c>
    </x:row>
    <x:row r="249">
      <x:c r="A249" s="38" t="str">
        <x:v>pal_248</x:v>
      </x:c>
      <x:c r="B249" s="38" t="str">
        <x:v>岳熊精</x:v>
      </x:c>
      <x:c r="C249" s="38" t="str">
        <x:v>bz_van_248</x:v>
      </x:c>
      <x:c r="D249" s="38" t="str">
        <x:v>Shielded</x:v>
      </x:c>
      <x:c r="E249" s="38" t="n">
        <x:v>13</x:v>
      </x:c>
      <x:c r="F249" s="38" t="str">
        <x:v>Shielded, Heavy, Mossy, Deadly, Fiery, Golden, Icy, Obsidian, Radiant, Restorative, Shiny, Toxic, Turbo</x:v>
      </x:c>
      <x:c r="G249" s="38" t="str">
        <x:v>坦克/地；来源标签 weapon, shieldreference, damagereference</x:v>
      </x:c>
    </x:row>
    <x:row r="250">
      <x:c r="A250" s="38" t="str">
        <x:v>pal_249</x:v>
      </x:c>
      <x:c r="B250" s="38" t="str">
        <x:v>霆鲨皇</x:v>
      </x:c>
      <x:c r="C250" s="38" t="str">
        <x:v>bz_van_249</x:v>
      </x:c>
      <x:c r="D250" s="38" t="str">
        <x:v>Deadly</x:v>
      </x:c>
      <x:c r="E250" s="38" t="n">
        <x:v>13</x:v>
      </x:c>
      <x:c r="F250" s="38" t="str">
        <x:v>Deadly, Fiery, Obsidian, Golden, Heavy, Icy, Mossy, Radiant, Restorative, Shielded, Shiny, Toxic, Turbo</x:v>
      </x:c>
      <x:c r="G250" s="38" t="str">
        <x:v>输出/雷；来源标签 weapon, damagereference, crit</x:v>
      </x:c>
    </x:row>
    <x:row r="251">
      <x:c r="A251" s="38" t="str">
        <x:v>pal_250</x:v>
      </x:c>
      <x:c r="B251" s="38" t="str">
        <x:v>霜貂卫</x:v>
      </x:c>
      <x:c r="C251" s="38" t="str">
        <x:v>bz_van_250</x:v>
      </x:c>
      <x:c r="D251" s="38" t="str">
        <x:v>Icy</x:v>
      </x:c>
      <x:c r="E251" s="38" t="n">
        <x:v>13</x:v>
      </x:c>
      <x:c r="F251" s="38" t="str">
        <x:v>Icy, Toxic, Obsidian, Deadly, Fiery, Golden, Heavy, Mossy, Radiant, Restorative, Shielded, Shiny, Turbo</x:v>
      </x:c>
      <x:c r="G251" s="38" t="str">
        <x:v>控制/冰；来源标签 weapon, freezereference, damagereference</x:v>
      </x:c>
    </x:row>
    <x:row r="252">
      <x:c r="A252" s="38" t="str">
        <x:v>pal_251</x:v>
      </x:c>
      <x:c r="B252" s="38" t="str">
        <x:v>霆牦王</x:v>
      </x:c>
      <x:c r="C252" s="38" t="str">
        <x:v>bz_van_251</x:v>
      </x:c>
      <x:c r="D252" s="38" t="str">
        <x:v>Turbo</x:v>
      </x:c>
      <x:c r="E252" s="38" t="n">
        <x:v>13</x:v>
      </x:c>
      <x:c r="F252" s="38" t="str">
        <x:v>Turbo, Heavy, Shielded, Mossy, Deadly, Fiery, Golden, Icy, Obsidian, Radiant, Restorative, Shiny, Toxic</x:v>
      </x:c>
      <x:c r="G252" s="38" t="str">
        <x:v>坦克/雷、地；来源标签 weapon, charge, damagereference</x:v>
      </x:c>
    </x:row>
    <x:row r="253">
      <x:c r="A253" s="38" t="str">
        <x:v>pal_252</x:v>
      </x:c>
      <x:c r="B253" s="38" t="str">
        <x:v>炎蛛尊</x:v>
      </x:c>
      <x:c r="C253" s="38" t="str">
        <x:v>bz_van_252</x:v>
      </x:c>
      <x:c r="D253" s="38" t="str">
        <x:v>Fiery</x:v>
      </x:c>
      <x:c r="E253" s="38" t="n">
        <x:v>13</x:v>
      </x:c>
      <x:c r="F253" s="38" t="str">
        <x:v>Fiery, Icy, Toxic, Obsidian, Deadly, Golden, Heavy, Mossy, Radiant, Restorative, Shielded, Shiny, Turbo</x:v>
      </x:c>
      <x:c r="G253" s="38" t="str">
        <x:v>控制/火、草；来源标签 charge, poisonreference, burnreference</x:v>
      </x:c>
    </x:row>
    <x:row r="254">
      <x:c r="A254" s="38" t="str">
        <x:v>pal_253</x:v>
      </x:c>
      <x:c r="B254" s="38" t="str">
        <x:v>炎鳗精</x:v>
      </x:c>
      <x:c r="C254" s="38" t="str">
        <x:v>bz_van_253</x:v>
      </x:c>
      <x:c r="D254" s="38" t="str">
        <x:v>Icy</x:v>
      </x:c>
      <x:c r="E254" s="38" t="n">
        <x:v>13</x:v>
      </x:c>
      <x:c r="F254" s="38" t="str">
        <x:v>Icy, Toxic, Obsidian, Deadly, Fiery, Golden, Heavy, Mossy, Radiant, Restorative, Shielded, Shiny, Turbo</x:v>
      </x:c>
      <x:c r="G254" s="38" t="str">
        <x:v>控制/火；来源标签 weapon, damagereference, slowreference</x:v>
      </x:c>
    </x:row>
    <x:row r="255">
      <x:c r="A255" s="38" t="str">
        <x:v>pal_254</x:v>
      </x:c>
      <x:c r="B255" s="38" t="str">
        <x:v>赤蟒王</x:v>
      </x:c>
      <x:c r="C255" s="38" t="str">
        <x:v>bz_van_254</x:v>
      </x:c>
      <x:c r="D255" s="38" t="str">
        <x:v>Fiery</x:v>
      </x:c>
      <x:c r="E255" s="38" t="n">
        <x:v>13</x:v>
      </x:c>
      <x:c r="F255" s="38" t="str">
        <x:v>Fiery, Icy, Toxic, Obsidian, Deadly, Golden, Heavy, Mossy, Radiant, Restorative, Shielded, Shiny, Turbo</x:v>
      </x:c>
      <x:c r="G255" s="38" t="str">
        <x:v>控制/火、雷；来源标签 charge, burnreference, slowreference</x:v>
      </x:c>
    </x:row>
    <x:row r="256">
      <x:c r="A256" s="38" t="str">
        <x:v>pal_255</x:v>
      </x:c>
      <x:c r="B256" s="38" t="str">
        <x:v>电蟒精</x:v>
      </x:c>
      <x:c r="C256" s="38" t="str">
        <x:v>bz_van_255</x:v>
      </x:c>
      <x:c r="D256" s="38" t="str">
        <x:v>Icy</x:v>
      </x:c>
      <x:c r="E256" s="38" t="n">
        <x:v>13</x:v>
      </x:c>
      <x:c r="F256" s="38" t="str">
        <x:v>Icy, Toxic, Obsidian, Deadly, Fiery, Golden, Heavy, Mossy, Radiant, Restorative, Shielded, Shiny, Turbo</x:v>
      </x:c>
      <x:c r="G256" s="38" t="str">
        <x:v>控制/雷；来源标签 slowreference, crit</x:v>
      </x:c>
    </x:row>
    <x:row r="257">
      <x:c r="A257" s="38" t="str">
        <x:v>pal_256</x:v>
      </x:c>
      <x:c r="B257" s="38" t="str">
        <x:v>震隼将</x:v>
      </x:c>
      <x:c r="C257" s="38" t="str">
        <x:v>bz_van_256</x:v>
      </x:c>
      <x:c r="D257" s="38" t="str">
        <x:v>Turbo</x:v>
      </x:c>
      <x:c r="E257" s="38" t="n">
        <x:v>13</x:v>
      </x:c>
      <x:c r="F257" s="38" t="str">
        <x:v>Turbo, Deadly, Shiny, Fiery, Golden, Heavy, Icy, Mossy, Obsidian, Radiant, Restorative, Shielded, Toxic</x:v>
      </x:c>
      <x:c r="G257" s="38" t="str">
        <x:v>机动/雷；来源标签 hastereference, crit</x:v>
      </x:c>
    </x:row>
    <x:row r="258">
      <x:c r="A258" s="38" t="str">
        <x:v>pal_257</x:v>
      </x:c>
      <x:c r="B258" s="38" t="str">
        <x:v>翠隼将</x:v>
      </x:c>
      <x:c r="C258" s="38" t="str">
        <x:v>bz_van_257</x:v>
      </x:c>
      <x:c r="D258" s="38" t="str">
        <x:v>Deadly</x:v>
      </x:c>
      <x:c r="E258" s="38" t="n">
        <x:v>13</x:v>
      </x:c>
      <x:c r="F258" s="38" t="str">
        <x:v>Deadly, Fiery, Obsidian, Golden, Heavy, Icy, Mossy, Radiant, Restorative, Shielded, Shiny, Toxic, Turbo</x:v>
      </x:c>
      <x:c r="G258" s="38" t="str">
        <x:v>输出/草；来源标签 weapon, damagereference</x:v>
      </x:c>
    </x:row>
    <x:row r="259">
      <x:c r="A259" s="38" t="str">
        <x:v>pal_258</x:v>
      </x:c>
      <x:c r="B259" s="38" t="str">
        <x:v>汐蝶精</x:v>
      </x:c>
      <x:c r="C259" s="38" t="str">
        <x:v>bz_van_258</x:v>
      </x:c>
      <x:c r="D259" s="38" t="str">
        <x:v>Icy</x:v>
      </x:c>
      <x:c r="E259" s="38" t="n">
        <x:v>13</x:v>
      </x:c>
      <x:c r="F259" s="38" t="str">
        <x:v>Icy, Restorative, Mossy, Radiant, Deadly, Fiery, Golden, Heavy, Obsidian, Shielded, Shiny, Toxic, Turbo</x:v>
      </x:c>
      <x:c r="G259" s="38" t="str">
        <x:v>治疗/水、地；来源标签 slow</x:v>
      </x:c>
    </x:row>
    <x:row r="260">
      <x:c r="A260" s="38" t="str">
        <x:v>pal_259</x:v>
      </x:c>
      <x:c r="B260" s="38" t="str">
        <x:v>朱雀妖</x:v>
      </x:c>
      <x:c r="C260" s="38" t="str">
        <x:v>bz_van_259</x:v>
      </x:c>
      <x:c r="D260" s="38" t="str">
        <x:v>Turbo</x:v>
      </x:c>
      <x:c r="E260" s="38" t="n">
        <x:v>13</x:v>
      </x:c>
      <x:c r="F260" s="38" t="str">
        <x:v>Turbo, Deadly, Shiny, Fiery, Golden, Heavy, Icy, Mossy, Obsidian, Radiant, Restorative, Shielded, Toxic</x:v>
      </x:c>
      <x:c r="G260" s="38" t="str">
        <x:v>机动/火；来源标签 weapon, damagereference, hastereference</x:v>
      </x:c>
    </x:row>
    <x:row r="261">
      <x:c r="A261" s="38" t="str">
        <x:v>pal_260</x:v>
      </x:c>
      <x:c r="B261" s="38" t="str">
        <x:v>云隼兽</x:v>
      </x:c>
      <x:c r="C261" s="38" t="str">
        <x:v>bz_van_260</x:v>
      </x:c>
      <x:c r="D261" s="38" t="str">
        <x:v>Deadly</x:v>
      </x:c>
      <x:c r="E261" s="38" t="n">
        <x:v>13</x:v>
      </x:c>
      <x:c r="F261" s="38" t="str">
        <x:v>Deadly, Fiery, Obsidian, Golden, Heavy, Icy, Mossy, Radiant, Restorative, Shielded, Shiny, Toxic, Turbo</x:v>
      </x:c>
      <x:c r="G261" s="38" t="str">
        <x:v>输出/无；来源标签 weapon, damagereference</x:v>
      </x:c>
    </x:row>
    <x:row r="262">
      <x:c r="A262" s="38" t="str">
        <x:v>pal_261</x:v>
      </x:c>
      <x:c r="B262" s="38" t="str">
        <x:v>寒貂卫</x:v>
      </x:c>
      <x:c r="C262" s="38" t="str">
        <x:v>bz_van_261</x:v>
      </x:c>
      <x:c r="D262" s="38" t="str">
        <x:v>Icy</x:v>
      </x:c>
      <x:c r="E262" s="38" t="n">
        <x:v>13</x:v>
      </x:c>
      <x:c r="F262" s="38" t="str">
        <x:v>Icy, Toxic, Obsidian, Deadly, Fiery, Golden, Heavy, Mossy, Radiant, Restorative, Shielded, Shiny, Turbo</x:v>
      </x:c>
      <x:c r="G262" s="38" t="str">
        <x:v>控制/冰、雷；来源标签 critreference, freeze</x:v>
      </x:c>
    </x:row>
    <x:row r="263">
      <x:c r="A263" s="38" t="str">
        <x:v>pal_262</x:v>
      </x:c>
      <x:c r="B263" s="38" t="str">
        <x:v>澜象将</x:v>
      </x:c>
      <x:c r="C263" s="38" t="str">
        <x:v>bz_van_262</x:v>
      </x:c>
      <x:c r="D263" s="38" t="str">
        <x:v>Shielded</x:v>
      </x:c>
      <x:c r="E263" s="38" t="n">
        <x:v>13</x:v>
      </x:c>
      <x:c r="F263" s="38" t="str">
        <x:v>Shielded, Heavy, Mossy, Deadly, Fiery, Golden, Icy, Obsidian, Radiant, Restorative, Shiny, Toxic, Turbo</x:v>
      </x:c>
      <x:c r="G263" s="38" t="str">
        <x:v>坦克/水、地；来源标签 weapon, aquatic, damagereference, shieldreference</x:v>
      </x:c>
    </x:row>
    <x:row r="264">
      <x:c r="A264" s="38" t="str">
        <x:v>pal_263</x:v>
      </x:c>
      <x:c r="B264" s="38" t="str">
        <x:v>沙鹰仔</x:v>
      </x:c>
      <x:c r="C264" s="38" t="str">
        <x:v>bz_van_263</x:v>
      </x:c>
      <x:c r="D264" s="38" t="str">
        <x:v>Heavy</x:v>
      </x:c>
      <x:c r="E264" s="38" t="n">
        <x:v>13</x:v>
      </x:c>
      <x:c r="F264" s="38" t="str">
        <x:v>Heavy, Deadly, Fiery, Obsidian, Golden, Icy, Mossy, Radiant, Restorative, Shielded, Shiny, Toxic, Turbo</x:v>
      </x:c>
      <x:c r="G264" s="38" t="str">
        <x:v>输出/地；来源标签 无</x:v>
      </x:c>
    </x:row>
    <x:row r="265">
      <x:c r="A265" s="38" t="str">
        <x:v>pal_264</x:v>
      </x:c>
      <x:c r="B265" s="38" t="str">
        <x:v>蛟鲨精</x:v>
      </x:c>
      <x:c r="C265" s="38" t="str">
        <x:v>bz_van_264</x:v>
      </x:c>
      <x:c r="D265" s="38" t="str">
        <x:v>Deadly</x:v>
      </x:c>
      <x:c r="E265" s="38" t="n">
        <x:v>13</x:v>
      </x:c>
      <x:c r="F265" s="38" t="str">
        <x:v>Deadly, Fiery, Obsidian, Golden, Heavy, Icy, Mossy, Radiant, Restorative, Shielded, Shiny, Toxic, Turbo</x:v>
      </x:c>
      <x:c r="G265" s="38" t="str">
        <x:v>输出/龙；来源标签 weapon, damagereference</x:v>
      </x:c>
    </x:row>
    <x:row r="266">
      <x:c r="A266" s="38" t="str">
        <x:v>pal_265</x:v>
      </x:c>
      <x:c r="B266" s="38" t="str">
        <x:v>电狐王</x:v>
      </x:c>
      <x:c r="C266" s="38" t="str">
        <x:v>bz_van_265</x:v>
      </x:c>
      <x:c r="D266" s="38" t="str">
        <x:v>Icy</x:v>
      </x:c>
      <x:c r="E266" s="38" t="n">
        <x:v>13</x:v>
      </x:c>
      <x:c r="F266" s="38" t="str">
        <x:v>Icy, Toxic, Obsidian, Deadly, Fiery, Golden, Heavy, Mossy, Radiant, Restorative, Shielded, Shiny, Turbo</x:v>
      </x:c>
      <x:c r="G266" s="38" t="str">
        <x:v>控制/雷；来源标签 weapon, slowreference, charge</x:v>
      </x:c>
    </x:row>
    <x:row r="267">
      <x:c r="A267" s="38" t="str">
        <x:v>pal_266</x:v>
      </x:c>
      <x:c r="B267" s="38" t="str">
        <x:v>沧狮将</x:v>
      </x:c>
      <x:c r="C267" s="38" t="str">
        <x:v>bz_van_266</x:v>
      </x:c>
      <x:c r="D267" s="38" t="str">
        <x:v>Deadly</x:v>
      </x:c>
      <x:c r="E267" s="38" t="n">
        <x:v>13</x:v>
      </x:c>
      <x:c r="F267" s="38" t="str">
        <x:v>Deadly, Fiery, Obsidian, Golden, Heavy, Icy, Mossy, Radiant, Restorative, Shielded, Shiny, Toxic, Turbo</x:v>
      </x:c>
      <x:c r="G267" s="38" t="str">
        <x:v>输出/水；来源标签 weapon, damagereference</x:v>
      </x:c>
    </x:row>
    <x:row r="268">
      <x:c r="A268" s="38" t="str">
        <x:v>pal_267</x:v>
      </x:c>
      <x:c r="B268" s="38" t="str">
        <x:v>炎鲭侯</x:v>
      </x:c>
      <x:c r="C268" s="38" t="str">
        <x:v>bz_van_267</x:v>
      </x:c>
      <x:c r="D268" s="38" t="str">
        <x:v>Turbo</x:v>
      </x:c>
      <x:c r="E268" s="38" t="n">
        <x:v>13</x:v>
      </x:c>
      <x:c r="F268" s="38" t="str">
        <x:v>Turbo, Deadly, Shiny, Fiery, Golden, Heavy, Icy, Mossy, Obsidian, Radiant, Restorative, Shielded, Toxic</x:v>
      </x:c>
      <x:c r="G268" s="38" t="str">
        <x:v>机动/火；来源标签 cooldown</x:v>
      </x:c>
    </x:row>
    <x:row r="269">
      <x:c r="A269" s="38" t="str">
        <x:v>pal_268</x:v>
      </x:c>
      <x:c r="B269" s="38" t="str">
        <x:v>石牦灵</x:v>
      </x:c>
      <x:c r="C269" s="38" t="str">
        <x:v>bz_van_268</x:v>
      </x:c>
      <x:c r="D269" s="38" t="str">
        <x:v>Shielded</x:v>
      </x:c>
      <x:c r="E269" s="38" t="n">
        <x:v>13</x:v>
      </x:c>
      <x:c r="F269" s="38" t="str">
        <x:v>Shielded, Heavy, Mossy, Deadly, Fiery, Golden, Icy, Obsidian, Radiant, Restorative, Shiny, Toxic, Turbo</x:v>
      </x:c>
      <x:c r="G269" s="38" t="str">
        <x:v>坦克/地；来源标签 shieldreference</x:v>
      </x:c>
    </x:row>
    <x:row r="270">
      <x:c r="A270" s="38" t="str">
        <x:v>pal_269</x:v>
      </x:c>
      <x:c r="B270" s="38" t="str">
        <x:v>焰蝎妖</x:v>
      </x:c>
      <x:c r="C270" s="38" t="str">
        <x:v>bz_van_269</x:v>
      </x:c>
      <x:c r="D270" s="38" t="str">
        <x:v>Fiery</x:v>
      </x:c>
      <x:c r="E270" s="38" t="n">
        <x:v>13</x:v>
      </x:c>
      <x:c r="F270" s="38" t="str">
        <x:v>Fiery, Icy, Toxic, Obsidian, Deadly, Golden, Heavy, Mossy, Radiant, Restorative, Shielded, Shiny, Turbo</x:v>
      </x:c>
      <x:c r="G270" s="38" t="str">
        <x:v>控制/火、草；来源标签 poisonreference, burnreference</x:v>
      </x:c>
    </x:row>
    <x:row r="271">
      <x:c r="A271" s="38" t="str">
        <x:v>pal_270</x:v>
      </x:c>
      <x:c r="B271" s="38" t="str">
        <x:v>芽蛛将</x:v>
      </x:c>
      <x:c r="C271" s="38" t="str">
        <x:v>bz_van_270</x:v>
      </x:c>
      <x:c r="D271" s="38" t="str">
        <x:v>Toxic</x:v>
      </x:c>
      <x:c r="E271" s="38" t="n">
        <x:v>13</x:v>
      </x:c>
      <x:c r="F271" s="38" t="str">
        <x:v>Toxic, Icy, Obsidian, Deadly, Fiery, Golden, Heavy, Mossy, Radiant, Restorative, Shielded, Shiny, Turbo</x:v>
      </x:c>
      <x:c r="G271" s="38" t="str">
        <x:v>控制/草；来源标签 weapon, poisonreference</x:v>
      </x:c>
    </x:row>
    <x:row r="272">
      <x:c r="A272" s="38" t="str">
        <x:v>pal_271</x:v>
      </x:c>
      <x:c r="B272" s="38" t="str">
        <x:v>青蛇将</x:v>
      </x:c>
      <x:c r="C272" s="38" t="str">
        <x:v>bz_van_271</x:v>
      </x:c>
      <x:c r="D272" s="38" t="str">
        <x:v>Toxic</x:v>
      </x:c>
      <x:c r="E272" s="38" t="n">
        <x:v>13</x:v>
      </x:c>
      <x:c r="F272" s="38" t="str">
        <x:v>Toxic, Icy, Obsidian, Deadly, Fiery, Golden, Heavy, Mossy, Radiant, Restorative, Shielded, Shiny, Turbo</x:v>
      </x:c>
      <x:c r="G272" s="38" t="str">
        <x:v>控制/草；来源标签 damagereference, poisonreference</x:v>
      </x:c>
    </x:row>
    <x:row r="273">
      <x:c r="A273" s="38" t="str">
        <x:v>pal_272</x:v>
      </x:c>
      <x:c r="B273" s="38" t="str">
        <x:v>芽貂卫</x:v>
      </x:c>
      <x:c r="C273" s="38" t="str">
        <x:v>bz_van_272</x:v>
      </x:c>
      <x:c r="D273" s="38" t="str">
        <x:v>Toxic</x:v>
      </x:c>
      <x:c r="E273" s="38" t="n">
        <x:v>13</x:v>
      </x:c>
      <x:c r="F273" s="38" t="str">
        <x:v>Toxic, Icy, Obsidian, Deadly, Fiery, Golden, Heavy, Mossy, Radiant, Restorative, Shielded, Shiny, Turbo</x:v>
      </x:c>
      <x:c r="G273" s="38" t="str">
        <x:v>控制/草；来源标签 poisonreference, haste</x:v>
      </x:c>
    </x:row>
    <x:row r="274">
      <x:c r="A274" s="38" t="str">
        <x:v>pal_273</x:v>
      </x:c>
      <x:c r="B274" s="38" t="str">
        <x:v>燎鹰卫</x:v>
      </x:c>
      <x:c r="C274" s="38" t="str">
        <x:v>bz_van_273</x:v>
      </x:c>
      <x:c r="D274" s="38" t="str">
        <x:v>Fiery</x:v>
      </x:c>
      <x:c r="E274" s="38" t="n">
        <x:v>13</x:v>
      </x:c>
      <x:c r="F274" s="38" t="str">
        <x:v>Fiery, Deadly, Obsidian, Golden, Heavy, Icy, Mossy, Radiant, Restorative, Shielded, Shiny, Toxic, Turbo</x:v>
      </x:c>
      <x:c r="G274" s="38" t="str">
        <x:v>输出/火、雷；来源标签 burnreference, crit</x:v>
      </x:c>
    </x:row>
    <x:row r="275">
      <x:c r="A275" s="38" t="str">
        <x:v>pal_274</x:v>
      </x:c>
      <x:c r="B275" s="38" t="str">
        <x:v>苔貂王</x:v>
      </x:c>
      <x:c r="C275" s="38" t="str">
        <x:v>bz_van_274</x:v>
      </x:c>
      <x:c r="D275" s="38" t="str">
        <x:v>Toxic</x:v>
      </x:c>
      <x:c r="E275" s="38" t="n">
        <x:v>13</x:v>
      </x:c>
      <x:c r="F275" s="38" t="str">
        <x:v>Toxic, Icy, Obsidian, Deadly, Fiery, Golden, Heavy, Mossy, Radiant, Restorative, Shielded, Shiny, Turbo</x:v>
      </x:c>
      <x:c r="G275" s="38" t="str">
        <x:v>控制/草、雷；来源标签 weapon, charge, poisonreference, damagereference</x:v>
      </x:c>
    </x:row>
    <x:row r="276">
      <x:c r="A276" s="38" t="str">
        <x:v>pal_275</x:v>
      </x:c>
      <x:c r="B276" s="38" t="str">
        <x:v>青鹿祖</x:v>
      </x:c>
      <x:c r="C276" s="38" t="str">
        <x:v>bz_van_275</x:v>
      </x:c>
      <x:c r="D276" s="38" t="str">
        <x:v>Toxic</x:v>
      </x:c>
      <x:c r="E276" s="38" t="n">
        <x:v>13</x:v>
      </x:c>
      <x:c r="F276" s="38" t="str">
        <x:v>Toxic, Restorative, Mossy, Radiant, Deadly, Fiery, Golden, Heavy, Icy, Obsidian, Shielded, Shiny, Turbo</x:v>
      </x:c>
      <x:c r="G276" s="38" t="str">
        <x:v>治疗/草、水；来源标签 regen, poisonreference</x:v>
      </x:c>
    </x:row>
    <x:row r="277">
      <x:c r="A277" s="38" t="str">
        <x:v>pal_276</x:v>
      </x:c>
      <x:c r="B277" s="38" t="str">
        <x:v>焰蟾卫</x:v>
      </x:c>
      <x:c r="C277" s="38" t="str">
        <x:v>bz_van_276</x:v>
      </x:c>
      <x:c r="D277" s="38" t="str">
        <x:v>Fiery</x:v>
      </x:c>
      <x:c r="E277" s="38" t="n">
        <x:v>13</x:v>
      </x:c>
      <x:c r="F277" s="38" t="str">
        <x:v>Fiery, Radiant, Mossy, Shielded, Deadly, Golden, Heavy, Icy, Obsidian, Restorative, Shiny, Toxic, Turbo</x:v>
      </x:c>
      <x:c r="G277" s="38" t="str">
        <x:v>召唤/火、龙；来源标签 friend, burn</x:v>
      </x:c>
    </x:row>
    <x:row r="278">
      <x:c r="A278" s="38" t="str">
        <x:v>pal_277</x:v>
      </x:c>
      <x:c r="B278" s="38" t="str">
        <x:v>克诺大兽</x:v>
      </x:c>
      <x:c r="C278" s="38" t="str">
        <x:v>bz_van_277</x:v>
      </x:c>
      <x:c r="D278" s="38" t="str">
        <x:v>Turbo</x:v>
      </x:c>
      <x:c r="E278" s="38" t="n">
        <x:v>13</x:v>
      </x:c>
      <x:c r="F278" s="38" t="str">
        <x:v>Turbo, Deadly, Shiny, Fiery, Golden, Heavy, Icy, Mossy, Obsidian, Radiant, Restorative, Shielded, Toxic</x:v>
      </x:c>
      <x:c r="G278" s="38" t="str">
        <x:v>机动/地；来源标签 package, large, silver, chronos</x:v>
      </x:c>
    </x:row>
    <x:row r="279">
      <x:c r="A279" s="38" t="str">
        <x:v>pal_278</x:v>
      </x:c>
      <x:c r="B279" s="38" t="str">
        <x:v>克诺中兽</x:v>
      </x:c>
      <x:c r="C279" s="38" t="str">
        <x:v>bz_van_278</x:v>
      </x:c>
      <x:c r="D279" s="38" t="str">
        <x:v>Turbo</x:v>
      </x:c>
      <x:c r="E279" s="38" t="n">
        <x:v>13</x:v>
      </x:c>
      <x:c r="F279" s="38" t="str">
        <x:v>Turbo, Deadly, Shiny, Fiery, Golden, Heavy, Icy, Mossy, Obsidian, Radiant, Restorative, Shielded, Toxic</x:v>
      </x:c>
      <x:c r="G279" s="38" t="str">
        <x:v>机动/龙；来源标签 package, medium, gold, chronos</x:v>
      </x:c>
    </x:row>
    <x:row r="280">
      <x:c r="A280" s="38" t="str">
        <x:v>pal_279</x:v>
      </x:c>
      <x:c r="B280" s="38" t="str">
        <x:v>克诺小兽</x:v>
      </x:c>
      <x:c r="C280" s="38" t="str">
        <x:v>bz_van_279</x:v>
      </x:c>
      <x:c r="D280" s="38" t="str">
        <x:v>Turbo</x:v>
      </x:c>
      <x:c r="E280" s="38" t="n">
        <x:v>13</x:v>
      </x:c>
      <x:c r="F280" s="38" t="str">
        <x:v>Turbo, Deadly, Shiny, Fiery, Golden, Heavy, Icy, Mossy, Obsidian, Radiant, Restorative, Shielded, Toxic</x:v>
      </x:c>
      <x:c r="G280" s="38" t="str">
        <x:v>机动/地；来源标签 package, small, gold, chronos</x:v>
      </x:c>
    </x:row>
    <x:row r="281">
      <x:c r="A281" s="38" t="str">
        <x:v>pal_280</x:v>
      </x:c>
      <x:c r="B281" s="38" t="str">
        <x:v>蛛婆小兽</x:v>
      </x:c>
      <x:c r="C281" s="38" t="str">
        <x:v>bz_van_280</x:v>
      </x:c>
      <x:c r="D281" s="38" t="str">
        <x:v>Icy</x:v>
      </x:c>
      <x:c r="E281" s="38" t="n">
        <x:v>13</x:v>
      </x:c>
      <x:c r="F281" s="38" t="str">
        <x:v>Icy, Toxic, Obsidian, Deadly, Fiery, Golden, Heavy, Mossy, Radiant, Restorative, Shielded, Shiny, Turbo</x:v>
      </x:c>
      <x:c r="G281" s="38" t="str">
        <x:v>控制/水；来源标签 package, small, gold, cobweb</x:v>
      </x:c>
    </x:row>
    <x:row r="282">
      <x:c r="A282" s="38" t="str">
        <x:v>pal_281</x:v>
      </x:c>
      <x:c r="B282" s="38" t="str">
        <x:v>蛛婆大兽</x:v>
      </x:c>
      <x:c r="C282" s="38" t="str">
        <x:v>bz_van_281</x:v>
      </x:c>
      <x:c r="D282" s="38" t="str">
        <x:v>Icy</x:v>
      </x:c>
      <x:c r="E282" s="38" t="n">
        <x:v>13</x:v>
      </x:c>
      <x:c r="F282" s="38" t="str">
        <x:v>Icy, Toxic, Obsidian, Deadly, Fiery, Golden, Heavy, Mossy, Radiant, Restorative, Shielded, Shiny, Turbo</x:v>
      </x:c>
      <x:c r="G282" s="38" t="str">
        <x:v>控制/地；来源标签 package, large, silver, cobweb</x:v>
      </x:c>
    </x:row>
    <x:row r="283">
      <x:c r="A283" s="38" t="str">
        <x:v>pal_282</x:v>
      </x:c>
      <x:c r="B283" s="38" t="str">
        <x:v>蛛婆中兽</x:v>
      </x:c>
      <x:c r="C283" s="38" t="str">
        <x:v>bz_van_282</x:v>
      </x:c>
      <x:c r="D283" s="38" t="str">
        <x:v>Icy</x:v>
      </x:c>
      <x:c r="E283" s="38" t="n">
        <x:v>13</x:v>
      </x:c>
      <x:c r="F283" s="38" t="str">
        <x:v>Icy, Toxic, Obsidian, Deadly, Fiery, Golden, Heavy, Mossy, Radiant, Restorative, Shielded, Shiny, Turbo</x:v>
      </x:c>
      <x:c r="G283" s="38" t="str">
        <x:v>控制/暗；来源标签 package, medium, gold, cobweb</x:v>
      </x:c>
    </x:row>
    <x:row r="284">
      <x:c r="A284" s="38" t="str">
        <x:v>pal_283</x:v>
      </x:c>
      <x:c r="B284" s="38" t="str">
        <x:v>芙蕾小兽</x:v>
      </x:c>
      <x:c r="C284" s="38" t="str">
        <x:v>bz_van_283</x:v>
      </x:c>
      <x:c r="D284" s="38" t="str">
        <x:v>Icy</x:v>
      </x:c>
      <x:c r="E284" s="38" t="n">
        <x:v>13</x:v>
      </x:c>
      <x:c r="F284" s="38" t="str">
        <x:v>Icy, Toxic, Obsidian, Deadly, Fiery, Golden, Heavy, Mossy, Radiant, Restorative, Shielded, Shiny, Turbo</x:v>
      </x:c>
      <x:c r="G284" s="38" t="str">
        <x:v>控制/冰；来源标签 package, small, gold, freiya</x:v>
      </x:c>
    </x:row>
    <x:row r="285">
      <x:c r="A285" s="38" t="str">
        <x:v>pal_284</x:v>
      </x:c>
      <x:c r="B285" s="38" t="str">
        <x:v>芙蕾大兽</x:v>
      </x:c>
      <x:c r="C285" s="38" t="str">
        <x:v>bz_van_284</x:v>
      </x:c>
      <x:c r="D285" s="38" t="str">
        <x:v>Icy</x:v>
      </x:c>
      <x:c r="E285" s="38" t="n">
        <x:v>13</x:v>
      </x:c>
      <x:c r="F285" s="38" t="str">
        <x:v>Icy, Toxic, Obsidian, Deadly, Fiery, Golden, Heavy, Mossy, Radiant, Restorative, Shielded, Shiny, Turbo</x:v>
      </x:c>
      <x:c r="G285" s="38" t="str">
        <x:v>控制/冰；来源标签 package, large, silver, freiya</x:v>
      </x:c>
    </x:row>
    <x:row r="286">
      <x:c r="A286" s="38" t="str">
        <x:v>pal_285</x:v>
      </x:c>
      <x:c r="B286" s="38" t="str">
        <x:v>芙蕾中兽</x:v>
      </x:c>
      <x:c r="C286" s="38" t="str">
        <x:v>bz_van_285</x:v>
      </x:c>
      <x:c r="D286" s="38" t="str">
        <x:v>Icy</x:v>
      </x:c>
      <x:c r="E286" s="38" t="n">
        <x:v>13</x:v>
      </x:c>
      <x:c r="F286" s="38" t="str">
        <x:v>Icy, Toxic, Obsidian, Deadly, Fiery, Golden, Heavy, Mossy, Radiant, Restorative, Shielded, Shiny, Turbo</x:v>
      </x:c>
      <x:c r="G286" s="38" t="str">
        <x:v>控制/冰；来源标签 package, medium, gold, freiya</x:v>
      </x:c>
    </x:row>
    <x:row r="287">
      <x:c r="A287" s="38" t="str">
        <x:v>pal_286</x:v>
      </x:c>
      <x:c r="B287" s="38" t="str">
        <x:v>赫夫小兽</x:v>
      </x:c>
      <x:c r="C287" s="38" t="str">
        <x:v>bz_van_286</x:v>
      </x:c>
      <x:c r="D287" s="38" t="str">
        <x:v>Fiery</x:v>
      </x:c>
      <x:c r="E287" s="38" t="n">
        <x:v>13</x:v>
      </x:c>
      <x:c r="F287" s="38" t="str">
        <x:v>Fiery, Golden, Shiny, Radiant, Deadly, Heavy, Icy, Mossy, Obsidian, Restorative, Shielded, Toxic, Turbo</x:v>
      </x:c>
      <x:c r="G287" s="38" t="str">
        <x:v>经济/火；来源标签 package, small, gold, hef</x:v>
      </x:c>
    </x:row>
    <x:row r="288">
      <x:c r="A288" s="38" t="str">
        <x:v>pal_287</x:v>
      </x:c>
      <x:c r="B288" s="38" t="str">
        <x:v>赫夫中兽</x:v>
      </x:c>
      <x:c r="C288" s="38" t="str">
        <x:v>bz_van_287</x:v>
      </x:c>
      <x:c r="D288" s="38" t="str">
        <x:v>Fiery</x:v>
      </x:c>
      <x:c r="E288" s="38" t="n">
        <x:v>13</x:v>
      </x:c>
      <x:c r="F288" s="38" t="str">
        <x:v>Fiery, Golden, Shiny, Radiant, Deadly, Heavy, Icy, Mossy, Obsidian, Restorative, Shielded, Toxic, Turbo</x:v>
      </x:c>
      <x:c r="G288" s="38" t="str">
        <x:v>经济/火；来源标签 package, medium, gold, hef</x:v>
      </x:c>
    </x:row>
    <x:row r="289">
      <x:c r="A289" s="38" t="str">
        <x:v>pal_288</x:v>
      </x:c>
      <x:c r="B289" s="38" t="str">
        <x:v>赫夫大兽</x:v>
      </x:c>
      <x:c r="C289" s="38" t="str">
        <x:v>bz_van_288</x:v>
      </x:c>
      <x:c r="D289" s="38" t="str">
        <x:v>Fiery</x:v>
      </x:c>
      <x:c r="E289" s="38" t="n">
        <x:v>13</x:v>
      </x:c>
      <x:c r="F289" s="38" t="str">
        <x:v>Fiery, Golden, Shiny, Radiant, Deadly, Heavy, Icy, Mossy, Obsidian, Restorative, Shielded, Toxic, Turbo</x:v>
      </x:c>
      <x:c r="G289" s="38" t="str">
        <x:v>经济/火；来源标签 package, large, silver, hef</x:v>
      </x:c>
    </x:row>
    <x:row r="290">
      <x:c r="A290" s="38" t="str">
        <x:v>pal_289</x:v>
      </x:c>
      <x:c r="B290" s="38" t="str">
        <x:v>夜爵大兽</x:v>
      </x:c>
      <x:c r="C290" s="38" t="str">
        <x:v>bz_van_289</x:v>
      </x:c>
      <x:c r="D290" s="38" t="str">
        <x:v>Toxic</x:v>
      </x:c>
      <x:c r="E290" s="38" t="n">
        <x:v>13</x:v>
      </x:c>
      <x:c r="F290" s="38" t="str">
        <x:v>Toxic, Icy, Obsidian, Deadly, Fiery, Golden, Heavy, Mossy, Radiant, Restorative, Shielded, Shiny, Turbo</x:v>
      </x:c>
      <x:c r="G290" s="38" t="str">
        <x:v>控制/草；来源标签 package, large, silver, knightshade</x:v>
      </x:c>
    </x:row>
    <x:row r="291">
      <x:c r="A291" s="38" t="str">
        <x:v>pal_290</x:v>
      </x:c>
      <x:c r="B291" s="38" t="str">
        <x:v>夜爵小兽</x:v>
      </x:c>
      <x:c r="C291" s="38" t="str">
        <x:v>bz_van_290</x:v>
      </x:c>
      <x:c r="D291" s="38" t="str">
        <x:v>Toxic</x:v>
      </x:c>
      <x:c r="E291" s="38" t="n">
        <x:v>13</x:v>
      </x:c>
      <x:c r="F291" s="38" t="str">
        <x:v>Toxic, Icy, Obsidian, Deadly, Fiery, Golden, Heavy, Mossy, Radiant, Restorative, Shielded, Shiny, Turbo</x:v>
      </x:c>
      <x:c r="G291" s="38" t="str">
        <x:v>控制/草；来源标签 package, small, gold, knightshade</x:v>
      </x:c>
    </x:row>
    <x:row r="292">
      <x:c r="A292" s="38" t="str">
        <x:v>pal_291</x:v>
      </x:c>
      <x:c r="B292" s="38" t="str">
        <x:v>夜爵中兽</x:v>
      </x:c>
      <x:c r="C292" s="38" t="str">
        <x:v>bz_van_291</x:v>
      </x:c>
      <x:c r="D292" s="38" t="str">
        <x:v>Toxic</x:v>
      </x:c>
      <x:c r="E292" s="38" t="n">
        <x:v>13</x:v>
      </x:c>
      <x:c r="F292" s="38" t="str">
        <x:v>Toxic, Icy, Obsidian, Deadly, Fiery, Golden, Heavy, Mossy, Radiant, Restorative, Shielded, Shiny, Turbo</x:v>
      </x:c>
      <x:c r="G292" s="38" t="str">
        <x:v>控制/草；来源标签 package, medium, gold, knightshade</x:v>
      </x:c>
    </x:row>
    <x:row r="293">
      <x:c r="A293" s="38" t="str">
        <x:v>pal_292</x:v>
      </x:c>
      <x:c r="B293" s="38" t="str">
        <x:v>瑟菲小兽</x:v>
      </x:c>
      <x:c r="C293" s="38" t="str">
        <x:v>bz_van_292</x:v>
      </x:c>
      <x:c r="D293" s="38" t="str">
        <x:v>Golden</x:v>
      </x:c>
      <x:c r="E293" s="38" t="n">
        <x:v>13</x:v>
      </x:c>
      <x:c r="F293" s="38" t="str">
        <x:v>Golden, Shiny, Radiant, Deadly, Fiery, Heavy, Icy, Mossy, Obsidian, Restorative, Shielded, Toxic, Turbo</x:v>
      </x:c>
      <x:c r="G293" s="38" t="str">
        <x:v>经济/雷；来源标签 package, small, gold, serafina</x:v>
      </x:c>
    </x:row>
    <x:row r="294">
      <x:c r="A294" s="38" t="str">
        <x:v>pal_293</x:v>
      </x:c>
      <x:c r="B294" s="38" t="str">
        <x:v>瑟菲大兽</x:v>
      </x:c>
      <x:c r="C294" s="38" t="str">
        <x:v>bz_van_293</x:v>
      </x:c>
      <x:c r="D294" s="38" t="str">
        <x:v>Golden</x:v>
      </x:c>
      <x:c r="E294" s="38" t="n">
        <x:v>13</x:v>
      </x:c>
      <x:c r="F294" s="38" t="str">
        <x:v>Golden, Shiny, Radiant, Deadly, Fiery, Heavy, Icy, Mossy, Obsidian, Restorative, Shielded, Toxic, Turbo</x:v>
      </x:c>
      <x:c r="G294" s="38" t="str">
        <x:v>经济/地；来源标签 package, large, silver, serafina</x:v>
      </x:c>
    </x:row>
    <x:row r="295">
      <x:c r="A295" s="38" t="str">
        <x:v>pal_294</x:v>
      </x:c>
      <x:c r="B295" s="38" t="str">
        <x:v>瑟菲中兽</x:v>
      </x:c>
      <x:c r="C295" s="38" t="str">
        <x:v>bz_van_294</x:v>
      </x:c>
      <x:c r="D295" s="38" t="str">
        <x:v>Golden</x:v>
      </x:c>
      <x:c r="E295" s="38" t="n">
        <x:v>13</x:v>
      </x:c>
      <x:c r="F295" s="38" t="str">
        <x:v>Golden, Shiny, Radiant, Deadly, Fiery, Heavy, Icy, Mossy, Obsidian, Restorative, Shielded, Toxic, Turbo</x:v>
      </x:c>
      <x:c r="G295" s="38" t="str">
        <x:v>经济/无；来源标签 package, medium, gold, serafina</x:v>
      </x:c>
    </x:row>
    <x:row r="296">
      <x:c r="A296" s="38" t="str">
        <x:v>pal_295</x:v>
      </x:c>
      <x:c r="B296" s="38" t="str">
        <x:v>凯夫中兽</x:v>
      </x:c>
      <x:c r="C296" s="38" t="str">
        <x:v>bz_van_295</x:v>
      </x:c>
      <x:c r="D296" s="38" t="str">
        <x:v>Shielded</x:v>
      </x:c>
      <x:c r="E296" s="38" t="n">
        <x:v>13</x:v>
      </x:c>
      <x:c r="F296" s="38" t="str">
        <x:v>Shielded, Heavy, Mossy, Deadly, Fiery, Golden, Icy, Obsidian, Radiant, Restorative, Shiny, Toxic, Turbo</x:v>
      </x:c>
      <x:c r="G296" s="38" t="str">
        <x:v>坦克/地；来源标签 package, medium, bronze, kev-s-armory</x:v>
      </x:c>
    </x:row>
    <x:row r="297">
      <x:c r="A297" s="38" t="str">
        <x:v>pal_296</x:v>
      </x:c>
      <x:c r="B297" s="38" t="str">
        <x:v>凯夫小兽</x:v>
      </x:c>
      <x:c r="C297" s="38" t="str">
        <x:v>bz_van_296</x:v>
      </x:c>
      <x:c r="D297" s="38" t="str">
        <x:v>Shielded</x:v>
      </x:c>
      <x:c r="E297" s="38" t="n">
        <x:v>13</x:v>
      </x:c>
      <x:c r="F297" s="38" t="str">
        <x:v>Shielded, Heavy, Mossy, Deadly, Fiery, Golden, Icy, Obsidian, Radiant, Restorative, Shiny, Toxic, Turbo</x:v>
      </x:c>
      <x:c r="G297" s="38" t="str">
        <x:v>坦克/地；来源标签 package, small, bronze, kev-s-armory</x:v>
      </x:c>
    </x:row>
    <x:row r="298">
      <x:c r="A298" s="38" t="str">
        <x:v>pal_297</x:v>
      </x:c>
      <x:c r="B298" s="38" t="str">
        <x:v>加瑟中兽</x:v>
      </x:c>
      <x:c r="C298" s="38" t="str">
        <x:v>bz_van_297</x:v>
      </x:c>
      <x:c r="D298" s="38" t="str">
        <x:v>Heavy</x:v>
      </x:c>
      <x:c r="E298" s="38" t="n">
        <x:v>13</x:v>
      </x:c>
      <x:c r="F298" s="38" t="str">
        <x:v>Heavy, Deadly, Fiery, Obsidian, Golden, Icy, Mossy, Radiant, Restorative, Shielded, Shiny, Toxic, Turbo</x:v>
      </x:c>
      <x:c r="G298" s="38" t="str">
        <x:v>输出/火；来源标签 package, medium, silver, gaseo</x:v>
      </x:c>
    </x:row>
    <x:row r="299">
      <x:c r="A299" s="38" t="str">
        <x:v>pal_298</x:v>
      </x:c>
      <x:c r="B299" s="38" t="str">
        <x:v>加瑟大兽</x:v>
      </x:c>
      <x:c r="C299" s="38" t="str">
        <x:v>bz_van_298</x:v>
      </x:c>
      <x:c r="D299" s="38" t="str">
        <x:v>Golden</x:v>
      </x:c>
      <x:c r="E299" s="38" t="n">
        <x:v>13</x:v>
      </x:c>
      <x:c r="F299" s="38" t="str">
        <x:v>Golden, Shiny, Radiant, Deadly, Fiery, Heavy, Icy, Mossy, Obsidian, Restorative, Shielded, Toxic, Turbo</x:v>
      </x:c>
      <x:c r="G299" s="38" t="str">
        <x:v>经济/草；来源标签 package, large, silver, gaseo</x:v>
      </x:c>
    </x:row>
    <x:row r="300">
      <x:c r="A300" s="38" t="str">
        <x:v>pal_299</x:v>
      </x:c>
      <x:c r="B300" s="38" t="str">
        <x:v>加瑟小兽</x:v>
      </x:c>
      <x:c r="C300" s="38" t="str">
        <x:v>bz_van_299</x:v>
      </x:c>
      <x:c r="D300" s="38" t="str">
        <x:v>Shiny</x:v>
      </x:c>
      <x:c r="E300" s="38" t="n">
        <x:v>13</x:v>
      </x:c>
      <x:c r="F300" s="38" t="str">
        <x:v>Shiny, Deadly, Fiery, Obsidian, Golden, Heavy, Icy, Mossy, Radiant, Restorative, Shielded, Toxic, Turbo</x:v>
      </x:c>
      <x:c r="G300" s="38" t="str">
        <x:v>输出/雷；来源标签 package, small, silver, gaseo</x:v>
      </x:c>
    </x:row>
    <x:row r="301">
      <x:c r="A301" s="38" t="str">
        <x:v>pal_300</x:v>
      </x:c>
      <x:c r="B301" s="38" t="str">
        <x:v>古董大兽</x:v>
      </x:c>
      <x:c r="C301" s="38" t="str">
        <x:v>bz_van_300</x:v>
      </x:c>
      <x:c r="D301" s="38" t="str">
        <x:v>Shiny</x:v>
      </x:c>
      <x:c r="E301" s="38" t="n">
        <x:v>13</x:v>
      </x:c>
      <x:c r="F301" s="38" t="str">
        <x:v>Shiny, Deadly, Fiery, Obsidian, Golden, Heavy, Icy, Mossy, Radiant, Restorative, Shielded, Toxic, Turbo</x:v>
      </x:c>
      <x:c r="G301" s="38" t="str">
        <x:v>输出/雷；来源标签 package, large, silver, the-antiquarian</x:v>
      </x:c>
    </x:row>
    <x:row r="302">
      <x:c r="A302" s="38" t="str">
        <x:v>pal_301</x:v>
      </x:c>
      <x:c r="B302" s="38" t="str">
        <x:v>古董中兽</x:v>
      </x:c>
      <x:c r="C302" s="38" t="str">
        <x:v>bz_van_301</x:v>
      </x:c>
      <x:c r="D302" s="38" t="str">
        <x:v>Shiny</x:v>
      </x:c>
      <x:c r="E302" s="38" t="n">
        <x:v>13</x:v>
      </x:c>
      <x:c r="F302" s="38" t="str">
        <x:v>Shiny, Deadly, Fiery, Obsidian, Golden, Heavy, Icy, Mossy, Radiant, Restorative, Shielded, Toxic, Turbo</x:v>
      </x:c>
      <x:c r="G302" s="38" t="str">
        <x:v>输出/无；来源标签 package, medium, silver, the-antiquarian</x:v>
      </x:c>
    </x:row>
    <x:row r="303">
      <x:c r="A303" s="38" t="str">
        <x:v>pal_302</x:v>
      </x:c>
      <x:c r="B303" s="38" t="str">
        <x:v>古董小兽</x:v>
      </x:c>
      <x:c r="C303" s="38" t="str">
        <x:v>bz_van_302</x:v>
      </x:c>
      <x:c r="D303" s="38" t="str">
        <x:v>Heavy</x:v>
      </x:c>
      <x:c r="E303" s="38" t="n">
        <x:v>13</x:v>
      </x:c>
      <x:c r="F303" s="38" t="str">
        <x:v>Heavy, Deadly, Fiery, Obsidian, Golden, Icy, Mossy, Radiant, Restorative, Shielded, Shiny, Toxic, Turbo</x:v>
      </x:c>
      <x:c r="G303" s="38" t="str">
        <x:v>输出/龙；来源标签 package, small, silver, the-antiquarian</x:v>
      </x:c>
    </x:row>
    <x:row r="304">
      <x:c r="A304" s="38" t="str">
        <x:v>pal_303</x:v>
      </x:c>
      <x:c r="B304" s="38" t="str">
        <x:v>吉娜小兽</x:v>
      </x:c>
      <x:c r="C304" s="38" t="str">
        <x:v>bz_van_303</x:v>
      </x:c>
      <x:c r="D304" s="38" t="str">
        <x:v>Heavy</x:v>
      </x:c>
      <x:c r="E304" s="38" t="n">
        <x:v>13</x:v>
      </x:c>
      <x:c r="F304" s="38" t="str">
        <x:v>Heavy, Deadly, Fiery, Obsidian, Golden, Icy, Mossy, Radiant, Restorative, Shielded, Shiny, Toxic, Turbo</x:v>
      </x:c>
      <x:c r="G304" s="38" t="str">
        <x:v>输出/水；来源标签 package, small, bronze, kina</x:v>
      </x:c>
    </x:row>
    <x:row r="305">
      <x:c r="A305" s="38" t="str">
        <x:v>pal_304</x:v>
      </x:c>
      <x:c r="B305" s="38" t="str">
        <x:v>吉娜大兽</x:v>
      </x:c>
      <x:c r="C305" s="38" t="str">
        <x:v>bz_van_304</x:v>
      </x:c>
      <x:c r="D305" s="38" t="str">
        <x:v>Heavy</x:v>
      </x:c>
      <x:c r="E305" s="38" t="n">
        <x:v>13</x:v>
      </x:c>
      <x:c r="F305" s="38" t="str">
        <x:v>Heavy, Deadly, Fiery, Obsidian, Golden, Icy, Mossy, Radiant, Restorative, Shielded, Shiny, Toxic, Turbo</x:v>
      </x:c>
      <x:c r="G305" s="38" t="str">
        <x:v>输出/无；来源标签 package, large, silver, kina</x:v>
      </x:c>
    </x:row>
    <x:row r="306">
      <x:c r="A306" s="38" t="str">
        <x:v>pal_305</x:v>
      </x:c>
      <x:c r="B306" s="38" t="str">
        <x:v>吉娜中兽</x:v>
      </x:c>
      <x:c r="C306" s="38" t="str">
        <x:v>bz_van_305</x:v>
      </x:c>
      <x:c r="D306" s="38" t="str">
        <x:v>Heavy</x:v>
      </x:c>
      <x:c r="E306" s="38" t="n">
        <x:v>13</x:v>
      </x:c>
      <x:c r="F306" s="38" t="str">
        <x:v>Heavy, Deadly, Fiery, Obsidian, Golden, Icy, Mossy, Radiant, Restorative, Shielded, Shiny, Toxic, Turbo</x:v>
      </x:c>
      <x:c r="G306" s="38" t="str">
        <x:v>输出/无；来源标签 package, medium, bronze, kina</x:v>
      </x:c>
    </x:row>
    <x:row r="307">
      <x:c r="A307" s="38" t="str">
        <x:v>pal_306</x:v>
      </x:c>
      <x:c r="B307" s="38" t="str">
        <x:v>塔季中兽</x:v>
      </x:c>
      <x:c r="C307" s="38" t="str">
        <x:v>bz_van_306</x:v>
      </x:c>
      <x:c r="D307" s="38" t="str">
        <x:v>Heavy</x:v>
      </x:c>
      <x:c r="E307" s="38" t="n">
        <x:v>13</x:v>
      </x:c>
      <x:c r="F307" s="38" t="str">
        <x:v>Heavy, Deadly, Fiery, Obsidian, Golden, Icy, Mossy, Radiant, Restorative, Shielded, Shiny, Toxic, Turbo</x:v>
      </x:c>
      <x:c r="G307" s="38" t="str">
        <x:v>输出/龙；来源标签 package, medium, silver, tatiana</x:v>
      </x:c>
    </x:row>
    <x:row r="308">
      <x:c r="A308" s="38" t="str">
        <x:v>pal_307</x:v>
      </x:c>
      <x:c r="B308" s="38" t="str">
        <x:v>塔季大兽</x:v>
      </x:c>
      <x:c r="C308" s="38" t="str">
        <x:v>bz_van_307</x:v>
      </x:c>
      <x:c r="D308" s="38" t="str">
        <x:v>Golden</x:v>
      </x:c>
      <x:c r="E308" s="38" t="n">
        <x:v>13</x:v>
      </x:c>
      <x:c r="F308" s="38" t="str">
        <x:v>Golden, Shiny, Radiant, Deadly, Fiery, Heavy, Icy, Mossy, Obsidian, Restorative, Shielded, Toxic, Turbo</x:v>
      </x:c>
      <x:c r="G308" s="38" t="str">
        <x:v>经济/无；来源标签 package, large, silver, tatiana</x:v>
      </x:c>
    </x:row>
    <x:row r="309">
      <x:c r="A309" s="38" t="str">
        <x:v>pal_308</x:v>
      </x:c>
      <x:c r="B309" s="38" t="str">
        <x:v>塔季小兽</x:v>
      </x:c>
      <x:c r="C309" s="38" t="str">
        <x:v>bz_van_308</x:v>
      </x:c>
      <x:c r="D309" s="38" t="str">
        <x:v>Shiny</x:v>
      </x:c>
      <x:c r="E309" s="38" t="n">
        <x:v>13</x:v>
      </x:c>
      <x:c r="F309" s="38" t="str">
        <x:v>Shiny, Deadly, Fiery, Obsidian, Golden, Heavy, Icy, Mossy, Radiant, Restorative, Shielded, Toxic, Turbo</x:v>
      </x:c>
      <x:c r="G309" s="38" t="str">
        <x:v>输出/水；来源标签 package, small, silver, tatiana</x:v>
      </x:c>
    </x:row>
    <x:row r="310">
      <x:c r="A310" s="38" t="str">
        <x:v>pal_309</x:v>
      </x:c>
      <x:c r="B310" s="38" t="str">
        <x:v>奥利中兽</x:v>
      </x:c>
      <x:c r="C310" s="38" t="str">
        <x:v>bz_van_309</x:v>
      </x:c>
      <x:c r="D310" s="38" t="str">
        <x:v>Shiny</x:v>
      </x:c>
      <x:c r="E310" s="38" t="n">
        <x:v>13</x:v>
      </x:c>
      <x:c r="F310" s="38" t="str">
        <x:v>Shiny, Deadly, Fiery, Obsidian, Golden, Heavy, Icy, Mossy, Radiant, Restorative, Shielded, Toxic, Turbo</x:v>
      </x:c>
      <x:c r="G310" s="38" t="str">
        <x:v>输出/无；来源标签 package, medium, bronze, orion</x:v>
      </x:c>
    </x:row>
    <x:row r="311">
      <x:c r="A311" s="38" t="str">
        <x:v>pal_310</x:v>
      </x:c>
      <x:c r="B311" s="38" t="str">
        <x:v>奥利小兽</x:v>
      </x:c>
      <x:c r="C311" s="38" t="str">
        <x:v>bz_van_310</x:v>
      </x:c>
      <x:c r="D311" s="38" t="str">
        <x:v>Shiny</x:v>
      </x:c>
      <x:c r="E311" s="38" t="n">
        <x:v>13</x:v>
      </x:c>
      <x:c r="F311" s="38" t="str">
        <x:v>Shiny, Deadly, Fiery, Obsidian, Golden, Heavy, Icy, Mossy, Radiant, Restorative, Shielded, Toxic, Turbo</x:v>
      </x:c>
      <x:c r="G311" s="38" t="str">
        <x:v>输出/水；来源标签 package, small, bronze, orion</x:v>
      </x:c>
    </x:row>
    <x:row r="312">
      <x:c r="A312" s="38" t="str">
        <x:v>pal_311</x:v>
      </x:c>
      <x:c r="B312" s="38" t="str">
        <x:v>安德大兽</x:v>
      </x:c>
      <x:c r="C312" s="38" t="str">
        <x:v>bz_van_311</x:v>
      </x:c>
      <x:c r="D312" s="38" t="str">
        <x:v>Heavy</x:v>
      </x:c>
      <x:c r="E312" s="38" t="n">
        <x:v>13</x:v>
      </x:c>
      <x:c r="F312" s="38" t="str">
        <x:v>Heavy, Deadly, Fiery, Obsidian, Golden, Icy, Mossy, Radiant, Restorative, Shielded, Shiny, Toxic, Turbo</x:v>
      </x:c>
      <x:c r="G312" s="38" t="str">
        <x:v>输出/暗；来源标签 package, large, silver, ande</x:v>
      </x:c>
    </x:row>
    <x:row r="313">
      <x:c r="A313" s="38" t="str">
        <x:v>pal_312</x:v>
      </x:c>
      <x:c r="B313" s="38" t="str">
        <x:v>安德小兽</x:v>
      </x:c>
      <x:c r="C313" s="38" t="str">
        <x:v>bz_van_312</x:v>
      </x:c>
      <x:c r="D313" s="38" t="str">
        <x:v>Shiny</x:v>
      </x:c>
      <x:c r="E313" s="38" t="n">
        <x:v>13</x:v>
      </x:c>
      <x:c r="F313" s="38" t="str">
        <x:v>Shiny, Deadly, Fiery, Obsidian, Golden, Heavy, Icy, Mossy, Radiant, Restorative, Shielded, Toxic, Turbo</x:v>
      </x:c>
      <x:c r="G313" s="38" t="str">
        <x:v>输出/草；来源标签 package, small, bronze, ande</x:v>
      </x:c>
    </x:row>
    <x:row r="314">
      <x:c r="A314" s="38" t="str">
        <x:v>pal_313</x:v>
      </x:c>
      <x:c r="B314" s="38" t="str">
        <x:v>安德中兽</x:v>
      </x:c>
      <x:c r="C314" s="38" t="str">
        <x:v>bz_van_313</x:v>
      </x:c>
      <x:c r="D314" s="38" t="str">
        <x:v>Heavy</x:v>
      </x:c>
      <x:c r="E314" s="38" t="n">
        <x:v>13</x:v>
      </x:c>
      <x:c r="F314" s="38" t="str">
        <x:v>Heavy, Deadly, Fiery, Obsidian, Golden, Icy, Mossy, Radiant, Restorative, Shielded, Shiny, Toxic, Turbo</x:v>
      </x:c>
      <x:c r="G314" s="38" t="str">
        <x:v>输出/龙；来源标签 package, medium, bronze, ande</x:v>
      </x:c>
    </x:row>
    <x:row r="315">
      <x:c r="A315" s="38" t="str">
        <x:v>pal_314</x:v>
      </x:c>
      <x:c r="B315" s="38" t="str">
        <x:v>寇特大兽</x:v>
      </x:c>
      <x:c r="C315" s="38" t="str">
        <x:v>bz_van_314</x:v>
      </x:c>
      <x:c r="D315" s="38" t="str">
        <x:v>Shiny</x:v>
      </x:c>
      <x:c r="E315" s="38" t="n">
        <x:v>13</x:v>
      </x:c>
      <x:c r="F315" s="38" t="str">
        <x:v>Shiny, Deadly, Fiery, Obsidian, Golden, Heavy, Icy, Mossy, Radiant, Restorative, Shielded, Toxic, Turbo</x:v>
      </x:c>
      <x:c r="G315" s="38" t="str">
        <x:v>输出/龙；来源标签 package, large, silver, colt</x:v>
      </x:c>
    </x:row>
    <x:row r="316">
      <x:c r="A316" s="38" t="str">
        <x:v>pal_315</x:v>
      </x:c>
      <x:c r="B316" s="38" t="str">
        <x:v>寇特小兽</x:v>
      </x:c>
      <x:c r="C316" s="38" t="str">
        <x:v>bz_van_315</x:v>
      </x:c>
      <x:c r="D316" s="38" t="str">
        <x:v>Heavy</x:v>
      </x:c>
      <x:c r="E316" s="38" t="n">
        <x:v>13</x:v>
      </x:c>
      <x:c r="F316" s="38" t="str">
        <x:v>Heavy, Deadly, Fiery, Obsidian, Golden, Icy, Mossy, Radiant, Restorative, Shielded, Shiny, Toxic, Turbo</x:v>
      </x:c>
      <x:c r="G316" s="38" t="str">
        <x:v>输出/暗；来源标签 package, small, bronze, colt</x:v>
      </x:c>
    </x:row>
    <x:row r="317">
      <x:c r="A317" s="38" t="str">
        <x:v>pal_316</x:v>
      </x:c>
      <x:c r="B317" s="38" t="str">
        <x:v>寇特中兽</x:v>
      </x:c>
      <x:c r="C317" s="38" t="str">
        <x:v>bz_van_316</x:v>
      </x:c>
      <x:c r="D317" s="38" t="str">
        <x:v>Shiny</x:v>
      </x:c>
      <x:c r="E317" s="38" t="n">
        <x:v>13</x:v>
      </x:c>
      <x:c r="F317" s="38" t="str">
        <x:v>Shiny, Deadly, Fiery, Obsidian, Golden, Heavy, Icy, Mossy, Radiant, Restorative, Shielded, Toxic, Turbo</x:v>
      </x:c>
      <x:c r="G317" s="38" t="str">
        <x:v>输出/火；来源标签 package, medium, bronze, colt</x:v>
      </x:c>
    </x:row>
    <x:row r="318">
      <x:c r="A318" s="38" t="str">
        <x:v>pal_317</x:v>
      </x:c>
      <x:c r="B318" s="38" t="str">
        <x:v>库里中兽</x:v>
      </x:c>
      <x:c r="C318" s="38" t="str">
        <x:v>bz_van_317</x:v>
      </x:c>
      <x:c r="D318" s="38" t="str">
        <x:v>Shiny</x:v>
      </x:c>
      <x:c r="E318" s="38" t="n">
        <x:v>13</x:v>
      </x:c>
      <x:c r="F318" s="38" t="str">
        <x:v>Shiny, Deadly, Fiery, Obsidian, Golden, Heavy, Icy, Mossy, Radiant, Restorative, Shielded, Toxic, Turbo</x:v>
      </x:c>
      <x:c r="G318" s="38" t="str">
        <x:v>输出/龙；来源标签 package, medium, bronze, curio</x:v>
      </x:c>
    </x:row>
    <x:row r="319">
      <x:c r="A319" s="38" t="str">
        <x:v>pal_318</x:v>
      </x:c>
      <x:c r="B319" s="38" t="str">
        <x:v>库里小兽</x:v>
      </x:c>
      <x:c r="C319" s="38" t="str">
        <x:v>bz_van_318</x:v>
      </x:c>
      <x:c r="D319" s="38" t="str">
        <x:v>Heavy</x:v>
      </x:c>
      <x:c r="E319" s="38" t="n">
        <x:v>13</x:v>
      </x:c>
      <x:c r="F319" s="38" t="str">
        <x:v>Heavy, Deadly, Fiery, Obsidian, Golden, Icy, Mossy, Radiant, Restorative, Shielded, Shiny, Toxic, Turbo</x:v>
      </x:c>
      <x:c r="G319" s="38" t="str">
        <x:v>输出/无；来源标签 package, small, bronze, curio</x:v>
      </x:c>
    </x:row>
    <x:row r="320">
      <x:c r="A320" s="38" t="str">
        <x:v>pal_319</x:v>
      </x:c>
      <x:c r="B320" s="38" t="str">
        <x:v>库里大兽</x:v>
      </x:c>
      <x:c r="C320" s="38" t="str">
        <x:v>bz_van_319</x:v>
      </x:c>
      <x:c r="D320" s="38" t="str">
        <x:v>Shiny</x:v>
      </x:c>
      <x:c r="E320" s="38" t="n">
        <x:v>13</x:v>
      </x:c>
      <x:c r="F320" s="38" t="str">
        <x:v>Shiny, Deadly, Fiery, Obsidian, Golden, Heavy, Icy, Mossy, Radiant, Restorative, Shielded, Toxic, Turbo</x:v>
      </x:c>
      <x:c r="G320" s="38" t="str">
        <x:v>输出/水；来源标签 package, large, silver, curio</x:v>
      </x:c>
    </x:row>
    <x:row r="321">
      <x:c r="A321" s="38" t="str">
        <x:v>pal_320</x:v>
      </x:c>
      <x:c r="B321" s="38" t="str">
        <x:v>戈迪小兽</x:v>
      </x:c>
      <x:c r="C321" s="38" t="str">
        <x:v>bz_van_320</x:v>
      </x:c>
      <x:c r="D321" s="38" t="str">
        <x:v>Golden</x:v>
      </x:c>
      <x:c r="E321" s="38" t="n">
        <x:v>13</x:v>
      </x:c>
      <x:c r="F321" s="38" t="str">
        <x:v>Golden, Shiny, Radiant, Deadly, Fiery, Heavy, Icy, Mossy, Obsidian, Restorative, Shielded, Toxic, Turbo</x:v>
      </x:c>
      <x:c r="G321" s="38" t="str">
        <x:v>经济/草；来源标签 package, small, silver, goldie</x:v>
      </x:c>
    </x:row>
    <x:row r="322">
      <x:c r="A322" s="38" t="str">
        <x:v>pal_321</x:v>
      </x:c>
      <x:c r="B322" s="38" t="str">
        <x:v>戈迪中兽</x:v>
      </x:c>
      <x:c r="C322" s="38" t="str">
        <x:v>bz_van_321</x:v>
      </x:c>
      <x:c r="D322" s="38" t="str">
        <x:v>Golden</x:v>
      </x:c>
      <x:c r="E322" s="38" t="n">
        <x:v>13</x:v>
      </x:c>
      <x:c r="F322" s="38" t="str">
        <x:v>Golden, Shiny, Radiant, Deadly, Fiery, Heavy, Icy, Mossy, Obsidian, Restorative, Shielded, Toxic, Turbo</x:v>
      </x:c>
      <x:c r="G322" s="38" t="str">
        <x:v>经济/龙；来源标签 package, medium, silver, goldie</x:v>
      </x:c>
    </x:row>
    <x:row r="323">
      <x:c r="A323" s="38" t="str">
        <x:v>pal_322</x:v>
      </x:c>
      <x:c r="B323" s="38" t="str">
        <x:v>戈迪大兽</x:v>
      </x:c>
      <x:c r="C323" s="38" t="str">
        <x:v>bz_van_322</x:v>
      </x:c>
      <x:c r="D323" s="38" t="str">
        <x:v>Golden</x:v>
      </x:c>
      <x:c r="E323" s="38" t="n">
        <x:v>13</x:v>
      </x:c>
      <x:c r="F323" s="38" t="str">
        <x:v>Golden, Shiny, Radiant, Deadly, Fiery, Heavy, Icy, Mossy, Obsidian, Restorative, Shielded, Toxic, Turbo</x:v>
      </x:c>
      <x:c r="G323" s="38" t="str">
        <x:v>经济/龙；来源标签 package, large, silver, goldie</x:v>
      </x:c>
    </x:row>
    <x:row r="324">
      <x:c r="A324" s="38" t="str">
        <x:v>pal_323</x:v>
      </x:c>
      <x:c r="B324" s="38" t="str">
        <x:v>托克大兽</x:v>
      </x:c>
      <x:c r="C324" s="38" t="str">
        <x:v>bz_van_323</x:v>
      </x:c>
      <x:c r="D324" s="38" t="str">
        <x:v>Shiny</x:v>
      </x:c>
      <x:c r="E324" s="38" t="n">
        <x:v>13</x:v>
      </x:c>
      <x:c r="F324" s="38" t="str">
        <x:v>Shiny, Deadly, Fiery, Obsidian, Golden, Heavy, Icy, Mossy, Radiant, Restorative, Shielded, Toxic, Turbo</x:v>
      </x:c>
      <x:c r="G324" s="38" t="str">
        <x:v>输出/水；来源标签 package, large, silver, tok-s-clocks</x:v>
      </x:c>
    </x:row>
    <x:row r="325">
      <x:c r="A325" s="38" t="str">
        <x:v>pal_324</x:v>
      </x:c>
      <x:c r="B325" s="38" t="str">
        <x:v>托克中兽</x:v>
      </x:c>
      <x:c r="C325" s="38" t="str">
        <x:v>bz_van_324</x:v>
      </x:c>
      <x:c r="D325" s="38" t="str">
        <x:v>Shiny</x:v>
      </x:c>
      <x:c r="E325" s="38" t="n">
        <x:v>13</x:v>
      </x:c>
      <x:c r="F325" s="38" t="str">
        <x:v>Shiny, Deadly, Fiery, Obsidian, Golden, Heavy, Icy, Mossy, Radiant, Restorative, Shielded, Toxic, Turbo</x:v>
      </x:c>
      <x:c r="G325" s="38" t="str">
        <x:v>输出/地；来源标签 package, medium, silver, tok-s-clocks</x:v>
      </x:c>
    </x:row>
    <x:row r="326">
      <x:c r="A326" s="38" t="str">
        <x:v>pal_325</x:v>
      </x:c>
      <x:c r="B326" s="38" t="str">
        <x:v>托克小兽</x:v>
      </x:c>
      <x:c r="C326" s="38" t="str">
        <x:v>bz_van_325</x:v>
      </x:c>
      <x:c r="D326" s="38" t="str">
        <x:v>Heavy</x:v>
      </x:c>
      <x:c r="E326" s="38" t="n">
        <x:v>13</x:v>
      </x:c>
      <x:c r="F326" s="38" t="str">
        <x:v>Heavy, Deadly, Fiery, Obsidian, Golden, Icy, Mossy, Radiant, Restorative, Shielded, Shiny, Toxic, Turbo</x:v>
      </x:c>
      <x:c r="G326" s="38" t="str">
        <x:v>输出/水；来源标签 package, small, bronze, tok-s-clocks</x:v>
      </x:c>
    </x:row>
    <x:row r="327">
      <x:c r="A327" s="38" t="str">
        <x:v>pal_326</x:v>
      </x:c>
      <x:c r="B327" s="38" t="str">
        <x:v>谢尔小兽</x:v>
      </x:c>
      <x:c r="C327" s="38" t="str">
        <x:v>bz_van_326</x:v>
      </x:c>
      <x:c r="D327" s="38" t="str">
        <x:v>Shiny</x:v>
      </x:c>
      <x:c r="E327" s="38" t="n">
        <x:v>13</x:v>
      </x:c>
      <x:c r="F327" s="38" t="str">
        <x:v>Shiny, Deadly, Fiery, Obsidian, Golden, Heavy, Icy, Mossy, Radiant, Restorative, Shielded, Toxic, Turbo</x:v>
      </x:c>
      <x:c r="G327" s="38" t="str">
        <x:v>输出/草；来源标签 package, small, bronze, shelter-shelby</x:v>
      </x:c>
    </x:row>
    <x:row r="328">
      <x:c r="A328" s="38" t="str">
        <x:v>pal_327</x:v>
      </x:c>
      <x:c r="B328" s="38" t="str">
        <x:v>谢尔中兽</x:v>
      </x:c>
      <x:c r="C328" s="38" t="str">
        <x:v>bz_van_327</x:v>
      </x:c>
      <x:c r="D328" s="38" t="str">
        <x:v>Shiny</x:v>
      </x:c>
      <x:c r="E328" s="38" t="n">
        <x:v>13</x:v>
      </x:c>
      <x:c r="F328" s="38" t="str">
        <x:v>Shiny, Deadly, Fiery, Obsidian, Golden, Heavy, Icy, Mossy, Radiant, Restorative, Shielded, Toxic, Turbo</x:v>
      </x:c>
      <x:c r="G328" s="38" t="str">
        <x:v>输出/暗；来源标签 package, medium, silver, shelter-shelby</x:v>
      </x:c>
    </x:row>
    <x:row r="329">
      <x:c r="A329" s="38" t="str">
        <x:v>pal_328</x:v>
      </x:c>
      <x:c r="B329" s="38" t="str">
        <x:v>谢尔大兽</x:v>
      </x:c>
      <x:c r="C329" s="38" t="str">
        <x:v>bz_van_328</x:v>
      </x:c>
      <x:c r="D329" s="38" t="str">
        <x:v>Golden</x:v>
      </x:c>
      <x:c r="E329" s="38" t="n">
        <x:v>13</x:v>
      </x:c>
      <x:c r="F329" s="38" t="str">
        <x:v>Golden, Shiny, Radiant, Deadly, Fiery, Heavy, Icy, Mossy, Obsidian, Restorative, Shielded, Toxic, Turbo</x:v>
      </x:c>
      <x:c r="G329" s="38" t="str">
        <x:v>经济/龙；来源标签 package, large, silver, shelter-shelby</x:v>
      </x:c>
    </x:row>
    <x:row r="330">
      <x:c r="A330" s="38" t="str">
        <x:v>pal_329</x:v>
      </x:c>
      <x:c r="B330" s="38" t="str">
        <x:v>杰杰大兽</x:v>
      </x:c>
      <x:c r="C330" s="38" t="str">
        <x:v>bz_van_329</x:v>
      </x:c>
      <x:c r="D330" s="38" t="str">
        <x:v>Heavy</x:v>
      </x:c>
      <x:c r="E330" s="38" t="n">
        <x:v>13</x:v>
      </x:c>
      <x:c r="F330" s="38" t="str">
        <x:v>Heavy, Deadly, Fiery, Obsidian, Golden, Icy, Mossy, Radiant, Restorative, Shielded, Shiny, Toxic, Turbo</x:v>
      </x:c>
      <x:c r="G330" s="38" t="str">
        <x:v>输出/火；来源标签 package, large, silver, jay-jay</x:v>
      </x:c>
    </x:row>
    <x:row r="331">
      <x:c r="A331" s="38" t="str">
        <x:v>pal_330</x:v>
      </x:c>
      <x:c r="B331" s="38" t="str">
        <x:v>杰杰中兽</x:v>
      </x:c>
      <x:c r="C331" s="38" t="str">
        <x:v>bz_van_330</x:v>
      </x:c>
      <x:c r="D331" s="38" t="str">
        <x:v>Shiny</x:v>
      </x:c>
      <x:c r="E331" s="38" t="n">
        <x:v>13</x:v>
      </x:c>
      <x:c r="F331" s="38" t="str">
        <x:v>Shiny, Deadly, Fiery, Obsidian, Golden, Heavy, Icy, Mossy, Radiant, Restorative, Shielded, Toxic, Turbo</x:v>
      </x:c>
      <x:c r="G331" s="38" t="str">
        <x:v>输出/地；来源标签 package, medium, bronze, jay-jay</x:v>
      </x:c>
    </x:row>
    <x:row r="332">
      <x:c r="A332" s="38" t="str">
        <x:v>pal_331</x:v>
      </x:c>
      <x:c r="B332" s="38" t="str">
        <x:v>橡君大兽</x:v>
      </x:c>
      <x:c r="C332" s="38" t="str">
        <x:v>bz_van_331</x:v>
      </x:c>
      <x:c r="D332" s="38" t="str">
        <x:v>Heavy</x:v>
      </x:c>
      <x:c r="E332" s="38" t="n">
        <x:v>13</x:v>
      </x:c>
      <x:c r="F332" s="38" t="str">
        <x:v>Heavy, Deadly, Fiery, Obsidian, Golden, Icy, Mossy, Radiant, Restorative, Shielded, Shiny, Toxic, Turbo</x:v>
      </x:c>
      <x:c r="G332" s="38" t="str">
        <x:v>输出/草；来源标签 package, large, silver, lord-oak</x:v>
      </x:c>
    </x:row>
    <x:row r="333">
      <x:c r="A333" s="38" t="str">
        <x:v>pal_332</x:v>
      </x:c>
      <x:c r="B333" s="38" t="str">
        <x:v>橡君小兽</x:v>
      </x:c>
      <x:c r="C333" s="38" t="str">
        <x:v>bz_van_332</x:v>
      </x:c>
      <x:c r="D333" s="38" t="str">
        <x:v>Shiny</x:v>
      </x:c>
      <x:c r="E333" s="38" t="n">
        <x:v>13</x:v>
      </x:c>
      <x:c r="F333" s="38" t="str">
        <x:v>Shiny, Deadly, Fiery, Obsidian, Golden, Heavy, Icy, Mossy, Radiant, Restorative, Shielded, Toxic, Turbo</x:v>
      </x:c>
      <x:c r="G333" s="38" t="str">
        <x:v>输出/龙；来源标签 package, small, bronze, lord-oak</x:v>
      </x:c>
    </x:row>
    <x:row r="334">
      <x:c r="A334" s="38" t="str">
        <x:v>pal_333</x:v>
      </x:c>
      <x:c r="B334" s="38" t="str">
        <x:v>橡君中兽</x:v>
      </x:c>
      <x:c r="C334" s="38" t="str">
        <x:v>bz_van_333</x:v>
      </x:c>
      <x:c r="D334" s="38" t="str">
        <x:v>Shiny</x:v>
      </x:c>
      <x:c r="E334" s="38" t="n">
        <x:v>13</x:v>
      </x:c>
      <x:c r="F334" s="38" t="str">
        <x:v>Shiny, Deadly, Fiery, Obsidian, Golden, Heavy, Icy, Mossy, Radiant, Restorative, Shielded, Toxic, Turbo</x:v>
      </x:c>
      <x:c r="G334" s="38" t="str">
        <x:v>输出/水；来源标签 package, medium, bronze, lord-oak</x:v>
      </x:c>
    </x:row>
    <x:row r="335">
      <x:c r="A335" s="38" t="str">
        <x:v>pal_334</x:v>
      </x:c>
      <x:c r="B335" s="38" t="str">
        <x:v>波尔小兽</x:v>
      </x:c>
      <x:c r="C335" s="38" t="str">
        <x:v>bz_van_334</x:v>
      </x:c>
      <x:c r="D335" s="38" t="str">
        <x:v>Golden</x:v>
      </x:c>
      <x:c r="E335" s="38" t="n">
        <x:v>13</x:v>
      </x:c>
      <x:c r="F335" s="38" t="str">
        <x:v>Golden, Shiny, Radiant, Deadly, Fiery, Heavy, Icy, Mossy, Obsidian, Restorative, Shielded, Toxic, Turbo</x:v>
      </x:c>
      <x:c r="G335" s="38" t="str">
        <x:v>经济/水；来源标签 package, small, gold, pol</x:v>
      </x:c>
    </x:row>
    <x:row r="336">
      <x:c r="A336" s="38" t="str">
        <x:v>pal_335</x:v>
      </x:c>
      <x:c r="B336" s="38" t="str">
        <x:v>波尔大兽</x:v>
      </x:c>
      <x:c r="C336" s="38" t="str">
        <x:v>bz_van_335</x:v>
      </x:c>
      <x:c r="D336" s="38" t="str">
        <x:v>Heavy</x:v>
      </x:c>
      <x:c r="E336" s="38" t="n">
        <x:v>13</x:v>
      </x:c>
      <x:c r="F336" s="38" t="str">
        <x:v>Heavy, Deadly, Fiery, Obsidian, Golden, Icy, Mossy, Radiant, Restorative, Shielded, Shiny, Toxic, Turbo</x:v>
      </x:c>
      <x:c r="G336" s="38" t="str">
        <x:v>输出/水；来源标签 package, large, silver, pol</x:v>
      </x:c>
    </x:row>
    <x:row r="337">
      <x:c r="A337" s="38" t="str">
        <x:v>pal_336</x:v>
      </x:c>
      <x:c r="B337" s="38" t="str">
        <x:v>波尔中兽</x:v>
      </x:c>
      <x:c r="C337" s="38" t="str">
        <x:v>bz_van_336</x:v>
      </x:c>
      <x:c r="D337" s="38" t="str">
        <x:v>Golden</x:v>
      </x:c>
      <x:c r="E337" s="38" t="n">
        <x:v>13</x:v>
      </x:c>
      <x:c r="F337" s="38" t="str">
        <x:v>Golden, Shiny, Radiant, Deadly, Fiery, Heavy, Icy, Mossy, Obsidian, Restorative, Shielded, Toxic, Turbo</x:v>
      </x:c>
      <x:c r="G337" s="38" t="str">
        <x:v>经济/龙；来源标签 package, medium, gold, pol</x:v>
      </x:c>
    </x:row>
    <x:row r="338">
      <x:c r="A338" s="38" t="str">
        <x:v>pal_337</x:v>
      </x:c>
      <x:c r="B338" s="38" t="str">
        <x:v>试家大兽</x:v>
      </x:c>
      <x:c r="C338" s="38" t="str">
        <x:v>bz_van_337</x:v>
      </x:c>
      <x:c r="D338" s="38" t="str">
        <x:v>Heavy</x:v>
      </x:c>
      <x:c r="E338" s="38" t="n">
        <x:v>13</x:v>
      </x:c>
      <x:c r="F338" s="38" t="str">
        <x:v>Heavy, Deadly, Fiery, Obsidian, Golden, Icy, Mossy, Radiant, Restorative, Shielded, Shiny, Toxic, Turbo</x:v>
      </x:c>
      <x:c r="G338" s="38" t="str">
        <x:v>输出/冰；来源标签 package, large, silver, the-tester</x:v>
      </x:c>
    </x:row>
    <x:row r="339">
      <x:c r="A339" s="38" t="str">
        <x:v>pal_338</x:v>
      </x:c>
      <x:c r="B339" s="38" t="str">
        <x:v>试家中兽</x:v>
      </x:c>
      <x:c r="C339" s="38" t="str">
        <x:v>bz_van_338</x:v>
      </x:c>
      <x:c r="D339" s="38" t="str">
        <x:v>Heavy</x:v>
      </x:c>
      <x:c r="E339" s="38" t="n">
        <x:v>13</x:v>
      </x:c>
      <x:c r="F339" s="38" t="str">
        <x:v>Heavy, Deadly, Fiery, Obsidian, Golden, Icy, Mossy, Radiant, Restorative, Shielded, Shiny, Toxic, Turbo</x:v>
      </x:c>
      <x:c r="G339" s="38" t="str">
        <x:v>输出/无；来源标签 package, medium, silver, the-tester</x:v>
      </x:c>
    </x:row>
    <x:row r="340">
      <x:c r="A340" s="38" t="str">
        <x:v>pal_339</x:v>
      </x:c>
      <x:c r="B340" s="38" t="str">
        <x:v>试家小兽</x:v>
      </x:c>
      <x:c r="C340" s="38" t="str">
        <x:v>bz_van_339</x:v>
      </x:c>
      <x:c r="D340" s="38" t="str">
        <x:v>Shiny</x:v>
      </x:c>
      <x:c r="E340" s="38" t="n">
        <x:v>13</x:v>
      </x:c>
      <x:c r="F340" s="38" t="str">
        <x:v>Shiny, Deadly, Fiery, Obsidian, Golden, Heavy, Icy, Mossy, Radiant, Restorative, Shielded, Toxic, Turbo</x:v>
      </x:c>
      <x:c r="G340" s="38" t="str">
        <x:v>输出/草；来源标签 package, small, silver, the-tester</x:v>
      </x:c>
    </x:row>
    <x:row r="341">
      <x:c r="A341" s="38" t="str">
        <x:v>pal_340</x:v>
      </x:c>
      <x:c r="B341" s="38" t="str">
        <x:v>爱拉中兽</x:v>
      </x:c>
      <x:c r="C341" s="38" t="str">
        <x:v>bz_van_340</x:v>
      </x:c>
      <x:c r="D341" s="38" t="str">
        <x:v>Heavy</x:v>
      </x:c>
      <x:c r="E341" s="38" t="n">
        <x:v>13</x:v>
      </x:c>
      <x:c r="F341" s="38" t="str">
        <x:v>Heavy, Deadly, Fiery, Obsidian, Golden, Icy, Mossy, Radiant, Restorative, Shielded, Shiny, Toxic, Turbo</x:v>
      </x:c>
      <x:c r="G341" s="38" t="str">
        <x:v>输出/龙；来源标签 package, medium, bronze, aila</x:v>
      </x:c>
    </x:row>
    <x:row r="342">
      <x:c r="A342" s="38" t="str">
        <x:v>pal_341</x:v>
      </x:c>
      <x:c r="B342" s="38" t="str">
        <x:v>爱拉大兽</x:v>
      </x:c>
      <x:c r="C342" s="38" t="str">
        <x:v>bz_van_341</x:v>
      </x:c>
      <x:c r="D342" s="38" t="str">
        <x:v>Heavy</x:v>
      </x:c>
      <x:c r="E342" s="38" t="n">
        <x:v>13</x:v>
      </x:c>
      <x:c r="F342" s="38" t="str">
        <x:v>Heavy, Deadly, Fiery, Obsidian, Golden, Icy, Mossy, Radiant, Restorative, Shielded, Shiny, Toxic, Turbo</x:v>
      </x:c>
      <x:c r="G342" s="38" t="str">
        <x:v>输出/冰；来源标签 package, large, silver, aila</x:v>
      </x:c>
    </x:row>
    <x:row r="343">
      <x:c r="A343" s="38" t="str">
        <x:v>pal_342</x:v>
      </x:c>
      <x:c r="B343" s="38" t="str">
        <x:v>爱拉小兽</x:v>
      </x:c>
      <x:c r="C343" s="38" t="str">
        <x:v>bz_van_342</x:v>
      </x:c>
      <x:c r="D343" s="38" t="str">
        <x:v>Heavy</x:v>
      </x:c>
      <x:c r="E343" s="38" t="n">
        <x:v>13</x:v>
      </x:c>
      <x:c r="F343" s="38" t="str">
        <x:v>Heavy, Deadly, Fiery, Obsidian, Golden, Icy, Mossy, Radiant, Restorative, Shielded, Shiny, Toxic, Turbo</x:v>
      </x:c>
      <x:c r="G343" s="38" t="str">
        <x:v>输出/冰；来源标签 package, small, bronze, aila</x:v>
      </x:c>
    </x:row>
    <x:row r="344">
      <x:c r="A344" s="38" t="str">
        <x:v>pal_343</x:v>
      </x:c>
      <x:c r="B344" s="38" t="str">
        <x:v>瓦尔大兽</x:v>
      </x:c>
      <x:c r="C344" s="38" t="str">
        <x:v>bz_van_343</x:v>
      </x:c>
      <x:c r="D344" s="38" t="str">
        <x:v>Shiny</x:v>
      </x:c>
      <x:c r="E344" s="38" t="n">
        <x:v>13</x:v>
      </x:c>
      <x:c r="F344" s="38" t="str">
        <x:v>Shiny, Deadly, Fiery, Obsidian, Golden, Heavy, Icy, Mossy, Radiant, Restorative, Shielded, Toxic, Turbo</x:v>
      </x:c>
      <x:c r="G344" s="38" t="str">
        <x:v>输出/地；来源标签 package, large, silver, valpak</x:v>
      </x:c>
    </x:row>
    <x:row r="345">
      <x:c r="A345" s="38" t="str">
        <x:v>pal_344</x:v>
      </x:c>
      <x:c r="B345" s="38" t="str">
        <x:v>瓦尔小兽</x:v>
      </x:c>
      <x:c r="C345" s="38" t="str">
        <x:v>bz_van_344</x:v>
      </x:c>
      <x:c r="D345" s="38" t="str">
        <x:v>Heavy</x:v>
      </x:c>
      <x:c r="E345" s="38" t="n">
        <x:v>13</x:v>
      </x:c>
      <x:c r="F345" s="38" t="str">
        <x:v>Heavy, Deadly, Fiery, Obsidian, Golden, Icy, Mossy, Radiant, Restorative, Shielded, Shiny, Toxic, Turbo</x:v>
      </x:c>
      <x:c r="G345" s="38" t="str">
        <x:v>输出/火；来源标签 package, small, bronze, valpak</x:v>
      </x:c>
    </x:row>
    <x:row r="346">
      <x:c r="A346" s="38" t="str">
        <x:v>pal_345</x:v>
      </x:c>
      <x:c r="B346" s="38" t="str">
        <x:v>瓦尔中兽</x:v>
      </x:c>
      <x:c r="C346" s="38" t="str">
        <x:v>bz_van_345</x:v>
      </x:c>
      <x:c r="D346" s="38" t="str">
        <x:v>Shiny</x:v>
      </x:c>
      <x:c r="E346" s="38" t="n">
        <x:v>13</x:v>
      </x:c>
      <x:c r="F346" s="38" t="str">
        <x:v>Shiny, Deadly, Fiery, Obsidian, Golden, Heavy, Icy, Mossy, Radiant, Restorative, Shielded, Toxic, Turbo</x:v>
      </x:c>
      <x:c r="G346" s="38" t="str">
        <x:v>输出/火；来源标签 package, medium, bronze, valpak</x:v>
      </x:c>
    </x:row>
    <x:row r="347">
      <x:c r="A347" s="38" t="str">
        <x:v>pal_346</x:v>
      </x:c>
      <x:c r="B347" s="38" t="str">
        <x:v>米兹中兽</x:v>
      </x:c>
      <x:c r="C347" s="38" t="str">
        <x:v>bz_van_346</x:v>
      </x:c>
      <x:c r="D347" s="38" t="str">
        <x:v>Shiny</x:v>
      </x:c>
      <x:c r="E347" s="38" t="n">
        <x:v>13</x:v>
      </x:c>
      <x:c r="F347" s="38" t="str">
        <x:v>Shiny, Deadly, Fiery, Obsidian, Golden, Heavy, Icy, Mossy, Radiant, Restorative, Shielded, Toxic, Turbo</x:v>
      </x:c>
      <x:c r="G347" s="38" t="str">
        <x:v>输出/水；来源标签 package, medium, bronze, midsworth</x:v>
      </x:c>
    </x:row>
    <x:row r="348">
      <x:c r="A348" s="38" t="str">
        <x:v>pal_347</x:v>
      </x:c>
      <x:c r="B348" s="38" t="str">
        <x:v>米兹大兽</x:v>
      </x:c>
      <x:c r="C348" s="38" t="str">
        <x:v>bz_van_347</x:v>
      </x:c>
      <x:c r="D348" s="38" t="str">
        <x:v>Shiny</x:v>
      </x:c>
      <x:c r="E348" s="38" t="n">
        <x:v>13</x:v>
      </x:c>
      <x:c r="F348" s="38" t="str">
        <x:v>Shiny, Deadly, Fiery, Obsidian, Golden, Heavy, Icy, Mossy, Radiant, Restorative, Shielded, Toxic, Turbo</x:v>
      </x:c>
      <x:c r="G348" s="38" t="str">
        <x:v>输出/地；来源标签 package, large, silver, midsworth</x:v>
      </x:c>
    </x:row>
    <x:row r="349">
      <x:c r="A349" s="38" t="str">
        <x:v>pal_348</x:v>
      </x:c>
      <x:c r="B349" s="38" t="str">
        <x:v>米兹小兽</x:v>
      </x:c>
      <x:c r="C349" s="38" t="str">
        <x:v>bz_van_348</x:v>
      </x:c>
      <x:c r="D349" s="38" t="str">
        <x:v>Shiny</x:v>
      </x:c>
      <x:c r="E349" s="38" t="n">
        <x:v>13</x:v>
      </x:c>
      <x:c r="F349" s="38" t="str">
        <x:v>Shiny, Deadly, Fiery, Obsidian, Golden, Heavy, Icy, Mossy, Radiant, Restorative, Shielded, Toxic, Turbo</x:v>
      </x:c>
      <x:c r="G349" s="38" t="str">
        <x:v>输出/地；来源标签 package, small, bronze, midsworth</x:v>
      </x:c>
    </x:row>
    <x:row r="350">
      <x:c r="A350" s="38" t="str">
        <x:v>pal_349</x:v>
      </x:c>
      <x:c r="B350" s="38" t="str">
        <x:v>米透小兽</x:v>
      </x:c>
      <x:c r="C350" s="38" t="str">
        <x:v>bz_van_349</x:v>
      </x:c>
      <x:c r="D350" s="38" t="str">
        <x:v>Shiny</x:v>
      </x:c>
      <x:c r="E350" s="38" t="n">
        <x:v>13</x:v>
      </x:c>
      <x:c r="F350" s="38" t="str">
        <x:v>Shiny, Deadly, Fiery, Obsidian, Golden, Heavy, Icy, Mossy, Radiant, Restorative, Shielded, Toxic, Turbo</x:v>
      </x:c>
      <x:c r="G350" s="38" t="str">
        <x:v>输出/无；来源标签 package, small, bronze, mittel</x:v>
      </x:c>
    </x:row>
    <x:row r="351">
      <x:c r="A351" s="38" t="str">
        <x:v>pal_350</x:v>
      </x:c>
      <x:c r="B351" s="38" t="str">
        <x:v>米透大兽</x:v>
      </x:c>
      <x:c r="C351" s="38" t="str">
        <x:v>bz_van_350</x:v>
      </x:c>
      <x:c r="D351" s="38" t="str">
        <x:v>Heavy</x:v>
      </x:c>
      <x:c r="E351" s="38" t="n">
        <x:v>13</x:v>
      </x:c>
      <x:c r="F351" s="38" t="str">
        <x:v>Heavy, Deadly, Fiery, Obsidian, Golden, Icy, Mossy, Radiant, Restorative, Shielded, Shiny, Toxic, Turbo</x:v>
      </x:c>
      <x:c r="G351" s="38" t="str">
        <x:v>输出/无；来源标签 package, large, silver, mittel</x:v>
      </x:c>
    </x:row>
    <x:row r="352">
      <x:c r="A352" s="38" t="str">
        <x:v>pal_351</x:v>
      </x:c>
      <x:c r="B352" s="38" t="str">
        <x:v>米透中兽</x:v>
      </x:c>
      <x:c r="C352" s="38" t="str">
        <x:v>bz_van_351</x:v>
      </x:c>
      <x:c r="D352" s="38" t="str">
        <x:v>Shiny</x:v>
      </x:c>
      <x:c r="E352" s="38" t="n">
        <x:v>13</x:v>
      </x:c>
      <x:c r="F352" s="38" t="str">
        <x:v>Shiny, Deadly, Fiery, Obsidian, Golden, Heavy, Icy, Mossy, Radiant, Restorative, Shielded, Toxic, Turbo</x:v>
      </x:c>
      <x:c r="G352" s="38" t="str">
        <x:v>输出/水；来源标签 package, medium, silver, mittel</x:v>
      </x:c>
    </x:row>
    <x:row r="353">
      <x:c r="A353" s="38" t="str">
        <x:v>pal_352</x:v>
      </x:c>
      <x:c r="B353" s="38" t="str">
        <x:v>自瞄大兽</x:v>
      </x:c>
      <x:c r="C353" s="38" t="str">
        <x:v>bz_van_352</x:v>
      </x:c>
      <x:c r="D353" s="38" t="str">
        <x:v>Shiny</x:v>
      </x:c>
      <x:c r="E353" s="38" t="n">
        <x:v>13</x:v>
      </x:c>
      <x:c r="F353" s="38" t="str">
        <x:v>Shiny, Deadly, Fiery, Obsidian, Golden, Heavy, Icy, Mossy, Radiant, Restorative, Shielded, Toxic, Turbo</x:v>
      </x:c>
      <x:c r="G353" s="38" t="str">
        <x:v>输出/水；来源标签 package, large, silver, aimbot</x:v>
      </x:c>
    </x:row>
    <x:row r="354">
      <x:c r="A354" s="38" t="str">
        <x:v>pal_353</x:v>
      </x:c>
      <x:c r="B354" s="38" t="str">
        <x:v>自瞄中兽</x:v>
      </x:c>
      <x:c r="C354" s="38" t="str">
        <x:v>bz_van_353</x:v>
      </x:c>
      <x:c r="D354" s="38" t="str">
        <x:v>Shiny</x:v>
      </x:c>
      <x:c r="E354" s="38" t="n">
        <x:v>13</x:v>
      </x:c>
      <x:c r="F354" s="38" t="str">
        <x:v>Shiny, Deadly, Fiery, Obsidian, Golden, Heavy, Icy, Mossy, Radiant, Restorative, Shielded, Toxic, Turbo</x:v>
      </x:c>
      <x:c r="G354" s="38" t="str">
        <x:v>输出/地；来源标签 package, medium, silver, aimbot</x:v>
      </x:c>
    </x:row>
    <x:row r="355">
      <x:c r="A355" s="38" t="str">
        <x:v>pal_354</x:v>
      </x:c>
      <x:c r="B355" s="38" t="str">
        <x:v>自瞄小兽</x:v>
      </x:c>
      <x:c r="C355" s="38" t="str">
        <x:v>bz_van_354</x:v>
      </x:c>
      <x:c r="D355" s="38" t="str">
        <x:v>Heavy</x:v>
      </x:c>
      <x:c r="E355" s="38" t="n">
        <x:v>13</x:v>
      </x:c>
      <x:c r="F355" s="38" t="str">
        <x:v>Heavy, Deadly, Fiery, Obsidian, Golden, Icy, Mossy, Radiant, Restorative, Shielded, Shiny, Toxic, Turbo</x:v>
      </x:c>
      <x:c r="G355" s="38" t="str">
        <x:v>输出/水；来源标签 package, small, silver, aimbot</x:v>
      </x:c>
    </x:row>
    <x:row r="356">
      <x:c r="A356" s="38" t="str">
        <x:v>pal_355</x:v>
      </x:c>
      <x:c r="B356" s="38" t="str">
        <x:v>葵仙中兽</x:v>
      </x:c>
      <x:c r="C356" s="38" t="str">
        <x:v>bz_van_355</x:v>
      </x:c>
      <x:c r="D356" s="38" t="str">
        <x:v>Heavy</x:v>
      </x:c>
      <x:c r="E356" s="38" t="n">
        <x:v>13</x:v>
      </x:c>
      <x:c r="F356" s="38" t="str">
        <x:v>Heavy, Deadly, Fiery, Obsidian, Golden, Icy, Mossy, Radiant, Restorative, Shielded, Shiny, Toxic, Turbo</x:v>
      </x:c>
      <x:c r="G356" s="38" t="str">
        <x:v>输出/无；来源标签 package, medium, bronze, dryad</x:v>
      </x:c>
    </x:row>
    <x:row r="357">
      <x:c r="A357" s="38" t="str">
        <x:v>pal_356</x:v>
      </x:c>
      <x:c r="B357" s="38" t="str">
        <x:v>葵仙小兽</x:v>
      </x:c>
      <x:c r="C357" s="38" t="str">
        <x:v>bz_van_356</x:v>
      </x:c>
      <x:c r="D357" s="38" t="str">
        <x:v>Shiny</x:v>
      </x:c>
      <x:c r="E357" s="38" t="n">
        <x:v>13</x:v>
      </x:c>
      <x:c r="F357" s="38" t="str">
        <x:v>Shiny, Deadly, Fiery, Obsidian, Golden, Heavy, Icy, Mossy, Radiant, Restorative, Shielded, Toxic, Turbo</x:v>
      </x:c>
      <x:c r="G357" s="38" t="str">
        <x:v>输出/龙；来源标签 package, small, bronze, dryad</x:v>
      </x:c>
    </x:row>
    <x:row r="358">
      <x:c r="A358" s="38" t="str">
        <x:v>pal_357</x:v>
      </x:c>
      <x:c r="B358" s="38" t="str">
        <x:v>葵仙大兽</x:v>
      </x:c>
      <x:c r="C358" s="38" t="str">
        <x:v>bz_van_357</x:v>
      </x:c>
      <x:c r="D358" s="38" t="str">
        <x:v>Heavy</x:v>
      </x:c>
      <x:c r="E358" s="38" t="n">
        <x:v>13</x:v>
      </x:c>
      <x:c r="F358" s="38" t="str">
        <x:v>Heavy, Deadly, Fiery, Obsidian, Golden, Icy, Mossy, Radiant, Restorative, Shielded, Shiny, Toxic, Turbo</x:v>
      </x:c>
      <x:c r="G358" s="38" t="str">
        <x:v>输出/水；来源标签 package, large, silver, dryad</x:v>
      </x:c>
    </x:row>
    <x:row r="359">
      <x:c r="A359" s="38" t="str">
        <x:v>pal_358</x:v>
      </x:c>
      <x:c r="B359" s="38" t="str">
        <x:v>西尔小兽</x:v>
      </x:c>
      <x:c r="C359" s="38" t="str">
        <x:v>bz_van_358</x:v>
      </x:c>
      <x:c r="D359" s="38" t="str">
        <x:v>Heavy</x:v>
      </x:c>
      <x:c r="E359" s="38" t="n">
        <x:v>13</x:v>
      </x:c>
      <x:c r="F359" s="38" t="str">
        <x:v>Heavy, Deadly, Fiery, Obsidian, Golden, Icy, Mossy, Radiant, Restorative, Shielded, Shiny, Toxic, Turbo</x:v>
      </x:c>
      <x:c r="G359" s="38" t="str">
        <x:v>输出/暗；来源标签 package, small, bronze, silvia</x:v>
      </x:c>
    </x:row>
    <x:row r="360">
      <x:c r="A360" s="38" t="str">
        <x:v>pal_359</x:v>
      </x:c>
      <x:c r="B360" s="38" t="str">
        <x:v>西尔大兽</x:v>
      </x:c>
      <x:c r="C360" s="38" t="str">
        <x:v>bz_van_359</x:v>
      </x:c>
      <x:c r="D360" s="38" t="str">
        <x:v>Shiny</x:v>
      </x:c>
      <x:c r="E360" s="38" t="n">
        <x:v>13</x:v>
      </x:c>
      <x:c r="F360" s="38" t="str">
        <x:v>Shiny, Deadly, Fiery, Obsidian, Golden, Heavy, Icy, Mossy, Radiant, Restorative, Shielded, Toxic, Turbo</x:v>
      </x:c>
      <x:c r="G360" s="38" t="str">
        <x:v>输出/草；来源标签 package, large, silver, silvia</x:v>
      </x:c>
    </x:row>
    <x:row r="361">
      <x:c r="A361" s="38" t="str">
        <x:v>pal_360</x:v>
      </x:c>
      <x:c r="B361" s="38" t="str">
        <x:v>西尔中兽</x:v>
      </x:c>
      <x:c r="C361" s="38" t="str">
        <x:v>bz_van_360</x:v>
      </x:c>
      <x:c r="D361" s="38" t="str">
        <x:v>Heavy</x:v>
      </x:c>
      <x:c r="E361" s="38" t="n">
        <x:v>13</x:v>
      </x:c>
      <x:c r="F361" s="38" t="str">
        <x:v>Heavy, Deadly, Fiery, Obsidian, Golden, Icy, Mossy, Radiant, Restorative, Shielded, Shiny, Toxic, Turbo</x:v>
      </x:c>
      <x:c r="G361" s="38" t="str">
        <x:v>输出/暗；来源标签 package, medium, bronze, silvia</x:v>
      </x:c>
    </x:row>
    <x:row r="362">
      <x:c r="A362" s="38" t="str">
        <x:v>pal_361</x:v>
      </x:c>
      <x:c r="B362" s="38" t="str">
        <x:v>诺提中兽</x:v>
      </x:c>
      <x:c r="C362" s="38" t="str">
        <x:v>bz_van_361</x:v>
      </x:c>
      <x:c r="D362" s="38" t="str">
        <x:v>Shiny</x:v>
      </x:c>
      <x:c r="E362" s="38" t="n">
        <x:v>13</x:v>
      </x:c>
      <x:c r="F362" s="38" t="str">
        <x:v>Shiny, Deadly, Fiery, Obsidian, Golden, Heavy, Icy, Mossy, Radiant, Restorative, Shielded, Toxic, Turbo</x:v>
      </x:c>
      <x:c r="G362" s="38" t="str">
        <x:v>输出/草；来源标签 package, medium, bronze, nautica</x:v>
      </x:c>
    </x:row>
    <x:row r="363">
      <x:c r="A363" s="38" t="str">
        <x:v>pal_362</x:v>
      </x:c>
      <x:c r="B363" s="38" t="str">
        <x:v>诺提小兽</x:v>
      </x:c>
      <x:c r="C363" s="38" t="str">
        <x:v>bz_van_362</x:v>
      </x:c>
      <x:c r="D363" s="38" t="str">
        <x:v>Heavy</x:v>
      </x:c>
      <x:c r="E363" s="38" t="n">
        <x:v>13</x:v>
      </x:c>
      <x:c r="F363" s="38" t="str">
        <x:v>Heavy, Deadly, Fiery, Obsidian, Golden, Icy, Mossy, Radiant, Restorative, Shielded, Shiny, Toxic, Turbo</x:v>
      </x:c>
      <x:c r="G363" s="38" t="str">
        <x:v>输出/火；来源标签 package, small, bronze, nautica</x:v>
      </x:c>
    </x:row>
    <x:row r="364">
      <x:c r="A364" s="38" t="str">
        <x:v>pal_363</x:v>
      </x:c>
      <x:c r="B364" s="38" t="str">
        <x:v>诺提大兽</x:v>
      </x:c>
      <x:c r="C364" s="38" t="str">
        <x:v>bz_van_363</x:v>
      </x:c>
      <x:c r="D364" s="38" t="str">
        <x:v>Shiny</x:v>
      </x:c>
      <x:c r="E364" s="38" t="n">
        <x:v>13</x:v>
      </x:c>
      <x:c r="F364" s="38" t="str">
        <x:v>Shiny, Deadly, Fiery, Obsidian, Golden, Heavy, Icy, Mossy, Radiant, Restorative, Shielded, Toxic, Turbo</x:v>
      </x:c>
      <x:c r="G364" s="38" t="str">
        <x:v>输出/草；来源标签 package, large, silver, nautica</x:v>
      </x:c>
    </x:row>
    <x:row r="365">
      <x:c r="A365" s="38" t="str">
        <x:v>pal_364</x:v>
      </x:c>
      <x:c r="B365" s="38" t="str">
        <x:v>路克小兽</x:v>
      </x:c>
      <x:c r="C365" s="38" t="str">
        <x:v>bz_van_364</x:v>
      </x:c>
      <x:c r="D365" s="38" t="str">
        <x:v>Golden</x:v>
      </x:c>
      <x:c r="E365" s="38" t="n">
        <x:v>13</x:v>
      </x:c>
      <x:c r="F365" s="38" t="str">
        <x:v>Golden, Shiny, Radiant, Deadly, Fiery, Heavy, Icy, Mossy, Obsidian, Restorative, Shielded, Toxic, Turbo</x:v>
      </x:c>
      <x:c r="G365" s="38" t="str">
        <x:v>经济/暗；来源标签 package, small, gold, luxe</x:v>
      </x:c>
    </x:row>
    <x:row r="366">
      <x:c r="A366" s="38" t="str">
        <x:v>pal_365</x:v>
      </x:c>
      <x:c r="B366" s="38" t="str">
        <x:v>路克中兽</x:v>
      </x:c>
      <x:c r="C366" s="38" t="str">
        <x:v>bz_van_365</x:v>
      </x:c>
      <x:c r="D366" s="38" t="str">
        <x:v>Golden</x:v>
      </x:c>
      <x:c r="E366" s="38" t="n">
        <x:v>13</x:v>
      </x:c>
      <x:c r="F366" s="38" t="str">
        <x:v>Golden, Shiny, Radiant, Deadly, Fiery, Heavy, Icy, Mossy, Obsidian, Restorative, Shielded, Toxic, Turbo</x:v>
      </x:c>
      <x:c r="G366" s="38" t="str">
        <x:v>经济/草；来源标签 package, medium, gold, luxe</x:v>
      </x:c>
    </x:row>
    <x:row r="367">
      <x:c r="A367" s="38" t="str">
        <x:v>pal_366</x:v>
      </x:c>
      <x:c r="B367" s="38" t="str">
        <x:v>路克大兽</x:v>
      </x:c>
      <x:c r="C367" s="38" t="str">
        <x:v>bz_van_366</x:v>
      </x:c>
      <x:c r="D367" s="38" t="str">
        <x:v>Golden</x:v>
      </x:c>
      <x:c r="E367" s="38" t="n">
        <x:v>13</x:v>
      </x:c>
      <x:c r="F367" s="38" t="str">
        <x:v>Golden, Shiny, Radiant, Deadly, Fiery, Heavy, Icy, Mossy, Obsidian, Restorative, Shielded, Toxic, Turbo</x:v>
      </x:c>
      <x:c r="G367" s="38" t="str">
        <x:v>经济/水；来源标签 package, large, gold, luxe</x:v>
      </x:c>
    </x:row>
    <x:row r="368">
      <x:c r="A368" s="38" t="str">
        <x:v>pal_367</x:v>
      </x:c>
      <x:c r="B368" s="38" t="str">
        <x:v>针羽大兽</x:v>
      </x:c>
      <x:c r="C368" s="38" t="str">
        <x:v>bz_van_367</x:v>
      </x:c>
      <x:c r="D368" s="38" t="str">
        <x:v>Heavy</x:v>
      </x:c>
      <x:c r="E368" s="38" t="n">
        <x:v>13</x:v>
      </x:c>
      <x:c r="F368" s="38" t="str">
        <x:v>Heavy, Deadly, Fiery, Obsidian, Golden, Icy, Mossy, Radiant, Restorative, Shielded, Shiny, Toxic, Turbo</x:v>
      </x:c>
      <x:c r="G368" s="38" t="str">
        <x:v>输出/火；来源标签 package, large, silver, pinfeather</x:v>
      </x:c>
    </x:row>
    <x:row r="369">
      <x:c r="A369" s="38" t="str">
        <x:v>pal_368</x:v>
      </x:c>
      <x:c r="B369" s="38" t="str">
        <x:v>针羽小兽</x:v>
      </x:c>
      <x:c r="C369" s="38" t="str">
        <x:v>bz_van_368</x:v>
      </x:c>
      <x:c r="D369" s="38" t="str">
        <x:v>Shiny</x:v>
      </x:c>
      <x:c r="E369" s="38" t="n">
        <x:v>13</x:v>
      </x:c>
      <x:c r="F369" s="38" t="str">
        <x:v>Shiny, Deadly, Fiery, Obsidian, Golden, Heavy, Icy, Mossy, Radiant, Restorative, Shielded, Toxic, Turbo</x:v>
      </x:c>
      <x:c r="G369" s="38" t="str">
        <x:v>输出/冰；来源标签 package, small, silver, pinfeather</x:v>
      </x:c>
    </x:row>
    <x:row r="370">
      <x:c r="A370" s="38" t="str">
        <x:v>pal_369</x:v>
      </x:c>
      <x:c r="B370" s="38" t="str">
        <x:v>针羽中兽</x:v>
      </x:c>
      <x:c r="C370" s="38" t="str">
        <x:v>bz_van_369</x:v>
      </x:c>
      <x:c r="D370" s="38" t="str">
        <x:v>Heavy</x:v>
      </x:c>
      <x:c r="E370" s="38" t="n">
        <x:v>13</x:v>
      </x:c>
      <x:c r="F370" s="38" t="str">
        <x:v>Heavy, Deadly, Fiery, Obsidian, Golden, Icy, Mossy, Radiant, Restorative, Shielded, Shiny, Toxic, Turbo</x:v>
      </x:c>
      <x:c r="G370" s="38" t="str">
        <x:v>输出/无；来源标签 package, medium, silver, pinfeather</x:v>
      </x:c>
    </x:row>
  </x:sheetData>
  <x:pageMargins left="0.7" right="0.7" top="0.75" bottom="0.75" header="0.3" footer="0.3"/>
  <x:tableParts count="1">
    <x:tablePart xmlns:r="http://schemas.openxmlformats.org/officeDocument/2006/relationships" r:id="R2a311cddb74942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2" customHeight="1">
      <x:c r="A1" s="240" t="str">
        <x:v>检查项</x:v>
      </x:c>
      <x:c r="B1" s="240" t="str">
        <x:v>结果</x:v>
      </x:c>
      <x:c r="C1" s="240" t="str">
        <x:v>目标</x:v>
      </x:c>
      <x:c r="D1" s="240" t="str">
        <x:v>状态</x:v>
      </x:c>
    </x:row>
    <x:row r="2">
      <x:c r="A2" s="38" t="str">
        <x:v>宠物数</x:v>
      </x:c>
      <x:c r="B2" s="38" t="n">
        <x:f>COUNTA(PETS!A2:A370)</x:f>
        <x:v>369</x:v>
      </x:c>
      <x:c r="C2" s="38" t="n">
        <x:v>369</x:v>
      </x:c>
      <x:c r="D2" s="38" t="str">
        <x:f>IF(B2=C2,"PASS","FAIL")</x:f>
        <x:v>PASS</x:v>
      </x:c>
    </x:row>
    <x:row r="3">
      <x:c r="A3" s="38" t="str">
        <x:v>西游地点数</x:v>
      </x:c>
      <x:c r="B3" s="38" t="n">
        <x:f>COUNTA(SHOP_STORES!A2:A31)</x:f>
        <x:v>30</x:v>
      </x:c>
      <x:c r="C3" s="38" t="n">
        <x:v>30</x:v>
      </x:c>
      <x:c r="D3" s="38" t="str">
        <x:f>IF(B3=C3,"PASS","FAIL")</x:f>
        <x:v>PASS</x:v>
      </x:c>
    </x:row>
    <x:row r="4">
      <x:c r="A4" s="38" t="str">
        <x:v>普通物品宠</x:v>
      </x:c>
      <x:c r="B4" s="38" t="n">
        <x:f>COUNTIF(BAZAAR_OBJECTS!C2:C370,"item")</x:f>
        <x:v>138</x:v>
      </x:c>
      <x:c r="C4" s="38" t="n">
        <x:v>138</x:v>
      </x:c>
      <x:c r="D4" s="38" t="str">
        <x:f>IF(B4=C4,"PASS","FAIL")</x:f>
        <x:v>PASS</x:v>
      </x:c>
    </x:row>
    <x:row r="5">
      <x:c r="A5" s="38" t="str">
        <x:v>商人包宠</x:v>
      </x:c>
      <x:c r="B5" s="38" t="n">
        <x:f>COUNTIF(BAZAAR_OBJECTS!C2:C370,"merchant_package")</x:f>
        <x:v>93</x:v>
      </x:c>
      <x:c r="C5" s="38" t="n">
        <x:v>93</x:v>
      </x:c>
      <x:c r="D5" s="38" t="str">
        <x:f>IF(B5=C5,"PASS","FAIL")</x:f>
        <x:v>PASS</x:v>
      </x:c>
    </x:row>
    <x:row r="6">
      <x:c r="A6" s="38" t="str">
        <x:v>技能宠</x:v>
      </x:c>
      <x:c r="B6" s="38" t="n">
        <x:f>COUNTIF(BAZAAR_OBJECTS!C2:C370,"skill")</x:f>
        <x:v>138</x:v>
      </x:c>
      <x:c r="C6" s="38" t="n">
        <x:v>138</x:v>
      </x:c>
      <x:c r="D6" s="38" t="str">
        <x:f>IF(B6=C6,"PASS","FAIL")</x:f>
        <x:v>PASS</x:v>
      </x:c>
    </x:row>
    <x:row r="7">
      <x:c r="A7" s="38" t="str">
        <x:v>确认来源对象</x:v>
      </x:c>
      <x:c r="B7" s="38" t="n">
        <x:f>COUNTIF(BAZAAR_OBJECTS!D2:D370,"confirmed")</x:f>
        <x:v>369</x:v>
      </x:c>
      <x:c r="C7" s="38" t="n">
        <x:v>369</x:v>
      </x:c>
      <x:c r="D7" s="38" t="str">
        <x:f>IF(B7=C7,"PASS","FAIL")</x:f>
        <x:v>PASS</x:v>
      </x:c>
    </x:row>
    <x:row r="8">
      <x:c r="A8" s="38" t="str">
        <x:v>每宠最少来源地点</x:v>
      </x:c>
      <x:c r="B8" s="38" t="n">
        <x:f>MIN(PETS!I2:I370)</x:f>
        <x:v>1</x:v>
      </x:c>
      <x:c r="C8" s="38" t="n">
        <x:v>1</x:v>
      </x:c>
      <x:c r="D8" s="38" t="str">
        <x:f>IF(B8&gt;=C8,"PASS","FAIL")</x:f>
        <x:v>PASS</x:v>
      </x:c>
    </x:row>
    <x:row r="9">
      <x:c r="A9" s="38" t="str">
        <x:v>来源独立摊位</x:v>
      </x:c>
      <x:c r="B9" s="38" t="n">
        <x:f>COUNTA(SHOP_MAPPING!A2:A100)</x:f>
        <x:v>56</x:v>
      </x:c>
      <x:c r="C9" s="38" t="n">
        <x:v>56</x:v>
      </x:c>
      <x:c r="D9" s="38" t="str">
        <x:f>IF(B9=C9,"PASS","FAIL")</x:f>
        <x:v>PASS</x:v>
      </x:c>
    </x:row>
    <x:row r="10">
      <x:c r="A10" s="38" t="str">
        <x:v>第1天开放摊位</x:v>
      </x:c>
      <x:c r="B10" s="38" t="n">
        <x:f>COUNTIF(SHOP_MAPPING!I2:I100,"开放")</x:f>
        <x:v>9</x:v>
      </x:c>
      <x:c r="C10" s="38" t="n">
        <x:v>9</x:v>
      </x:c>
      <x:c r="D10" s="38" t="str">
        <x:f>IF(B10=C10,"PASS","FAIL")</x:f>
        <x:v>PASS</x:v>
      </x:c>
    </x:row>
    <x:row r="11">
      <x:c r="A11" s="38" t="str">
        <x:v>第2天开放摊位</x:v>
      </x:c>
      <x:c r="B11" s="38" t="n">
        <x:f>COUNTIF(SHOP_MAPPING!J2:J100,"开放")</x:f>
        <x:v>10</x:v>
      </x:c>
      <x:c r="C11" s="38" t="n">
        <x:v>10</x:v>
      </x:c>
      <x:c r="D11" s="38" t="str">
        <x:f>IF(B11=C11,"PASS","FAIL")</x:f>
        <x:v>PASS</x:v>
      </x:c>
    </x:row>
    <x:row r="12">
      <x:c r="A12" s="38" t="str">
        <x:v>第3天开放摊位</x:v>
      </x:c>
      <x:c r="B12" s="38" t="n">
        <x:f>COUNTIF(SHOP_MAPPING!K2:K100,"开放")</x:f>
        <x:v>10</x:v>
      </x:c>
      <x:c r="C12" s="38" t="n">
        <x:v>10</x:v>
      </x:c>
      <x:c r="D12" s="38" t="str">
        <x:f>IF(B12=C12,"PASS","FAIL")</x:f>
        <x:v>PASS</x:v>
      </x:c>
    </x:row>
    <x:row r="13">
      <x:c r="A13" s="38" t="str">
        <x:v>附魔类型</x:v>
      </x:c>
      <x:c r="B13" s="38" t="n">
        <x:f>COUNTA(ENCHANTMENTS!A2:A14)</x:f>
        <x:v>13</x:v>
      </x:c>
      <x:c r="C13" s="38" t="n">
        <x:v>13</x:v>
      </x:c>
      <x:c r="D13" s="38" t="str">
        <x:f>IF(B13=C13,"PASS","FAIL")</x:f>
        <x:v>PASS</x:v>
      </x:c>
    </x:row>
    <x:row r="14">
      <x:c r="A14" s="38" t="str">
        <x:v>商人包占格完整</x:v>
      </x:c>
      <x:c r="B14" s="38" t="n">
        <x:v>93</x:v>
      </x:c>
      <x:c r="C14" s="38" t="n">
        <x:v>93</x:v>
      </x:c>
      <x:c r="D14" s="38" t="str">
        <x:f>IF(B14=C14,"PASS","FAIL")</x:f>
        <x:v>PASS</x:v>
      </x:c>
    </x:row>
  </x:sheetData>
  <x:conditionalFormatting sqref="D2:D9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PASS"/>
    <x:cfRule type="containsText" dxfId="3" priority="4" operator="containsText" text="FAIL"/>
    <x:cfRule type="containsText" dxfId="4" priority="5" operator="containsText" text="PASS"/>
    <x:cfRule type="containsText" dxfId="5" priority="6" operator="containsText" text="FAIL"/>
  </x:conditionalFormatting>
  <x:conditionalFormatting sqref="D2:D14">
    <x:cfRule type="containsText" dxfId="6" priority="7" operator="containsText" text="PASS"/>
    <x:cfRule type="containsText" dxfId="7" priority="8" operator="containsText" text="FAIL"/>
    <x:cfRule type="containsText" dxfId="8" priority="9" operator="containsText" text="PASS"/>
    <x:cfRule type="containsText" dxfId="9" priority="10" operator="containsText" text="FAIL"/>
    <x:cfRule type="containsText" dxfId="10" priority="11" operator="containsText" text="PASS"/>
    <x:cfRule type="containsText" dxfId="11" priority="12" operator="containsText" text="FAIL"/>
    <x:cfRule type="containsText" dxfId="12" priority="13" operator="containsText" text="PASS"/>
    <x:cfRule type="containsText" dxfId="13" priority="14" operator="containsText" text="FAIL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2" hidden="0" customWidth="1"/>
    <x:col min="9" max="9" width="34" hidden="0" customWidth="1"/>
    <x:col min="10" max="10" width="46" hidden="0" customWidth="1"/>
  </x:cols>
  <x:sheetData>
    <x:row r="1" ht="52.79999923706055" hidden="0" customHeight="1">
      <x:c r="A1" s="317" t="str">
        <x:v>#csv</x:v>
      </x:c>
      <x:c r="B1" s="317" t="str">
        <x:v>39_stat_catalog.csv</x:v>
      </x:c>
      <x:c r="C1" s="317" t="str">
        <x:v>通用宠物属性目录；整数/千分比、默认值、上下限和叠加规则。</x:v>
      </x:c>
      <x:c r="D1" s="317"/>
      <x:c r="E1" s="317"/>
      <x:c r="F1" s="317"/>
      <x:c r="G1" s="317"/>
      <x:c r="H1" s="317"/>
      <x:c r="I1" s="317"/>
      <x:c r="J1" s="317"/>
    </x:row>
    <x:row r="2" ht="15" hidden="0" customHeight="1">
      <x:c r="A2" s="318" t="str">
        <x:v>stat_id</x:v>
      </x:c>
      <x:c r="B2" s="318" t="str">
        <x:v>name</x:v>
      </x:c>
      <x:c r="C2" s="318" t="str">
        <x:v>category</x:v>
      </x:c>
      <x:c r="D2" s="318" t="str">
        <x:v>value_type</x:v>
      </x:c>
      <x:c r="E2" s="318" t="str">
        <x:v>default_value</x:v>
      </x:c>
      <x:c r="F2" s="318" t="str">
        <x:v>min_value</x:v>
      </x:c>
      <x:c r="G2" s="318" t="str">
        <x:v>max_value</x:v>
      </x:c>
      <x:c r="H2" s="318" t="str">
        <x:v>display_unit</x:v>
      </x:c>
      <x:c r="I2" s="318" t="str">
        <x:v>stacking_rule</x:v>
      </x:c>
      <x:c r="J2" s="318" t="str">
        <x:v>description</x:v>
      </x:c>
    </x:row>
    <x:row r="3" ht="15" hidden="0" customHeight="1">
      <x:c r="A3" s="307" t="str">
        <x:v>max_hp</x:v>
      </x:c>
      <x:c r="B3" s="307" t="str">
        <x:v>生命上限</x:v>
      </x:c>
      <x:c r="C3" s="307" t="str">
        <x:v>核心</x:v>
      </x:c>
      <x:c r="D3" s="307" t="str">
        <x:v>integer</x:v>
      </x:c>
      <x:c r="E3" s="307" t="str">
        <x:v>1</x:v>
      </x:c>
      <x:c r="F3" s="307" t="str">
        <x:v>1</x:v>
      </x:c>
      <x:c r="G3" s="307" t="str">
        <x:v>999999</x:v>
      </x:c>
      <x:c r="H3" s="307" t="str">
        <x:v>点</x:v>
      </x:c>
      <x:c r="I3" s="307" t="str">
        <x:v>flat_percent_multiplier_override_clamp</x:v>
      </x:c>
      <x:c r="J3" s="307" t="str">
        <x:v>宠物可拥有的最大生命值</x:v>
      </x:c>
    </x:row>
    <x:row r="4" ht="15" hidden="0" customHeight="1">
      <x:c r="A4" s="307" t="str">
        <x:v>atk</x:v>
      </x:c>
      <x:c r="B4" s="307" t="str">
        <x:v>攻击</x:v>
      </x:c>
      <x:c r="C4" s="307" t="str">
        <x:v>核心</x:v>
      </x:c>
      <x:c r="D4" s="307" t="str">
        <x:v>integer</x:v>
      </x:c>
      <x:c r="E4" s="307" t="str">
        <x:v>0</x:v>
      </x:c>
      <x:c r="F4" s="307" t="str">
        <x:v>0</x:v>
      </x:c>
      <x:c r="G4" s="307" t="str">
        <x:v>999999</x:v>
      </x:c>
      <x:c r="H4" s="307" t="str">
        <x:v>点</x:v>
      </x:c>
      <x:c r="I4" s="307" t="str">
        <x:v>flat_percent_multiplier_override_clamp</x:v>
      </x:c>
      <x:c r="J4" s="307" t="str">
        <x:v>物理伤害与多数技能的基础攻击值</x:v>
      </x:c>
    </x:row>
    <x:row r="5" ht="15" hidden="0" customHeight="1">
      <x:c r="A5" s="307" t="str">
        <x:v>def</x:v>
      </x:c>
      <x:c r="B5" s="307" t="str">
        <x:v>防御</x:v>
      </x:c>
      <x:c r="C5" s="307" t="str">
        <x:v>核心</x:v>
      </x:c>
      <x:c r="D5" s="307" t="str">
        <x:v>integer</x:v>
      </x:c>
      <x:c r="E5" s="307" t="str">
        <x:v>0</x:v>
      </x:c>
      <x:c r="F5" s="307" t="str">
        <x:v>0</x:v>
      </x:c>
      <x:c r="G5" s="307" t="str">
        <x:v>999999</x:v>
      </x:c>
      <x:c r="H5" s="307" t="str">
        <x:v>点</x:v>
      </x:c>
      <x:c r="I5" s="307" t="str">
        <x:v>flat_percent_multiplier_override_clamp</x:v>
      </x:c>
      <x:c r="J5" s="307" t="str">
        <x:v>进入护盾与生命前抵消伤害</x:v>
      </x:c>
    </x:row>
    <x:row r="6" ht="15" hidden="0" customHeight="1">
      <x:c r="A6" s="307" t="str">
        <x:v>starting_shield</x:v>
      </x:c>
      <x:c r="B6" s="307" t="str">
        <x:v>初始护盾</x:v>
      </x:c>
      <x:c r="C6" s="307" t="str">
        <x:v>核心</x:v>
      </x:c>
      <x:c r="D6" s="307" t="str">
        <x:v>integer</x:v>
      </x:c>
      <x:c r="E6" s="307" t="str">
        <x:v>0</x:v>
      </x:c>
      <x:c r="F6" s="307" t="str">
        <x:v>0</x:v>
      </x:c>
      <x:c r="G6" s="307" t="str">
        <x:v>999999</x:v>
      </x:c>
      <x:c r="H6" s="307" t="str">
        <x:v>点</x:v>
      </x:c>
      <x:c r="I6" s="307" t="str">
        <x:v>flat_percent_multiplier_override_clamp</x:v>
      </x:c>
      <x:c r="J6" s="307" t="str">
        <x:v>进入战斗时获得的基础护盾</x:v>
      </x:c>
    </x:row>
    <x:row r="7" ht="15" hidden="0" customHeight="1">
      <x:c r="A7" s="307" t="str">
        <x:v>speed</x:v>
      </x:c>
      <x:c r="B7" s="307" t="str">
        <x:v>速度</x:v>
      </x:c>
      <x:c r="C7" s="307" t="str">
        <x:v>行动</x:v>
      </x:c>
      <x:c r="D7" s="307" t="str">
        <x:v>integer</x:v>
      </x:c>
      <x:c r="E7" s="307" t="str">
        <x:v>100</x:v>
      </x:c>
      <x:c r="F7" s="307" t="str">
        <x:v>0</x:v>
      </x:c>
      <x:c r="G7" s="307" t="str">
        <x:v>9999</x:v>
      </x:c>
      <x:c r="H7" s="307" t="str">
        <x:v>点</x:v>
      </x:c>
      <x:c r="I7" s="307" t="str">
        <x:v>flat_percent_multiplier_override_clamp</x:v>
      </x:c>
      <x:c r="J7" s="307" t="str">
        <x:v>行动顺序与速度类条件使用</x:v>
      </x:c>
    </x:row>
    <x:row r="8" ht="15" hidden="0" customHeight="1">
      <x:c r="A8" s="307" t="str">
        <x:v>initiative</x:v>
      </x:c>
      <x:c r="B8" s="307" t="str">
        <x:v>先攻</x:v>
      </x:c>
      <x:c r="C8" s="307" t="str">
        <x:v>行动</x:v>
      </x:c>
      <x:c r="D8" s="307" t="str">
        <x:v>integer</x:v>
      </x:c>
      <x:c r="E8" s="307" t="str">
        <x:v>0</x:v>
      </x:c>
      <x:c r="F8" s="307" t="str">
        <x:v>-9999</x:v>
      </x:c>
      <x:c r="G8" s="307" t="str">
        <x:v>9999</x:v>
      </x:c>
      <x:c r="H8" s="307" t="str">
        <x:v>点</x:v>
      </x:c>
      <x:c r="I8" s="307" t="str">
        <x:v>flat_percent_multiplier_override_clamp</x:v>
      </x:c>
      <x:c r="J8" s="307" t="str">
        <x:v>同速度单位的确定性先攻修正</x:v>
      </x:c>
    </x:row>
    <x:row r="9" ht="15" hidden="0" customHeight="1">
      <x:c r="A9" s="307" t="str">
        <x:v>move_range</x:v>
      </x:c>
      <x:c r="B9" s="307" t="str">
        <x:v>移动力</x:v>
      </x:c>
      <x:c r="C9" s="307" t="str">
        <x:v>行动</x:v>
      </x:c>
      <x:c r="D9" s="307" t="str">
        <x:v>integer</x:v>
      </x:c>
      <x:c r="E9" s="307" t="str">
        <x:v>0</x:v>
      </x:c>
      <x:c r="F9" s="307" t="str">
        <x:v>0</x:v>
      </x:c>
      <x:c r="G9" s="307" t="str">
        <x:v>99</x:v>
      </x:c>
      <x:c r="H9" s="307" t="str">
        <x:v>格</x:v>
      </x:c>
      <x:c r="I9" s="307" t="str">
        <x:v>flat_percent_multiplier_override_clamp</x:v>
      </x:c>
      <x:c r="J9" s="307" t="str">
        <x:v>单次移动允许的最大格数</x:v>
      </x:c>
    </x:row>
    <x:row r="10" ht="15" hidden="0" customHeight="1">
      <x:c r="A10" s="307" t="str">
        <x:v>action_points</x:v>
      </x:c>
      <x:c r="B10" s="307" t="str">
        <x:v>行动点</x:v>
      </x:c>
      <x:c r="C10" s="307" t="str">
        <x:v>行动</x:v>
      </x:c>
      <x:c r="D10" s="307" t="str">
        <x:v>integer</x:v>
      </x:c>
      <x:c r="E10" s="307" t="str">
        <x:v>3</x:v>
      </x:c>
      <x:c r="F10" s="307" t="str">
        <x:v>0</x:v>
      </x:c>
      <x:c r="G10" s="307" t="str">
        <x:v>99</x:v>
      </x:c>
      <x:c r="H10" s="307" t="str">
        <x:v>点</x:v>
      </x:c>
      <x:c r="I10" s="307" t="str">
        <x:v>flat_percent_multiplier_override_clamp</x:v>
      </x:c>
      <x:c r="J10" s="307" t="str">
        <x:v>宠物行动资源上限</x:v>
      </x:c>
    </x:row>
    <x:row r="11" ht="15" hidden="0" customHeight="1">
      <x:c r="A11" s="307" t="str">
        <x:v>attack_count</x:v>
      </x:c>
      <x:c r="B11" s="307" t="str">
        <x:v>攻击次数</x:v>
      </x:c>
      <x:c r="C11" s="307" t="str">
        <x:v>行动</x:v>
      </x:c>
      <x:c r="D11" s="307" t="str">
        <x:v>integer</x:v>
      </x:c>
      <x:c r="E11" s="307" t="str">
        <x:v>1</x:v>
      </x:c>
      <x:c r="F11" s="307" t="str">
        <x:v>0</x:v>
      </x:c>
      <x:c r="G11" s="307" t="str">
        <x:v>99</x:v>
      </x:c>
      <x:c r="H11" s="307" t="str">
        <x:v>次</x:v>
      </x:c>
      <x:c r="I11" s="307" t="str">
        <x:v>flat_percent_multiplier_override_clamp</x:v>
      </x:c>
      <x:c r="J11" s="307" t="str">
        <x:v>兼容非技能攻击行为的次数</x:v>
      </x:c>
    </x:row>
    <x:row r="12" ht="15" hidden="0" customHeight="1">
      <x:c r="A12" s="307" t="str">
        <x:v>physical_power_permille</x:v>
      </x:c>
      <x:c r="B12" s="307" t="str">
        <x:v>物理威力</x:v>
      </x:c>
      <x:c r="C12" s="307" t="str">
        <x:v>输出</x:v>
      </x:c>
      <x:c r="D12" s="307" t="str">
        <x:v>permille</x:v>
      </x:c>
      <x:c r="E12" s="307" t="str">
        <x:v>1000</x:v>
      </x:c>
      <x:c r="F12" s="307" t="str">
        <x:v>0</x:v>
      </x:c>
      <x:c r="G12" s="307" t="str">
        <x:v>10000</x:v>
      </x:c>
      <x:c r="H12" s="307" t="str">
        <x:v>‰</x:v>
      </x:c>
      <x:c r="I12" s="307" t="str">
        <x:v>flat_percent_multiplier_override_clamp</x:v>
      </x:c>
      <x:c r="J12" s="307" t="str">
        <x:v>所有物理效果的最终威力倍率</x:v>
      </x:c>
    </x:row>
    <x:row r="13" ht="15" hidden="0" customHeight="1">
      <x:c r="A13" s="307" t="str">
        <x:v>element_power_permille</x:v>
      </x:c>
      <x:c r="B13" s="307" t="str">
        <x:v>元素威力</x:v>
      </x:c>
      <x:c r="C13" s="307" t="str">
        <x:v>输出</x:v>
      </x:c>
      <x:c r="D13" s="307" t="str">
        <x:v>permille</x:v>
      </x:c>
      <x:c r="E13" s="307" t="str">
        <x:v>1000</x:v>
      </x:c>
      <x:c r="F13" s="307" t="str">
        <x:v>0</x:v>
      </x:c>
      <x:c r="G13" s="307" t="str">
        <x:v>10000</x:v>
      </x:c>
      <x:c r="H13" s="307" t="str">
        <x:v>‰</x:v>
      </x:c>
      <x:c r="I13" s="307" t="str">
        <x:v>flat_percent_multiplier_override_clamp</x:v>
      </x:c>
      <x:c r="J13" s="307" t="str">
        <x:v>所有元素伤害的最终威力倍率</x:v>
      </x:c>
    </x:row>
    <x:row r="14" ht="15" hidden="0" customHeight="1">
      <x:c r="A14" s="307" t="str">
        <x:v>skill_power_permille</x:v>
      </x:c>
      <x:c r="B14" s="307" t="str">
        <x:v>技能威力</x:v>
      </x:c>
      <x:c r="C14" s="307" t="str">
        <x:v>输出</x:v>
      </x:c>
      <x:c r="D14" s="307" t="str">
        <x:v>permille</x:v>
      </x:c>
      <x:c r="E14" s="307" t="str">
        <x:v>1000</x:v>
      </x:c>
      <x:c r="F14" s="307" t="str">
        <x:v>0</x:v>
      </x:c>
      <x:c r="G14" s="307" t="str">
        <x:v>10000</x:v>
      </x:c>
      <x:c r="H14" s="307" t="str">
        <x:v>‰</x:v>
      </x:c>
      <x:c r="I14" s="307" t="str">
        <x:v>flat_percent_multiplier_override_clamp</x:v>
      </x:c>
      <x:c r="J14" s="307" t="str">
        <x:v>主动技能效果的最终倍率</x:v>
      </x:c>
    </x:row>
    <x:row r="15" ht="15" hidden="0" customHeight="1">
      <x:c r="A15" s="307" t="str">
        <x:v>combo_power_permille</x:v>
      </x:c>
      <x:c r="B15" s="307" t="str">
        <x:v>组合威力</x:v>
      </x:c>
      <x:c r="C15" s="307" t="str">
        <x:v>输出</x:v>
      </x:c>
      <x:c r="D15" s="307" t="str">
        <x:v>permille</x:v>
      </x:c>
      <x:c r="E15" s="307" t="str">
        <x:v>1000</x:v>
      </x:c>
      <x:c r="F15" s="307" t="str">
        <x:v>0</x:v>
      </x:c>
      <x:c r="G15" s="307" t="str">
        <x:v>10000</x:v>
      </x:c>
      <x:c r="H15" s="307" t="str">
        <x:v>‰</x:v>
      </x:c>
      <x:c r="I15" s="307" t="str">
        <x:v>flat_percent_multiplier_override_clamp</x:v>
      </x:c>
      <x:c r="J15" s="307" t="str">
        <x:v>技能组合奖励的最终倍率</x:v>
      </x:c>
    </x:row>
    <x:row r="16" ht="15" hidden="0" customHeight="1">
      <x:c r="A16" s="307" t="str">
        <x:v>boss_damage_permille</x:v>
      </x:c>
      <x:c r="B16" s="307" t="str">
        <x:v>Boss伤害</x:v>
      </x:c>
      <x:c r="C16" s="307" t="str">
        <x:v>输出</x:v>
      </x:c>
      <x:c r="D16" s="307" t="str">
        <x:v>permille</x:v>
      </x:c>
      <x:c r="E16" s="307" t="str">
        <x:v>1000</x:v>
      </x:c>
      <x:c r="F16" s="307" t="str">
        <x:v>0</x:v>
      </x:c>
      <x:c r="G16" s="307" t="str">
        <x:v>10000</x:v>
      </x:c>
      <x:c r="H16" s="307" t="str">
        <x:v>‰</x:v>
      </x:c>
      <x:c r="I16" s="307" t="str">
        <x:v>flat_percent_multiplier_override_clamp</x:v>
      </x:c>
      <x:c r="J16" s="307" t="str">
        <x:v>攻击 Boss 时的最终倍率</x:v>
      </x:c>
    </x:row>
    <x:row r="17" ht="15" hidden="0" customHeight="1">
      <x:c r="A17" s="307" t="str">
        <x:v>crit_rate_permille</x:v>
      </x:c>
      <x:c r="B17" s="307" t="str">
        <x:v>暴击率</x:v>
      </x:c>
      <x:c r="C17" s="307" t="str">
        <x:v>输出</x:v>
      </x:c>
      <x:c r="D17" s="307" t="str">
        <x:v>permille</x:v>
      </x:c>
      <x:c r="E17" s="307" t="str">
        <x:v>0</x:v>
      </x:c>
      <x:c r="F17" s="307" t="str">
        <x:v>0</x:v>
      </x:c>
      <x:c r="G17" s="307" t="str">
        <x:v>1000</x:v>
      </x:c>
      <x:c r="H17" s="307" t="str">
        <x:v>‰</x:v>
      </x:c>
      <x:c r="I17" s="307" t="str">
        <x:v>flat_percent_multiplier_override_clamp</x:v>
      </x:c>
      <x:c r="J17" s="307" t="str">
        <x:v>确定性暴击判定阈值</x:v>
      </x:c>
    </x:row>
    <x:row r="18" ht="15" hidden="0" customHeight="1">
      <x:c r="A18" s="307" t="str">
        <x:v>crit_damage_permille</x:v>
      </x:c>
      <x:c r="B18" s="307" t="str">
        <x:v>暴击伤害</x:v>
      </x:c>
      <x:c r="C18" s="307" t="str">
        <x:v>输出</x:v>
      </x:c>
      <x:c r="D18" s="307" t="str">
        <x:v>permille</x:v>
      </x:c>
      <x:c r="E18" s="307" t="str">
        <x:v>1500</x:v>
      </x:c>
      <x:c r="F18" s="307" t="str">
        <x:v>1000</x:v>
      </x:c>
      <x:c r="G18" s="307" t="str">
        <x:v>10000</x:v>
      </x:c>
      <x:c r="H18" s="307" t="str">
        <x:v>‰</x:v>
      </x:c>
      <x:c r="I18" s="307" t="str">
        <x:v>flat_percent_multiplier_override_clamp</x:v>
      </x:c>
      <x:c r="J18" s="307" t="str">
        <x:v>暴击发生时的伤害倍率</x:v>
      </x:c>
    </x:row>
    <x:row r="19" ht="15" hidden="0" customHeight="1">
      <x:c r="A19" s="307" t="str">
        <x:v>armor_pierce_flat</x:v>
      </x:c>
      <x:c r="B19" s="307" t="str">
        <x:v>固定穿防</x:v>
      </x:c>
      <x:c r="C19" s="307" t="str">
        <x:v>输出</x:v>
      </x:c>
      <x:c r="D19" s="307" t="str">
        <x:v>integer</x:v>
      </x:c>
      <x:c r="E19" s="307" t="str">
        <x:v>0</x:v>
      </x:c>
      <x:c r="F19" s="307" t="str">
        <x:v>0</x:v>
      </x:c>
      <x:c r="G19" s="307" t="str">
        <x:v>999999</x:v>
      </x:c>
      <x:c r="H19" s="307" t="str">
        <x:v>点</x:v>
      </x:c>
      <x:c r="I19" s="307" t="str">
        <x:v>flat_percent_multiplier_override_clamp</x:v>
      </x:c>
      <x:c r="J19" s="307" t="str">
        <x:v>伤害结算前忽略目标固定防御</x:v>
      </x:c>
    </x:row>
    <x:row r="20" ht="15" hidden="0" customHeight="1">
      <x:c r="A20" s="307" t="str">
        <x:v>armor_pierce_permille</x:v>
      </x:c>
      <x:c r="B20" s="307" t="str">
        <x:v>比例穿防</x:v>
      </x:c>
      <x:c r="C20" s="307" t="str">
        <x:v>输出</x:v>
      </x:c>
      <x:c r="D20" s="307" t="str">
        <x:v>permille</x:v>
      </x:c>
      <x:c r="E20" s="307" t="str">
        <x:v>0</x:v>
      </x:c>
      <x:c r="F20" s="307" t="str">
        <x:v>0</x:v>
      </x:c>
      <x:c r="G20" s="307" t="str">
        <x:v>1000</x:v>
      </x:c>
      <x:c r="H20" s="307" t="str">
        <x:v>‰</x:v>
      </x:c>
      <x:c r="I20" s="307" t="str">
        <x:v>flat_percent_multiplier_override_clamp</x:v>
      </x:c>
      <x:c r="J20" s="307" t="str">
        <x:v>伤害结算前按比例忽略目标防御</x:v>
      </x:c>
    </x:row>
    <x:row r="21" ht="15" hidden="0" customHeight="1">
      <x:c r="A21" s="307" t="str">
        <x:v>lifesteal_permille</x:v>
      </x:c>
      <x:c r="B21" s="307" t="str">
        <x:v>吸血</x:v>
      </x:c>
      <x:c r="C21" s="307" t="str">
        <x:v>输出</x:v>
      </x:c>
      <x:c r="D21" s="307" t="str">
        <x:v>permille</x:v>
      </x:c>
      <x:c r="E21" s="307" t="str">
        <x:v>0</x:v>
      </x:c>
      <x:c r="F21" s="307" t="str">
        <x:v>0</x:v>
      </x:c>
      <x:c r="G21" s="307" t="str">
        <x:v>1000</x:v>
      </x:c>
      <x:c r="H21" s="307" t="str">
        <x:v>‰</x:v>
      </x:c>
      <x:c r="I21" s="307" t="str">
        <x:v>flat_percent_multiplier_override_clamp</x:v>
      </x:c>
      <x:c r="J21" s="307" t="str">
        <x:v>按生命伤害恢复自身生命</x:v>
      </x:c>
    </x:row>
    <x:row r="22" ht="15" hidden="0" customHeight="1">
      <x:c r="A22" s="307" t="str">
        <x:v>damage_taken_permille</x:v>
      </x:c>
      <x:c r="B22" s="307" t="str">
        <x:v>承伤倍率</x:v>
      </x:c>
      <x:c r="C22" s="307" t="str">
        <x:v>防御</x:v>
      </x:c>
      <x:c r="D22" s="307" t="str">
        <x:v>permille</x:v>
      </x:c>
      <x:c r="E22" s="307" t="str">
        <x:v>1000</x:v>
      </x:c>
      <x:c r="F22" s="307" t="str">
        <x:v>0</x:v>
      </x:c>
      <x:c r="G22" s="307" t="str">
        <x:v>10000</x:v>
      </x:c>
      <x:c r="H22" s="307" t="str">
        <x:v>‰</x:v>
      </x:c>
      <x:c r="I22" s="307" t="str">
        <x:v>flat_percent_multiplier_override_clamp</x:v>
      </x:c>
      <x:c r="J22" s="307" t="str">
        <x:v>所有进入伤害的最终倍率</x:v>
      </x:c>
    </x:row>
    <x:row r="23" ht="15" hidden="0" customHeight="1">
      <x:c r="A23" s="307" t="str">
        <x:v>physical_taken_permille</x:v>
      </x:c>
      <x:c r="B23" s="307" t="str">
        <x:v>物理承伤</x:v>
      </x:c>
      <x:c r="C23" s="307" t="str">
        <x:v>防御</x:v>
      </x:c>
      <x:c r="D23" s="307" t="str">
        <x:v>permille</x:v>
      </x:c>
      <x:c r="E23" s="307" t="str">
        <x:v>1000</x:v>
      </x:c>
      <x:c r="F23" s="307" t="str">
        <x:v>0</x:v>
      </x:c>
      <x:c r="G23" s="307" t="str">
        <x:v>10000</x:v>
      </x:c>
      <x:c r="H23" s="307" t="str">
        <x:v>‰</x:v>
      </x:c>
      <x:c r="I23" s="307" t="str">
        <x:v>flat_percent_multiplier_override_clamp</x:v>
      </x:c>
      <x:c r="J23" s="307" t="str">
        <x:v>物理伤害的额外承伤倍率</x:v>
      </x:c>
    </x:row>
    <x:row r="24" ht="15" hidden="0" customHeight="1">
      <x:c r="A24" s="307" t="str">
        <x:v>element_taken_permille</x:v>
      </x:c>
      <x:c r="B24" s="307" t="str">
        <x:v>元素承伤</x:v>
      </x:c>
      <x:c r="C24" s="307" t="str">
        <x:v>防御</x:v>
      </x:c>
      <x:c r="D24" s="307" t="str">
        <x:v>permille</x:v>
      </x:c>
      <x:c r="E24" s="307" t="str">
        <x:v>1000</x:v>
      </x:c>
      <x:c r="F24" s="307" t="str">
        <x:v>0</x:v>
      </x:c>
      <x:c r="G24" s="307" t="str">
        <x:v>10000</x:v>
      </x:c>
      <x:c r="H24" s="307" t="str">
        <x:v>‰</x:v>
      </x:c>
      <x:c r="I24" s="307" t="str">
        <x:v>flat_percent_multiplier_override_clamp</x:v>
      </x:c>
      <x:c r="J24" s="307" t="str">
        <x:v>元素伤害的额外承伤倍率</x:v>
      </x:c>
    </x:row>
    <x:row r="25" ht="15" hidden="0" customHeight="1">
      <x:c r="A25" s="307" t="str">
        <x:v>block_rate_permille</x:v>
      </x:c>
      <x:c r="B25" s="307" t="str">
        <x:v>格挡率</x:v>
      </x:c>
      <x:c r="C25" s="307" t="str">
        <x:v>防御</x:v>
      </x:c>
      <x:c r="D25" s="307" t="str">
        <x:v>permille</x:v>
      </x:c>
      <x:c r="E25" s="307" t="str">
        <x:v>0</x:v>
      </x:c>
      <x:c r="F25" s="307" t="str">
        <x:v>0</x:v>
      </x:c>
      <x:c r="G25" s="307" t="str">
        <x:v>1000</x:v>
      </x:c>
      <x:c r="H25" s="307" t="str">
        <x:v>‰</x:v>
      </x:c>
      <x:c r="I25" s="307" t="str">
        <x:v>flat_percent_multiplier_override_clamp</x:v>
      </x:c>
      <x:c r="J25" s="307" t="str">
        <x:v>确定性格挡判定阈值</x:v>
      </x:c>
    </x:row>
    <x:row r="26" ht="15" hidden="0" customHeight="1">
      <x:c r="A26" s="307" t="str">
        <x:v>block_value</x:v>
      </x:c>
      <x:c r="B26" s="307" t="str">
        <x:v>格挡值</x:v>
      </x:c>
      <x:c r="C26" s="307" t="str">
        <x:v>防御</x:v>
      </x:c>
      <x:c r="D26" s="307" t="str">
        <x:v>integer</x:v>
      </x:c>
      <x:c r="E26" s="307" t="str">
        <x:v>0</x:v>
      </x:c>
      <x:c r="F26" s="307" t="str">
        <x:v>0</x:v>
      </x:c>
      <x:c r="G26" s="307" t="str">
        <x:v>999999</x:v>
      </x:c>
      <x:c r="H26" s="307" t="str">
        <x:v>点</x:v>
      </x:c>
      <x:c r="I26" s="307" t="str">
        <x:v>flat_percent_multiplier_override_clamp</x:v>
      </x:c>
      <x:c r="J26" s="307" t="str">
        <x:v>格挡时抵消的固定伤害</x:v>
      </x:c>
    </x:row>
    <x:row r="27" ht="15" hidden="0" customHeight="1">
      <x:c r="A27" s="307" t="str">
        <x:v>dodge_rate_permille</x:v>
      </x:c>
      <x:c r="B27" s="307" t="str">
        <x:v>闪避率</x:v>
      </x:c>
      <x:c r="C27" s="307" t="str">
        <x:v>防御</x:v>
      </x:c>
      <x:c r="D27" s="307" t="str">
        <x:v>permille</x:v>
      </x:c>
      <x:c r="E27" s="307" t="str">
        <x:v>0</x:v>
      </x:c>
      <x:c r="F27" s="307" t="str">
        <x:v>0</x:v>
      </x:c>
      <x:c r="G27" s="307" t="str">
        <x:v>1000</x:v>
      </x:c>
      <x:c r="H27" s="307" t="str">
        <x:v>‰</x:v>
      </x:c>
      <x:c r="I27" s="307" t="str">
        <x:v>flat_percent_multiplier_override_clamp</x:v>
      </x:c>
      <x:c r="J27" s="307" t="str">
        <x:v>确定性闪避判定阈值</x:v>
      </x:c>
    </x:row>
    <x:row r="28" ht="15" hidden="0" customHeight="1">
      <x:c r="A28" s="307" t="str">
        <x:v>shield_gain_permille</x:v>
      </x:c>
      <x:c r="B28" s="307" t="str">
        <x:v>护盾获得</x:v>
      </x:c>
      <x:c r="C28" s="307" t="str">
        <x:v>防御</x:v>
      </x:c>
      <x:c r="D28" s="307" t="str">
        <x:v>permille</x:v>
      </x:c>
      <x:c r="E28" s="307" t="str">
        <x:v>1000</x:v>
      </x:c>
      <x:c r="F28" s="307" t="str">
        <x:v>0</x:v>
      </x:c>
      <x:c r="G28" s="307" t="str">
        <x:v>10000</x:v>
      </x:c>
      <x:c r="H28" s="307" t="str">
        <x:v>‰</x:v>
      </x:c>
      <x:c r="I28" s="307" t="str">
        <x:v>flat_percent_multiplier_override_clamp</x:v>
      </x:c>
      <x:c r="J28" s="307" t="str">
        <x:v>所有获得护盾效果的倍率</x:v>
      </x:c>
    </x:row>
    <x:row r="29" ht="15" hidden="0" customHeight="1">
      <x:c r="A29" s="307" t="str">
        <x:v>healing_taken_permille</x:v>
      </x:c>
      <x:c r="B29" s="307" t="str">
        <x:v>受疗倍率</x:v>
      </x:c>
      <x:c r="C29" s="307" t="str">
        <x:v>防御</x:v>
      </x:c>
      <x:c r="D29" s="307" t="str">
        <x:v>permille</x:v>
      </x:c>
      <x:c r="E29" s="307" t="str">
        <x:v>1000</x:v>
      </x:c>
      <x:c r="F29" s="307" t="str">
        <x:v>0</x:v>
      </x:c>
      <x:c r="G29" s="307" t="str">
        <x:v>10000</x:v>
      </x:c>
      <x:c r="H29" s="307" t="str">
        <x:v>‰</x:v>
      </x:c>
      <x:c r="I29" s="307" t="str">
        <x:v>flat_percent_multiplier_override_clamp</x:v>
      </x:c>
      <x:c r="J29" s="307" t="str">
        <x:v>所有受到治疗效果的倍率</x:v>
      </x:c>
    </x:row>
    <x:row r="30" ht="15" hidden="0" customHeight="1">
      <x:c r="A30" s="307" t="str">
        <x:v>status_resist_permille</x:v>
      </x:c>
      <x:c r="B30" s="307" t="str">
        <x:v>状态抗性</x:v>
      </x:c>
      <x:c r="C30" s="307" t="str">
        <x:v>防御</x:v>
      </x:c>
      <x:c r="D30" s="307" t="str">
        <x:v>permille</x:v>
      </x:c>
      <x:c r="E30" s="307" t="str">
        <x:v>0</x:v>
      </x:c>
      <x:c r="F30" s="307" t="str">
        <x:v>0</x:v>
      </x:c>
      <x:c r="G30" s="307" t="str">
        <x:v>1000</x:v>
      </x:c>
      <x:c r="H30" s="307" t="str">
        <x:v>‰</x:v>
      </x:c>
      <x:c r="I30" s="307" t="str">
        <x:v>flat_percent_multiplier_override_clamp</x:v>
      </x:c>
      <x:c r="J30" s="307" t="str">
        <x:v>负面状态命中抵抗阈值</x:v>
      </x:c>
    </x:row>
    <x:row r="31" ht="15" hidden="0" customHeight="1">
      <x:c r="A31" s="307" t="str">
        <x:v>control_resist_permille</x:v>
      </x:c>
      <x:c r="B31" s="307" t="str">
        <x:v>控制抗性</x:v>
      </x:c>
      <x:c r="C31" s="307" t="str">
        <x:v>防御</x:v>
      </x:c>
      <x:c r="D31" s="307" t="str">
        <x:v>permille</x:v>
      </x:c>
      <x:c r="E31" s="307" t="str">
        <x:v>0</x:v>
      </x:c>
      <x:c r="F31" s="307" t="str">
        <x:v>0</x:v>
      </x:c>
      <x:c r="G31" s="307" t="str">
        <x:v>1000</x:v>
      </x:c>
      <x:c r="H31" s="307" t="str">
        <x:v>‰</x:v>
      </x:c>
      <x:c r="I31" s="307" t="str">
        <x:v>flat_percent_multiplier_override_clamp</x:v>
      </x:c>
      <x:c r="J31" s="307" t="str">
        <x:v>控制类状态命中抵抗阈值</x:v>
      </x:c>
    </x:row>
    <x:row r="32" ht="15" hidden="0" customHeight="1">
      <x:c r="A32" s="307" t="str">
        <x:v>neutral_resist_permille</x:v>
      </x:c>
      <x:c r="B32" s="307" t="str">
        <x:v>无系抗性</x:v>
      </x:c>
      <x:c r="C32" s="307" t="str">
        <x:v>元素抗性</x:v>
      </x:c>
      <x:c r="D32" s="307" t="str">
        <x:v>permille</x:v>
      </x:c>
      <x:c r="E32" s="307" t="str">
        <x:v>0</x:v>
      </x:c>
      <x:c r="F32" s="307" t="str">
        <x:v>-1000</x:v>
      </x:c>
      <x:c r="G32" s="307" t="str">
        <x:v>1000</x:v>
      </x:c>
      <x:c r="H32" s="307" t="str">
        <x:v>‰</x:v>
      </x:c>
      <x:c r="I32" s="307" t="str">
        <x:v>flat_percent_multiplier_override_clamp</x:v>
      </x:c>
      <x:c r="J32" s="307" t="str">
        <x:v>对无属性效果的抗性</x:v>
      </x:c>
    </x:row>
    <x:row r="33" ht="15" hidden="0" customHeight="1">
      <x:c r="A33" s="307" t="str">
        <x:v>fire_resist_permille</x:v>
      </x:c>
      <x:c r="B33" s="307" t="str">
        <x:v>火系抗性</x:v>
      </x:c>
      <x:c r="C33" s="307" t="str">
        <x:v>元素抗性</x:v>
      </x:c>
      <x:c r="D33" s="307" t="str">
        <x:v>permille</x:v>
      </x:c>
      <x:c r="E33" s="307" t="str">
        <x:v>0</x:v>
      </x:c>
      <x:c r="F33" s="307" t="str">
        <x:v>-1000</x:v>
      </x:c>
      <x:c r="G33" s="307" t="str">
        <x:v>1000</x:v>
      </x:c>
      <x:c r="H33" s="307" t="str">
        <x:v>‰</x:v>
      </x:c>
      <x:c r="I33" s="307" t="str">
        <x:v>flat_percent_multiplier_override_clamp</x:v>
      </x:c>
      <x:c r="J33" s="307" t="str">
        <x:v>对火属性效果的抗性</x:v>
      </x:c>
    </x:row>
    <x:row r="34" ht="15" hidden="0" customHeight="1">
      <x:c r="A34" s="307" t="str">
        <x:v>water_resist_permille</x:v>
      </x:c>
      <x:c r="B34" s="307" t="str">
        <x:v>水系抗性</x:v>
      </x:c>
      <x:c r="C34" s="307" t="str">
        <x:v>元素抗性</x:v>
      </x:c>
      <x:c r="D34" s="307" t="str">
        <x:v>permille</x:v>
      </x:c>
      <x:c r="E34" s="307" t="str">
        <x:v>0</x:v>
      </x:c>
      <x:c r="F34" s="307" t="str">
        <x:v>-1000</x:v>
      </x:c>
      <x:c r="G34" s="307" t="str">
        <x:v>1000</x:v>
      </x:c>
      <x:c r="H34" s="307" t="str">
        <x:v>‰</x:v>
      </x:c>
      <x:c r="I34" s="307" t="str">
        <x:v>flat_percent_multiplier_override_clamp</x:v>
      </x:c>
      <x:c r="J34" s="307" t="str">
        <x:v>对水属性效果的抗性</x:v>
      </x:c>
    </x:row>
    <x:row r="35" ht="15" hidden="0" customHeight="1">
      <x:c r="A35" s="307" t="str">
        <x:v>grass_resist_permille</x:v>
      </x:c>
      <x:c r="B35" s="307" t="str">
        <x:v>草系抗性</x:v>
      </x:c>
      <x:c r="C35" s="307" t="str">
        <x:v>元素抗性</x:v>
      </x:c>
      <x:c r="D35" s="307" t="str">
        <x:v>permille</x:v>
      </x:c>
      <x:c r="E35" s="307" t="str">
        <x:v>0</x:v>
      </x:c>
      <x:c r="F35" s="307" t="str">
        <x:v>-1000</x:v>
      </x:c>
      <x:c r="G35" s="307" t="str">
        <x:v>1000</x:v>
      </x:c>
      <x:c r="H35" s="307" t="str">
        <x:v>‰</x:v>
      </x:c>
      <x:c r="I35" s="307" t="str">
        <x:v>flat_percent_multiplier_override_clamp</x:v>
      </x:c>
      <x:c r="J35" s="307" t="str">
        <x:v>对草属性效果的抗性</x:v>
      </x:c>
    </x:row>
    <x:row r="36" ht="15" hidden="0" customHeight="1">
      <x:c r="A36" s="307" t="str">
        <x:v>electric_resist_permille</x:v>
      </x:c>
      <x:c r="B36" s="307" t="str">
        <x:v>雷系抗性</x:v>
      </x:c>
      <x:c r="C36" s="307" t="str">
        <x:v>元素抗性</x:v>
      </x:c>
      <x:c r="D36" s="307" t="str">
        <x:v>permille</x:v>
      </x:c>
      <x:c r="E36" s="307" t="str">
        <x:v>0</x:v>
      </x:c>
      <x:c r="F36" s="307" t="str">
        <x:v>-1000</x:v>
      </x:c>
      <x:c r="G36" s="307" t="str">
        <x:v>1000</x:v>
      </x:c>
      <x:c r="H36" s="307" t="str">
        <x:v>‰</x:v>
      </x:c>
      <x:c r="I36" s="307" t="str">
        <x:v>flat_percent_multiplier_override_clamp</x:v>
      </x:c>
      <x:c r="J36" s="307" t="str">
        <x:v>对雷属性效果的抗性</x:v>
      </x:c>
    </x:row>
    <x:row r="37" ht="15" hidden="0" customHeight="1">
      <x:c r="A37" s="307" t="str">
        <x:v>ice_resist_permille</x:v>
      </x:c>
      <x:c r="B37" s="307" t="str">
        <x:v>冰系抗性</x:v>
      </x:c>
      <x:c r="C37" s="307" t="str">
        <x:v>元素抗性</x:v>
      </x:c>
      <x:c r="D37" s="307" t="str">
        <x:v>permille</x:v>
      </x:c>
      <x:c r="E37" s="307" t="str">
        <x:v>0</x:v>
      </x:c>
      <x:c r="F37" s="307" t="str">
        <x:v>-1000</x:v>
      </x:c>
      <x:c r="G37" s="307" t="str">
        <x:v>1000</x:v>
      </x:c>
      <x:c r="H37" s="307" t="str">
        <x:v>‰</x:v>
      </x:c>
      <x:c r="I37" s="307" t="str">
        <x:v>flat_percent_multiplier_override_clamp</x:v>
      </x:c>
      <x:c r="J37" s="307" t="str">
        <x:v>对冰属性效果的抗性</x:v>
      </x:c>
    </x:row>
    <x:row r="38" ht="15" hidden="0" customHeight="1">
      <x:c r="A38" s="307" t="str">
        <x:v>ground_resist_permille</x:v>
      </x:c>
      <x:c r="B38" s="307" t="str">
        <x:v>地系抗性</x:v>
      </x:c>
      <x:c r="C38" s="307" t="str">
        <x:v>元素抗性</x:v>
      </x:c>
      <x:c r="D38" s="307" t="str">
        <x:v>permille</x:v>
      </x:c>
      <x:c r="E38" s="307" t="str">
        <x:v>0</x:v>
      </x:c>
      <x:c r="F38" s="307" t="str">
        <x:v>-1000</x:v>
      </x:c>
      <x:c r="G38" s="307" t="str">
        <x:v>1000</x:v>
      </x:c>
      <x:c r="H38" s="307" t="str">
        <x:v>‰</x:v>
      </x:c>
      <x:c r="I38" s="307" t="str">
        <x:v>flat_percent_multiplier_override_clamp</x:v>
      </x:c>
      <x:c r="J38" s="307" t="str">
        <x:v>对地属性效果的抗性</x:v>
      </x:c>
    </x:row>
    <x:row r="39" ht="15" hidden="0" customHeight="1">
      <x:c r="A39" s="307" t="str">
        <x:v>dark_resist_permille</x:v>
      </x:c>
      <x:c r="B39" s="307" t="str">
        <x:v>暗系抗性</x:v>
      </x:c>
      <x:c r="C39" s="307" t="str">
        <x:v>元素抗性</x:v>
      </x:c>
      <x:c r="D39" s="307" t="str">
        <x:v>permille</x:v>
      </x:c>
      <x:c r="E39" s="307" t="str">
        <x:v>0</x:v>
      </x:c>
      <x:c r="F39" s="307" t="str">
        <x:v>-1000</x:v>
      </x:c>
      <x:c r="G39" s="307" t="str">
        <x:v>1000</x:v>
      </x:c>
      <x:c r="H39" s="307" t="str">
        <x:v>‰</x:v>
      </x:c>
      <x:c r="I39" s="307" t="str">
        <x:v>flat_percent_multiplier_override_clamp</x:v>
      </x:c>
      <x:c r="J39" s="307" t="str">
        <x:v>对暗属性效果的抗性</x:v>
      </x:c>
    </x:row>
    <x:row r="40" ht="15" hidden="0" customHeight="1">
      <x:c r="A40" s="307" t="str">
        <x:v>dragon_resist_permille</x:v>
      </x:c>
      <x:c r="B40" s="307" t="str">
        <x:v>龙系抗性</x:v>
      </x:c>
      <x:c r="C40" s="307" t="str">
        <x:v>元素抗性</x:v>
      </x:c>
      <x:c r="D40" s="307" t="str">
        <x:v>permille</x:v>
      </x:c>
      <x:c r="E40" s="307" t="str">
        <x:v>0</x:v>
      </x:c>
      <x:c r="F40" s="307" t="str">
        <x:v>-1000</x:v>
      </x:c>
      <x:c r="G40" s="307" t="str">
        <x:v>1000</x:v>
      </x:c>
      <x:c r="H40" s="307" t="str">
        <x:v>‰</x:v>
      </x:c>
      <x:c r="I40" s="307" t="str">
        <x:v>flat_percent_multiplier_override_clamp</x:v>
      </x:c>
      <x:c r="J40" s="307" t="str">
        <x:v>对龙属性效果的抗性</x:v>
      </x:c>
    </x:row>
    <x:row r="41" ht="15" hidden="0" customHeight="1">
      <x:c r="A41" s="307" t="str">
        <x:v>healing_power_permille</x:v>
      </x:c>
      <x:c r="B41" s="307" t="str">
        <x:v>治疗强度</x:v>
      </x:c>
      <x:c r="C41" s="307" t="str">
        <x:v>辅助</x:v>
      </x:c>
      <x:c r="D41" s="307" t="str">
        <x:v>permille</x:v>
      </x:c>
      <x:c r="E41" s="307" t="str">
        <x:v>1000</x:v>
      </x:c>
      <x:c r="F41" s="307" t="str">
        <x:v>0</x:v>
      </x:c>
      <x:c r="G41" s="307" t="str">
        <x:v>10000</x:v>
      </x:c>
      <x:c r="H41" s="307" t="str">
        <x:v>‰</x:v>
      </x:c>
      <x:c r="I41" s="307" t="str">
        <x:v>flat_percent_multiplier_override_clamp</x:v>
      </x:c>
      <x:c r="J41" s="307" t="str">
        <x:v>主动治疗效果的倍率</x:v>
      </x:c>
    </x:row>
    <x:row r="42" ht="15" hidden="0" customHeight="1">
      <x:c r="A42" s="307" t="str">
        <x:v>status_hit_permille</x:v>
      </x:c>
      <x:c r="B42" s="307" t="str">
        <x:v>状态命中</x:v>
      </x:c>
      <x:c r="C42" s="307" t="str">
        <x:v>辅助</x:v>
      </x:c>
      <x:c r="D42" s="307" t="str">
        <x:v>permille</x:v>
      </x:c>
      <x:c r="E42" s="307" t="str">
        <x:v>1000</x:v>
      </x:c>
      <x:c r="F42" s="307" t="str">
        <x:v>0</x:v>
      </x:c>
      <x:c r="G42" s="307" t="str">
        <x:v>10000</x:v>
      </x:c>
      <x:c r="H42" s="307" t="str">
        <x:v>‰</x:v>
      </x:c>
      <x:c r="I42" s="307" t="str">
        <x:v>flat_percent_multiplier_override_clamp</x:v>
      </x:c>
      <x:c r="J42" s="307" t="str">
        <x:v>施加状态时的命中倍率</x:v>
      </x:c>
    </x:row>
    <x:row r="43" ht="15" hidden="0" customHeight="1">
      <x:c r="A43" s="307" t="str">
        <x:v>status_duration_permille</x:v>
      </x:c>
      <x:c r="B43" s="307" t="str">
        <x:v>状态持续</x:v>
      </x:c>
      <x:c r="C43" s="307" t="str">
        <x:v>辅助</x:v>
      </x:c>
      <x:c r="D43" s="307" t="str">
        <x:v>permille</x:v>
      </x:c>
      <x:c r="E43" s="307" t="str">
        <x:v>1000</x:v>
      </x:c>
      <x:c r="F43" s="307" t="str">
        <x:v>0</x:v>
      </x:c>
      <x:c r="G43" s="307" t="str">
        <x:v>10000</x:v>
      </x:c>
      <x:c r="H43" s="307" t="str">
        <x:v>‰</x:v>
      </x:c>
      <x:c r="I43" s="307" t="str">
        <x:v>flat_percent_multiplier_override_clamp</x:v>
      </x:c>
      <x:c r="J43" s="307" t="str">
        <x:v>施加状态的持续回合倍率</x:v>
      </x:c>
    </x:row>
    <x:row r="44" ht="15" hidden="0" customHeight="1">
      <x:c r="A44" s="307" t="str">
        <x:v>cooldown_rate_permille</x:v>
      </x:c>
      <x:c r="B44" s="307" t="str">
        <x:v>冷却效率</x:v>
      </x:c>
      <x:c r="C44" s="307" t="str">
        <x:v>辅助</x:v>
      </x:c>
      <x:c r="D44" s="307" t="str">
        <x:v>permille</x:v>
      </x:c>
      <x:c r="E44" s="307" t="str">
        <x:v>1000</x:v>
      </x:c>
      <x:c r="F44" s="307" t="str">
        <x:v>1</x:v>
      </x:c>
      <x:c r="G44" s="307" t="str">
        <x:v>10000</x:v>
      </x:c>
      <x:c r="H44" s="307" t="str">
        <x:v>‰</x:v>
      </x:c>
      <x:c r="I44" s="307" t="str">
        <x:v>flat_percent_multiplier_override_clamp</x:v>
      </x:c>
      <x:c r="J44" s="307" t="str">
        <x:v>技能冷却推进倍率</x:v>
      </x:c>
    </x:row>
    <x:row r="45" ht="15" hidden="0" customHeight="1">
      <x:c r="A45" s="307" t="str">
        <x:v>element_layer_bonus</x:v>
      </x:c>
      <x:c r="B45" s="307" t="str">
        <x:v>元素铺层加值</x:v>
      </x:c>
      <x:c r="C45" s="307" t="str">
        <x:v>辅助</x:v>
      </x:c>
      <x:c r="D45" s="307" t="str">
        <x:v>integer</x:v>
      </x:c>
      <x:c r="E45" s="307" t="str">
        <x:v>0</x:v>
      </x:c>
      <x:c r="F45" s="307" t="str">
        <x:v>-99</x:v>
      </x:c>
      <x:c r="G45" s="307" t="str">
        <x:v>99</x:v>
      </x:c>
      <x:c r="H45" s="307" t="str">
        <x:v>层</x:v>
      </x:c>
      <x:c r="I45" s="307" t="str">
        <x:v>flat_override_clamp</x:v>
      </x:c>
      <x:c r="J45" s="307" t="str">
        <x:v>每次元素效果额外增加的层数</x:v>
      </x:c>
    </x:row>
    <x:row r="46" ht="15" hidden="0" customHeight="1">
      <x:c r="A46" s="307" t="str">
        <x:v>summon_power_permille</x:v>
      </x:c>
      <x:c r="B46" s="307" t="str">
        <x:v>召唤强度</x:v>
      </x:c>
      <x:c r="C46" s="307" t="str">
        <x:v>辅助</x:v>
      </x:c>
      <x:c r="D46" s="307" t="str">
        <x:v>permille</x:v>
      </x:c>
      <x:c r="E46" s="307" t="str">
        <x:v>1000</x:v>
      </x:c>
      <x:c r="F46" s="307" t="str">
        <x:v>0</x:v>
      </x:c>
      <x:c r="G46" s="307" t="str">
        <x:v>10000</x:v>
      </x:c>
      <x:c r="H46" s="307" t="str">
        <x:v>‰</x:v>
      </x:c>
      <x:c r="I46" s="307" t="str">
        <x:v>flat_percent_multiplier_override_clamp</x:v>
      </x:c>
      <x:c r="J46" s="307" t="str">
        <x:v>召唤物生命攻击与护盾倍率</x:v>
      </x:c>
    </x:row>
    <x:row r="47" ht="15" hidden="0" customHeight="1">
      <x:c r="A47" s="307" t="str">
        <x:v>threat</x:v>
      </x:c>
      <x:c r="B47" s="307" t="str">
        <x:v>仇恨</x:v>
      </x:c>
      <x:c r="C47" s="307" t="str">
        <x:v>辅助</x:v>
      </x:c>
      <x:c r="D47" s="307" t="str">
        <x:v>integer</x:v>
      </x:c>
      <x:c r="E47" s="307" t="str">
        <x:v>0</x:v>
      </x:c>
      <x:c r="F47" s="307" t="str">
        <x:v>-999999</x:v>
      </x:c>
      <x:c r="G47" s="307" t="str">
        <x:v>999999</x:v>
      </x:c>
      <x:c r="H47" s="307" t="str">
        <x:v>点</x:v>
      </x:c>
      <x:c r="I47" s="307" t="str">
        <x:v>flat_percent_multiplier_override_clamp</x:v>
      </x:c>
      <x:c r="J47" s="307" t="str">
        <x:v>目标选择时的威胁修正</x:v>
      </x:c>
    </x:row>
    <x:row r="48" ht="15" hidden="0" customHeight="1">
      <x:c r="A48" s="307" t="str">
        <x:v>action_cost_delta</x:v>
      </x:c>
      <x:c r="B48" s="307" t="str">
        <x:v>行动消耗修正</x:v>
      </x:c>
      <x:c r="C48" s="307" t="str">
        <x:v>辅助</x:v>
      </x:c>
      <x:c r="D48" s="307" t="str">
        <x:v>integer</x:v>
      </x:c>
      <x:c r="E48" s="307" t="str">
        <x:v>0</x:v>
      </x:c>
      <x:c r="F48" s="307" t="str">
        <x:v>-99</x:v>
      </x:c>
      <x:c r="G48" s="307" t="str">
        <x:v>99</x:v>
      </x:c>
      <x:c r="H48" s="307" t="str">
        <x:v>点</x:v>
      </x:c>
      <x:c r="I48" s="307" t="str">
        <x:v>flat_override_clamp</x:v>
      </x:c>
      <x:c r="J48" s="307" t="str">
        <x:v>技能行动点消耗的固定修正</x:v>
      </x:c>
    </x:row>
    <x:row r="49" ht="15" hidden="0" customHeight="1">
      <x:c r="A49" s="307" t="str">
        <x:v>movement_cost_delta</x:v>
      </x:c>
      <x:c r="B49" s="307" t="str">
        <x:v>移动消耗修正</x:v>
      </x:c>
      <x:c r="C49" s="307" t="str">
        <x:v>辅助</x:v>
      </x:c>
      <x:c r="D49" s="307" t="str">
        <x:v>integer</x:v>
      </x:c>
      <x:c r="E49" s="307" t="str">
        <x:v>0</x:v>
      </x:c>
      <x:c r="F49" s="307" t="str">
        <x:v>-99</x:v>
      </x:c>
      <x:c r="G49" s="307" t="str">
        <x:v>99</x:v>
      </x:c>
      <x:c r="H49" s="307" t="str">
        <x:v>点</x:v>
      </x:c>
      <x:c r="I49" s="307" t="str">
        <x:v>flat_override_clamp</x:v>
      </x:c>
      <x:c r="J49" s="307" t="str">
        <x:v>移动行动点消耗的固定修正</x:v>
      </x:c>
    </x:row>
    <x:row r="50" ht="15" hidden="0" customHeight="1">
      <x:c r="A50" s="308"/>
      <x:c r="B50" s="308"/>
      <x:c r="C50" s="308"/>
      <x:c r="D50" s="308"/>
      <x:c r="E50" s="308"/>
      <x:c r="F50" s="308"/>
      <x:c r="G50" s="308"/>
      <x:c r="H50" s="308"/>
      <x:c r="I50" s="308"/>
      <x:c r="J50" s="308"/>
    </x:row>
    <x:row r="51" ht="52.79999923706055" hidden="0" customHeight="1">
      <x:c r="A51" s="319" t="str">
        <x:v>#csv</x:v>
      </x:c>
      <x:c r="B51" s="319" t="str">
        <x:v>40_status_catalog.csv</x:v>
      </x:c>
      <x:c r="C51" s="319" t="str">
        <x:v>运行状态 Type Object；叠层、持续回合和通用 modifier effects。</x:v>
      </x:c>
      <x:c r="D51" s="319"/>
      <x:c r="E51" s="319"/>
      <x:c r="F51" s="319"/>
      <x:c r="G51" s="319"/>
      <x:c r="H51" s="319"/>
      <x:c r="I51" s="319"/>
      <x:c r="J51" s="319"/>
    </x:row>
    <x:row r="52" ht="15" hidden="0" customHeight="1">
      <x:c r="A52" s="318" t="str">
        <x:v>status_id</x:v>
      </x:c>
      <x:c r="B52" s="318" t="str">
        <x:v>name</x:v>
      </x:c>
      <x:c r="C52" s="318" t="str">
        <x:v>polarity</x:v>
      </x:c>
      <x:c r="D52" s="318" t="str">
        <x:v>max_stacks</x:v>
      </x:c>
      <x:c r="E52" s="318" t="str">
        <x:v>duration_policy</x:v>
      </x:c>
      <x:c r="F52" s="318" t="str">
        <x:v>default_duration</x:v>
      </x:c>
      <x:c r="G52" s="318" t="str">
        <x:v>effects_json</x:v>
      </x:c>
      <x:c r="H52" s="318" t="str">
        <x:v>description</x:v>
      </x:c>
      <x:c r="I52" s="308"/>
      <x:c r="J52" s="308"/>
    </x:row>
    <x:row r="53" ht="92.4000015258789" hidden="0" customHeight="1">
      <x:c r="A53" s="307" t="str">
        <x:v>status_fury</x:v>
      </x:c>
      <x:c r="B53" s="307" t="str">
        <x:v>激昂</x:v>
      </x:c>
      <x:c r="C53" s="307" t="str">
        <x:v>positive</x:v>
      </x:c>
      <x:c r="D53" s="307" t="str">
        <x:v>3</x:v>
      </x:c>
      <x:c r="E53" s="307" t="str">
        <x:v>refresh</x:v>
      </x:c>
      <x:c r="F53" s="307" t="str">
        <x:v>2</x:v>
      </x:c>
      <x:c r="G53" s="307" t="str">
        <x:v>[{"hook":"always","type":"modify_stat","stat":"atk","operation":"flat_add_per_stack","value":2,"phase":"status","priority":100}]</x:v>
      </x:c>
      <x:c r="H53" s="307" t="str">
        <x:v>每层攻击+2</x:v>
      </x:c>
      <x:c r="I53" s="308"/>
      <x:c r="J53" s="308"/>
    </x:row>
    <x:row r="54" ht="92.4000015258789" hidden="0" customHeight="1">
      <x:c r="A54" s="307" t="str">
        <x:v>status_fortified</x:v>
      </x:c>
      <x:c r="B54" s="307" t="str">
        <x:v>坚固</x:v>
      </x:c>
      <x:c r="C54" s="307" t="str">
        <x:v>positive</x:v>
      </x:c>
      <x:c r="D54" s="307" t="str">
        <x:v>3</x:v>
      </x:c>
      <x:c r="E54" s="307" t="str">
        <x:v>refresh</x:v>
      </x:c>
      <x:c r="F54" s="307" t="str">
        <x:v>2</x:v>
      </x:c>
      <x:c r="G54" s="307" t="str">
        <x:v>[{"hook":"always","type":"modify_stat","stat":"def","operation":"flat_add_per_stack","value":2,"phase":"status","priority":100}]</x:v>
      </x:c>
      <x:c r="H54" s="307" t="str">
        <x:v>每层防御+2</x:v>
      </x:c>
      <x:c r="I54" s="308"/>
      <x:c r="J54" s="308"/>
    </x:row>
    <x:row r="55" ht="92.4000015258789" hidden="0" customHeight="1">
      <x:c r="A55" s="307" t="str">
        <x:v>status_haste</x:v>
      </x:c>
      <x:c r="B55" s="307" t="str">
        <x:v>迅捷</x:v>
      </x:c>
      <x:c r="C55" s="307" t="str">
        <x:v>positive</x:v>
      </x:c>
      <x:c r="D55" s="307" t="str">
        <x:v>3</x:v>
      </x:c>
      <x:c r="E55" s="307" t="str">
        <x:v>refresh</x:v>
      </x:c>
      <x:c r="F55" s="307" t="str">
        <x:v>2</x:v>
      </x:c>
      <x:c r="G55" s="307" t="str">
        <x:v>[{"hook":"always","type":"modify_stat","stat":"speed","operation":"flat_add_per_stack","value":100,"phase":"status","priority":100}]</x:v>
      </x:c>
      <x:c r="H55" s="307" t="str">
        <x:v>每层速度+100</x:v>
      </x:c>
      <x:c r="I55" s="308"/>
      <x:c r="J55" s="308"/>
    </x:row>
    <x:row r="56" ht="105.5999984741211" hidden="0" customHeight="1">
      <x:c r="A56" s="307" t="str">
        <x:v>status_focus</x:v>
      </x:c>
      <x:c r="B56" s="307" t="str">
        <x:v>专注</x:v>
      </x:c>
      <x:c r="C56" s="307" t="str">
        <x:v>positive</x:v>
      </x:c>
      <x:c r="D56" s="307" t="str">
        <x:v>3</x:v>
      </x:c>
      <x:c r="E56" s="307" t="str">
        <x:v>refresh</x:v>
      </x:c>
      <x:c r="F56" s="307" t="str">
        <x:v>2</x:v>
      </x:c>
      <x:c r="G56" s="307" t="str">
        <x:v>[{"hook":"always","type":"modify_stat","stat":"crit_rate_permille","operation":"flat_add_per_stack","value":100,"phase":"status","priority":100}]</x:v>
      </x:c>
      <x:c r="H56" s="307" t="str">
        <x:v>每层暴击率+10%</x:v>
      </x:c>
      <x:c r="I56" s="308"/>
      <x:c r="J56" s="308"/>
    </x:row>
    <x:row r="57" ht="105.5999984741211" hidden="0" customHeight="1">
      <x:c r="A57" s="307" t="str">
        <x:v>status_weakened</x:v>
      </x:c>
      <x:c r="B57" s="307" t="str">
        <x:v>虚弱</x:v>
      </x:c>
      <x:c r="C57" s="307" t="str">
        <x:v>negative</x:v>
      </x:c>
      <x:c r="D57" s="307" t="str">
        <x:v>3</x:v>
      </x:c>
      <x:c r="E57" s="307" t="str">
        <x:v>refresh</x:v>
      </x:c>
      <x:c r="F57" s="307" t="str">
        <x:v>2</x:v>
      </x:c>
      <x:c r="G57" s="307" t="str">
        <x:v>[{"hook":"always","type":"modify_stat","stat":"physical_power_permille","operation":"flat_add_per_stack","value":-100,"phase":"status","priority":100}]</x:v>
      </x:c>
      <x:c r="H57" s="307" t="str">
        <x:v>每层物理威力-10%</x:v>
      </x:c>
      <x:c r="I57" s="308"/>
      <x:c r="J57" s="308"/>
    </x:row>
    <x:row r="58" ht="105.5999984741211" hidden="0" customHeight="1">
      <x:c r="A58" s="307" t="str">
        <x:v>status_vulnerable</x:v>
      </x:c>
      <x:c r="B58" s="307" t="str">
        <x:v>易伤</x:v>
      </x:c>
      <x:c r="C58" s="307" t="str">
        <x:v>negative</x:v>
      </x:c>
      <x:c r="D58" s="307" t="str">
        <x:v>3</x:v>
      </x:c>
      <x:c r="E58" s="307" t="str">
        <x:v>refresh</x:v>
      </x:c>
      <x:c r="F58" s="307" t="str">
        <x:v>2</x:v>
      </x:c>
      <x:c r="G58" s="307" t="str">
        <x:v>[{"hook":"always","type":"modify_stat","stat":"damage_taken_permille","operation":"flat_add_per_stack","value":150,"phase":"status","priority":100}]</x:v>
      </x:c>
      <x:c r="H58" s="307" t="str">
        <x:v>每层承伤+15%</x:v>
      </x:c>
      <x:c r="I58" s="308"/>
      <x:c r="J58" s="308"/>
    </x:row>
    <x:row r="59" ht="92.4000015258789" hidden="0" customHeight="1">
      <x:c r="A59" s="307" t="str">
        <x:v>status_slow</x:v>
      </x:c>
      <x:c r="B59" s="307" t="str">
        <x:v>迟缓</x:v>
      </x:c>
      <x:c r="C59" s="307" t="str">
        <x:v>negative</x:v>
      </x:c>
      <x:c r="D59" s="307" t="str">
        <x:v>3</x:v>
      </x:c>
      <x:c r="E59" s="307" t="str">
        <x:v>refresh</x:v>
      </x:c>
      <x:c r="F59" s="307" t="str">
        <x:v>2</x:v>
      </x:c>
      <x:c r="G59" s="307" t="str">
        <x:v>[{"hook":"always","type":"modify_stat","stat":"speed","operation":"flat_add_per_stack","value":-100,"phase":"status","priority":100}]</x:v>
      </x:c>
      <x:c r="H59" s="307" t="str">
        <x:v>每层速度-100</x:v>
      </x:c>
      <x:c r="I59" s="308"/>
      <x:c r="J59" s="308"/>
    </x:row>
    <x:row r="60" ht="105.5999984741211" hidden="0" customHeight="1">
      <x:c r="A60" s="307" t="str">
        <x:v>status_barrier</x:v>
      </x:c>
      <x:c r="B60" s="307" t="str">
        <x:v>屏障强化</x:v>
      </x:c>
      <x:c r="C60" s="307" t="str">
        <x:v>positive</x:v>
      </x:c>
      <x:c r="D60" s="307" t="str">
        <x:v>3</x:v>
      </x:c>
      <x:c r="E60" s="307" t="str">
        <x:v>refresh</x:v>
      </x:c>
      <x:c r="F60" s="307" t="str">
        <x:v>2</x:v>
      </x:c>
      <x:c r="G60" s="307" t="str">
        <x:v>[{"hook":"always","type":"modify_stat","stat":"shield_gain_permille","operation":"flat_add_per_stack","value":200,"phase":"status","priority":100}]</x:v>
      </x:c>
      <x:c r="H60" s="307" t="str">
        <x:v>每层护盾获得+20%</x:v>
      </x:c>
      <x:c r="I60" s="308"/>
      <x:c r="J60" s="308"/>
    </x:row>
    <x:row r="61" ht="15" hidden="0" customHeight="1">
      <x:c r="A61" s="308"/>
      <x:c r="B61" s="308"/>
      <x:c r="C61" s="308"/>
      <x:c r="D61" s="308"/>
      <x:c r="E61" s="308"/>
      <x:c r="F61" s="308"/>
      <x:c r="G61" s="308"/>
      <x:c r="H61" s="308"/>
      <x:c r="I61" s="308"/>
      <x:c r="J61" s="308"/>
    </x:row>
    <x:row r="62" ht="15" hidden="0" customHeight="1">
      <x:c r="A62" s="308"/>
      <x:c r="B62" s="308"/>
      <x:c r="C62" s="308"/>
      <x:c r="D62" s="308"/>
      <x:c r="E62" s="308"/>
      <x:c r="F62" s="308"/>
      <x:c r="G62" s="308"/>
      <x:c r="H62" s="308"/>
      <x:c r="I62" s="308"/>
      <x:c r="J62" s="308"/>
    </x:row>
    <x:row r="63">
      <x:c r="A63" s="308"/>
      <x:c r="B63" s="308"/>
      <x:c r="C63" s="308"/>
      <x:c r="D63" s="308"/>
      <x:c r="E63" s="308"/>
      <x:c r="F63" s="308"/>
      <x:c r="G63" s="308"/>
      <x:c r="H63" s="308"/>
      <x:c r="I63" s="308"/>
      <x:c r="J63" s="308"/>
    </x:row>
    <x:row r="64">
      <x:c r="A64" s="308"/>
      <x:c r="B64" s="308"/>
      <x:c r="C64" s="308"/>
      <x:c r="D64" s="308"/>
      <x:c r="E64" s="308"/>
      <x:c r="F64" s="308"/>
      <x:c r="G64" s="308"/>
      <x:c r="H64" s="308"/>
      <x:c r="I64" s="308"/>
      <x:c r="J64" s="308"/>
    </x:row>
    <x:row r="65">
      <x:c r="A65" s="308"/>
      <x:c r="B65" s="308"/>
      <x:c r="C65" s="308"/>
      <x:c r="D65" s="308"/>
      <x:c r="E65" s="308"/>
      <x:c r="F65" s="308"/>
      <x:c r="G65" s="308"/>
      <x:c r="H65" s="308"/>
      <x:c r="I65" s="308"/>
      <x:c r="J65" s="308"/>
    </x:row>
    <x:row r="66">
      <x:c r="A66" s="308"/>
      <x:c r="B66" s="308"/>
      <x:c r="C66" s="308"/>
      <x:c r="D66" s="308"/>
      <x:c r="E66" s="308"/>
      <x:c r="F66" s="308"/>
      <x:c r="G66" s="308"/>
      <x:c r="H66" s="308"/>
      <x:c r="I66" s="308"/>
      <x:c r="J66" s="308"/>
    </x:row>
    <x:row r="67">
      <x:c r="A67" s="308"/>
      <x:c r="B67" s="308"/>
      <x:c r="C67" s="308"/>
      <x:c r="D67" s="308"/>
      <x:c r="E67" s="308"/>
      <x:c r="F67" s="308"/>
      <x:c r="G67" s="308"/>
      <x:c r="H67" s="308"/>
      <x:c r="I67" s="308"/>
      <x:c r="J67" s="308"/>
    </x:row>
    <x:row r="68">
      <x:c r="A68" s="308"/>
      <x:c r="B68" s="308"/>
      <x:c r="C68" s="308"/>
      <x:c r="D68" s="308"/>
      <x:c r="E68" s="308"/>
      <x:c r="F68" s="308"/>
      <x:c r="G68" s="308"/>
      <x:c r="H68" s="308"/>
      <x:c r="I68" s="308"/>
      <x:c r="J68" s="308"/>
    </x:row>
    <x:row r="69">
      <x:c r="A69" s="308"/>
      <x:c r="B69" s="308"/>
      <x:c r="C69" s="308"/>
      <x:c r="D69" s="308"/>
      <x:c r="E69" s="308"/>
      <x:c r="F69" s="308"/>
      <x:c r="G69" s="308"/>
      <x:c r="H69" s="308"/>
      <x:c r="I69" s="308"/>
      <x:c r="J69" s="308"/>
    </x:row>
    <x:row r="70">
      <x:c r="A70" s="308"/>
      <x:c r="B70" s="308"/>
      <x:c r="C70" s="308"/>
      <x:c r="D70" s="308"/>
      <x:c r="E70" s="308"/>
      <x:c r="F70" s="308"/>
      <x:c r="G70" s="308"/>
      <x:c r="H70" s="308"/>
      <x:c r="I70" s="308"/>
      <x:c r="J70" s="308"/>
    </x:row>
    <x:row r="71">
      <x:c r="A71" s="308"/>
      <x:c r="B71" s="308"/>
      <x:c r="C71" s="308"/>
      <x:c r="D71" s="308"/>
      <x:c r="E71" s="308"/>
      <x:c r="F71" s="308"/>
      <x:c r="G71" s="308"/>
      <x:c r="H71" s="308"/>
      <x:c r="I71" s="308"/>
      <x:c r="J71" s="308"/>
    </x:row>
    <x:row r="72">
      <x:c r="A72" s="308"/>
      <x:c r="B72" s="308"/>
      <x:c r="C72" s="308"/>
      <x:c r="D72" s="308"/>
      <x:c r="E72" s="308"/>
      <x:c r="F72" s="308"/>
      <x:c r="G72" s="308"/>
      <x:c r="H72" s="308"/>
      <x:c r="I72" s="308"/>
      <x:c r="J72" s="308"/>
    </x:row>
    <x:row r="73">
      <x:c r="A73" s="308"/>
      <x:c r="B73" s="308"/>
      <x:c r="C73" s="308"/>
      <x:c r="D73" s="308"/>
      <x:c r="E73" s="308"/>
      <x:c r="F73" s="308"/>
      <x:c r="G73" s="308"/>
      <x:c r="H73" s="308"/>
      <x:c r="I73" s="308"/>
      <x:c r="J73" s="308"/>
    </x:row>
    <x:row r="74">
      <x:c r="A74" s="308"/>
      <x:c r="B74" s="308"/>
      <x:c r="C74" s="308"/>
      <x:c r="D74" s="308"/>
      <x:c r="E74" s="308"/>
      <x:c r="F74" s="308"/>
      <x:c r="G74" s="308"/>
      <x:c r="H74" s="308"/>
      <x:c r="I74" s="308"/>
      <x:c r="J74" s="308"/>
    </x:row>
    <x:row r="75">
      <x:c r="A75" s="308"/>
      <x:c r="B75" s="308"/>
      <x:c r="C75" s="308"/>
      <x:c r="D75" s="308"/>
      <x:c r="E75" s="308"/>
      <x:c r="F75" s="308"/>
      <x:c r="G75" s="308"/>
      <x:c r="H75" s="308"/>
      <x:c r="I75" s="308"/>
      <x:c r="J75" s="308"/>
    </x:row>
    <x:row r="76">
      <x:c r="A76" s="308"/>
      <x:c r="B76" s="308"/>
      <x:c r="C76" s="308"/>
      <x:c r="D76" s="308"/>
      <x:c r="E76" s="308"/>
      <x:c r="F76" s="308"/>
      <x:c r="G76" s="308"/>
      <x:c r="H76" s="308"/>
      <x:c r="I76" s="308"/>
      <x:c r="J76" s="308"/>
    </x:row>
    <x:row r="77">
      <x:c r="A77" s="308"/>
      <x:c r="B77" s="308"/>
      <x:c r="C77" s="308"/>
      <x:c r="D77" s="308"/>
      <x:c r="E77" s="308"/>
      <x:c r="F77" s="308"/>
      <x:c r="G77" s="308"/>
      <x:c r="H77" s="308"/>
      <x:c r="I77" s="308"/>
      <x:c r="J77" s="308"/>
    </x:row>
    <x:row r="78">
      <x:c r="A78" s="308"/>
      <x:c r="B78" s="308"/>
      <x:c r="C78" s="308"/>
      <x:c r="D78" s="308"/>
      <x:c r="E78" s="308"/>
      <x:c r="F78" s="308"/>
      <x:c r="G78" s="308"/>
      <x:c r="H78" s="308"/>
      <x:c r="I78" s="308"/>
      <x:c r="J78" s="308"/>
    </x:row>
    <x:row r="79">
      <x:c r="A79" s="308"/>
      <x:c r="B79" s="308"/>
      <x:c r="C79" s="308"/>
      <x:c r="D79" s="308"/>
      <x:c r="E79" s="308"/>
      <x:c r="F79" s="308"/>
      <x:c r="G79" s="308"/>
      <x:c r="H79" s="308"/>
      <x:c r="I79" s="308"/>
      <x:c r="J79" s="308"/>
    </x:row>
    <x:row r="80">
      <x:c r="A80" s="310"/>
      <x:c r="B80" s="310"/>
      <x:c r="C80" s="310"/>
      <x:c r="D80" s="310"/>
      <x:c r="E80" s="310"/>
      <x:c r="F80" s="310"/>
      <x:c r="G80" s="310"/>
      <x:c r="H80" s="310"/>
      <x:c r="I80" s="310"/>
      <x:c r="J80" s="310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</x:cols>
  <x:sheetData>
    <x:row r="1" ht="30" customHeight="1">
      <x:c r="A1" s="323" t="str">
        <x:v>宠物基础数值规则｜品质 × 定位 × 体型</x:v>
      </x:c>
      <x:c r="B1" s="323"/>
      <x:c r="C1" s="323"/>
      <x:c r="D1" s="323"/>
      <x:c r="E1" s="323"/>
      <x:c r="F1" s="323"/>
      <x:c r="G1" s="323"/>
    </x:row>
    <x:row r="2" ht="28" customHeight="1">
      <x:c r="A2" s="326" t="str">
        <x:v>所有具体 HP / 攻 / 防 / 盾 / 行动力均在本表维护；PETS 只引用规则，不在程序代码中补默认面板。</x:v>
      </x:c>
      <x:c r="B2" s="326"/>
      <x:c r="C2" s="326"/>
      <x:c r="D2" s="326"/>
      <x:c r="E2" s="326"/>
      <x:c r="F2" s="326"/>
      <x:c r="G2" s="326"/>
    </x:row>
    <x:row r="4">
      <x:c r="A4" s="330" t="str">
        <x:v>rule_key</x:v>
      </x:c>
      <x:c r="B4" s="330" t="str">
        <x:v>设计维度</x:v>
      </x:c>
      <x:c r="C4" s="330" t="str">
        <x:v>hp</x:v>
      </x:c>
      <x:c r="D4" s="330" t="str">
        <x:v>atk</x:v>
      </x:c>
      <x:c r="E4" s="330" t="str">
        <x:v>def</x:v>
      </x:c>
      <x:c r="F4" s="330" t="str">
        <x:v>shield</x:v>
      </x:c>
      <x:c r="G4" s="330" t="str">
        <x:v>action</x:v>
      </x:c>
    </x:row>
    <x:row r="5">
      <x:c r="A5" s="334" t="str">
        <x:v>青铜|输出|一格</x:v>
      </x:c>
      <x:c r="B5" s="334" t="str">
        <x:v>青铜 / 输出 / 一格</x:v>
      </x:c>
      <x:c r="C5" s="335" t="n">
        <x:v>22</x:v>
      </x:c>
      <x:c r="D5" s="335" t="n">
        <x:v>14</x:v>
      </x:c>
      <x:c r="E5" s="335" t="n">
        <x:v>0</x:v>
      </x:c>
      <x:c r="F5" s="335" t="n">
        <x:v>0</x:v>
      </x:c>
      <x:c r="G5" s="335" t="n">
        <x:v>3</x:v>
      </x:c>
    </x:row>
    <x:row r="6">
      <x:c r="A6" s="336" t="str">
        <x:v>青铜|输出|两格</x:v>
      </x:c>
      <x:c r="B6" s="336" t="str">
        <x:v>青铜 / 输出 / 两格</x:v>
      </x:c>
      <x:c r="C6" s="337" t="n">
        <x:v>28</x:v>
      </x:c>
      <x:c r="D6" s="337" t="n">
        <x:v>12</x:v>
      </x:c>
      <x:c r="E6" s="337" t="n">
        <x:v>0</x:v>
      </x:c>
      <x:c r="F6" s="337" t="n">
        <x:v>0</x:v>
      </x:c>
      <x:c r="G6" s="337" t="n">
        <x:v>3</x:v>
      </x:c>
    </x:row>
    <x:row r="7">
      <x:c r="A7" s="336" t="str">
        <x:v>青铜|输出|三格</x:v>
      </x:c>
      <x:c r="B7" s="336" t="str">
        <x:v>青铜 / 输出 / 三格</x:v>
      </x:c>
      <x:c r="C7" s="337" t="n">
        <x:v>34</x:v>
      </x:c>
      <x:c r="D7" s="337" t="n">
        <x:v>10</x:v>
      </x:c>
      <x:c r="E7" s="337" t="n">
        <x:v>0</x:v>
      </x:c>
      <x:c r="F7" s="337" t="n">
        <x:v>0</x:v>
      </x:c>
      <x:c r="G7" s="337" t="n">
        <x:v>2</x:v>
      </x:c>
    </x:row>
    <x:row r="8">
      <x:c r="A8" s="336" t="str">
        <x:v>青铜|控制|一格</x:v>
      </x:c>
      <x:c r="B8" s="336" t="str">
        <x:v>青铜 / 控制 / 一格</x:v>
      </x:c>
      <x:c r="C8" s="337" t="n">
        <x:v>26</x:v>
      </x:c>
      <x:c r="D8" s="337" t="n">
        <x:v>10</x:v>
      </x:c>
      <x:c r="E8" s="337" t="n">
        <x:v>0</x:v>
      </x:c>
      <x:c r="F8" s="337" t="n">
        <x:v>0</x:v>
      </x:c>
      <x:c r="G8" s="337" t="n">
        <x:v>4</x:v>
      </x:c>
    </x:row>
    <x:row r="9">
      <x:c r="A9" s="336" t="str">
        <x:v>青铜|控制|两格</x:v>
      </x:c>
      <x:c r="B9" s="336" t="str">
        <x:v>青铜 / 控制 / 两格</x:v>
      </x:c>
      <x:c r="C9" s="337" t="n">
        <x:v>32</x:v>
      </x:c>
      <x:c r="D9" s="337" t="n">
        <x:v>8</x:v>
      </x:c>
      <x:c r="E9" s="337" t="n">
        <x:v>0</x:v>
      </x:c>
      <x:c r="F9" s="337" t="n">
        <x:v>0</x:v>
      </x:c>
      <x:c r="G9" s="337" t="n">
        <x:v>4</x:v>
      </x:c>
    </x:row>
    <x:row r="10">
      <x:c r="A10" s="336" t="str">
        <x:v>青铜|控制|三格</x:v>
      </x:c>
      <x:c r="B10" s="336" t="str">
        <x:v>青铜 / 控制 / 三格</x:v>
      </x:c>
      <x:c r="C10" s="337" t="n">
        <x:v>38</x:v>
      </x:c>
      <x:c r="D10" s="337" t="n">
        <x:v>6</x:v>
      </x:c>
      <x:c r="E10" s="337" t="n">
        <x:v>0</x:v>
      </x:c>
      <x:c r="F10" s="337" t="n">
        <x:v>0</x:v>
      </x:c>
      <x:c r="G10" s="337" t="n">
        <x:v>4</x:v>
      </x:c>
    </x:row>
    <x:row r="11">
      <x:c r="A11" s="336" t="str">
        <x:v>青铜|机动|一格</x:v>
      </x:c>
      <x:c r="B11" s="336" t="str">
        <x:v>青铜 / 机动 / 一格</x:v>
      </x:c>
      <x:c r="C11" s="337" t="n">
        <x:v>22</x:v>
      </x:c>
      <x:c r="D11" s="337" t="n">
        <x:v>8</x:v>
      </x:c>
      <x:c r="E11" s="337" t="n">
        <x:v>0</x:v>
      </x:c>
      <x:c r="F11" s="337" t="n">
        <x:v>0</x:v>
      </x:c>
      <x:c r="G11" s="337" t="n">
        <x:v>5</x:v>
      </x:c>
    </x:row>
    <x:row r="12">
      <x:c r="A12" s="336" t="str">
        <x:v>青铜|机动|两格</x:v>
      </x:c>
      <x:c r="B12" s="336" t="str">
        <x:v>青铜 / 机动 / 两格</x:v>
      </x:c>
      <x:c r="C12" s="337" t="n">
        <x:v>28</x:v>
      </x:c>
      <x:c r="D12" s="337" t="n">
        <x:v>6</x:v>
      </x:c>
      <x:c r="E12" s="337" t="n">
        <x:v>0</x:v>
      </x:c>
      <x:c r="F12" s="337" t="n">
        <x:v>0</x:v>
      </x:c>
      <x:c r="G12" s="337" t="n">
        <x:v>5</x:v>
      </x:c>
    </x:row>
    <x:row r="13">
      <x:c r="A13" s="336" t="str">
        <x:v>青铜|机动|三格</x:v>
      </x:c>
      <x:c r="B13" s="336" t="str">
        <x:v>青铜 / 机动 / 三格</x:v>
      </x:c>
      <x:c r="C13" s="337" t="n">
        <x:v>34</x:v>
      </x:c>
      <x:c r="D13" s="337" t="n">
        <x:v>4</x:v>
      </x:c>
      <x:c r="E13" s="337" t="n">
        <x:v>0</x:v>
      </x:c>
      <x:c r="F13" s="337" t="n">
        <x:v>0</x:v>
      </x:c>
      <x:c r="G13" s="337" t="n">
        <x:v>5</x:v>
      </x:c>
    </x:row>
    <x:row r="14">
      <x:c r="A14" s="336" t="str">
        <x:v>青铜|治疗|一格</x:v>
      </x:c>
      <x:c r="B14" s="336" t="str">
        <x:v>青铜 / 治疗 / 一格</x:v>
      </x:c>
      <x:c r="C14" s="337" t="n">
        <x:v>28</x:v>
      </x:c>
      <x:c r="D14" s="337" t="n">
        <x:v>8</x:v>
      </x:c>
      <x:c r="E14" s="337" t="n">
        <x:v>0</x:v>
      </x:c>
      <x:c r="F14" s="337" t="n">
        <x:v>2</x:v>
      </x:c>
      <x:c r="G14" s="337" t="n">
        <x:v>3</x:v>
      </x:c>
    </x:row>
    <x:row r="15">
      <x:c r="A15" s="336" t="str">
        <x:v>青铜|治疗|两格</x:v>
      </x:c>
      <x:c r="B15" s="336" t="str">
        <x:v>青铜 / 治疗 / 两格</x:v>
      </x:c>
      <x:c r="C15" s="337" t="n">
        <x:v>34</x:v>
      </x:c>
      <x:c r="D15" s="337" t="n">
        <x:v>6</x:v>
      </x:c>
      <x:c r="E15" s="337" t="n">
        <x:v>0</x:v>
      </x:c>
      <x:c r="F15" s="337" t="n">
        <x:v>2</x:v>
      </x:c>
      <x:c r="G15" s="337" t="n">
        <x:v>3</x:v>
      </x:c>
    </x:row>
    <x:row r="16">
      <x:c r="A16" s="336" t="str">
        <x:v>青铜|治疗|三格</x:v>
      </x:c>
      <x:c r="B16" s="336" t="str">
        <x:v>青铜 / 治疗 / 三格</x:v>
      </x:c>
      <x:c r="C16" s="337" t="n">
        <x:v>40</x:v>
      </x:c>
      <x:c r="D16" s="337" t="n">
        <x:v>4</x:v>
      </x:c>
      <x:c r="E16" s="337" t="n">
        <x:v>0</x:v>
      </x:c>
      <x:c r="F16" s="337" t="n">
        <x:v>2</x:v>
      </x:c>
      <x:c r="G16" s="337" t="n">
        <x:v>2</x:v>
      </x:c>
    </x:row>
    <x:row r="17">
      <x:c r="A17" s="336" t="str">
        <x:v>青铜|经济|一格</x:v>
      </x:c>
      <x:c r="B17" s="336" t="str">
        <x:v>青铜 / 经济 / 一格</x:v>
      </x:c>
      <x:c r="C17" s="337" t="n">
        <x:v>22</x:v>
      </x:c>
      <x:c r="D17" s="337" t="n">
        <x:v>8</x:v>
      </x:c>
      <x:c r="E17" s="337" t="n">
        <x:v>0</x:v>
      </x:c>
      <x:c r="F17" s="337" t="n">
        <x:v>0</x:v>
      </x:c>
      <x:c r="G17" s="337" t="n">
        <x:v>3</x:v>
      </x:c>
    </x:row>
    <x:row r="18">
      <x:c r="A18" s="336" t="str">
        <x:v>青铜|经济|两格</x:v>
      </x:c>
      <x:c r="B18" s="336" t="str">
        <x:v>青铜 / 经济 / 两格</x:v>
      </x:c>
      <x:c r="C18" s="337" t="n">
        <x:v>28</x:v>
      </x:c>
      <x:c r="D18" s="337" t="n">
        <x:v>6</x:v>
      </x:c>
      <x:c r="E18" s="337" t="n">
        <x:v>0</x:v>
      </x:c>
      <x:c r="F18" s="337" t="n">
        <x:v>0</x:v>
      </x:c>
      <x:c r="G18" s="337" t="n">
        <x:v>3</x:v>
      </x:c>
    </x:row>
    <x:row r="19">
      <x:c r="A19" s="336" t="str">
        <x:v>青铜|经济|三格</x:v>
      </x:c>
      <x:c r="B19" s="336" t="str">
        <x:v>青铜 / 经济 / 三格</x:v>
      </x:c>
      <x:c r="C19" s="337" t="n">
        <x:v>34</x:v>
      </x:c>
      <x:c r="D19" s="337" t="n">
        <x:v>4</x:v>
      </x:c>
      <x:c r="E19" s="337" t="n">
        <x:v>0</x:v>
      </x:c>
      <x:c r="F19" s="337" t="n">
        <x:v>0</x:v>
      </x:c>
      <x:c r="G19" s="337" t="n">
        <x:v>2</x:v>
      </x:c>
    </x:row>
    <x:row r="20">
      <x:c r="A20" s="336" t="str">
        <x:v>青铜|召唤|一格</x:v>
      </x:c>
      <x:c r="B20" s="336" t="str">
        <x:v>青铜 / 召唤 / 一格</x:v>
      </x:c>
      <x:c r="C20" s="337" t="n">
        <x:v>30</x:v>
      </x:c>
      <x:c r="D20" s="337" t="n">
        <x:v>8</x:v>
      </x:c>
      <x:c r="E20" s="337" t="n">
        <x:v>0</x:v>
      </x:c>
      <x:c r="F20" s="337" t="n">
        <x:v>0</x:v>
      </x:c>
      <x:c r="G20" s="337" t="n">
        <x:v>3</x:v>
      </x:c>
    </x:row>
    <x:row r="21">
      <x:c r="A21" s="336" t="str">
        <x:v>青铜|召唤|两格</x:v>
      </x:c>
      <x:c r="B21" s="336" t="str">
        <x:v>青铜 / 召唤 / 两格</x:v>
      </x:c>
      <x:c r="C21" s="337" t="n">
        <x:v>36</x:v>
      </x:c>
      <x:c r="D21" s="337" t="n">
        <x:v>6</x:v>
      </x:c>
      <x:c r="E21" s="337" t="n">
        <x:v>0</x:v>
      </x:c>
      <x:c r="F21" s="337" t="n">
        <x:v>0</x:v>
      </x:c>
      <x:c r="G21" s="337" t="n">
        <x:v>3</x:v>
      </x:c>
    </x:row>
    <x:row r="22">
      <x:c r="A22" s="336" t="str">
        <x:v>青铜|召唤|三格</x:v>
      </x:c>
      <x:c r="B22" s="336" t="str">
        <x:v>青铜 / 召唤 / 三格</x:v>
      </x:c>
      <x:c r="C22" s="337" t="n">
        <x:v>42</x:v>
      </x:c>
      <x:c r="D22" s="337" t="n">
        <x:v>4</x:v>
      </x:c>
      <x:c r="E22" s="337" t="n">
        <x:v>0</x:v>
      </x:c>
      <x:c r="F22" s="337" t="n">
        <x:v>0</x:v>
      </x:c>
      <x:c r="G22" s="337" t="n">
        <x:v>2</x:v>
      </x:c>
    </x:row>
    <x:row r="23">
      <x:c r="A23" s="336" t="str">
        <x:v>青铜|坦克|一格</x:v>
      </x:c>
      <x:c r="B23" s="336" t="str">
        <x:v>青铜 / 坦克 / 一格</x:v>
      </x:c>
      <x:c r="C23" s="337" t="n">
        <x:v>36</x:v>
      </x:c>
      <x:c r="D23" s="337" t="n">
        <x:v>8</x:v>
      </x:c>
      <x:c r="E23" s="337" t="n">
        <x:v>0</x:v>
      </x:c>
      <x:c r="F23" s="337" t="n">
        <x:v>6</x:v>
      </x:c>
      <x:c r="G23" s="337" t="n">
        <x:v>3</x:v>
      </x:c>
    </x:row>
    <x:row r="24">
      <x:c r="A24" s="336" t="str">
        <x:v>青铜|坦克|两格</x:v>
      </x:c>
      <x:c r="B24" s="336" t="str">
        <x:v>青铜 / 坦克 / 两格</x:v>
      </x:c>
      <x:c r="C24" s="337" t="n">
        <x:v>42</x:v>
      </x:c>
      <x:c r="D24" s="337" t="n">
        <x:v>6</x:v>
      </x:c>
      <x:c r="E24" s="337" t="n">
        <x:v>0</x:v>
      </x:c>
      <x:c r="F24" s="337" t="n">
        <x:v>6</x:v>
      </x:c>
      <x:c r="G24" s="337" t="n">
        <x:v>3</x:v>
      </x:c>
    </x:row>
    <x:row r="25">
      <x:c r="A25" s="336" t="str">
        <x:v>青铜|坦克|三格</x:v>
      </x:c>
      <x:c r="B25" s="336" t="str">
        <x:v>青铜 / 坦克 / 三格</x:v>
      </x:c>
      <x:c r="C25" s="337" t="n">
        <x:v>48</x:v>
      </x:c>
      <x:c r="D25" s="337" t="n">
        <x:v>4</x:v>
      </x:c>
      <x:c r="E25" s="337" t="n">
        <x:v>0</x:v>
      </x:c>
      <x:c r="F25" s="337" t="n">
        <x:v>6</x:v>
      </x:c>
      <x:c r="G25" s="337" t="n">
        <x:v>2</x:v>
      </x:c>
    </x:row>
    <x:row r="26">
      <x:c r="A26" s="336" t="str">
        <x:v>白银|输出|一格</x:v>
      </x:c>
      <x:c r="B26" s="336" t="str">
        <x:v>白银 / 输出 / 一格</x:v>
      </x:c>
      <x:c r="C26" s="337" t="n">
        <x:v>34</x:v>
      </x:c>
      <x:c r="D26" s="337" t="n">
        <x:v>22</x:v>
      </x:c>
      <x:c r="E26" s="337" t="n">
        <x:v>0</x:v>
      </x:c>
      <x:c r="F26" s="337" t="n">
        <x:v>0</x:v>
      </x:c>
      <x:c r="G26" s="337" t="n">
        <x:v>3</x:v>
      </x:c>
    </x:row>
    <x:row r="27">
      <x:c r="A27" s="336" t="str">
        <x:v>白银|输出|两格</x:v>
      </x:c>
      <x:c r="B27" s="336" t="str">
        <x:v>白银 / 输出 / 两格</x:v>
      </x:c>
      <x:c r="C27" s="337" t="n">
        <x:v>40</x:v>
      </x:c>
      <x:c r="D27" s="337" t="n">
        <x:v>20</x:v>
      </x:c>
      <x:c r="E27" s="337" t="n">
        <x:v>0</x:v>
      </x:c>
      <x:c r="F27" s="337" t="n">
        <x:v>0</x:v>
      </x:c>
      <x:c r="G27" s="337" t="n">
        <x:v>3</x:v>
      </x:c>
    </x:row>
    <x:row r="28">
      <x:c r="A28" s="336" t="str">
        <x:v>白银|输出|三格</x:v>
      </x:c>
      <x:c r="B28" s="336" t="str">
        <x:v>白银 / 输出 / 三格</x:v>
      </x:c>
      <x:c r="C28" s="337" t="n">
        <x:v>46</x:v>
      </x:c>
      <x:c r="D28" s="337" t="n">
        <x:v>18</x:v>
      </x:c>
      <x:c r="E28" s="337" t="n">
        <x:v>0</x:v>
      </x:c>
      <x:c r="F28" s="337" t="n">
        <x:v>0</x:v>
      </x:c>
      <x:c r="G28" s="337" t="n">
        <x:v>2</x:v>
      </x:c>
    </x:row>
    <x:row r="29">
      <x:c r="A29" s="336" t="str">
        <x:v>白银|控制|一格</x:v>
      </x:c>
      <x:c r="B29" s="336" t="str">
        <x:v>白银 / 控制 / 一格</x:v>
      </x:c>
      <x:c r="C29" s="337" t="n">
        <x:v>38</x:v>
      </x:c>
      <x:c r="D29" s="337" t="n">
        <x:v>16</x:v>
      </x:c>
      <x:c r="E29" s="337" t="n">
        <x:v>0</x:v>
      </x:c>
      <x:c r="F29" s="337" t="n">
        <x:v>0</x:v>
      </x:c>
      <x:c r="G29" s="337" t="n">
        <x:v>4</x:v>
      </x:c>
    </x:row>
    <x:row r="30">
      <x:c r="A30" s="336" t="str">
        <x:v>白银|控制|两格</x:v>
      </x:c>
      <x:c r="B30" s="336" t="str">
        <x:v>白银 / 控制 / 两格</x:v>
      </x:c>
      <x:c r="C30" s="337" t="n">
        <x:v>44</x:v>
      </x:c>
      <x:c r="D30" s="337" t="n">
        <x:v>14</x:v>
      </x:c>
      <x:c r="E30" s="337" t="n">
        <x:v>0</x:v>
      </x:c>
      <x:c r="F30" s="337" t="n">
        <x:v>0</x:v>
      </x:c>
      <x:c r="G30" s="337" t="n">
        <x:v>4</x:v>
      </x:c>
    </x:row>
    <x:row r="31">
      <x:c r="A31" s="336" t="str">
        <x:v>白银|控制|三格</x:v>
      </x:c>
      <x:c r="B31" s="336" t="str">
        <x:v>白银 / 控制 / 三格</x:v>
      </x:c>
      <x:c r="C31" s="337" t="n">
        <x:v>50</x:v>
      </x:c>
      <x:c r="D31" s="337" t="n">
        <x:v>12</x:v>
      </x:c>
      <x:c r="E31" s="337" t="n">
        <x:v>0</x:v>
      </x:c>
      <x:c r="F31" s="337" t="n">
        <x:v>0</x:v>
      </x:c>
      <x:c r="G31" s="337" t="n">
        <x:v>4</x:v>
      </x:c>
    </x:row>
    <x:row r="32">
      <x:c r="A32" s="336" t="str">
        <x:v>白银|机动|一格</x:v>
      </x:c>
      <x:c r="B32" s="336" t="str">
        <x:v>白银 / 机动 / 一格</x:v>
      </x:c>
      <x:c r="C32" s="337" t="n">
        <x:v>34</x:v>
      </x:c>
      <x:c r="D32" s="337" t="n">
        <x:v>14</x:v>
      </x:c>
      <x:c r="E32" s="337" t="n">
        <x:v>0</x:v>
      </x:c>
      <x:c r="F32" s="337" t="n">
        <x:v>0</x:v>
      </x:c>
      <x:c r="G32" s="337" t="n">
        <x:v>5</x:v>
      </x:c>
    </x:row>
    <x:row r="33">
      <x:c r="A33" s="336" t="str">
        <x:v>白银|机动|两格</x:v>
      </x:c>
      <x:c r="B33" s="336" t="str">
        <x:v>白银 / 机动 / 两格</x:v>
      </x:c>
      <x:c r="C33" s="337" t="n">
        <x:v>40</x:v>
      </x:c>
      <x:c r="D33" s="337" t="n">
        <x:v>12</x:v>
      </x:c>
      <x:c r="E33" s="337" t="n">
        <x:v>0</x:v>
      </x:c>
      <x:c r="F33" s="337" t="n">
        <x:v>0</x:v>
      </x:c>
      <x:c r="G33" s="337" t="n">
        <x:v>5</x:v>
      </x:c>
    </x:row>
    <x:row r="34">
      <x:c r="A34" s="336" t="str">
        <x:v>白银|机动|三格</x:v>
      </x:c>
      <x:c r="B34" s="336" t="str">
        <x:v>白银 / 机动 / 三格</x:v>
      </x:c>
      <x:c r="C34" s="337" t="n">
        <x:v>46</x:v>
      </x:c>
      <x:c r="D34" s="337" t="n">
        <x:v>10</x:v>
      </x:c>
      <x:c r="E34" s="337" t="n">
        <x:v>0</x:v>
      </x:c>
      <x:c r="F34" s="337" t="n">
        <x:v>0</x:v>
      </x:c>
      <x:c r="G34" s="337" t="n">
        <x:v>5</x:v>
      </x:c>
    </x:row>
    <x:row r="35">
      <x:c r="A35" s="336" t="str">
        <x:v>白银|治疗|一格</x:v>
      </x:c>
      <x:c r="B35" s="336" t="str">
        <x:v>白银 / 治疗 / 一格</x:v>
      </x:c>
      <x:c r="C35" s="337" t="n">
        <x:v>40</x:v>
      </x:c>
      <x:c r="D35" s="337" t="n">
        <x:v>14</x:v>
      </x:c>
      <x:c r="E35" s="337" t="n">
        <x:v>0</x:v>
      </x:c>
      <x:c r="F35" s="337" t="n">
        <x:v>4</x:v>
      </x:c>
      <x:c r="G35" s="337" t="n">
        <x:v>3</x:v>
      </x:c>
    </x:row>
    <x:row r="36">
      <x:c r="A36" s="336" t="str">
        <x:v>白银|治疗|两格</x:v>
      </x:c>
      <x:c r="B36" s="336" t="str">
        <x:v>白银 / 治疗 / 两格</x:v>
      </x:c>
      <x:c r="C36" s="337" t="n">
        <x:v>46</x:v>
      </x:c>
      <x:c r="D36" s="337" t="n">
        <x:v>12</x:v>
      </x:c>
      <x:c r="E36" s="337" t="n">
        <x:v>0</x:v>
      </x:c>
      <x:c r="F36" s="337" t="n">
        <x:v>4</x:v>
      </x:c>
      <x:c r="G36" s="337" t="n">
        <x:v>3</x:v>
      </x:c>
    </x:row>
    <x:row r="37">
      <x:c r="A37" s="336" t="str">
        <x:v>白银|治疗|三格</x:v>
      </x:c>
      <x:c r="B37" s="336" t="str">
        <x:v>白银 / 治疗 / 三格</x:v>
      </x:c>
      <x:c r="C37" s="337" t="n">
        <x:v>52</x:v>
      </x:c>
      <x:c r="D37" s="337" t="n">
        <x:v>10</x:v>
      </x:c>
      <x:c r="E37" s="337" t="n">
        <x:v>0</x:v>
      </x:c>
      <x:c r="F37" s="337" t="n">
        <x:v>4</x:v>
      </x:c>
      <x:c r="G37" s="337" t="n">
        <x:v>2</x:v>
      </x:c>
    </x:row>
    <x:row r="38">
      <x:c r="A38" s="336" t="str">
        <x:v>白银|经济|一格</x:v>
      </x:c>
      <x:c r="B38" s="336" t="str">
        <x:v>白银 / 经济 / 一格</x:v>
      </x:c>
      <x:c r="C38" s="337" t="n">
        <x:v>34</x:v>
      </x:c>
      <x:c r="D38" s="337" t="n">
        <x:v>14</x:v>
      </x:c>
      <x:c r="E38" s="337" t="n">
        <x:v>0</x:v>
      </x:c>
      <x:c r="F38" s="337" t="n">
        <x:v>0</x:v>
      </x:c>
      <x:c r="G38" s="337" t="n">
        <x:v>3</x:v>
      </x:c>
    </x:row>
    <x:row r="39">
      <x:c r="A39" s="336" t="str">
        <x:v>白银|经济|两格</x:v>
      </x:c>
      <x:c r="B39" s="336" t="str">
        <x:v>白银 / 经济 / 两格</x:v>
      </x:c>
      <x:c r="C39" s="337" t="n">
        <x:v>40</x:v>
      </x:c>
      <x:c r="D39" s="337" t="n">
        <x:v>12</x:v>
      </x:c>
      <x:c r="E39" s="337" t="n">
        <x:v>0</x:v>
      </x:c>
      <x:c r="F39" s="337" t="n">
        <x:v>0</x:v>
      </x:c>
      <x:c r="G39" s="337" t="n">
        <x:v>3</x:v>
      </x:c>
    </x:row>
    <x:row r="40">
      <x:c r="A40" s="336" t="str">
        <x:v>白银|经济|三格</x:v>
      </x:c>
      <x:c r="B40" s="336" t="str">
        <x:v>白银 / 经济 / 三格</x:v>
      </x:c>
      <x:c r="C40" s="337" t="n">
        <x:v>46</x:v>
      </x:c>
      <x:c r="D40" s="337" t="n">
        <x:v>10</x:v>
      </x:c>
      <x:c r="E40" s="337" t="n">
        <x:v>0</x:v>
      </x:c>
      <x:c r="F40" s="337" t="n">
        <x:v>0</x:v>
      </x:c>
      <x:c r="G40" s="337" t="n">
        <x:v>2</x:v>
      </x:c>
    </x:row>
    <x:row r="41">
      <x:c r="A41" s="336" t="str">
        <x:v>白银|召唤|一格</x:v>
      </x:c>
      <x:c r="B41" s="336" t="str">
        <x:v>白银 / 召唤 / 一格</x:v>
      </x:c>
      <x:c r="C41" s="337" t="n">
        <x:v>42</x:v>
      </x:c>
      <x:c r="D41" s="337" t="n">
        <x:v>14</x:v>
      </x:c>
      <x:c r="E41" s="337" t="n">
        <x:v>0</x:v>
      </x:c>
      <x:c r="F41" s="337" t="n">
        <x:v>0</x:v>
      </x:c>
      <x:c r="G41" s="337" t="n">
        <x:v>3</x:v>
      </x:c>
    </x:row>
    <x:row r="42">
      <x:c r="A42" s="336" t="str">
        <x:v>白银|召唤|两格</x:v>
      </x:c>
      <x:c r="B42" s="336" t="str">
        <x:v>白银 / 召唤 / 两格</x:v>
      </x:c>
      <x:c r="C42" s="337" t="n">
        <x:v>48</x:v>
      </x:c>
      <x:c r="D42" s="337" t="n">
        <x:v>12</x:v>
      </x:c>
      <x:c r="E42" s="337" t="n">
        <x:v>0</x:v>
      </x:c>
      <x:c r="F42" s="337" t="n">
        <x:v>0</x:v>
      </x:c>
      <x:c r="G42" s="337" t="n">
        <x:v>3</x:v>
      </x:c>
    </x:row>
    <x:row r="43">
      <x:c r="A43" s="336" t="str">
        <x:v>白银|召唤|三格</x:v>
      </x:c>
      <x:c r="B43" s="336" t="str">
        <x:v>白银 / 召唤 / 三格</x:v>
      </x:c>
      <x:c r="C43" s="337" t="n">
        <x:v>54</x:v>
      </x:c>
      <x:c r="D43" s="337" t="n">
        <x:v>10</x:v>
      </x:c>
      <x:c r="E43" s="337" t="n">
        <x:v>0</x:v>
      </x:c>
      <x:c r="F43" s="337" t="n">
        <x:v>0</x:v>
      </x:c>
      <x:c r="G43" s="337" t="n">
        <x:v>2</x:v>
      </x:c>
    </x:row>
    <x:row r="44">
      <x:c r="A44" s="336" t="str">
        <x:v>白银|坦克|一格</x:v>
      </x:c>
      <x:c r="B44" s="336" t="str">
        <x:v>白银 / 坦克 / 一格</x:v>
      </x:c>
      <x:c r="C44" s="337" t="n">
        <x:v>48</x:v>
      </x:c>
      <x:c r="D44" s="337" t="n">
        <x:v>14</x:v>
      </x:c>
      <x:c r="E44" s="337" t="n">
        <x:v>0</x:v>
      </x:c>
      <x:c r="F44" s="337" t="n">
        <x:v>10</x:v>
      </x:c>
      <x:c r="G44" s="337" t="n">
        <x:v>3</x:v>
      </x:c>
    </x:row>
    <x:row r="45">
      <x:c r="A45" s="336" t="str">
        <x:v>白银|坦克|两格</x:v>
      </x:c>
      <x:c r="B45" s="336" t="str">
        <x:v>白银 / 坦克 / 两格</x:v>
      </x:c>
      <x:c r="C45" s="337" t="n">
        <x:v>54</x:v>
      </x:c>
      <x:c r="D45" s="337" t="n">
        <x:v>12</x:v>
      </x:c>
      <x:c r="E45" s="337" t="n">
        <x:v>0</x:v>
      </x:c>
      <x:c r="F45" s="337" t="n">
        <x:v>10</x:v>
      </x:c>
      <x:c r="G45" s="337" t="n">
        <x:v>3</x:v>
      </x:c>
    </x:row>
    <x:row r="46">
      <x:c r="A46" s="336" t="str">
        <x:v>白银|坦克|三格</x:v>
      </x:c>
      <x:c r="B46" s="336" t="str">
        <x:v>白银 / 坦克 / 三格</x:v>
      </x:c>
      <x:c r="C46" s="337" t="n">
        <x:v>60</x:v>
      </x:c>
      <x:c r="D46" s="337" t="n">
        <x:v>10</x:v>
      </x:c>
      <x:c r="E46" s="337" t="n">
        <x:v>0</x:v>
      </x:c>
      <x:c r="F46" s="337" t="n">
        <x:v>10</x:v>
      </x:c>
      <x:c r="G46" s="337" t="n">
        <x:v>2</x:v>
      </x:c>
    </x:row>
    <x:row r="47">
      <x:c r="A47" s="336" t="str">
        <x:v>黄金|输出|一格</x:v>
      </x:c>
      <x:c r="B47" s="336" t="str">
        <x:v>黄金 / 输出 / 一格</x:v>
      </x:c>
      <x:c r="C47" s="337" t="n">
        <x:v>46</x:v>
      </x:c>
      <x:c r="D47" s="337" t="n">
        <x:v>30</x:v>
      </x:c>
      <x:c r="E47" s="337" t="n">
        <x:v>0</x:v>
      </x:c>
      <x:c r="F47" s="337" t="n">
        <x:v>0</x:v>
      </x:c>
      <x:c r="G47" s="337" t="n">
        <x:v>3</x:v>
      </x:c>
    </x:row>
    <x:row r="48">
      <x:c r="A48" s="336" t="str">
        <x:v>黄金|输出|两格</x:v>
      </x:c>
      <x:c r="B48" s="336" t="str">
        <x:v>黄金 / 输出 / 两格</x:v>
      </x:c>
      <x:c r="C48" s="337" t="n">
        <x:v>52</x:v>
      </x:c>
      <x:c r="D48" s="337" t="n">
        <x:v>28</x:v>
      </x:c>
      <x:c r="E48" s="337" t="n">
        <x:v>0</x:v>
      </x:c>
      <x:c r="F48" s="337" t="n">
        <x:v>0</x:v>
      </x:c>
      <x:c r="G48" s="337" t="n">
        <x:v>3</x:v>
      </x:c>
    </x:row>
    <x:row r="49">
      <x:c r="A49" s="336" t="str">
        <x:v>黄金|输出|三格</x:v>
      </x:c>
      <x:c r="B49" s="336" t="str">
        <x:v>黄金 / 输出 / 三格</x:v>
      </x:c>
      <x:c r="C49" s="337" t="n">
        <x:v>58</x:v>
      </x:c>
      <x:c r="D49" s="337" t="n">
        <x:v>26</x:v>
      </x:c>
      <x:c r="E49" s="337" t="n">
        <x:v>0</x:v>
      </x:c>
      <x:c r="F49" s="337" t="n">
        <x:v>0</x:v>
      </x:c>
      <x:c r="G49" s="337" t="n">
        <x:v>2</x:v>
      </x:c>
    </x:row>
    <x:row r="50">
      <x:c r="A50" s="336" t="str">
        <x:v>黄金|控制|一格</x:v>
      </x:c>
      <x:c r="B50" s="336" t="str">
        <x:v>黄金 / 控制 / 一格</x:v>
      </x:c>
      <x:c r="C50" s="337" t="n">
        <x:v>50</x:v>
      </x:c>
      <x:c r="D50" s="337" t="n">
        <x:v>22</x:v>
      </x:c>
      <x:c r="E50" s="337" t="n">
        <x:v>0</x:v>
      </x:c>
      <x:c r="F50" s="337" t="n">
        <x:v>0</x:v>
      </x:c>
      <x:c r="G50" s="337" t="n">
        <x:v>4</x:v>
      </x:c>
    </x:row>
    <x:row r="51">
      <x:c r="A51" s="336" t="str">
        <x:v>黄金|控制|两格</x:v>
      </x:c>
      <x:c r="B51" s="336" t="str">
        <x:v>黄金 / 控制 / 两格</x:v>
      </x:c>
      <x:c r="C51" s="337" t="n">
        <x:v>56</x:v>
      </x:c>
      <x:c r="D51" s="337" t="n">
        <x:v>20</x:v>
      </x:c>
      <x:c r="E51" s="337" t="n">
        <x:v>0</x:v>
      </x:c>
      <x:c r="F51" s="337" t="n">
        <x:v>0</x:v>
      </x:c>
      <x:c r="G51" s="337" t="n">
        <x:v>4</x:v>
      </x:c>
    </x:row>
    <x:row r="52">
      <x:c r="A52" s="336" t="str">
        <x:v>黄金|控制|三格</x:v>
      </x:c>
      <x:c r="B52" s="336" t="str">
        <x:v>黄金 / 控制 / 三格</x:v>
      </x:c>
      <x:c r="C52" s="337" t="n">
        <x:v>62</x:v>
      </x:c>
      <x:c r="D52" s="337" t="n">
        <x:v>18</x:v>
      </x:c>
      <x:c r="E52" s="337" t="n">
        <x:v>0</x:v>
      </x:c>
      <x:c r="F52" s="337" t="n">
        <x:v>0</x:v>
      </x:c>
      <x:c r="G52" s="337" t="n">
        <x:v>4</x:v>
      </x:c>
    </x:row>
    <x:row r="53">
      <x:c r="A53" s="336" t="str">
        <x:v>黄金|机动|一格</x:v>
      </x:c>
      <x:c r="B53" s="336" t="str">
        <x:v>黄金 / 机动 / 一格</x:v>
      </x:c>
      <x:c r="C53" s="337" t="n">
        <x:v>46</x:v>
      </x:c>
      <x:c r="D53" s="337" t="n">
        <x:v>20</x:v>
      </x:c>
      <x:c r="E53" s="337" t="n">
        <x:v>0</x:v>
      </x:c>
      <x:c r="F53" s="337" t="n">
        <x:v>0</x:v>
      </x:c>
      <x:c r="G53" s="337" t="n">
        <x:v>5</x:v>
      </x:c>
    </x:row>
    <x:row r="54">
      <x:c r="A54" s="336" t="str">
        <x:v>黄金|机动|两格</x:v>
      </x:c>
      <x:c r="B54" s="336" t="str">
        <x:v>黄金 / 机动 / 两格</x:v>
      </x:c>
      <x:c r="C54" s="337" t="n">
        <x:v>52</x:v>
      </x:c>
      <x:c r="D54" s="337" t="n">
        <x:v>18</x:v>
      </x:c>
      <x:c r="E54" s="337" t="n">
        <x:v>0</x:v>
      </x:c>
      <x:c r="F54" s="337" t="n">
        <x:v>0</x:v>
      </x:c>
      <x:c r="G54" s="337" t="n">
        <x:v>5</x:v>
      </x:c>
    </x:row>
    <x:row r="55">
      <x:c r="A55" s="336" t="str">
        <x:v>黄金|机动|三格</x:v>
      </x:c>
      <x:c r="B55" s="336" t="str">
        <x:v>黄金 / 机动 / 三格</x:v>
      </x:c>
      <x:c r="C55" s="337" t="n">
        <x:v>58</x:v>
      </x:c>
      <x:c r="D55" s="337" t="n">
        <x:v>16</x:v>
      </x:c>
      <x:c r="E55" s="337" t="n">
        <x:v>0</x:v>
      </x:c>
      <x:c r="F55" s="337" t="n">
        <x:v>0</x:v>
      </x:c>
      <x:c r="G55" s="337" t="n">
        <x:v>5</x:v>
      </x:c>
    </x:row>
    <x:row r="56">
      <x:c r="A56" s="336" t="str">
        <x:v>黄金|治疗|一格</x:v>
      </x:c>
      <x:c r="B56" s="336" t="str">
        <x:v>黄金 / 治疗 / 一格</x:v>
      </x:c>
      <x:c r="C56" s="337" t="n">
        <x:v>52</x:v>
      </x:c>
      <x:c r="D56" s="337" t="n">
        <x:v>20</x:v>
      </x:c>
      <x:c r="E56" s="337" t="n">
        <x:v>0</x:v>
      </x:c>
      <x:c r="F56" s="337" t="n">
        <x:v>6</x:v>
      </x:c>
      <x:c r="G56" s="337" t="n">
        <x:v>3</x:v>
      </x:c>
    </x:row>
    <x:row r="57">
      <x:c r="A57" s="336" t="str">
        <x:v>黄金|治疗|两格</x:v>
      </x:c>
      <x:c r="B57" s="336" t="str">
        <x:v>黄金 / 治疗 / 两格</x:v>
      </x:c>
      <x:c r="C57" s="337" t="n">
        <x:v>58</x:v>
      </x:c>
      <x:c r="D57" s="337" t="n">
        <x:v>18</x:v>
      </x:c>
      <x:c r="E57" s="337" t="n">
        <x:v>0</x:v>
      </x:c>
      <x:c r="F57" s="337" t="n">
        <x:v>6</x:v>
      </x:c>
      <x:c r="G57" s="337" t="n">
        <x:v>3</x:v>
      </x:c>
    </x:row>
    <x:row r="58">
      <x:c r="A58" s="336" t="str">
        <x:v>黄金|治疗|三格</x:v>
      </x:c>
      <x:c r="B58" s="336" t="str">
        <x:v>黄金 / 治疗 / 三格</x:v>
      </x:c>
      <x:c r="C58" s="337" t="n">
        <x:v>64</x:v>
      </x:c>
      <x:c r="D58" s="337" t="n">
        <x:v>16</x:v>
      </x:c>
      <x:c r="E58" s="337" t="n">
        <x:v>0</x:v>
      </x:c>
      <x:c r="F58" s="337" t="n">
        <x:v>6</x:v>
      </x:c>
      <x:c r="G58" s="337" t="n">
        <x:v>2</x:v>
      </x:c>
    </x:row>
    <x:row r="59">
      <x:c r="A59" s="336" t="str">
        <x:v>黄金|经济|一格</x:v>
      </x:c>
      <x:c r="B59" s="336" t="str">
        <x:v>黄金 / 经济 / 一格</x:v>
      </x:c>
      <x:c r="C59" s="337" t="n">
        <x:v>46</x:v>
      </x:c>
      <x:c r="D59" s="337" t="n">
        <x:v>20</x:v>
      </x:c>
      <x:c r="E59" s="337" t="n">
        <x:v>0</x:v>
      </x:c>
      <x:c r="F59" s="337" t="n">
        <x:v>0</x:v>
      </x:c>
      <x:c r="G59" s="337" t="n">
        <x:v>3</x:v>
      </x:c>
    </x:row>
    <x:row r="60">
      <x:c r="A60" s="336" t="str">
        <x:v>黄金|经济|两格</x:v>
      </x:c>
      <x:c r="B60" s="336" t="str">
        <x:v>黄金 / 经济 / 两格</x:v>
      </x:c>
      <x:c r="C60" s="337" t="n">
        <x:v>52</x:v>
      </x:c>
      <x:c r="D60" s="337" t="n">
        <x:v>18</x:v>
      </x:c>
      <x:c r="E60" s="337" t="n">
        <x:v>0</x:v>
      </x:c>
      <x:c r="F60" s="337" t="n">
        <x:v>0</x:v>
      </x:c>
      <x:c r="G60" s="337" t="n">
        <x:v>3</x:v>
      </x:c>
    </x:row>
    <x:row r="61">
      <x:c r="A61" s="336" t="str">
        <x:v>黄金|经济|三格</x:v>
      </x:c>
      <x:c r="B61" s="336" t="str">
        <x:v>黄金 / 经济 / 三格</x:v>
      </x:c>
      <x:c r="C61" s="337" t="n">
        <x:v>58</x:v>
      </x:c>
      <x:c r="D61" s="337" t="n">
        <x:v>16</x:v>
      </x:c>
      <x:c r="E61" s="337" t="n">
        <x:v>0</x:v>
      </x:c>
      <x:c r="F61" s="337" t="n">
        <x:v>0</x:v>
      </x:c>
      <x:c r="G61" s="337" t="n">
        <x:v>2</x:v>
      </x:c>
    </x:row>
    <x:row r="62">
      <x:c r="A62" s="336" t="str">
        <x:v>黄金|召唤|一格</x:v>
      </x:c>
      <x:c r="B62" s="336" t="str">
        <x:v>黄金 / 召唤 / 一格</x:v>
      </x:c>
      <x:c r="C62" s="337" t="n">
        <x:v>54</x:v>
      </x:c>
      <x:c r="D62" s="337" t="n">
        <x:v>20</x:v>
      </x:c>
      <x:c r="E62" s="337" t="n">
        <x:v>0</x:v>
      </x:c>
      <x:c r="F62" s="337" t="n">
        <x:v>0</x:v>
      </x:c>
      <x:c r="G62" s="337" t="n">
        <x:v>3</x:v>
      </x:c>
    </x:row>
    <x:row r="63">
      <x:c r="A63" s="336" t="str">
        <x:v>黄金|召唤|两格</x:v>
      </x:c>
      <x:c r="B63" s="336" t="str">
        <x:v>黄金 / 召唤 / 两格</x:v>
      </x:c>
      <x:c r="C63" s="337" t="n">
        <x:v>60</x:v>
      </x:c>
      <x:c r="D63" s="337" t="n">
        <x:v>18</x:v>
      </x:c>
      <x:c r="E63" s="337" t="n">
        <x:v>0</x:v>
      </x:c>
      <x:c r="F63" s="337" t="n">
        <x:v>0</x:v>
      </x:c>
      <x:c r="G63" s="337" t="n">
        <x:v>3</x:v>
      </x:c>
    </x:row>
    <x:row r="64">
      <x:c r="A64" s="336" t="str">
        <x:v>黄金|召唤|三格</x:v>
      </x:c>
      <x:c r="B64" s="336" t="str">
        <x:v>黄金 / 召唤 / 三格</x:v>
      </x:c>
      <x:c r="C64" s="337" t="n">
        <x:v>66</x:v>
      </x:c>
      <x:c r="D64" s="337" t="n">
        <x:v>16</x:v>
      </x:c>
      <x:c r="E64" s="337" t="n">
        <x:v>0</x:v>
      </x:c>
      <x:c r="F64" s="337" t="n">
        <x:v>0</x:v>
      </x:c>
      <x:c r="G64" s="337" t="n">
        <x:v>2</x:v>
      </x:c>
    </x:row>
    <x:row r="65">
      <x:c r="A65" s="336" t="str">
        <x:v>黄金|坦克|一格</x:v>
      </x:c>
      <x:c r="B65" s="336" t="str">
        <x:v>黄金 / 坦克 / 一格</x:v>
      </x:c>
      <x:c r="C65" s="337" t="n">
        <x:v>60</x:v>
      </x:c>
      <x:c r="D65" s="337" t="n">
        <x:v>20</x:v>
      </x:c>
      <x:c r="E65" s="337" t="n">
        <x:v>0</x:v>
      </x:c>
      <x:c r="F65" s="337" t="n">
        <x:v>14</x:v>
      </x:c>
      <x:c r="G65" s="337" t="n">
        <x:v>3</x:v>
      </x:c>
    </x:row>
    <x:row r="66">
      <x:c r="A66" s="336" t="str">
        <x:v>黄金|坦克|两格</x:v>
      </x:c>
      <x:c r="B66" s="336" t="str">
        <x:v>黄金 / 坦克 / 两格</x:v>
      </x:c>
      <x:c r="C66" s="337" t="n">
        <x:v>66</x:v>
      </x:c>
      <x:c r="D66" s="337" t="n">
        <x:v>18</x:v>
      </x:c>
      <x:c r="E66" s="337" t="n">
        <x:v>0</x:v>
      </x:c>
      <x:c r="F66" s="337" t="n">
        <x:v>14</x:v>
      </x:c>
      <x:c r="G66" s="337" t="n">
        <x:v>3</x:v>
      </x:c>
    </x:row>
    <x:row r="67">
      <x:c r="A67" s="336" t="str">
        <x:v>黄金|坦克|三格</x:v>
      </x:c>
      <x:c r="B67" s="336" t="str">
        <x:v>黄金 / 坦克 / 三格</x:v>
      </x:c>
      <x:c r="C67" s="337" t="n">
        <x:v>72</x:v>
      </x:c>
      <x:c r="D67" s="337" t="n">
        <x:v>16</x:v>
      </x:c>
      <x:c r="E67" s="337" t="n">
        <x:v>0</x:v>
      </x:c>
      <x:c r="F67" s="337" t="n">
        <x:v>14</x:v>
      </x:c>
      <x:c r="G67" s="337" t="n">
        <x:v>2</x:v>
      </x:c>
    </x:row>
    <x:row r="68">
      <x:c r="A68" s="336" t="str">
        <x:v>钻石|输出|一格</x:v>
      </x:c>
      <x:c r="B68" s="336" t="str">
        <x:v>钻石 / 输出 / 一格</x:v>
      </x:c>
      <x:c r="C68" s="337" t="n">
        <x:v>58</x:v>
      </x:c>
      <x:c r="D68" s="337" t="n">
        <x:v>38</x:v>
      </x:c>
      <x:c r="E68" s="337" t="n">
        <x:v>0</x:v>
      </x:c>
      <x:c r="F68" s="337" t="n">
        <x:v>0</x:v>
      </x:c>
      <x:c r="G68" s="337" t="n">
        <x:v>3</x:v>
      </x:c>
    </x:row>
    <x:row r="69">
      <x:c r="A69" s="336" t="str">
        <x:v>钻石|输出|两格</x:v>
      </x:c>
      <x:c r="B69" s="336" t="str">
        <x:v>钻石 / 输出 / 两格</x:v>
      </x:c>
      <x:c r="C69" s="337" t="n">
        <x:v>64</x:v>
      </x:c>
      <x:c r="D69" s="337" t="n">
        <x:v>36</x:v>
      </x:c>
      <x:c r="E69" s="337" t="n">
        <x:v>0</x:v>
      </x:c>
      <x:c r="F69" s="337" t="n">
        <x:v>0</x:v>
      </x:c>
      <x:c r="G69" s="337" t="n">
        <x:v>3</x:v>
      </x:c>
    </x:row>
    <x:row r="70">
      <x:c r="A70" s="336" t="str">
        <x:v>钻石|输出|三格</x:v>
      </x:c>
      <x:c r="B70" s="336" t="str">
        <x:v>钻石 / 输出 / 三格</x:v>
      </x:c>
      <x:c r="C70" s="337" t="n">
        <x:v>70</x:v>
      </x:c>
      <x:c r="D70" s="337" t="n">
        <x:v>34</x:v>
      </x:c>
      <x:c r="E70" s="337" t="n">
        <x:v>0</x:v>
      </x:c>
      <x:c r="F70" s="337" t="n">
        <x:v>0</x:v>
      </x:c>
      <x:c r="G70" s="337" t="n">
        <x:v>2</x:v>
      </x:c>
    </x:row>
    <x:row r="71">
      <x:c r="A71" s="336" t="str">
        <x:v>钻石|控制|一格</x:v>
      </x:c>
      <x:c r="B71" s="336" t="str">
        <x:v>钻石 / 控制 / 一格</x:v>
      </x:c>
      <x:c r="C71" s="337" t="n">
        <x:v>62</x:v>
      </x:c>
      <x:c r="D71" s="337" t="n">
        <x:v>28</x:v>
      </x:c>
      <x:c r="E71" s="337" t="n">
        <x:v>0</x:v>
      </x:c>
      <x:c r="F71" s="337" t="n">
        <x:v>0</x:v>
      </x:c>
      <x:c r="G71" s="337" t="n">
        <x:v>4</x:v>
      </x:c>
    </x:row>
    <x:row r="72">
      <x:c r="A72" s="336" t="str">
        <x:v>钻石|控制|两格</x:v>
      </x:c>
      <x:c r="B72" s="336" t="str">
        <x:v>钻石 / 控制 / 两格</x:v>
      </x:c>
      <x:c r="C72" s="337" t="n">
        <x:v>68</x:v>
      </x:c>
      <x:c r="D72" s="337" t="n">
        <x:v>26</x:v>
      </x:c>
      <x:c r="E72" s="337" t="n">
        <x:v>0</x:v>
      </x:c>
      <x:c r="F72" s="337" t="n">
        <x:v>0</x:v>
      </x:c>
      <x:c r="G72" s="337" t="n">
        <x:v>4</x:v>
      </x:c>
    </x:row>
    <x:row r="73">
      <x:c r="A73" s="336" t="str">
        <x:v>钻石|控制|三格</x:v>
      </x:c>
      <x:c r="B73" s="336" t="str">
        <x:v>钻石 / 控制 / 三格</x:v>
      </x:c>
      <x:c r="C73" s="337" t="n">
        <x:v>74</x:v>
      </x:c>
      <x:c r="D73" s="337" t="n">
        <x:v>24</x:v>
      </x:c>
      <x:c r="E73" s="337" t="n">
        <x:v>0</x:v>
      </x:c>
      <x:c r="F73" s="337" t="n">
        <x:v>0</x:v>
      </x:c>
      <x:c r="G73" s="337" t="n">
        <x:v>4</x:v>
      </x:c>
    </x:row>
    <x:row r="74">
      <x:c r="A74" s="336" t="str">
        <x:v>钻石|机动|一格</x:v>
      </x:c>
      <x:c r="B74" s="336" t="str">
        <x:v>钻石 / 机动 / 一格</x:v>
      </x:c>
      <x:c r="C74" s="337" t="n">
        <x:v>58</x:v>
      </x:c>
      <x:c r="D74" s="337" t="n">
        <x:v>26</x:v>
      </x:c>
      <x:c r="E74" s="337" t="n">
        <x:v>0</x:v>
      </x:c>
      <x:c r="F74" s="337" t="n">
        <x:v>0</x:v>
      </x:c>
      <x:c r="G74" s="337" t="n">
        <x:v>5</x:v>
      </x:c>
    </x:row>
    <x:row r="75">
      <x:c r="A75" s="336" t="str">
        <x:v>钻石|机动|两格</x:v>
      </x:c>
      <x:c r="B75" s="336" t="str">
        <x:v>钻石 / 机动 / 两格</x:v>
      </x:c>
      <x:c r="C75" s="337" t="n">
        <x:v>64</x:v>
      </x:c>
      <x:c r="D75" s="337" t="n">
        <x:v>24</x:v>
      </x:c>
      <x:c r="E75" s="337" t="n">
        <x:v>0</x:v>
      </x:c>
      <x:c r="F75" s="337" t="n">
        <x:v>0</x:v>
      </x:c>
      <x:c r="G75" s="337" t="n">
        <x:v>5</x:v>
      </x:c>
    </x:row>
    <x:row r="76">
      <x:c r="A76" s="336" t="str">
        <x:v>钻石|机动|三格</x:v>
      </x:c>
      <x:c r="B76" s="336" t="str">
        <x:v>钻石 / 机动 / 三格</x:v>
      </x:c>
      <x:c r="C76" s="337" t="n">
        <x:v>70</x:v>
      </x:c>
      <x:c r="D76" s="337" t="n">
        <x:v>22</x:v>
      </x:c>
      <x:c r="E76" s="337" t="n">
        <x:v>0</x:v>
      </x:c>
      <x:c r="F76" s="337" t="n">
        <x:v>0</x:v>
      </x:c>
      <x:c r="G76" s="337" t="n">
        <x:v>5</x:v>
      </x:c>
    </x:row>
    <x:row r="77">
      <x:c r="A77" s="336" t="str">
        <x:v>钻石|治疗|一格</x:v>
      </x:c>
      <x:c r="B77" s="336" t="str">
        <x:v>钻石 / 治疗 / 一格</x:v>
      </x:c>
      <x:c r="C77" s="337" t="n">
        <x:v>64</x:v>
      </x:c>
      <x:c r="D77" s="337" t="n">
        <x:v>26</x:v>
      </x:c>
      <x:c r="E77" s="337" t="n">
        <x:v>0</x:v>
      </x:c>
      <x:c r="F77" s="337" t="n">
        <x:v>8</x:v>
      </x:c>
      <x:c r="G77" s="337" t="n">
        <x:v>3</x:v>
      </x:c>
    </x:row>
    <x:row r="78">
      <x:c r="A78" s="336" t="str">
        <x:v>钻石|治疗|两格</x:v>
      </x:c>
      <x:c r="B78" s="336" t="str">
        <x:v>钻石 / 治疗 / 两格</x:v>
      </x:c>
      <x:c r="C78" s="337" t="n">
        <x:v>70</x:v>
      </x:c>
      <x:c r="D78" s="337" t="n">
        <x:v>24</x:v>
      </x:c>
      <x:c r="E78" s="337" t="n">
        <x:v>0</x:v>
      </x:c>
      <x:c r="F78" s="337" t="n">
        <x:v>8</x:v>
      </x:c>
      <x:c r="G78" s="337" t="n">
        <x:v>3</x:v>
      </x:c>
    </x:row>
    <x:row r="79">
      <x:c r="A79" s="336" t="str">
        <x:v>钻石|治疗|三格</x:v>
      </x:c>
      <x:c r="B79" s="336" t="str">
        <x:v>钻石 / 治疗 / 三格</x:v>
      </x:c>
      <x:c r="C79" s="337" t="n">
        <x:v>76</x:v>
      </x:c>
      <x:c r="D79" s="337" t="n">
        <x:v>22</x:v>
      </x:c>
      <x:c r="E79" s="337" t="n">
        <x:v>0</x:v>
      </x:c>
      <x:c r="F79" s="337" t="n">
        <x:v>8</x:v>
      </x:c>
      <x:c r="G79" s="337" t="n">
        <x:v>2</x:v>
      </x:c>
    </x:row>
    <x:row r="80">
      <x:c r="A80" s="336" t="str">
        <x:v>钻石|经济|一格</x:v>
      </x:c>
      <x:c r="B80" s="336" t="str">
        <x:v>钻石 / 经济 / 一格</x:v>
      </x:c>
      <x:c r="C80" s="337" t="n">
        <x:v>58</x:v>
      </x:c>
      <x:c r="D80" s="337" t="n">
        <x:v>26</x:v>
      </x:c>
      <x:c r="E80" s="337" t="n">
        <x:v>0</x:v>
      </x:c>
      <x:c r="F80" s="337" t="n">
        <x:v>0</x:v>
      </x:c>
      <x:c r="G80" s="337" t="n">
        <x:v>3</x:v>
      </x:c>
    </x:row>
    <x:row r="81">
      <x:c r="A81" s="336" t="str">
        <x:v>钻石|经济|两格</x:v>
      </x:c>
      <x:c r="B81" s="336" t="str">
        <x:v>钻石 / 经济 / 两格</x:v>
      </x:c>
      <x:c r="C81" s="337" t="n">
        <x:v>64</x:v>
      </x:c>
      <x:c r="D81" s="337" t="n">
        <x:v>24</x:v>
      </x:c>
      <x:c r="E81" s="337" t="n">
        <x:v>0</x:v>
      </x:c>
      <x:c r="F81" s="337" t="n">
        <x:v>0</x:v>
      </x:c>
      <x:c r="G81" s="337" t="n">
        <x:v>3</x:v>
      </x:c>
    </x:row>
    <x:row r="82">
      <x:c r="A82" s="336" t="str">
        <x:v>钻石|经济|三格</x:v>
      </x:c>
      <x:c r="B82" s="336" t="str">
        <x:v>钻石 / 经济 / 三格</x:v>
      </x:c>
      <x:c r="C82" s="337" t="n">
        <x:v>70</x:v>
      </x:c>
      <x:c r="D82" s="337" t="n">
        <x:v>22</x:v>
      </x:c>
      <x:c r="E82" s="337" t="n">
        <x:v>0</x:v>
      </x:c>
      <x:c r="F82" s="337" t="n">
        <x:v>0</x:v>
      </x:c>
      <x:c r="G82" s="337" t="n">
        <x:v>2</x:v>
      </x:c>
    </x:row>
    <x:row r="83">
      <x:c r="A83" s="336" t="str">
        <x:v>钻石|召唤|一格</x:v>
      </x:c>
      <x:c r="B83" s="336" t="str">
        <x:v>钻石 / 召唤 / 一格</x:v>
      </x:c>
      <x:c r="C83" s="337" t="n">
        <x:v>66</x:v>
      </x:c>
      <x:c r="D83" s="337" t="n">
        <x:v>26</x:v>
      </x:c>
      <x:c r="E83" s="337" t="n">
        <x:v>0</x:v>
      </x:c>
      <x:c r="F83" s="337" t="n">
        <x:v>0</x:v>
      </x:c>
      <x:c r="G83" s="337" t="n">
        <x:v>3</x:v>
      </x:c>
    </x:row>
    <x:row r="84">
      <x:c r="A84" s="336" t="str">
        <x:v>钻石|召唤|两格</x:v>
      </x:c>
      <x:c r="B84" s="336" t="str">
        <x:v>钻石 / 召唤 / 两格</x:v>
      </x:c>
      <x:c r="C84" s="337" t="n">
        <x:v>72</x:v>
      </x:c>
      <x:c r="D84" s="337" t="n">
        <x:v>24</x:v>
      </x:c>
      <x:c r="E84" s="337" t="n">
        <x:v>0</x:v>
      </x:c>
      <x:c r="F84" s="337" t="n">
        <x:v>0</x:v>
      </x:c>
      <x:c r="G84" s="337" t="n">
        <x:v>3</x:v>
      </x:c>
    </x:row>
    <x:row r="85">
      <x:c r="A85" s="336" t="str">
        <x:v>钻石|召唤|三格</x:v>
      </x:c>
      <x:c r="B85" s="336" t="str">
        <x:v>钻石 / 召唤 / 三格</x:v>
      </x:c>
      <x:c r="C85" s="337" t="n">
        <x:v>78</x:v>
      </x:c>
      <x:c r="D85" s="337" t="n">
        <x:v>22</x:v>
      </x:c>
      <x:c r="E85" s="337" t="n">
        <x:v>0</x:v>
      </x:c>
      <x:c r="F85" s="337" t="n">
        <x:v>0</x:v>
      </x:c>
      <x:c r="G85" s="337" t="n">
        <x:v>2</x:v>
      </x:c>
    </x:row>
    <x:row r="86">
      <x:c r="A86" s="336" t="str">
        <x:v>钻石|坦克|一格</x:v>
      </x:c>
      <x:c r="B86" s="336" t="str">
        <x:v>钻石 / 坦克 / 一格</x:v>
      </x:c>
      <x:c r="C86" s="337" t="n">
        <x:v>72</x:v>
      </x:c>
      <x:c r="D86" s="337" t="n">
        <x:v>26</x:v>
      </x:c>
      <x:c r="E86" s="337" t="n">
        <x:v>0</x:v>
      </x:c>
      <x:c r="F86" s="337" t="n">
        <x:v>18</x:v>
      </x:c>
      <x:c r="G86" s="337" t="n">
        <x:v>3</x:v>
      </x:c>
    </x:row>
    <x:row r="87">
      <x:c r="A87" s="336" t="str">
        <x:v>钻石|坦克|两格</x:v>
      </x:c>
      <x:c r="B87" s="336" t="str">
        <x:v>钻石 / 坦克 / 两格</x:v>
      </x:c>
      <x:c r="C87" s="337" t="n">
        <x:v>78</x:v>
      </x:c>
      <x:c r="D87" s="337" t="n">
        <x:v>24</x:v>
      </x:c>
      <x:c r="E87" s="337" t="n">
        <x:v>0</x:v>
      </x:c>
      <x:c r="F87" s="337" t="n">
        <x:v>18</x:v>
      </x:c>
      <x:c r="G87" s="337" t="n">
        <x:v>3</x:v>
      </x:c>
    </x:row>
    <x:row r="88">
      <x:c r="A88" s="338" t="str">
        <x:v>钻石|坦克|三格</x:v>
      </x:c>
      <x:c r="B88" s="338" t="str">
        <x:v>钻石 / 坦克 / 三格</x:v>
      </x:c>
      <x:c r="C88" s="339" t="n">
        <x:v>84</x:v>
      </x:c>
      <x:c r="D88" s="339" t="n">
        <x:v>22</x:v>
      </x:c>
      <x:c r="E88" s="339" t="n">
        <x:v>0</x:v>
      </x:c>
      <x:c r="F88" s="339" t="n">
        <x:v>18</x:v>
      </x:c>
      <x:c r="G88" s="339" t="n">
        <x:v>2</x:v>
      </x:c>
    </x:row>
  </x:sheetData>
  <x:mergeCells>
    <x:mergeCell ref="A1:G1"/>
    <x:mergeCell ref="A2:G2"/>
  </x:mergeCells>
  <x:conditionalFormatting sqref="A5:G88">
    <x:cfRule type="colorScale" priority="1">
      <x:colorScale>
        <x:cfvo type="min"/>
        <x:cfvo type="percentile" val="50"/>
        <x:cfvo type="max"/>
        <x:color rgb="FFEFF6FF"/>
        <x:color rgb="FFDBEAFE"/>
        <x:color rgb="FFBFDBF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003aea6287b4ba9"/>
  </x:tableParts>
</x:worksheet>
</file>