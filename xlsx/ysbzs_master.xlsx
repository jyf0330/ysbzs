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4f7390226d4c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f18892fe4cf4d87"/>
    <x:sheet xmlns:r="http://schemas.openxmlformats.org/officeDocument/2006/relationships" name="PETS" sheetId="2" r:id="Re653d9b52bb84ea5"/>
    <x:sheet xmlns:r="http://schemas.openxmlformats.org/officeDocument/2006/relationships" name="SHOP_STORES" sheetId="3" r:id="Rb73d75ae69e0448b"/>
    <x:sheet xmlns:r="http://schemas.openxmlformats.org/officeDocument/2006/relationships" name="WAVES" sheetId="4" r:id="R7fe2c1538f9e4dae"/>
    <x:sheet xmlns:r="http://schemas.openxmlformats.org/officeDocument/2006/relationships" name="SHOP_ITEMS" sheetId="5" r:id="R534561e844684438"/>
    <x:sheet xmlns:r="http://schemas.openxmlformats.org/officeDocument/2006/relationships" name="MECHANICS_QUALITY" sheetId="6" r:id="Rc11d1052cc8c4fd9"/>
    <x:sheet xmlns:r="http://schemas.openxmlformats.org/officeDocument/2006/relationships" name="SHAPES_TRIALS" sheetId="7" r:id="Reb218da93bf54133"/>
    <x:sheet xmlns:r="http://schemas.openxmlformats.org/officeDocument/2006/relationships" name="BAZAAR_OBJECTS" sheetId="8" r:id="R0adcc5cf410f4e29"/>
    <x:sheet xmlns:r="http://schemas.openxmlformats.org/officeDocument/2006/relationships" name="SHOP_MAPPING" sheetId="9" r:id="R544bc134780641df"/>
    <x:sheet xmlns:r="http://schemas.openxmlformats.org/officeDocument/2006/relationships" name="ENCHANTMENTS" sheetId="10" r:id="R12e643c7e57f42d6"/>
    <x:sheet xmlns:r="http://schemas.openxmlformats.org/officeDocument/2006/relationships" name="PET_ENCHANTMENTS" sheetId="11" r:id="R34e8b20273094fca"/>
    <x:sheet xmlns:r="http://schemas.openxmlformats.org/officeDocument/2006/relationships" name="AUDIT" sheetId="12" r:id="Rc4c94f4889eb40f9"/>
    <x:sheet xmlns:r="http://schemas.openxmlformats.org/officeDocument/2006/relationships" name="ATTRIBUTES_EFFECTS" sheetId="13" r:id="Rd71fc860875e44c1"/>
    <x:sheet xmlns:r="http://schemas.openxmlformats.org/officeDocument/2006/relationships" name="PET_STAT_RULES" sheetId="14" r:id="Re7dd0c00b78f4d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1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</x:fonts>
  <x:fills count="9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8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41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17aaecb0fd4dca" /><Relationship Type="http://schemas.openxmlformats.org/officeDocument/2006/relationships/theme" Target="/xl/theme/theme1.xml" Id="Rf40af8015d2f47b4" /><Relationship Type="http://schemas.openxmlformats.org/officeDocument/2006/relationships/sharedStrings" Target="/xl/sharedStrings.xml" Id="R4c31f23b46d243a0" /><Relationship Type="http://schemas.openxmlformats.org/officeDocument/2006/relationships/worksheet" Target="/xl/worksheets/sheet1.xml" Id="R3f18892fe4cf4d87" /><Relationship Type="http://schemas.openxmlformats.org/officeDocument/2006/relationships/worksheet" Target="/xl/worksheets/sheet2.xml" Id="Re653d9b52bb84ea5" /><Relationship Type="http://schemas.openxmlformats.org/officeDocument/2006/relationships/worksheet" Target="/xl/worksheets/sheet3.xml" Id="Rb73d75ae69e0448b" /><Relationship Type="http://schemas.openxmlformats.org/officeDocument/2006/relationships/worksheet" Target="/xl/worksheets/sheet4.xml" Id="R7fe2c1538f9e4dae" /><Relationship Type="http://schemas.openxmlformats.org/officeDocument/2006/relationships/worksheet" Target="/xl/worksheets/sheet5.xml" Id="R534561e844684438" /><Relationship Type="http://schemas.openxmlformats.org/officeDocument/2006/relationships/worksheet" Target="/xl/worksheets/sheet6.xml" Id="Rc11d1052cc8c4fd9" /><Relationship Type="http://schemas.openxmlformats.org/officeDocument/2006/relationships/worksheet" Target="/xl/worksheets/sheet7.xml" Id="Reb218da93bf54133" /><Relationship Type="http://schemas.openxmlformats.org/officeDocument/2006/relationships/worksheet" Target="/xl/worksheets/sheet8.xml" Id="R0adcc5cf410f4e29" /><Relationship Type="http://schemas.openxmlformats.org/officeDocument/2006/relationships/worksheet" Target="/xl/worksheets/sheet9.xml" Id="R544bc134780641df" /><Relationship Type="http://schemas.openxmlformats.org/officeDocument/2006/relationships/worksheet" Target="/xl/worksheets/sheet10.xml" Id="R12e643c7e57f42d6" /><Relationship Type="http://schemas.openxmlformats.org/officeDocument/2006/relationships/worksheet" Target="/xl/worksheets/sheet11.xml" Id="R34e8b20273094fca" /><Relationship Type="http://schemas.openxmlformats.org/officeDocument/2006/relationships/worksheet" Target="/xl/worksheets/sheet12.xml" Id="Rc4c94f4889eb40f9" /><Relationship Type="http://schemas.openxmlformats.org/officeDocument/2006/relationships/worksheet" Target="/xl/worksheets/sheet13.xml" Id="Rd71fc860875e44c1" /><Relationship Type="http://schemas.openxmlformats.org/officeDocument/2006/relationships/worksheet" Target="/xl/worksheets/sheet14.xml" Id="Re7dd0c00b78f4d9a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aef0b93f2d84c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08d67efcbf48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8e670374635499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c6c29992795b40c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66256ddc57b54f2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1df032b887654d9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53b4432fc5c846a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4b07e7a7ffdd43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f>XLOOKUP($D2&amp;"|"&amp;$E2&amp;"|"&amp;$F2,'PET_STAT_RULES'!$A$5:$A$88,'PET_STAT_RULES'!$C$5:$C$88)</x:f>
        <x:v>28</x:v>
      </x:c>
      <x:c r="K2" s="340" t="n">
        <x:f>XLOOKUP($D2&amp;"|"&amp;$E2&amp;"|"&amp;$F2,'PET_STAT_RULES'!$A$5:$A$88,'PET_STAT_RULES'!$D$5:$D$88)</x:f>
        <x:v>8</x:v>
      </x:c>
      <x:c r="L2" s="340" t="n">
        <x:f>XLOOKUP($D2&amp;"|"&amp;$E2&amp;"|"&amp;$F2,'PET_STAT_RULES'!$A$5:$A$88,'PET_STAT_RULES'!$F$5:$F$88)</x:f>
        <x:v>2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f>XLOOKUP($D2&amp;"|"&amp;$E2&amp;"|"&amp;$F2,'PET_STAT_RULES'!$A$5:$A$88,'PET_STAT_RULES'!$E$5:$E$88)</x:f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f>XLOOKUP($D3&amp;"|"&amp;$E3&amp;"|"&amp;$F3,'PET_STAT_RULES'!$A$5:$A$88,'PET_STAT_RULES'!$C$5:$C$88)</x:f>
        <x:v>58</x:v>
      </x:c>
      <x:c r="K3" s="340" t="n">
        <x:f>XLOOKUP($D3&amp;"|"&amp;$E3&amp;"|"&amp;$F3,'PET_STAT_RULES'!$A$5:$A$88,'PET_STAT_RULES'!$D$5:$D$88)</x:f>
        <x:v>18</x:v>
      </x:c>
      <x:c r="L3" s="340" t="n">
        <x:f>XLOOKUP($D3&amp;"|"&amp;$E3&amp;"|"&amp;$F3,'PET_STAT_RULES'!$A$5:$A$88,'PET_STAT_RULES'!$F$5:$F$88)</x:f>
        <x:v>6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f>XLOOKUP($D3&amp;"|"&amp;$E3&amp;"|"&amp;$F3,'PET_STAT_RULES'!$A$5:$A$88,'PET_STAT_RULES'!$E$5:$E$88)</x:f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f>XLOOKUP($D4&amp;"|"&amp;$E4&amp;"|"&amp;$F4,'PET_STAT_RULES'!$A$5:$A$88,'PET_STAT_RULES'!$C$5:$C$88)</x:f>
        <x:v>40</x:v>
      </x:c>
      <x:c r="K4" s="340" t="n">
        <x:f>XLOOKUP($D4&amp;"|"&amp;$E4&amp;"|"&amp;$F4,'PET_STAT_RULES'!$A$5:$A$88,'PET_STAT_RULES'!$D$5:$D$88)</x:f>
        <x:v>12</x:v>
      </x:c>
      <x:c r="L4" s="340" t="n">
        <x:f>XLOOKUP($D4&amp;"|"&amp;$E4&amp;"|"&amp;$F4,'PET_STAT_RULES'!$A$5:$A$88,'PET_STAT_RULES'!$F$5:$F$88)</x:f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f>XLOOKUP($D4&amp;"|"&amp;$E4&amp;"|"&amp;$F4,'PET_STAT_RULES'!$A$5:$A$88,'PET_STAT_RULES'!$E$5:$E$88)</x:f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f>XLOOKUP($D5&amp;"|"&amp;$E5&amp;"|"&amp;$F5,'PET_STAT_RULES'!$A$5:$A$88,'PET_STAT_RULES'!$C$5:$C$88)</x:f>
        <x:v>40</x:v>
      </x:c>
      <x:c r="K5" s="340" t="n">
        <x:f>XLOOKUP($D5&amp;"|"&amp;$E5&amp;"|"&amp;$F5,'PET_STAT_RULES'!$A$5:$A$88,'PET_STAT_RULES'!$D$5:$D$88)</x:f>
        <x:v>12</x:v>
      </x:c>
      <x:c r="L5" s="340" t="n">
        <x:f>XLOOKUP($D5&amp;"|"&amp;$E5&amp;"|"&amp;$F5,'PET_STAT_RULES'!$A$5:$A$88,'PET_STAT_RULES'!$F$5:$F$88)</x:f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f>XLOOKUP($D5&amp;"|"&amp;$E5&amp;"|"&amp;$F5,'PET_STAT_RULES'!$A$5:$A$88,'PET_STAT_RULES'!$E$5:$E$88)</x:f>
        <x:v>0</x:v>
      </x:c>
    </x:row>
    <x:row r="6">
      <x:c r="A6" s="38" t="str">
        <x:v>pal_005</x:v>
      </x:c>
      <x:c r="B6" s="38" t="str">
        <x:v>赤尾狐</x:v>
      </x:c>
      <x:c r="C6" s="38" t="str">
        <x:v>雷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elem_水, elem_雷, elem_地, elem_暗, role_坦克, role_控制, role_治疗, role_机动, role_风系铺场</x:v>
      </x:c>
      <x:c r="I6" s="38" t="n">
        <x:v>10</x:v>
      </x:c>
      <x:c r="J6" s="340" t="n">
        <x:f>XLOOKUP($D6&amp;"|"&amp;$E6&amp;"|"&amp;$F6,'PET_STAT_RULES'!$A$5:$A$88,'PET_STAT_RULES'!$C$5:$C$88)</x:f>
        <x:v>58</x:v>
      </x:c>
      <x:c r="K6" s="340" t="n">
        <x:f>XLOOKUP($D6&amp;"|"&amp;$E6&amp;"|"&amp;$F6,'PET_STAT_RULES'!$A$5:$A$88,'PET_STAT_RULES'!$D$5:$D$88)</x:f>
        <x:v>26</x:v>
      </x:c>
      <x:c r="L6" s="340" t="n">
        <x:f>XLOOKUP($D6&amp;"|"&amp;$E6&amp;"|"&amp;$F6,'PET_STAT_RULES'!$A$5:$A$88,'PET_STAT_RULES'!$F$5:$F$88)</x:f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mech_grow_atk_each_round</x:v>
      </x:c>
      <x:c r="P6" s="38" t="str">
        <x:v>13 形状13</x:v>
      </x:c>
      <x:c r="Q6" s="38" t="str">
        <x:v>Deadly</x:v>
      </x:c>
      <x:c r="R6" s="38" t="str">
        <x:v>item confirmed；来源=Ballista；攻击3格；仅保留来源商人/训练师关系。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f>XLOOKUP($D6&amp;"|"&amp;$E6&amp;"|"&amp;$F6,'PET_STAT_RULES'!$A$5:$A$88,'PET_STAT_RULES'!$E$5:$E$88)</x:f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f>XLOOKUP($D7&amp;"|"&amp;$E7&amp;"|"&amp;$F7,'PET_STAT_RULES'!$A$5:$A$88,'PET_STAT_RULES'!$C$5:$C$88)</x:f>
        <x:v>42</x:v>
      </x:c>
      <x:c r="K7" s="340" t="n">
        <x:f>XLOOKUP($D7&amp;"|"&amp;$E7&amp;"|"&amp;$F7,'PET_STAT_RULES'!$A$5:$A$88,'PET_STAT_RULES'!$D$5:$D$88)</x:f>
        <x:v>6</x:v>
      </x:c>
      <x:c r="L7" s="340" t="n">
        <x:f>XLOOKUP($D7&amp;"|"&amp;$E7&amp;"|"&amp;$F7,'PET_STAT_RULES'!$A$5:$A$88,'PET_STAT_RULES'!$F$5:$F$88)</x:f>
        <x:v>6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f>XLOOKUP($D7&amp;"|"&amp;$E7&amp;"|"&amp;$F7,'PET_STAT_RULES'!$A$5:$A$88,'PET_STAT_RULES'!$E$5:$E$88)</x:f>
        <x:v>0</x:v>
      </x:c>
    </x:row>
    <x:row r="8">
      <x:c r="A8" s="38" t="str">
        <x:v>pal_007</x:v>
      </x:c>
      <x:c r="B8" s="38" t="str">
        <x:v>雷须猫</x:v>
      </x:c>
      <x:c r="C8" s="38" t="str">
        <x:v>地</x:v>
      </x:c>
      <x:c r="D8" s="259" t="str">
        <x:v>青铜</x:v>
      </x:c>
      <x:c r="E8" s="38" t="str">
        <x:v>输出</x:v>
      </x:c>
      <x:c r="F8" s="38" t="str">
        <x:v>一格</x:v>
      </x:c>
      <x:c r="G8" s="38" t="str">
        <x:v>bz_van_007</x:v>
      </x:c>
      <x:c r="H8" s="38" t="str">
        <x:v>night_base, elem_火, elem_雷, elem_地, elem_暗, role_召唤, role_坦克, role_控制, role_治疗, role_经济</x:v>
      </x:c>
      <x:c r="I8" s="38" t="n">
        <x:v>10</x:v>
      </x:c>
      <x:c r="J8" s="340" t="n">
        <x:f>XLOOKUP($D8&amp;"|"&amp;$E8&amp;"|"&amp;$F8,'PET_STAT_RULES'!$A$5:$A$88,'PET_STAT_RULES'!$C$5:$C$88)</x:f>
        <x:v>22</x:v>
      </x:c>
      <x:c r="K8" s="340" t="n">
        <x:f>XLOOKUP($D8&amp;"|"&amp;$E8&amp;"|"&amp;$F8,'PET_STAT_RULES'!$A$5:$A$88,'PET_STAT_RULES'!$D$5:$D$88)</x:f>
        <x:v>14</x:v>
      </x:c>
      <x:c r="L8" s="340" t="n">
        <x:f>XLOOKUP($D8&amp;"|"&amp;$E8&amp;"|"&amp;$F8,'PET_STAT_RULES'!$A$5:$A$88,'PET_STAT_RULES'!$F$5:$F$88)</x:f>
        <x:v>0</x:v>
      </x:c>
      <x:c r="M8" s="340" t="n">
        <x:f>XLOOKUP($D8&amp;"|"&amp;$E8&amp;"|"&amp;$F8,'PET_STAT_RULES'!$A$5:$A$88,'PET_STAT_RULES'!$G$5:$G$88)</x:f>
        <x:v>3</x:v>
      </x:c>
      <x:c r="N8" s="38" t="n">
        <x:v>1</x:v>
      </x:c>
      <x:c r="O8" s="38" t="str">
        <x:v>mech_grow_atk_each_round</x:v>
      </x:c>
      <x:c r="P8" s="38" t="str">
        <x:v>04 形状04</x:v>
      </x:c>
      <x:c r="Q8" s="38" t="str">
        <x:v>Deadly</x:v>
      </x:c>
      <x:c r="R8" s="38" t="str">
        <x:v>item confirmed；来源=Bayonet；攻击1格；仅保留来源商人/训练师关系。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f>XLOOKUP($D8&amp;"|"&amp;$E8&amp;"|"&amp;$F8,'PET_STAT_RULES'!$A$5:$A$88,'PET_STAT_RULES'!$E$5:$E$88)</x:f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f>XLOOKUP($D9&amp;"|"&amp;$E9&amp;"|"&amp;$F9,'PET_STAT_RULES'!$A$5:$A$88,'PET_STAT_RULES'!$C$5:$C$88)</x:f>
        <x:v>28</x:v>
      </x:c>
      <x:c r="K9" s="340" t="n">
        <x:f>XLOOKUP($D9&amp;"|"&amp;$E9&amp;"|"&amp;$F9,'PET_STAT_RULES'!$A$5:$A$88,'PET_STAT_RULES'!$D$5:$D$88)</x:f>
        <x:v>6</x:v>
      </x:c>
      <x:c r="L9" s="340" t="n">
        <x:f>XLOOKUP($D9&amp;"|"&amp;$E9&amp;"|"&amp;$F9,'PET_STAT_RULES'!$A$5:$A$88,'PET_STAT_RULES'!$F$5:$F$88)</x:f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f>XLOOKUP($D9&amp;"|"&amp;$E9&amp;"|"&amp;$F9,'PET_STAT_RULES'!$A$5:$A$88,'PET_STAT_RULES'!$E$5:$E$88)</x:f>
        <x:v>0</x:v>
      </x:c>
    </x:row>
    <x:row r="10">
      <x:c r="A10" s="38" t="str">
        <x:v>pal_009</x:v>
      </x:c>
      <x:c r="B10" s="38" t="str">
        <x:v>火角鹿</x:v>
      </x:c>
      <x:c r="C10" s="38" t="str">
        <x:v>水</x:v>
      </x:c>
      <x:c r="D10" s="259" t="str">
        <x:v>青铜</x:v>
      </x:c>
      <x:c r="E10" s="38" t="str">
        <x:v>输出</x:v>
      </x:c>
      <x:c r="F10" s="38" t="str">
        <x:v>一格</x:v>
      </x:c>
      <x:c r="G10" s="38" t="str">
        <x:v>bz_van_009</x:v>
      </x:c>
      <x:c r="H10" s="38" t="str">
        <x:v>night_base, elem_火, elem_雷, elem_地, role_召唤, role_坦克, role_控制, role_治疗, role_输出, role_经济</x:v>
      </x:c>
      <x:c r="I10" s="38" t="n">
        <x:v>10</x:v>
      </x:c>
      <x:c r="J10" s="340" t="n">
        <x:f>XLOOKUP($D10&amp;"|"&amp;$E10&amp;"|"&amp;$F10,'PET_STAT_RULES'!$A$5:$A$88,'PET_STAT_RULES'!$C$5:$C$88)</x:f>
        <x:v>22</x:v>
      </x:c>
      <x:c r="K10" s="340" t="n">
        <x:f>XLOOKUP($D10&amp;"|"&amp;$E10&amp;"|"&amp;$F10,'PET_STAT_RULES'!$A$5:$A$88,'PET_STAT_RULES'!$D$5:$D$88)</x:f>
        <x:v>14</x:v>
      </x:c>
      <x:c r="L10" s="340" t="n">
        <x:f>XLOOKUP($D10&amp;"|"&amp;$E10&amp;"|"&amp;$F10,'PET_STAT_RULES'!$A$5:$A$88,'PET_STAT_RULES'!$F$5:$F$88)</x:f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mech_grow_atk_each_round</x:v>
      </x:c>
      <x:c r="P10" s="38" t="str">
        <x:v>01 形状01</x:v>
      </x:c>
      <x:c r="Q10" s="38" t="str">
        <x:v>Deadly</x:v>
      </x:c>
      <x:c r="R10" s="38" t="str">
        <x:v>item confirmed；来源=Bilge Worm；攻击1格；仅保留来源商人/训练师关系。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f>XLOOKUP($D10&amp;"|"&amp;$E10&amp;"|"&amp;$F10,'PET_STAT_RULES'!$A$5:$A$88,'PET_STAT_RULES'!$E$5:$E$88)</x:f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f>XLOOKUP($D11&amp;"|"&amp;$E11&amp;"|"&amp;$F11,'PET_STAT_RULES'!$A$5:$A$88,'PET_STAT_RULES'!$C$5:$C$88)</x:f>
        <x:v>40</x:v>
      </x:c>
      <x:c r="K11" s="340" t="n">
        <x:f>XLOOKUP($D11&amp;"|"&amp;$E11&amp;"|"&amp;$F11,'PET_STAT_RULES'!$A$5:$A$88,'PET_STAT_RULES'!$D$5:$D$88)</x:f>
        <x:v>12</x:v>
      </x:c>
      <x:c r="L11" s="340" t="n">
        <x:f>XLOOKUP($D11&amp;"|"&amp;$E11&amp;"|"&amp;$F11,'PET_STAT_RULES'!$A$5:$A$88,'PET_STAT_RULES'!$F$5:$F$88)</x:f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f>XLOOKUP($D11&amp;"|"&amp;$E11&amp;"|"&amp;$F11,'PET_STAT_RULES'!$A$5:$A$88,'PET_STAT_RULES'!$E$5:$E$88)</x:f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f>XLOOKUP($D12&amp;"|"&amp;$E12&amp;"|"&amp;$F12,'PET_STAT_RULES'!$A$5:$A$88,'PET_STAT_RULES'!$C$5:$C$88)</x:f>
        <x:v>50</x:v>
      </x:c>
      <x:c r="K12" s="340" t="n">
        <x:f>XLOOKUP($D12&amp;"|"&amp;$E12&amp;"|"&amp;$F12,'PET_STAT_RULES'!$A$5:$A$88,'PET_STAT_RULES'!$D$5:$D$88)</x:f>
        <x:v>22</x:v>
      </x:c>
      <x:c r="L12" s="340" t="n">
        <x:f>XLOOKUP($D12&amp;"|"&amp;$E12&amp;"|"&amp;$F12,'PET_STAT_RULES'!$A$5:$A$88,'PET_STAT_RULES'!$F$5:$F$88)</x:f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f>XLOOKUP($D12&amp;"|"&amp;$E12&amp;"|"&amp;$F12,'PET_STAT_RULES'!$A$5:$A$88,'PET_STAT_RULES'!$E$5:$E$88)</x:f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elem_水, elem_雷, elem_无, role_召唤, role_坦克, role_控制, role_治疗, role_机动, tier_pT2</x:v>
      </x:c>
      <x:c r="I13" s="38" t="n">
        <x:v>10</x:v>
      </x:c>
      <x:c r="J13" s="340" t="n">
        <x:f>XLOOKUP($D13&amp;"|"&amp;$E13&amp;"|"&amp;$F13,'PET_STAT_RULES'!$A$5:$A$88,'PET_STAT_RULES'!$C$5:$C$88)</x:f>
        <x:v>52</x:v>
      </x:c>
      <x:c r="K13" s="340" t="n">
        <x:f>XLOOKUP($D13&amp;"|"&amp;$E13&amp;"|"&amp;$F13,'PET_STAT_RULES'!$A$5:$A$88,'PET_STAT_RULES'!$D$5:$D$88)</x:f>
        <x:v>28</x:v>
      </x:c>
      <x:c r="L13" s="340" t="n">
        <x:f>XLOOKUP($D13&amp;"|"&amp;$E13&amp;"|"&amp;$F13,'PET_STAT_RULES'!$A$5:$A$88,'PET_STAT_RULES'!$F$5:$F$88)</x:f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mech_fire_ignite_bonus</x:v>
      </x:c>
      <x:c r="P13" s="38" t="str">
        <x:v>17 形状17</x:v>
      </x:c>
      <x:c r="Q13" s="38" t="str">
        <x:v>Fiery</x:v>
      </x:c>
      <x:c r="R13" s="38" t="str">
        <x:v>item confirmed；来源=Blunderbuss；攻击3格；仅保留来源商人/训练师关系。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f>XLOOKUP($D13&amp;"|"&amp;$E13&amp;"|"&amp;$F13,'PET_STAT_RULES'!$A$5:$A$88,'PET_STAT_RULES'!$E$5:$E$88)</x:f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f>XLOOKUP($D14&amp;"|"&amp;$E14&amp;"|"&amp;$F14,'PET_STAT_RULES'!$A$5:$A$88,'PET_STAT_RULES'!$C$5:$C$88)</x:f>
        <x:v>26</x:v>
      </x:c>
      <x:c r="K14" s="340" t="n">
        <x:f>XLOOKUP($D14&amp;"|"&amp;$E14&amp;"|"&amp;$F14,'PET_STAT_RULES'!$A$5:$A$88,'PET_STAT_RULES'!$D$5:$D$88)</x:f>
        <x:v>10</x:v>
      </x:c>
      <x:c r="L14" s="340" t="n">
        <x:f>XLOOKUP($D14&amp;"|"&amp;$E14&amp;"|"&amp;$F14,'PET_STAT_RULES'!$A$5:$A$88,'PET_STAT_RULES'!$F$5:$F$88)</x:f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f>XLOOKUP($D14&amp;"|"&amp;$E14&amp;"|"&amp;$F14,'PET_STAT_RULES'!$A$5:$A$88,'PET_STAT_RULES'!$E$5:$E$88)</x:f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机动</x:v>
      </x:c>
      <x:c r="F15" s="38" t="str">
        <x:v>两格</x:v>
      </x:c>
      <x:c r="G15" s="38" t="str">
        <x:v>bz_van_014</x:v>
      </x:c>
      <x:c r="H15" s="38" t="str">
        <x:v>elem_水, elem_雷, elem_冰, elem_无, role_召唤, role_坦克, role_控制, special_merchant, elite_high, tier_pT2</x:v>
      </x:c>
      <x:c r="I15" s="38" t="n">
        <x:v>10</x:v>
      </x:c>
      <x:c r="J15" s="340" t="n">
        <x:f>XLOOKUP($D15&amp;"|"&amp;$E15&amp;"|"&amp;$F15,'PET_STAT_RULES'!$A$5:$A$88,'PET_STAT_RULES'!$C$5:$C$88)</x:f>
        <x:v>40</x:v>
      </x:c>
      <x:c r="K15" s="340" t="n">
        <x:f>XLOOKUP($D15&amp;"|"&amp;$E15&amp;"|"&amp;$F15,'PET_STAT_RULES'!$A$5:$A$88,'PET_STAT_RULES'!$D$5:$D$88)</x:f>
        <x:v>12</x:v>
      </x:c>
      <x:c r="L15" s="340" t="n">
        <x:f>XLOOKUP($D15&amp;"|"&amp;$E15&amp;"|"&amp;$F15,'PET_STAT_RULES'!$A$5:$A$88,'PET_STAT_RULES'!$F$5:$F$88)</x:f>
        <x:v>0</x:v>
      </x:c>
      <x:c r="M15" s="340" t="n">
        <x:f>XLOOKUP($D15&amp;"|"&amp;$E15&amp;"|"&amp;$F15,'PET_STAT_RULES'!$A$5:$A$88,'PET_STAT_RULES'!$G$5:$G$88)</x:f>
        <x:v>5</x:v>
      </x:c>
      <x:c r="N15" s="38" t="n">
        <x:v>2</x:v>
      </x:c>
      <x:c r="O15" s="38" t="str">
        <x:v>mech_fire_ignite_bonus</x:v>
      </x:c>
      <x:c r="P15" s="38" t="str">
        <x:v>09 形状09</x:v>
      </x:c>
      <x:c r="Q15" s="38" t="str">
        <x:v>Fiery</x:v>
      </x:c>
      <x:c r="R15" s="38" t="str">
        <x:v>item confirmed；来源=Bonfire；攻击2格；仅保留来源商人/训练师关系。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f>XLOOKUP($D15&amp;"|"&amp;$E15&amp;"|"&amp;$F15,'PET_STAT_RULES'!$A$5:$A$88,'PET_STAT_RULES'!$E$5:$E$88)</x:f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f>XLOOKUP($D16&amp;"|"&amp;$E16&amp;"|"&amp;$F16,'PET_STAT_RULES'!$A$5:$A$88,'PET_STAT_RULES'!$C$5:$C$88)</x:f>
        <x:v>34</x:v>
      </x:c>
      <x:c r="K16" s="340" t="n">
        <x:f>XLOOKUP($D16&amp;"|"&amp;$E16&amp;"|"&amp;$F16,'PET_STAT_RULES'!$A$5:$A$88,'PET_STAT_RULES'!$D$5:$D$88)</x:f>
        <x:v>22</x:v>
      </x:c>
      <x:c r="L16" s="340" t="n">
        <x:f>XLOOKUP($D16&amp;"|"&amp;$E16&amp;"|"&amp;$F16,'PET_STAT_RULES'!$A$5:$A$88,'PET_STAT_RULES'!$F$5:$F$88)</x:f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f>XLOOKUP($D16&amp;"|"&amp;$E16&amp;"|"&amp;$F16,'PET_STAT_RULES'!$A$5:$A$88,'PET_STAT_RULES'!$E$5:$E$88)</x:f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f>XLOOKUP($D17&amp;"|"&amp;$E17&amp;"|"&amp;$F17,'PET_STAT_RULES'!$A$5:$A$88,'PET_STAT_RULES'!$C$5:$C$88)</x:f>
        <x:v>30</x:v>
      </x:c>
      <x:c r="K17" s="340" t="n">
        <x:f>XLOOKUP($D17&amp;"|"&amp;$E17&amp;"|"&amp;$F17,'PET_STAT_RULES'!$A$5:$A$88,'PET_STAT_RULES'!$D$5:$D$88)</x:f>
        <x:v>8</x:v>
      </x:c>
      <x:c r="L17" s="340" t="n">
        <x:f>XLOOKUP($D17&amp;"|"&amp;$E17&amp;"|"&amp;$F17,'PET_STAT_RULES'!$A$5:$A$88,'PET_STAT_RULES'!$F$5:$F$88)</x:f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f>XLOOKUP($D17&amp;"|"&amp;$E17&amp;"|"&amp;$F17,'PET_STAT_RULES'!$A$5:$A$88,'PET_STAT_RULES'!$E$5:$E$88)</x:f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输出</x:v>
      </x:c>
      <x:c r="F18" s="38" t="str">
        <x:v>两格</x:v>
      </x:c>
      <x:c r="G18" s="38" t="str">
        <x:v>bz_van_017</x:v>
      </x:c>
      <x:c r="H18" s="38" t="str">
        <x:v>night_base, elem_水, elem_雷, elem_无, role_召唤, role_坦克, role_控制, role_治疗, role_机动, tier_pT2</x:v>
      </x:c>
      <x:c r="I18" s="38" t="n">
        <x:v>10</x:v>
      </x:c>
      <x:c r="J18" s="340" t="n">
        <x:f>XLOOKUP($D18&amp;"|"&amp;$E18&amp;"|"&amp;$F18,'PET_STAT_RULES'!$A$5:$A$88,'PET_STAT_RULES'!$C$5:$C$88)</x:f>
        <x:v>28</x:v>
      </x:c>
      <x:c r="K18" s="340" t="n">
        <x:f>XLOOKUP($D18&amp;"|"&amp;$E18&amp;"|"&amp;$F18,'PET_STAT_RULES'!$A$5:$A$88,'PET_STAT_RULES'!$D$5:$D$88)</x:f>
        <x:v>12</x:v>
      </x:c>
      <x:c r="L18" s="340" t="n">
        <x:f>XLOOKUP($D18&amp;"|"&amp;$E18&amp;"|"&amp;$F18,'PET_STAT_RULES'!$A$5:$A$88,'PET_STAT_RULES'!$F$5:$F$88)</x:f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mech_fire_ignite_bonus</x:v>
      </x:c>
      <x:c r="P18" s="38" t="str">
        <x:v>01 形状01</x:v>
      </x:c>
      <x:c r="Q18" s="38" t="str">
        <x:v>Fiery</x:v>
      </x:c>
      <x:c r="R18" s="38" t="str">
        <x:v>item confirmed；来源=Cannon；攻击1格；仅保留来源商人/训练师关系。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f>XLOOKUP($D18&amp;"|"&amp;$E18&amp;"|"&amp;$F18,'PET_STAT_RULES'!$A$5:$A$88,'PET_STAT_RULES'!$E$5:$E$88)</x:f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f>XLOOKUP($D19&amp;"|"&amp;$E19&amp;"|"&amp;$F19,'PET_STAT_RULES'!$A$5:$A$88,'PET_STAT_RULES'!$C$5:$C$88)</x:f>
        <x:v>58</x:v>
      </x:c>
      <x:c r="K19" s="340" t="n">
        <x:f>XLOOKUP($D19&amp;"|"&amp;$E19&amp;"|"&amp;$F19,'PET_STAT_RULES'!$A$5:$A$88,'PET_STAT_RULES'!$D$5:$D$88)</x:f>
        <x:v>16</x:v>
      </x:c>
      <x:c r="L19" s="340" t="n">
        <x:f>XLOOKUP($D19&amp;"|"&amp;$E19&amp;"|"&amp;$F19,'PET_STAT_RULES'!$A$5:$A$88,'PET_STAT_RULES'!$F$5:$F$88)</x:f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f>XLOOKUP($D19&amp;"|"&amp;$E19&amp;"|"&amp;$F19,'PET_STAT_RULES'!$A$5:$A$88,'PET_STAT_RULES'!$E$5:$E$88)</x:f>
        <x:v>0</x:v>
      </x:c>
    </x:row>
    <x:row r="20">
      <x:c r="A20" s="38" t="str">
        <x:v>pal_019</x:v>
      </x:c>
      <x:c r="B20" s="38" t="str">
        <x:v>夜穴鼹</x:v>
      </x:c>
      <x:c r="C20" s="38" t="str">
        <x:v>雷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elem_火, elem_雷, elem_冰, elem_地, role_召唤, role_坦克, role_控制, role_治疗, role_经济, role_机动</x:v>
      </x:c>
      <x:c r="I20" s="38" t="n">
        <x:v>10</x:v>
      </x:c>
      <x:c r="J20" s="340" t="n">
        <x:f>XLOOKUP($D20&amp;"|"&amp;$E20&amp;"|"&amp;$F20,'PET_STAT_RULES'!$A$5:$A$88,'PET_STAT_RULES'!$C$5:$C$88)</x:f>
        <x:v>34</x:v>
      </x:c>
      <x:c r="K20" s="340" t="n">
        <x:f>XLOOKUP($D20&amp;"|"&amp;$E20&amp;"|"&amp;$F20,'PET_STAT_RULES'!$A$5:$A$88,'PET_STAT_RULES'!$D$5:$D$88)</x:f>
        <x:v>22</x:v>
      </x:c>
      <x:c r="L20" s="340" t="n">
        <x:f>XLOOKUP($D20&amp;"|"&amp;$E20&amp;"|"&amp;$F20,'PET_STAT_RULES'!$A$5:$A$88,'PET_STAT_RULES'!$F$5:$F$88)</x:f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mech_grow_atk_each_round</x:v>
      </x:c>
      <x:c r="P20" s="38" t="str">
        <x:v>13 形状13</x:v>
      </x:c>
      <x:c r="Q20" s="38" t="str">
        <x:v>Deadly</x:v>
      </x:c>
      <x:c r="R20" s="38" t="str">
        <x:v>item confirmed；来源=Cannonball；攻击3格；仅保留来源商人/训练师关系。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f>XLOOKUP($D20&amp;"|"&amp;$E20&amp;"|"&amp;$F20,'PET_STAT_RULES'!$A$5:$A$88,'PET_STAT_RULES'!$E$5:$E$88)</x:f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f>XLOOKUP($D21&amp;"|"&amp;$E21&amp;"|"&amp;$F21,'PET_STAT_RULES'!$A$5:$A$88,'PET_STAT_RULES'!$C$5:$C$88)</x:f>
        <x:v>46</x:v>
      </x:c>
      <x:c r="K21" s="340" t="n">
        <x:f>XLOOKUP($D21&amp;"|"&amp;$E21&amp;"|"&amp;$F21,'PET_STAT_RULES'!$A$5:$A$88,'PET_STAT_RULES'!$D$5:$D$88)</x:f>
        <x:v>10</x:v>
      </x:c>
      <x:c r="L21" s="340" t="n">
        <x:f>XLOOKUP($D21&amp;"|"&amp;$E21&amp;"|"&amp;$F21,'PET_STAT_RULES'!$A$5:$A$88,'PET_STAT_RULES'!$F$5:$F$88)</x:f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f>XLOOKUP($D21&amp;"|"&amp;$E21&amp;"|"&amp;$F21,'PET_STAT_RULES'!$A$5:$A$88,'PET_STAT_RULES'!$E$5:$E$88)</x:f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aef0b93f2d84cd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7908d67efcbf48fa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48e6703746354993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c6c29992795b40c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66256ddc57b54f2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1df032b887654d9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53b4432fc5c846ad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b07e7a7ffdd433c"/>
  </x:tableParts>
</x:worksheet>
</file>